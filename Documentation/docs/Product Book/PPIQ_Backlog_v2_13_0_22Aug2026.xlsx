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e6c451c9854f5e" /></Relationships>
</file>

<file path=xl/workbook.xml><?xml version="1.0" encoding="utf-8"?>
<x:workbook xmlns:x="http://schemas.openxmlformats.org/spreadsheetml/2006/main">
  <x:sheets>
    <x:sheet xmlns:r="http://schemas.openxmlformats.org/officeDocument/2006/relationships" name="Backlog" sheetId="1" r:id="R59d1da2c31b54eb1"/>
    <x:sheet xmlns:r="http://schemas.openxmlformats.org/officeDocument/2006/relationships" name="Phase Summary" sheetId="2" r:id="R1085e7dc26ba49dc"/>
    <x:sheet xmlns:r="http://schemas.openxmlformats.org/officeDocument/2006/relationships" name="Milestone Rollup" sheetId="3" r:id="R082ad704b88a4175"/>
    <x:sheet xmlns:r="http://schemas.openxmlformats.org/officeDocument/2006/relationships" name="Legend" sheetId="4" r:id="Ra60e402bddcc447f"/>
    <x:sheet xmlns:r="http://schemas.openxmlformats.org/officeDocument/2006/relationships" name="Audit Traceability" sheetId="5" r:id="Ra9f02be0961f4163"/>
    <x:sheet xmlns:r="http://schemas.openxmlformats.org/officeDocument/2006/relationships" name="Worker 3 Lane" sheetId="6" r:id="R46a92c01c2a84327"/>
    <x:sheet xmlns:r="http://schemas.openxmlformats.org/officeDocument/2006/relationships" name="AI-ML Architecture Coverage" sheetId="7" r:id="Rfee41c8f88d84584"/>
    <x:sheet xmlns:r="http://schemas.openxmlformats.org/officeDocument/2006/relationships" name="v2.10 Change Log" sheetId="8" r:id="Rbed8ac7baad845ef"/>
    <x:sheet xmlns:r="http://schemas.openxmlformats.org/officeDocument/2006/relationships" name="Design Review Findings" sheetId="9" r:id="R231ddb9504ef4890"/>
    <x:sheet xmlns:r="http://schemas.openxmlformats.org/officeDocument/2006/relationships" name="Target Route Coverage" sheetId="10" r:id="Rea894ecd13a64160"/>
    <x:sheet xmlns:r="http://schemas.openxmlformats.org/officeDocument/2006/relationships" name="Revision Summary" sheetId="11" r:id="Rf7b1f2f4649e4f3a"/>
    <x:sheet xmlns:r="http://schemas.openxmlformats.org/officeDocument/2006/relationships" name="Two-Track Product Contract" sheetId="12" r:id="R19e7ff7521c1469e"/>
    <x:sheet xmlns:r="http://schemas.openxmlformats.org/officeDocument/2006/relationships" name="Concept Rulings v2.10.3" sheetId="13" r:id="R2baa0042a065461f"/>
    <x:sheet xmlns:r="http://schemas.openxmlformats.org/officeDocument/2006/relationships" name="Delivery Feasibility" sheetId="14" r:id="Rf6ba7c91749a45f3"/>
    <x:sheet xmlns:r="http://schemas.openxmlformats.org/officeDocument/2006/relationships" name="AI Agent Operating Model" sheetId="15" r:id="R9013d0eef61e4126"/>
    <x:sheet xmlns:r="http://schemas.openxmlformats.org/officeDocument/2006/relationships" name="AI Agent Task Map" sheetId="16" r:id="Red8ecc7968ee4fef"/>
    <x:sheet xmlns:r="http://schemas.openxmlformats.org/officeDocument/2006/relationships" name="AI Agent Queues" sheetId="17" r:id="Rea9a30d33753473f"/>
    <x:sheet xmlns:r="http://schemas.openxmlformats.org/officeDocument/2006/relationships" name="AI Agent Calendar" sheetId="18" r:id="Rf2b28bdc0bbd4e41"/>
    <x:sheet xmlns:r="http://schemas.openxmlformats.org/officeDocument/2006/relationships" name="v2.11 Change Log" sheetId="19" r:id="R743dc599f4fe4257"/>
    <x:sheet xmlns:r="http://schemas.openxmlformats.org/officeDocument/2006/relationships" name="v2.11 Pilot Rebaseline" sheetId="20" r:id="R6b8e12cf071143c8"/>
    <x:sheet xmlns:r="http://schemas.openxmlformats.org/officeDocument/2006/relationships" name="Concept Rulings v2.11" sheetId="21" r:id="Rdf6d14f5e7114777"/>
    <x:sheet xmlns:r="http://schemas.openxmlformats.org/officeDocument/2006/relationships" name="v2.12 Change Log" sheetId="22" r:id="Rc06cee78e8794124"/>
    <x:sheet xmlns:r="http://schemas.openxmlformats.org/officeDocument/2006/relationships" name="Current Authority" sheetId="23" r:id="R44e0029a3c7c49f8"/>
    <x:sheet xmlns:r="http://schemas.openxmlformats.org/officeDocument/2006/relationships" name="v2.12 Pilot Rebaseline" sheetId="24" r:id="Rd723909e34e74428"/>
    <x:sheet xmlns:r="http://schemas.openxmlformats.org/officeDocument/2006/relationships" name="Concept Rulings v2.12" sheetId="25" r:id="R05fc8ff114b44b54"/>
    <x:sheet xmlns:r="http://schemas.openxmlformats.org/officeDocument/2006/relationships" name="Dependency Graph v2.12" sheetId="26" r:id="Rb1f420d77a184933"/>
    <x:sheet xmlns:r="http://schemas.openxmlformats.org/officeDocument/2006/relationships" name="v2.13 Change Log" sheetId="27" r:id="R38b436a7b6644187"/>
    <x:sheet xmlns:r="http://schemas.openxmlformats.org/officeDocument/2006/relationships" name="v2.13 Pilot Rebaseline" sheetId="28" r:id="R4924b4c21ce04f4a"/>
    <x:sheet xmlns:r="http://schemas.openxmlformats.org/officeDocument/2006/relationships" name="Concept Rulings v2.13" sheetId="29" r:id="Rcf520c1cc1ba4dff"/>
    <x:sheet xmlns:r="http://schemas.openxmlformats.org/officeDocument/2006/relationships" name="Dependency Graph v2.13" sheetId="30" r:id="Reb676296f94d43ee"/>
  </x:sheets>
</x:workbook>
</file>

<file path=xl/sharedStrings.xml><?xml version="1.0" encoding="utf-8"?>
<x:sst xmlns:x="http://schemas.openxmlformats.org/spreadsheetml/2006/main">
  <x:si>
    <x:t xml:space="preserve">Task Id</x:t>
  </x:si>
  <x:si>
    <x:t xml:space="preserve">Milestone Id</x:t>
  </x:si>
  <x:si>
    <x:t xml:space="preserve">Phase Id</x:t>
  </x:si>
  <x:si>
    <x:t xml:space="preserve">Task Name</x:t>
  </x:si>
  <x:si>
    <x:t xml:space="preserve">Module</x:t>
  </x:si>
  <x:si>
    <x:t xml:space="preserve">Sub-module</x:t>
  </x:si>
  <x:si>
    <x:t xml:space="preserve">Priority</x:t>
  </x:si>
  <x:si>
    <x:t xml:space="preserve">Task Description</x:t>
  </x:si>
  <x:si>
    <x:t xml:space="preserve">Task Validation</x:t>
  </x:si>
  <x:si>
    <x:t xml:space="preserve">Hours</x:t>
  </x:si>
  <x:si>
    <x:t xml:space="preserve">Status</x:t>
  </x:si>
  <x:si>
    <x:t xml:space="preserve">Recommended Owner</x:t>
  </x:si>
  <x:si>
    <x:t xml:space="preserve">Worker 3 Parallel Label</x:t>
  </x:si>
  <x:si>
    <x:t xml:space="preserve">Worker 3 Boundary / Scope</x:t>
  </x:si>
  <x:si>
    <x:t xml:space="preserve">v2.10.2 Change</x:t>
  </x:si>
  <x:si>
    <x:t xml:space="preserve">Verified Live State</x:t>
  </x:si>
  <x:si>
    <x:t xml:space="preserve">Evidence / Commit</x:t>
  </x:si>
  <x:si>
    <x:t xml:space="preserve">Design Review Verdict</x:t>
  </x:si>
  <x:si>
    <x:t xml:space="preserve">Design / Concept Finding</x:t>
  </x:si>
  <x:si>
    <x:t xml:space="preserve">Tech-Lead Ruling</x:t>
  </x:si>
  <x:si>
    <x:t xml:space="preserve">Revised Dependency / Gate</x:t>
  </x:si>
  <x:si>
    <x:t xml:space="preserve">Parallel / Booster Ruling</x:t>
  </x:si>
  <x:si>
    <x:t xml:space="preserve">Rework Risk</x:t>
  </x:si>
  <x:si>
    <x:t xml:space="preserve">Review Authority / Date</x:t>
  </x:si>
  <x:si>
    <x:t xml:space="preserve">Product Track</x:t>
  </x:si>
  <x:si>
    <x:t xml:space="preserve">Delivery Target</x:t>
  </x:si>
  <x:si>
    <x:t xml:space="preserve">Release Criticality</x:t>
  </x:si>
  <x:si>
    <x:t xml:space="preserve">Concept Alignment Ruling</x:t>
  </x:si>
  <x:si>
    <x:t xml:space="preserve">Deadline Risk</x:t>
  </x:si>
  <x:si>
    <x:t xml:space="preserve">AI Agent Owner</x:t>
  </x:si>
  <x:si>
    <x:t xml:space="preserve">AI Agent Lane</x:t>
  </x:si>
  <x:si>
    <x:t xml:space="preserve">AI Execution Class</x:t>
  </x:si>
  <x:si>
    <x:t xml:space="preserve">AI Speed Factor (x)</x:t>
  </x:si>
  <x:si>
    <x:t xml:space="preserve">P80 Guard Multiplier</x:t>
  </x:si>
  <x:si>
    <x:t xml:space="preserve">AI Active Time P50 (h)</x:t>
  </x:si>
  <x:si>
    <x:t xml:space="preserve">AI Guarded Time P80 (h)</x:t>
  </x:si>
  <x:si>
    <x:t xml:space="preserve">AI Sequence Wave</x:t>
  </x:si>
  <x:si>
    <x:t xml:space="preserve">AI Start / Dependency Gate</x:t>
  </x:si>
  <x:si>
    <x:t xml:space="preserve">File / Subsystem Lock</x:t>
  </x:si>
  <x:si>
    <x:t xml:space="preserve">No-Rework Handoff Ruling</x:t>
  </x:si>
  <x:si>
    <x:t xml:space="preserve">T-001</x:t>
  </x:si>
  <x:si>
    <x:t xml:space="preserve">M1</x:t>
  </x:si>
  <x:si>
    <x:t xml:space="preserve">M1-P1</x:t>
  </x:si>
  <x:si>
    <x:t xml:space="preserve">Build the six-beat Design Traceability Matrix</x:t>
  </x:si>
  <x:si>
    <x:t xml:space="preserve">Documentation</x:t>
  </x:si>
  <x:si>
    <x:t xml:space="preserve">Design contract</x:t>
  </x:si>
  <x:si>
    <x:t xml:space="preserve">Critical</x:t>
  </x:si>
  <x:si>
    <x:t xml:space="preserve">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x:t>
  </x:si>
  <x:si>
    <x:t xml:space="preserve">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x:t>
  </x:si>
  <x:si>
    <x:t xml:space="preserve">Done</x:t>
  </x:si>
  <x:si>
    <x:t xml:space="preserve">Completed / no assignment</x:t>
  </x:si>
  <x:si>
    <x:t xml:space="preserve">CLOSED</x:t>
  </x:si>
  <x:si>
    <x:t xml:space="preserve">No new work. Preserve evidence and do not reopen unless a regression proves it.</x:t>
  </x:si>
  <x:si>
    <x:t xml:space="preserve">—</x:t>
  </x:si>
  <x:si>
    <x:t xml:space="preserve">CARRIED v2.9.2</x:t>
  </x:si>
  <x:si>
    <x:t xml:space="preserve">No new contradiction identified in this pass</x:t>
  </x:si>
  <x:si>
    <x:t xml:space="preserve">Low / not newly identified</x:t>
  </x:si>
  <x:si>
    <x:t xml:space="preserve">Track 1 — Presentation / Demo</x:t>
  </x:si>
  <x:si>
    <x:t xml:space="preserve">2026-08-20 Presentation RC</x:t>
  </x:si>
  <x:si>
    <x:t xml:space="preserve">M1 Contract</x:t>
  </x:si>
  <x:si>
    <x:t xml:space="preserve">Presentation-visible contract. Prepared Fleet v2 topology is allowed; no fake product behaviour and no production-only scope.</x:t>
  </x:si>
  <x:si>
    <x:t xml:space="preserve">Closed</x:t>
  </x:si>
  <x:si>
    <x:t xml:space="preserve">Closed / evidence preserved</x:t>
  </x:si>
  <x:si>
    <x:t xml:space="preserve">Closed — do not reopen without contradictory regression evidence.</x:t>
  </x:si>
  <x:si>
    <x:t xml:space="preserve">No active lock.</x:t>
  </x:si>
  <x:si>
    <x:t xml:space="preserve">None — preserve evidence.</x:t>
  </x:si>
  <x:si>
    <x:t xml:space="preserve">T-002</x:t>
  </x:si>
  <x:si>
    <x:t xml:space="preserve">Audit every presented route and control against the Chapter 3 page inventory</x:t>
  </x:si>
  <x:si>
    <x:t xml:space="preserve">Frontend</x:t>
  </x:si>
  <x:si>
    <x:t xml:space="preserve">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this task's own applied pack and covers the token rule; the audit below extends it, it does not repeat it.</x:t>
  </x:si>
  <x:si>
    <x:t xml:space="preserve">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x:t>
  </x:si>
  <x:si>
    <x:t xml:space="preserve">T-003</x:t>
  </x:si>
  <x:si>
    <x:t xml:space="preserve">Lock the presentation profile as a data profile, not a branch</x:t>
  </x:si>
  <x:si>
    <x:t xml:space="preserve">Infrastructure</x:t>
  </x:si>
  <x:si>
    <x:t xml:space="preserve">Environments</x:t>
  </x:si>
  <x:si>
    <x:t xml:space="preserve">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x:t>
  </x:si>
  <x:si>
    <x:t xml:space="preserve">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x:t>
  </x:si>
  <x:si>
    <x:t xml:space="preserve">Presentation is a profile/release artifact, NOT a long-lived code branch. Freeze with immutable tag/release + presentation profile/database.</x:t>
  </x:si>
  <x:si>
    <x:t xml:space="preserve">T-004</x:t>
  </x:si>
  <x:si>
    <x:t xml:space="preserve">Create the M1 acceptance checklist and evidence folder</x:t>
  </x:si>
  <x:si>
    <x:t xml:space="preserve">Quality</x:t>
  </x:si>
  <x:si>
    <x:t xml:space="preserve">Important</x:t>
  </x:si>
  <x:si>
    <x:t xml:space="preserve">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x:t>
  </x:si>
  <x:si>
    <x:t xml:space="preserve">Every screen in the traceability matrix has a checklist instance in the folder. A screen is not Green until every line is ticked with an evidence file name beside it.</x:t>
  </x:si>
  <x:si>
    <x:t xml:space="preserve">T-005</x:t>
  </x:si>
  <x:si>
    <x:t xml:space="preserve">Rebuild ppiq_presentation into scratch and diff against live</x:t>
  </x:si>
  <x:si>
    <x:t xml:space="preserve">Database</x:t>
  </x:si>
  <x:si>
    <x:t xml:space="preserve">Presentation data</x:t>
  </x:si>
  <x:si>
    <x:t xml:space="preserve">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x:t>
  </x:si>
  <x:si>
    <x:t xml:space="preserve">Produce docs/m1/evidence/presentation_db_diff.txt. Acceptance is either an empty diff, or a written list of every difference. Do not proceed to the next task until that list exists, and never run the rebuild against the live database before it does.</x:t>
  </x:si>
  <x:si>
    <x:t xml:space="preserve">T-006</x:t>
  </x:si>
  <x:si>
    <x:t xml:space="preserve">Convert every diff finding into a seed or migration script</x:t>
  </x:si>
  <x:si>
    <x:t xml:space="preserve">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x:t>
  </x:si>
  <x:si>
    <x:t xml:space="preserve">Re-run Rebuild-PresentationDb.ps1 into a fresh scratch database and re-run the diff. It must now be empty. That output is the proof that no fix exists only as data.</x:t>
  </x:si>
  <x:si>
    <x:t xml:space="preserve">T-007</x:t>
  </x:si>
  <x:si>
    <x:t xml:space="preserve">Presentation Phenomena and Widget Coverage Matrix, 
part 1: inventory and the 36-chart blueprint</x:t>
  </x:si>
  <x:si>
    <x:t xml:space="preserve">REOPENED IN v2.5 - source truth changed after runtime measurement. The artifacts stand, but they were written against FLEET_RELATIONS.md, and measurement proved that document describes a larger, richer emulation than the one staged: 630 heats not 1,802, 5,670 coils not 18,661, 1,987 defects not 34,312, SIX defect codes not twenty, and THREE chemistry elements at one station not twelve at three. This task does not restart, and it does NOT stay half-open until the fleet is rebuilt - a task that closes twenty tasks later violates both the ordering law and the no-PARTIAL rule. It closes HERE as a PRE-GENERATION SPECIFICATION: the measured current inventory plus the 36-chart blueprint. Post-generation re-measurement and final certification belong to the phenomenon-proof task in M1-P1b, which cites this task by name so the link is machine-checked from that end. REWRITTEN IN v2.4. The previous version documented seventeen relations; that was necessary but not sufficient. Two halves, and the ORDER IS THE POINT. First, inventory what the emulation already carries - chemistry by grade at whatever element count and sampling stations MEASUREMENT SHOWS - the v2.4 text said twelve elements across three stations and that was taken from a document; measurement found THREE elements at ONE station, so the inventory records what is there, additives by grade, sequence grouping, crew rotation, ladle reline counters, cold-furnace and maintenance reheating, downtime propagation, roll wear, lubrication windows, and the seventeen planted relations with their negative controls. Second, write the 36-CHART BLUEPRINT: six primary presentation pages times six visual stories, with the seventh dashboard kept as the technical backup page. For each chart state what it must SHOW - not which correlation it must prove. The acceptance standard for the dataset changes here: every one of the 36 widgets needs an intentional visual story, sufficient population and cardinality, realistic variation, and at least one meaningful drill or filter interaction. NOT every chart must reveal a correlation. Planting a hundred clean correlations would make the plant look fabricated, which costs more credibility than a flat chart does.</x:t>
  </x:si>
  <x:si>
    <x:t xml:space="preserve">Two artifacts in the evidence folder: the emulation inventory with a source and a row count per structure, and the blueprint with 36 rows each naming its page, chart type, and the visual story it must tell. A reviewer must be able to say, for each of the 36, what would make that chart boring - because that is the specification the data has to beat.</x:t>
  </x:si>
  <x:si>
    <x:t xml:space="preserve">T-008</x:t>
  </x:si>
  <x:si>
    <x:t xml:space="preserve">Presentation Phenomena and Widget Coverage Matrix, part 2: map, classify, close</x:t>
  </x:si>
  <x:si>
    <x:t xml:space="preserve">Testing</x:t>
  </x:si>
  <x:si>
    <x:t xml:space="preserve">Dashboard</x:t>
  </x:si>
  <x:si>
    <x:t xml:space="preserve">REOPENED IN v2.5 alongside part one, for the same reason: it cites effect sizes and defect codes that do not exist in the staged data. R1 CRACK_LONG at 9.3x, R2 INCLUSION at 4.5x and R4 SLIPPAGE_MARK at 28.9x have NO corresponding staged defect code. Aluminium, sulfur, niobium and nitrogen are absent, so four relation families cannot exist here whatever the document says. The 104 rows are kept as the SPECIFICATION OF WHAT THE FLEET MUST CARRY, and become the input to the Fleet v2 target rather than a description of what exists. This task ALSO closes here, before any generator work, and it carries one addition: PREDECLARE the expected direction, the acceptable effect band and the negative control for every phenomenon. Declaring them before the data exists is what stops the later proof from being self-fulfilling. REWRITTEN IN v2.4 as part two of the matrix. One row per phenomenon, with these columns: phenomenon; source systems; population; variables; intended effect; noise; primary chart; secondary chart; dashboard; expected analysis result; NEGATIVE CONTROL; genealogy requirement; current status EXISTING, ENRICH or NEW; and the exact automated assertion that validates it. Target roughly 85 to 110 micro-variations, distributed as 18-25 strong discoverable relationships, 20-25 moderate or conditional, 15-20 shift, crew, campaign and maintenance regimes, 8-12 temporal drifts or regime changes, 8-12 outliers or short abnormal events, and 15-20 negative controls and noise. Most of those will be extensions of the seventeen existing relation families rather than new inventions. Then map each of the 36 charts to at least one phenomenon or to a legitimate operational baseline, and give every widget a decision: KEEP, ENHANCE, REBIND, ADD WIDGET, EXTEND EMULATION, NEEDS RELATIONSHIP SLICE, or REMOVE. Weak bindings are not data shortages - Defects by Equipment returned one row in the last audit and the remedy is canonical equipment attribution or relationship resolution, never more rows.</x:t>
  </x:si>
  <x:si>
    <x:t xml:space="preserve">docs/m1/evidence/phenomena_widget_matrix.csv with no blank cells. Every one of the 36 charts references at least one phenomenon or a named operational baseline. Every EXTEND EMULATION row names the exact field, so the generator work has a closed list. Every phenomenon carries its automated assertion, so the statistical QA task has nothing left to invent.</x:t>
  </x:si>
  <x:si>
    <x:t xml:space="preserve">T-009</x:t>
  </x:si>
  <x:si>
    <x:t xml:space="preserve">Downtime two-quantity contract: final schema and domain slice</x:t>
  </x:si>
  <x:si>
    <x:t xml:space="preserve">Backend</x:t>
  </x:si>
  <x:si>
    <x:t xml:space="preserve">Canonical model</x:t>
  </x:si>
  <x:si>
    <x:t xml:space="preserve">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x:t>
  </x:si>
  <x:si>
    <x:t xml:space="preserve">Project a downtime batch and assert every row has both columns populated and non-negative. Attempt an insert with a null production_impact_minutes and confirm the database rejects it. Confirm no code path derives one quantity from the other.</x:t>
  </x:si>
  <x:si>
    <x:t xml:space="preserve">T-010</x:t>
  </x:si>
  <x:si>
    <x:t xml:space="preserve">Run the canonical semantic path end to end through the M1 compatibility boundaries</x:t>
  </x:si>
  <x:si>
    <x:t xml:space="preserve">Engine</x:t>
  </x:si>
  <x:si>
    <x:t xml:space="preserve">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product's own services, never by loading a target table directly. Record row counts at every stage. Note the sequencing: the final external definition contract is built later in M1-P2, so this walk is repeated once it lands - the second walk is what proves the contract did not change behaviour.</x:t>
  </x:si>
  <x:si>
    <x:t xml:space="preserve">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x:t>
  </x:si>
  <x:si>
    <x:t xml:space="preserve">T-011</x:t>
  </x:si>
  <x:si>
    <x:t xml:space="preserve">Establish and fix the architecture test pool reliability</x:t>
  </x:si>
  <x:si>
    <x:t xml:space="preserve">CI/CD</x:t>
  </x:si>
  <x:si>
    <x:t xml:space="preserve">Very Important</x:t>
  </x:si>
  <x:si>
    <x:t xml:space="preserve">NEW IN v2.1, raised by a real failure. The navigation contract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x:t>
  </x:si>
  <x:si>
    <x:t xml:space="preserve">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x:t>
  </x:si>
  <x:si>
    <x:t xml:space="preserve">T-012</x:t>
  </x:si>
  <x:si>
    <x:t xml:space="preserve">Canonicalise the JourneyRail to J1 to J15</x:t>
  </x:si>
  <x:si>
    <x:t xml:space="preserve">Journey</x:t>
  </x:si>
  <x:si>
    <x:t xml:space="preserve">NEW IN v2.3, raised by the presented-surface audit and it is a Rule 3 violation that has been on every authenticated page. JourneyRail.tsx declares its OWN fifteen-stage journey in a hardcoded STAGES array and renders it as Step N of 15. It is not the canonical J1 to J15: different steps, different order, same numbering. Rule 3 says a second journey written anywhere is deleted rather than reconciled. Four further defects sit on top. Stage 4 Prepare mapping has only /data-integration/prepare as its match prefix, which stage 2 already claims, and the longest-prefix tie-break takes the first, so stage 4 can never become the current stage. Stage 5 points at /data-integration/author-mapping, which the audit rules out of inventory. Stage 8 points at AnalysisJobConfigPage, which leaves the M1 navigation. Stage 12 is labelled AI/ML jobs and points at the Jobs Monitor. Stage 15 points at /assistant, but Chapter 3 gives the assistant no route because G1 is a shell component. Rewrite STAGES to the canonical journey with the Chapter 2 3.3.1 labels, render J1 to J3 as completed commissioning so the count is honest, give each stage exactly one unambiguous match prefix, and repoint stages 5, 8 and 15.</x:t>
  </x:si>
  <x:si>
    <x:t xml:space="preserve">A test asserting the rail's stage count and labels equal the canonical journey, in the same shape as PPIQ-T12. Walk every presented route and confirm the rail highlights exactly one stage, and that the stage it highlights is the journey step that route serves. No stage may be unreachable.</x:t>
  </x:si>
  <x:si>
    <x:t xml:space="preserve">T-013</x:t>
  </x:si>
  <x:si>
    <x:t xml:space="preserve">M1-P1b</x:t>
  </x:si>
  <x:si>
    <x:t xml:space="preserve">Three-way source reconciliation: KEEP, EXTEND or ADD</x:t>
  </x:si>
  <x:si>
    <x:t xml:space="preserve">Emulated sources</x:t>
  </x:si>
  <x:si>
    <x:t xml:space="preserve">NEW IN v2.5, and it exists because the runtime measurement proved the source-shaped donor schemas are not the plant the documents describe. Reconcile THREE things against each other, one row per source structure: what the running source-shaped donor schemas and their data actually contain, measured; what the committed generator and fixtures produce - Backend/tools/generate_demo_dataset.py is 372 lines, deterministic, and emits all eight sources - but MEASUREMENT DURING THIS TASK PROVED IT PRODUCES A DIFFERENT PLANT from the donor schemas, sharing two of six defect codes and none of the downtime reason codes, so it is a THIRD GENERATION to reconcile rather than a starting point; and what the 36-chart blueprint requires. NOTHING IS THROWN AWAY WITHOUT A RECORDED DECISION. Every row gets KEEP, EXTEND or ADD with a reason, and a KEEP is as much a decision as an ADD. The measured baseline is already in the evidence folder and is the input, not a thing to re-derive: ten staged tables, 630 heats, 630 sequences, 5,670 slabs, 5,670 coils, 39,690 stand passes, 1,987 defects across SIX codes, 210 downtime events, 17,010 QA results, and chemistry limited to carbon, manganese and silicon on heats alone.</x:t>
  </x:si>
  <x:si>
    <x:t xml:space="preserve">CLOSED 03-Aug-2026. docs/m1/evidence/source_reconciliation.csv, 13 rows and 15 columns, zero blank cells, one row per source structure. THREE DECISION AXES rather than one, because two findings fit none of the original buckets: structural `decision` KEEP 7 / EXTEND 3 / ADD 3; `data_action` VARY 3 / FIX_DISTRIBUTION 2 / NONE 8, for columns that are populated but carry a single value; and `binding_action` BIND 7 / REBIND 6 / NONE 0, for structures that are complete but reach no chart. Every EXTEND and ADD names the exact field or table; every KEEP names the chart it serves. Supporting evidence: docs/m1/evidence/T-013_source_measurement_20260803_132228.txt.</x:t>
  </x:si>
  <x:si>
    <x:t xml:space="preserve">T-014</x:t>
  </x:si>
  <x:si>
    <x:t xml:space="preserve">Capture the current source-shaped donor schemas in a committed generator</x:t>
  </x:si>
  <x:si>
    <x:t xml:space="preserve">NEW IN v2.8, and it exists because the emulation the whole presentation reads has no producer in source control. Backend/database/scripts/110_phase1_demo_source_shapes.sql creates the ten source-shaped donor tables EMPTY and nothing in the repository fills them - the only INSERT INTO src_ anywhere is a single one-row probe in scripts/run/Invoke-PpiqJourneyWalk.ps1. Those rows exist solely inside deploy/.ppiq-snapshots/ppiq_app_20260713_203359.dump, a 29.4 MB binary that scripts/demo/Rebuild-PresentationDb.ps1 restores. Backend/tools/generate_demo_dataset.py DOES have a producer, but it emits the CONTAINER fixtures under deploy/fixtures/demo, and those carry a DIFFERENT plant: five defect codes against the staged six with only SCALE and EDGE_CRACK shared, five downtime reason codes with NONE shared, carbon only against carbon-manganese-silicon, no lf_treatment table at all, and a QA CSV of 1,868 rows against 17,010 staged lab results. The source-shaped donor schemas received several manual enhancement passes during the run-up to the presentation and is therefore AHEAD of the committed generator, not behind it. Extending the committed generator before capturing the staged state would regress the dataset. Write ONE deterministic generator, in source control, that reproduces the CURRENT source-shaped donor schemas exactly - every table, every column, every distribution, every catalogue - from a fixed seed. DO NOT IMPROVE ANYTHING HERE. Improvement belongs to the target specification and to the generator-extension tasks that follow it. This task only makes what already exists reproducible from code rather than from a binary snapshot, which is also what the M2a clean-room rebuild depends on.</x:t>
  </x:si>
  <x:si>
    <x:t xml:space="preserve">Generate into an empty database and diff against the live source-shaped donor schemas with the same tool that closed the presentation reproducibility diff. All ten source-shaped donor tables match on ALL NINE DIMENSIONS the Chapter 3 section 4.5.2a retirement gate requires, because three are not enough to delete an irreplaceable dataset against: schema; row counts; key and cardinality checks including the DISTRIBUTION of children per parent rather than its average; null and population profiles; categorical distributions covering defect_code, reason_code, downtime_category, equipment_code, steel_grade and test_code; numeric ranges and declared quantiles; timestamp ranges and per-unit ordering; genealogy and conservation checks; and identifier shapes, without which a later cross-layer identity check cannot hold. TOTAL DIFFERENCES must read 0. The generator, its seed and its outputs are committed. A second run with the same seed is byte-identical to the first. No figure in the generator is hand-copied from a document: every one derives from the measurement evidence produced by T-013.</x:t>
  </x:si>
  <x:si>
    <x:t xml:space="preserve">T-015</x:t>
  </x:si>
  <x:si>
    <x:t xml:space="preserve">Presentation Fleet v2 target specification</x:t>
  </x:si>
  <x:si>
    <x:t xml:space="preserve">NEW IN v2.5. Write the dataset target the fixtures must reach, and write it FROM THE 36 CHARTS, not from FLEET_RELATIONS.md. That document has been wrong three times in one day and it is no longer executable truth. It is a source of ideas, nothing more. Chemistry elements are added because a chart needs them and for no other reason - if the conditional-format table needs sulfur, phosphorus, aluminium or niobium then those are added, and if it does not need twelve elements then twelve are not added. THE DEFECT CATALOGUE IS THE HEADLINE. The current six codes at 351, 347, 341, 335, 319 and 294 are nearly uniform, which is a flat Pareto and exactly the boring condition chart 8 was written against. The target is a real plant distribution - one dominant code, two or three meaningful, a moderate, several smaller, and a long tail of rare defects - plus pure-noise codes that exist to be REJECTED, because a correlation page with nothing to reject proves nothing. State the target scale too, and state whether the current roughly one-third scale is sufficient for the population each chart needs.</x:t>
  </x:si>
  <x:si>
    <x:t xml:space="preserve">docs/m1/evidence/presentation_fleet_v2_target.md naming, for every structure: target row count, target cardinality, and the chart or phenomenon that justifies it. No figure appears without the chart that needs it. The defect catalogue is a table of code, target share and role, where role is one of dominant, meaningful, moderate, rare or negative control.</x:t>
  </x:si>
  <x:si>
    <x:t xml:space="preserve">T-016</x:t>
  </x:si>
  <x:si>
    <x:t xml:space="preserve">Extend the generator: defect catalogue and chemistry elements</x:t>
  </x:si>
  <x:si>
    <x:t xml:space="preserve">NEW IN v2.5. EXTEND T-015 into the existing generator. The word is extend: the generator already produces a coherent, deterministic, genealogy-consistent plant and that structure is kept. What changes is the defect code catalogue, its distribution shape, and the chemistry element set on the meltshop source, which today carries only carbon_pct, manganese_pct and silicon_pct. Keep the existing seed and determinism so a regeneration is reproducible. Do not renumber or restructure what already works.</x:t>
  </x:si>
  <x:si>
    <x:t xml:space="preserve">Regenerating with the same seed produces the same output twice. The defect distribution matches the target table within a stated tolerance, with a dominant code and a visible tail. Every chemistry element named in the target exists as a column with a plausible per-grade distribution. The existing genealogy conservation rules still hold: coil width, weight and length against their slab.</x:t>
  </x:si>
  <x:si>
    <x:t xml:space="preserve">T-017</x:t>
  </x:si>
  <x:si>
    <x:t xml:space="preserve">Extend the generator: grade specification, and shift as BEHAVIOUR</x:t>
  </x:si>
  <x:si>
    <x:t xml:space="preserve">REWRITTEN IN v2.6. TWO ADDITIONS to the emulated customer world, never to the product. FIRST a grade_specification source table with grade_code, element_code, min_value, target_value, max_value and unit, so the conditional-format demonstration draws its limits from the customer's own data and never from a literal in PPIQ. SECOND, and this is the part v2.5 had wrong: SHIFT IS BEHAVIOUR, NOT A LABEL. Do NOT add a shift column to a source system that would not realistically record one, just because a chart wants it - that is a fabricated convenience and a customer engineer will smell it. Generate the BEHAVIOUR against a shift and crew calendar: day runs conservatively with lower parameter variance, evening sits between, night carries wider variance or a different operating bias. EXPOSE a crew or shift field ONLY in the source systems where such a field is realistic. Everywhere else the value is DERIVED IN THE TRANSFORMATION from the local timestamp plus a shift_calendar table in the EMULATED CUSTOMER WORLD carrying shift_code, start_local_time, end_local_time, crew_code, effective_from, effective_to and timezone - so the derivation reads customer configuration and never a literal buried in code or in a transformation expression - and mapped onto the existing canonical semantics - process_step_executions.crew_code already exists and no new canonical column is invented. That derivation is also the stronger demonstration: a timestamp, a no-code derived column, shift A B or C, save the transformation, in front of the customer. A ready-made shift column makes the example look easy in the wrong way. Chapter 3 already requires local time and zone handling wherever shift matters, so the derivation is on-contract.</x:t>
  </x:si>
  <x:si>
    <x:t xml:space="preserve">The specification table covers every element the Fleet v2 target names, with at least one heat outside its grade band and at least one inside. The three shift populations are realistic rather than exact thirds. Where a source exposes the field, it is justified in one sentence; where it does not, the derivation exists as a saved transformation and NOT as a hand-written column. The behavioural difference is present in the data before any chart is bound to it.</x:t>
  </x:si>
  <x:si>
    <x:t xml:space="preserve">T-018</x:t>
  </x:si>
  <x:si>
    <x:t xml:space="preserve">Extend the generator: downtime two quantities and buffer posture</x:t>
  </x:si>
  <x:si>
    <x:t xml:space="preserve">NEW IN v2.5, absorbing the downtime half of the old field-gap task. The 210 staged downtime events are GOOD MATERIAL and are kept: nine equipment units with 18 to 32 events each, five reason codes across four categories, durations from 196 to 5,374 seconds. What is missing is the second quantity. The source carries only duration_seconds, so stopped_minutes derives from it, and production_impact_minutes is GENERATED INDEPENDENTLY. Both shapes must exist in the data: stopped 45 with impact 0, where a buffer absorbed it, and stopped 3 with impact 260, where a short stoppage forced a sequence rebuild. TWO DERIVED METRICS, NEITHER STORED, AND NEITHER CAN GO NEGATIVE. buffer_absorbed_minutes = MAX(stopped_minutes - production_impact_minutes, 0) and cascade_amplification_minutes = MAX(production_impact_minutes - stopped_minutes, 0). A plain subtraction was wrong: stopped 3 with impact 260 would report minus 257 minutes of buffer absorption, which is not a quantity that exists. Stopped 45 with impact 0 gives 45 absorbed and 0 cascade; stopped 3 with impact 260 gives 0 absorbed and 257 cascade. The canonical model still stores exactly TWO columns.</x:t>
  </x:si>
  <x:si>
    <x:t xml:space="preserve">A distribution of both quantities showing the two shapes present in meaningful numbers, not as single planted rows. At least one event has stopped minutes above zero with production impact zero. At least one has impact materially exceeding stopped. No code path computes either quantity from the other or from the timestamps.</x:t>
  </x:si>
  <x:si>
    <x:t xml:space="preserve">T-019</x:t>
  </x:si>
  <x:si>
    <x:t xml:space="preserve">Shift and crew operating-practice regimes</x:t>
  </x:si>
  <x:si>
    <x:t xml:space="preserve">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and it exists because correlation alone does not make 36 charts interesting. Crew rotation is structurally present but the behavioural stories are not. Give each shift an operating PERSONALITY rather than a different mean: day runs more conservatively with lower parameter variance, evening sits between, night carries wider variance or a different operating bias. The critical constraint is that the effect must NOT be global. Night shift should show a higher apparent defect rate, and conditioning on grade must reveal that a large part of the difference was night running a harder grade family - while the higher VARIANCE remains after conditioning, and that residual variance is what actually contributes to defect probability. One phenomenon, eight charts: shift bar, box plot, trend, scatter, correlation, conditioned result, defect Pareto, and an assistant question.</x:t>
  </x:si>
  <x:si>
    <x:t xml:space="preserve">The naive shift comparison shows a difference. The grade-conditioned comparison shrinks the mean difference materially while the variance difference survives. Both recorded in the evidence folder. If the conditioned difference vanishes entirely the confounder is too strong and the phenomenon is uninteresting; if it does not move the confounder is absent and the story does not exist. Both are failures worth naming.</x:t>
  </x:si>
  <x:si>
    <x:t xml:space="preserve">T-020</x:t>
  </x:si>
  <x:si>
    <x:t xml:space="preserve">Post-maintenance recovery and campaign-ageing regimes</x:t>
  </x:si>
  <x:si>
    <x:t xml:space="preserve">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Ladle reline counters and cold-furnace reheat structure exist, but an explicit post-repair recovery regime does not, and it is one of the most visually convincing behaviours available. After a maintenance event the first heat shows raised power-on time, cycle time, energy per tonne and temperature variance; the second is partly recovered; heats three to five approach normal; then the campaign runs at baseline. Not every repair produces the same effect: an EAF warm-up, a ladle refractory campaign reset, an HSM roll change that improves surface quality initially, and an ageing roll campaign that gradually raises roll-mark and wavy-edge rates are four different shapes. Campaign ageing runs the other way - roll wear, refractory age and tundish age increase gradually across a campaign. Together these make time-series charts show pattern CHANGES rather than random noise, which is the difference between a chart that looks alive and one that looks generated.</x:t>
  </x:si>
  <x:si>
    <x:t xml:space="preserve">A box plot of the first N heats after a maintenance event against steady-campaign heats shows a decaying difference across three to five units. A campaign-age trend shows gradual degradation, not a step. At least two repair types produce materially different recovery shapes. Every assertion is the one written in the matrix, not invented here.</x:t>
  </x:si>
  <x:si>
    <x:t xml:space="preserve">T-021</x:t>
  </x:si>
  <x:si>
    <x:t xml:space="preserve">Equipment personality and temporal regime changes</x:t>
  </x:si>
  <x:si>
    <x:t xml:space="preserve">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the remaining two variation families. EQUIPMENT PERSONALITY: the same parameter set behaves differently between two units, so an aggregate view hides a unit-level truth that appears the moment the customer filters by equipment. TEMPORAL REGIME CHANGE: a maintenance event or a change of operating practice shifts behaviour mid-period, so a trend chart shows a regime boundary rather than drift. Both are extensions of structures that already exist rather than new subsystems.</x:t>
  </x:si>
  <x:si>
    <x:t xml:space="preserve">Filtering by equipment changes the shape of at least two charts materially. A trend chart shows a visible regime boundary whose date matches a recorded event in the downtime or maintenance source, so the boundary is explainable rather than decorative.</x:t>
  </x:si>
  <x:si>
    <x:t xml:space="preserve">T-022</x:t>
  </x:si>
  <x:si>
    <x:t xml:space="preserve">Merge the best existing material into one Fleet v2 truth</x:t>
  </x:si>
  <x:si>
    <x:t xml:space="preserve">NEW IN v2.9. Chapter 3 section 4.5.2a fixes the M1 fast path: the presentation database is materialised from one frozen Fleet v2 generator, Docker is connection-test only during M1, and the full external path returns as the sole authority at M2a. This is the ONE controlled merge, and it happens once. The T-013 measurement found the presentation database carrying three generations of the same plant: the enhanced source-shaped donor schemas captured by T-014, an older and roughly three times larger dump population, and canonical rows matching that older generation exactly. Take the SEMANTICS from the captured baseline - the six defect codes, the three chemistry elements, the ladle furnace stage, casting speed, superheat, the richer downtime vocabulary - and take the SCALE LESSONS from the older larger generation. Produce one reconciled Fleet v2 definition in the generator, with a written decision per conflict. DO NOT copy rows between layers to achieve this. Copying a piece here and fixing a piece there is what produced three generations in the first place; the merge is expressed in the generator or it is not expressed.</x:t>
  </x:si>
  <x:si>
    <x:t xml:space="preserve">One reconciled Fleet v2 definition exists in the committed generator with a recorded decision for every conflict between the captured baseline and the older generation. No row was copied between layers to reach it. The captured baseline of T-014 still regenerates byte-identically from its own seed, proving the merge added a definition rather than overwriting the capture. Every semantic element named in the source reconciliation survives the merge or carries a written reason for being dropped.</x:t>
  </x:si>
  <x:si>
    <x:t xml:space="preserve">T-023</x:t>
  </x:si>
  <x:si>
    <x:t xml:space="preserve">Scale Fleet v2 to the target plant size</x:t>
  </x:si>
  <x:si>
    <x:t xml:space="preserve">NEW IN v2.9. The captured baseline is 630 heats and 5,670 coils. That is the size the manual enhancement work happened at, and T-014 deliberately captured it unchanged so that captured existing work stays distinguishable from newly designed enhancement. Scale is a SEPARATE, LATER and VISIBLE step for that reason. Raise the generated plant to the target size - about 2,400 heats and about 17,000 coils - carrying the full enhanced field set. Scale is a generator parameter, never a copy of the older generation's rows. A phenomenon that only appears at one size was an artefact of that size, so every planted behaviour is re-proved after scaling.</x:t>
  </x:si>
  <x:si>
    <x:t xml:space="preserve">The generator produces the target size from a parameter, deterministically, from the same seed family. Every planted phenomenon declared so far still holds after scaling, measured rather than assumed, and any that does not is recorded as a finding before the phase continues. Row counts, cardinalities and categorical distributions are reported at both sizes side by side. The smaller captured baseline remains reproducible, so the two sizes are two outputs of one generator rather than two datasets.</x:t>
  </x:si>
  <x:si>
    <x:t xml:space="preserve">T-024</x:t>
  </x:si>
  <x:si>
    <x:t xml:space="preserve">Emit and populate the presentation canonical operational entities</x:t>
  </x:si>
  <x:si>
    <x:t xml:space="preserve">NEW IN v2.9, replacing the import-and-project contracts that assumed a live M1 pipeline. Chapter 3 section 4.5.2a fixes the M1 fast path: the presentation database is materialised from one frozen Fleet v2 generator, Docker is connection-test only during M1, and the full external path returns as the sole authority at M2a. Materialise the canonical operational entities of the presentation database - material units, parameter observations, quality events, downtime events, genealogy edges and their identity resolution - directly from the frozen Fleet v2 generator. PREPARED ROWS ARE PERMITTED; PRESENTATION-ONLY PRODUCT BEHAVIOUR IS NOT. A surface that would refuse on real customer data refuses here too, and no code path may exist that only runs because this is the presentation database. The older canonical population and its provenance residue - the un-neutralised source system label, the unexplained baseline rows, the stale import batches and the validation-fixture and DEMO-vocabulary mappings - are replaced, not merged with, the new population, and only after the replacement rows exist.</x:t>
  </x:si>
  <x:si>
    <x:t xml:space="preserve">Every canonical operational entity is populated from the generator and from nothing else. No row of the older generation survives, proved by a provenance query returning zero rows outside the Fleet v2 label. Genealogy is complete and conserved: every coil resolves to a slab, a sequence and a heat, with no orphan and no cycle. The downtime two-quantity contract closed in T-009 is populated from a real source field rather than defaulted. No widget bound before this task is left pointing at a deleted row.</x:t>
  </x:si>
  <x:si>
    <x:t xml:space="preserve">M1 canonical operational rows may be pre-populated from the deterministic Fleet v2 generator.</x:t>
  </x:si>
  <x:si>
    <x:t xml:space="preserve">T-025</x:t>
  </x:si>
  <x:si>
    <x:t xml:space="preserve">Compute and populate the presentation analysis entities with the real engines</x:t>
  </x:si>
  <x:si>
    <x:t xml:space="preserve">Analytics</x:t>
  </x:si>
  <x:si>
    <x:t xml:space="preserve">NEW IN v2.9. The analysis surfaces need correlation results, feature values, outcome values, readiness states and findings present in the presentation database before the customer meeting. THESE ARE COMPUTED, NEVER AUTHORED. Run the product's own statistical, correlation, feature and readiness engines over the canonical operational entities and persist what they return. Writing plausible-looking analysis rows by hand would make every intelligence surface in the demonstration theatre, and would break the design law that prepared data is permitted while presentation-only behaviour is not. Where an engine legitimately refuses - insufficient support, readiness not met - THE REFUSAL IS THE RESULT AND IS PERSISTED AS SUCH, because a readiness gate reporting a measured value beside its threshold is the product working rather than the product missing.</x:t>
  </x:si>
  <x:si>
    <x:t xml:space="preserve">Every analysis entity row carries a compute run identity that names the engine, its inputs and its version. No analysis row exists without one. Re-running the engines over the same canonical data reproduces the same results, so the analysis layer is derived rather than stored opinion. At least one genuine refusal is present and rendered honestly on its surface. No hand-authored row is present anywhere in the analysis entities, proved by the compute-run coverage query returning full coverage.</x:t>
  </x:si>
  <x:si>
    <x:t xml:space="preserve">Analytical rows are NOT authored/prefilled answers: they must be computed by the real engines from canonical operational data.</x:t>
  </x:si>
  <x:si>
    <x:t xml:space="preserve">T-026</x:t>
  </x:si>
  <x:si>
    <x:t xml:space="preserve">Phenomenon test harness: manifest schema and runner</x:t>
  </x:si>
  <x:si>
    <x:t xml:space="preserve">NEW IN v2.6. v2.5 allowed six hours to prove roughly 104 phenomena, which is achievable ONLY if the validation is parameterised and is nowhere near enough if a junior writes sixty to a hundred bespoke SQL tests one at a time. Build the harness instead. Manifest columns: phenomenon_id, population_query, expected_direction, minimum_population, expected_effect_band, conditioning_variable, expected_after_conditioning, negative_control. The runner walks the manifest and reports per row: population met or not, direction matched, effect inside its band, conditioned result inside its band, and negative control silent. A NEGATIVE CONTROL THAT STARTS CORRELATING IS A FAILURE, not a curiosity. This is what keeps the fleet changeable later without re-doing the whole QA pass from scratch.</x:t>
  </x:si>
  <x:si>
    <x:t xml:space="preserve">The harness runs against a manifest of at least three hand-checked phenomena and produces a pass, a fail and a refusal, all three demonstrated. A phenomenon whose population is below its minimum reports INSUFFICIENT rather than passing quietly. The runner exits non-zero if any row fails.</x:t>
  </x:si>
  <x:si>
    <x:t xml:space="preserve">T-027</x:t>
  </x:si>
  <x:si>
    <x:t xml:space="preserve">Populate the manifest and prove every phenomenon</x:t>
  </x:si>
  <x:si>
    <x:t xml:space="preserve">NEW IN v2.6, and it CLOSES the reopened matrix. Fill T-026 from the phenomena matrix declared in T-008, whose parts one and two closed as PRE-GENERATION SPECIFICATIONS before any generator work, one manifest row per phenomenon, and run it against the prepared presentation canonical operational and analysis entities, which under the M1 fast path of Chapter 3 section 4.5.2a are materialised from the frozen Fleet v2 generator rather than imported during M1. THE BANDS ARE NOT WRITTEN FROM THIS DATA. Expected direction, acceptable band and negative control were PREDECLARED in T-008 and refined in T-015, both before the data existed. This task MEASURES the observed effect and tests it against that predeclared target. Writing the band from the data and then testing the data against it is a self-fulfilling test and proves nothing. Where an observed effect falls outside its PREDECLARED band, the finding is recorded and the phenomenon is either fixed in the generator - triggering a corrective regeneration - or removed from the matrix with a written reason. THE BAND IS NEVER WIDENED TO MAKE A ROW PASS. Widening a predeclared band after seeing the result is the same defect as writing it from the result.</x:t>
  </x:si>
  <x:si>
    <x:t xml:space="preserve">Every phenomenon in the matrix has a manifest row and a result. The reopened parts one and two of the coverage matrix are rewritten against measured reality and closed. Every one of the 36 charts references at least one phenomenon that the harness proves. Every negative control is silent. A failure here may trigger a corrective rerun of T-024 and everything downstream of it; that rerun is recorded as a correction, never treated as routine.</x:t>
  </x:si>
  <x:si>
    <x:t xml:space="preserve">T-028</x:t>
  </x:si>
  <x:si>
    <x:t xml:space="preserve">Verify the confounded correlation and the insufficient-support refusal</x:t>
  </x:si>
  <x:si>
    <x:t xml:space="preserve">RESCOPED IN v2.3 FROM 8 HOURS TO 2. Both phenomena appear to be present already: the seventeen relations include several where an aggregate association changes materially once grade or thickness is conditioned on, and the control defects SCRATCH, DENT and SEAM are deliberately uncorrelated. So the work is to PROVE both, not to plant them. Run the naive analysis, then the conditioned analysis, and record the difference. Then find or create one outcome that has genuine data but too few independent units or outcome events to pass the readiness gate - thresholds in ReadinessGate.cs are heats 60 ready and 30 partial, events 40 and 15, minority 0.10 and 0.03, completeness 0.95 and 0.85. Do not weaken any threshold to produce either result.</x:t>
  </x:si>
  <x:si>
    <x:t xml:space="preserve">A recorded finding that survives naive analysis and is reported as not surviving stratification, and a recorded Blocked outcome whose reason names the measured value and its threshold. Both outputs in the evidence folder. If either cannot be produced from the existing data, that is the finding, and the remedy is a small generator change with its own estimate rather than a threshold change.</x:t>
  </x:si>
  <x:si>
    <x:t xml:space="preserve">T-029</x:t>
  </x:si>
  <x:si>
    <x:t xml:space="preserve">Five-layer realism audit of the emulated plant</x:t>
  </x:si>
  <x:si>
    <x:t xml:space="preserve">REPLACES the previous data-quality pass and is broader for the same hours. Five layers, in order. STRUCTURAL: key continuity across the eight independent sources - Meltshop PostgreSQL, Caster Oracle, HSM Oracle, PKL MSSQL, Downtime MySQL, Parsytec MySQL, Yard file and QA file - so heat to slab to coil to inspection resolves end to end. PHYSICAL: dimensions, weight, temperature, speed and chemistry plausible AND cross-field consistent, because a slab whose width, thickness and length imply a volume that contradicts its stated weight is wrong even when every single value looks industrial on its own. TEMPORAL: EAF then LF then caster then HSM then inspection then yard, with no step preceding its predecessor. STATISTICAL: natural variation, noise, outliers and shifts rather than uniform random. ANALYTICAL: every phenomenon in the manifest is discoverable through the product rather than asserted anywhere.</x:t>
  </x:si>
  <x:si>
    <x:t xml:space="preserve">One SQL script per layer returning zero offending rows. The physical layer must include the density cross-check: derived volume times steel density compared against stated weight, within a stated tolerance. The genealogy weight check is already enforced by a database trigger, so confirm it fires by attempting an invalid insert inside a transaction and rolling back.</x:t>
  </x:si>
  <x:si>
    <x:t xml:space="preserve">T-030</x:t>
  </x:si>
  <x:si>
    <x:t xml:space="preserve">M1-P2</x:t>
  </x:si>
  <x:si>
    <x:t xml:space="preserve">Emit and populate the presentation staging representation, source-shaped</x:t>
  </x:si>
  <x:si>
    <x:t xml:space="preserve">NEW IN v2.9, and it opens M1-P2 because it is the direct prerequisite of the authoring shell. Chapter 3 section 4.5.2a fixes the M1 fast path: the presentation database is materialised from one frozen Fleet v2 generator, Docker is connection-test only during M1, and the full external path returns as the sole authority at M2a. Materialise the staging representation of the presentation database from the same frozen Fleet v2 generator, SOURCE-SHAPED AND UNPREPARED: the selected tables and the selected columns as a customer system would expose them, before any join, derivation or linking. This is what the schema tree, the no-code canvas, the wiring surface, the SQL editor and the preview read, so it must look like customer data rather than like a finished model. Its row counts are NOT expected to equal the canonical layer, because one is source-shaped and one is canonical, and a test asserting equality would be wrong.</x:t>
  </x:si>
  <x:si>
    <x:t xml:space="preserve">The staging representation is populated from the generator alone and is genuinely unprepared: no derived column, no pre-joined view, no canonical vocabulary leaking into a source-shaped table. The schema tree, canvas, SQL editor and preview all read it successfully. Identities match the canonical layer exactly - a coil visible here is the same coil there - while row counts differ as expected and the difference is recorded rather than treated as a defect.</x:t>
  </x:si>
  <x:si>
    <x:t xml:space="preserve">dump_store is the transitional M1 staging representation. src_* is donor state only and must be retired; it is not a product layer.</x:t>
  </x:si>
  <x:si>
    <x:t xml:space="preserve">T-031</x:t>
  </x:si>
  <x:si>
    <x:t xml:space="preserve">Certify cross-layer consistency and retire the obsolete donor state</x:t>
  </x:si>
  <x:si>
    <x:t xml:space="preserve">NEW IN v2.9, and it is the gate that makes the fast path safe rather than merely fast. THE CUSTOMER MUST NEVER SEE ONE PLANT IN THE CANVAS AND ANOTHER PLANT IN THE DASHBOARD. Certify that the staging, canonical operational and analysis layers describe one Fleet v2 plant: same grades, same equipment identities, same defect vocabulary, same downtime semantics, same chemistry vocabulary, same QA definitions and units, same genealogy, same time horizon where both layers carry one, and the same planted phenomena. The certification is a TEST that fails the build, not a document. AND ONLY AFTER IT PASSES, THIS TASK EXECUTES THE RETIREMENT GATE, because Chapter 3 section 4.5.2a defines that gate and no task carried it out: back up the pre-retirement state, RESTORE THAT BACKUP SUCCESSFULLY AT LEAST ONCE, dependency-check the obsolete artifacts, then delete the `src_*` donor schemas and remove the stale registered datasets, dead import batches and validation-fixture and DEMO-vocabulary mappings that now have replacements. Nothing is deleted whose replacement is not already generated and certified. Row counts across layers are explicitly NOT compared, because the layers are shaped differently by design; what is compared is the plant universe.</x:t>
  </x:si>
  <x:si>
    <x:t xml:space="preserve">A named test asserts every consistency dimension above and fails the build on any divergence. A deliberate injected divergence - one defect code present in one layer only - makes it fail, proving the gate is switched on. The generator version and seed behind all three layers are identical and recorded. The certification runs in CI rather than by hand, so a later change that breaks consistency is caught by the pipeline rather than in the room. All four retirement-gate conditions are then evidenced in order: the generator reproduces the captured baseline on all nine dimensions; both presentation representations were regenerated from it; this certification passed; and one backup was taken AND RESTORED SUCCESSFULLY. Only then is `src_*` gone, proved by a query returning zero matching schemas, and no obsolete parallel data world remains active anywhere in the presentation database.</x:t>
  </x:si>
  <x:si>
    <x:t xml:space="preserve">T-032</x:t>
  </x:si>
  <x:si>
    <x:t xml:space="preserve">Shared Authoring Shell, part 1: the shell contract and the four regions</x:t>
  </x:si>
  <x:si>
    <x:t xml:space="preserve">UI/UX no-code frontend</x:t>
  </x:si>
  <x:si>
    <x:t xml:space="preserve">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x:t>
  </x:si>
  <x:si>
    <x:t xml:space="preserve">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x:t>
  </x:si>
  <x:si>
    <x:t xml:space="preserve">T-033</x:t>
  </x:si>
  <x:si>
    <x:t xml:space="preserve">Shared Authoring Shell, part 2: relational block grammar on the board</x:t>
  </x:si>
  <x:si>
    <x:t xml:space="preserve">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x:t>
  </x:si>
  <x:si>
    <x:t xml:space="preserve">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x:t>
  </x:si>
  <x:si>
    <x:t xml:space="preserve">T-034</x:t>
  </x:si>
  <x:si>
    <x:t xml:space="preserve">Registry-driven schema, table and attribute tree</x:t>
  </x:si>
  <x:si>
    <x:t xml:space="preserve">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x:t>
  </x:si>
  <x:si>
    <x:t xml:space="preserve">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x:t>
  </x:si>
  <x:si>
    <x:t xml:space="preserve">T-035</x:t>
  </x:si>
  <x:si>
    <x:t xml:space="preserve">Compiled-SQL pane and debug log with rows and cost</x:t>
  </x:si>
  <x:si>
    <x:t xml:space="preserve">SQL Editor</x:t>
  </x:si>
  <x:si>
    <x:t xml:space="preserve">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x:t>
  </x:si>
  <x:si>
    <x:t xml:space="preserve">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x:t>
  </x:si>
  <x:si>
    <x:t xml:space="preserve">T-036</x:t>
  </x:si>
  <x:si>
    <x:t xml:space="preserve">SQL mode: safe editor, run test, returned columns and the reconstructability rule</x:t>
  </x:si>
  <x:si>
    <x:t xml:space="preserve">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x:t>
  </x:si>
  <x:si>
    <x:t xml:space="preserve">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x:t>
  </x:si>
  <x:si>
    <x:t xml:space="preserve">T-037</x:t>
  </x:si>
  <x:si>
    <x:t xml:space="preserve">Certify returned-column role mapping inside the S2 shell</x:t>
  </x:si>
  <x:si>
    <x:t xml:space="preserve">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x:t>
  </x:si>
  <x:si>
    <x:t xml:space="preserve">Assign roles inside the shell, re-run the query unchanged, confirm roles persist. Edit the query to drop a mapped column, re-run, and confirm the stale-role warning names the missing column.</x:t>
  </x:si>
  <x:si>
    <x:t xml:space="preserve">T-038</x:t>
  </x:si>
  <x:si>
    <x:t xml:space="preserve">Add Widget and Edit Widget open the shared shell in S2 mode</x:t>
  </x:si>
  <x:si>
    <x:t xml:space="preserve">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x:t>
  </x:si>
  <x:si>
    <x:t xml:space="preserve">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x:t>
  </x:si>
  <x:si>
    <x:t xml:space="preserve">T-039</x:t>
  </x:si>
  <x:si>
    <x:t xml:space="preserve">Final definition service interface with a compatibility adapter</x:t>
  </x:si>
  <x:si>
    <x:t xml:space="preserve">Definition store</x:t>
  </x:si>
  <x:si>
    <x:t xml:space="preserve">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M2a can replace the storage without the UI moving. Create IDefinitionService with Create, Update, GetCurrent, GetVersion, ListVersions and Publish, taking a definition kind. CORRECTED IN v2.2: the kind enum was missing S4. The one-shell contract runs S1 to S5, so the enum must carry Transformation (S1), Page, Widget (S2), Analysis (S3), Model (S4) and LogRule (S5), plus the S2 sub-kinds the design also versions - MasterDimension, MasterMeasure, Filter, Hierarchy and Bookmark. Declare the full enum now even where M1 stores only some of them: an external contract that has to gain a member in M2a was never final.</x:t>
  </x:si>
  <x:si>
    <x:t xml:space="preserve">An integration test that creates a widget definition through IDefinitionService, reads it back by version, updates it, and confirms two versions exist. The test must not reference any concrete table name, so that it still passes unchanged after M2a replaces the storage - that is the real acceptance criterion. A second test asserting the kind enum contains all eleven members, so the contract cannot quietly narrow.</x:t>
  </x:si>
  <x:si>
    <x:t xml:space="preserve">T-040</x:t>
  </x:si>
  <x:si>
    <x:t xml:space="preserve">Authoring states, keyboard path, RTL and error wording</x:t>
  </x:si>
  <x:si>
    <x:t xml:space="preserve">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x:t>
  </x:si>
  <x:si>
    <x:t xml:space="preserve">Run npm run test and the architecture suite; both green. Complete one full authoring scenario using only the keyboard. Switch the document direction to rtl and screenshot both modes.</x:t>
  </x:si>
  <x:si>
    <x:t xml:space="preserve">T-041</x:t>
  </x:si>
  <x:si>
    <x:t xml:space="preserve">M1-P3</x:t>
  </x:si>
  <x:si>
    <x:t xml:space="preserve">D2 Page Builder, part 1: create a page and reach the shared shell</x:t>
  </x:si>
  <x:si>
    <x:t xml:space="preserve">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CORRECTED IN v2.2: widget KINDS are structural product grammar and are FIXED, exactly like chart types and the numeric safety limits - what is customer-driven is dimensions, measures, filters and data, and the chart catalogue arrives from metadata. Serve the kinds from the metadata endpoint if you wish, but do not build an extension path for them. M1 does not need the final definition_store; the adapter from T-039 carries the persistence.</x:t>
  </x:si>
  <x:si>
    <x:t xml:space="preserve">From an empty state, create a page, give it a name and code, and land on an empty 12-column grid. Press Add Widget and confirm the picker offers exactly the final structural kind set returned by the metadata endpoint - no more, no fewer, and no compiled list in the reducer. VALIDATION CORRECTED IN v2.2: do not test by adding a kind through the registry, because a customer adding a structural kind is not a design contract. Test instead that the endpoint returns the final allowed kinds and that the reducer contains no hardcoded widget library.</x:t>
  </x:si>
  <x:si>
    <x:t xml:space="preserve">T-042</x:t>
  </x:si>
  <x:si>
    <x:t xml:space="preserve">D2 Page Builder, part 2: arrange, save layout and publish</x:t>
  </x:si>
  <x:si>
    <x:t xml:space="preserve">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x:t>
  </x:si>
  <x:si>
    <x:t xml:space="preserve">Create a page, add two widgets through the shell, arrange them, save the layout, hard-reload, and confirm the arrangement is identical. Publish it and confirm it appears in the Workspaces navigation group. Delete the draft and confirm it does not.</x:t>
  </x:si>
  <x:si>
    <x:t xml:space="preserve">T-043</x:t>
  </x:si>
  <x:si>
    <x:t xml:space="preserve">Bring the workspace to the final D1 anatomy</x:t>
  </x:si>
  <x:si>
    <x:t xml:space="preserve">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x:t>
  </x:si>
  <x:si>
    <x:t xml:space="preserve">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x:t>
  </x:si>
  <x:si>
    <x:t xml:space="preserve">T-044</x:t>
  </x:si>
  <x:si>
    <x:t xml:space="preserve">Certify the three operational dashboards and fix their bindings</x:t>
  </x:si>
  <x:si>
    <x:t xml:space="preserve">SPLIT IN v2.3 to respect the twelve-hour rule. Part one covers the three OPERATIONAL pages: Production and Shift, Quality and Chemistry, Equipment and Downtime and Flow. The seeded set is already seven and it already matches the intended story, so this is certification, not construction. Working from the coverage matrix, fix each failing widget in this order of preference: correct the widget definition in the seed script; then the chart type; only then the code. A single-row bar chart is a binding defect, not a data shortage - the last audit found Defects by Equipment returning one row, and the remedy there is canonical equipment attribution or relationship resolution, never generating more rows. AUDIT HARDENING IN v2.9.2. Treat presentation semantics as part of the binding contract. A widget is not certified merely because it returns rows: do not present raw GUIDs/technical identifiers when a registry/customer label exists, do not promote `unknown` into a meaningful business category unless the source genuinely carries an unknown bucket, and do not use a dimension whose usable cardinality makes the chart analytically degenerate. Fix the reusable binding/relationship/label path rather than Fleet-v2 screenshot-patching.</x:t>
  </x:si>
  <x:si>
    <x:t xml:space="preserve">Every widget on these three pages returns rows and renders the chart type its title implies. Confirm no widget title describes something other than what it plots. The chemistry conditional format draws its limits from the grade specification source data, never from a literal in the product. For every presented widget, record dimension cardinality and the human-readable label source. No raw UUID/GUID is visible where a registry label is resolvable. A Pie/Donut with one effective category, a Heatmap with only one meaningful axis, or a trend whose x-axis is merely an arbitrary date bucket for a non-temporal question fails acceptance even if it renders.</x:t>
  </x:si>
  <x:si>
    <x:t xml:space="preserve">f966719f functional/data closure + 55157a98 EF/runtime migration parity</x:t>
  </x:si>
  <x:si>
    <x:t xml:space="preserve">Execution closed; no new design contradiction identified in this pass</x:t>
  </x:si>
  <x:si>
    <x:t xml:space="preserve">T-045</x:t>
  </x:si>
  <x:si>
    <x:t xml:space="preserve">Certify the analysis and model dashboards and choose the six shown</x:t>
  </x:si>
  <x:si>
    <x:t xml:space="preserve">SPLIT IN v2.3, part two. Covers Parameter Deep Analysis, Correlation and Statistical Findings, Risk Intelligence and Model Insights. Correlation is the weakest today - roughly two widgets - and it is the page that should exploit the planted relations hardest. Model Insights must stay honest: if the production model is not ready, show the five readiness dimensions with their measured values beside their thresholds rather than a fabricated prediction curve, because that refusal IS the selling point. Then record the decision: ALL SEVEN are certified, SIX are shown, and which six depends on the audience - an operations-heavy customer sees Risk and Model Insights is held back; a technical customer sees Model Insights and Risk is shortened. Nothing is deleted from the product to make a number. AUDIT HARDENING IN v2.9.2. A technically rendered but information-free visual is not an insight. A flat-zero series, single-slice donut or constant risk-class chart must be rebound to a meaningful supported question, or replaced by the honest readiness/coverage/refusal state that explains why no analytical variation exists. Prefer measured readiness, population, evidence coverage and contributor/refusal semantics over decorative empty charts.</x:t>
  </x:si>
  <x:si>
    <x:t xml:space="preserve">Every widget on these four pages returns rows. Confirm Model Insights makes no claim a live model has predicted anything unless one has. Record the primary six, the backup, and the reason for each choice, in the demonstration script. The six customer-facing pages contain no chart whose visible distribution is constant or single-category unless the visual is intentionally and explicitly a readiness/refusal/coverage statement. Model Insights and Risk must communicate measured state and evidence, not create the appearance of intelligence from a constant series.</x:t>
  </x:si>
  <x:si>
    <x:t xml:space="preserve">Presentation lane (Workers 1/2)</x:t>
  </x:si>
  <x:si>
    <x:t xml:space="preserve">Presentation target is active. Worker 3 must not edit M1 pages, presentation DB/seeds, current assistant wiring or runtime behaviour.</x:t>
  </x:si>
  <x:si>
    <x:t xml:space="preserve">Current M1 sequence / presentation owner hand-off</x:t>
  </x:si>
  <x:si>
    <x:t xml:space="preserve">T-045-R1 closed: c56008c0 / dd9a6b04 / 39ce59ef / 283aae2c</x:t>
  </x:si>
  <x:si>
    <x:t xml:space="preserve">T-046</x:t>
  </x:si>
  <x:si>
    <x:t xml:space="preserve">Register the final chart grammar and implement the presentation subset</x:t>
  </x:si>
  <x:si>
    <x:t xml:space="preserve">Registry</x:t>
  </x:si>
  <x:si>
    <x:t xml:space="preserve">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 ORDERED IN v2.2 to run before the six-grammar task, which selects from this registry. AUDIT HARDENING IN v2.9.2. Compatibility is semantic, not only renderer-capability metadata. Encode and test at minimum: temporal+numeric -&gt; Line/Area or appropriate Bar; categorical+numeric -&gt; Bar/Pareto; two meaningful categorical axes plus a measure -&gt; Heatmap; numeric×numeric -&gt; Scatter; numeric distribution -&gt; Histogram/Box; low-cardinality categorical share -&gt; Pie/Donut. Do not offer Pie/Donut-by-date, a Heatmap without two meaningful axes and an intensity, or a one-value categorical Pie merely because the renderer can draw it.</x:t>
  </x:si>
  <x:si>
    <x:t xml:space="preserve">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 Add known-compatible and known-incompatible binding tests for those pairings. A switcher must explain why an incompatible type is unavailable. Deliberately pass Date+measure to Pie/Donut and one-axis data to Heatmap and prove both are refused before rendering.</x:t>
  </x:si>
  <x:si>
    <x:t xml:space="preserve">56ade951 R1 generic heatmap/combo; prior grammar fc146483</x:t>
  </x:si>
  <x:si>
    <x:t xml:space="preserve">T-047</x:t>
  </x:si>
  <x:si>
    <x:t xml:space="preserve">Give the seven pages distinct visual grammars from the registered grammar</x:t>
  </x:si>
  <x:si>
    <x:t xml:space="preserve">Runs AFTER the chart grammar registry, because the grammars are chosen from the FINAL registered set rather than from whichever types happen to be implemented today. Seven pages that are all bar charts read as one page shown seven times. The intended languages, page by page: Production takes KPI with trend, stacked column by shift, bar by grade, area for weekly throughput and a detail table; Quality takes KPI with sparkline, Pareto by defect type, stacked bar by grade, a positional heatmap of defects along coil length and width, and a conditionally formatted chemistry table; Equipment takes bar, Pareto and a paired-column comparison of equipment stoppage against production impact; Parameter Deep Analysis takes histogram, box plot by grade and scatter; Correlation takes a parameter-by-outcome heatmap, a ranked contributor bar and a before-and-after conditioning pair; Risk takes KPI, trend, distribution and a contribution table; Model Insights takes the five readiness dimensions as status cards with coverage bars. AUDIT HARDENING IN v2.9.2. Distinct analytical grammars must still look like one product. Every page uses the same application typography, spacing scale, control primitives, card anatomy, state colours, focus language and motion rules; variation comes from the analytical story and chart grammar, not from page-local design systems.</x:t>
  </x:si>
  <x:si>
    <x:t xml:space="preserve">Place the seven pages side by side as screenshots. A reviewer who has not seen the product must be able to say what each page is for from the shapes alone. Every chart type used appears in the registry as implemented. The conditional-formatting table must draw its limits from the grade specification source data, never from a literal in the product. In the seven-page screenshot comparison, reject any page that introduces a different font scale, card language, control styling or motion vocabulary. The pages must be recognisably different in analytical purpose and recognisably identical in product identity.</x:t>
  </x:si>
  <x:si>
    <x:t xml:space="preserve">4b431463 semantic/data certification + 3cdd3a23 frontend conformance</x:t>
  </x:si>
  <x:si>
    <x:t xml:space="preserve">T-048</x:t>
  </x:si>
  <x:si>
    <x:t xml:space="preserve">Associative model, part 1: the alternative state and registry-driven fields</x:t>
  </x:si>
  <x:si>
    <x:t xml:space="preserve">SPLIT IN v2.2 by dependency. Part 1 has no dependency outside this phase and runs here; part 2 needs the relationship resolver and runs in M1-P4 after it exists. Do not rebuild the excluded pivot - it already works, an excluded value can be clicked and the selection pivots. The work here is twofold: add the ALTERNATIVE state, which is the fourth state Chapter 4 5.1.3 requires and which is missing today; and make the associative field set registry-driven instead of a fixed list.</x:t>
  </x:si>
  <x:si>
    <x:t xml:space="preserve">All four states render distinctly - selected, possible, excluded, alternative - on the token colours, selection Electric Cyan and excluded Muted Steel. Add a dimension through the registry and confirm it appears in the strip with no code change.</x:t>
  </x:si>
  <x:si>
    <x:t xml:space="preserve">b687cba4 associative selection states</x:t>
  </x:si>
  <x:si>
    <x:t xml:space="preserve">T-049</x:t>
  </x:si>
  <x:si>
    <x:t xml:space="preserve">Certify layout drag, resize, save, reload and responsive behaviour</x:t>
  </x:si>
  <x:si>
    <x:t xml:space="preserve">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x:t>
  </x:si>
  <x:si>
    <x:t xml:space="preserve">Move and resize three widgets, save, hard-reload, and confirm the layout is identical. Repeat at each of the three widths. Record a short screen capture into the evidence folder.
v2.10.2 ACCEPTANCE CORRECTION — each viewport is isolated. Snapshot the original persisted layout, perform a relative mutation that is guaranteed to differ from the starting canonical geometry, SAVE and capture the PATCH layoutJson, poll until the DOM converges to the saved active-breakpoint geometry, hard reload, prove GET layoutJson == PATCH layoutJson and poll to the same rendered geometry, then restore the original layout in a finally/cleanup path. 'Changed' means the stable post-save canonical/rendered state, not transient mouse-up pixels. Run 1920x1080, 1440x900 and 1280x800 serially with zero skips and no cross-test state contamination.</x:t>
  </x:si>
  <x:si>
    <x:t xml:space="preserve">v2.10.2 — isolated canonical round-trip acceptance after R1-R4 test-oracle findings</x:t>
  </x:si>
  <x:si>
    <x:t xml:space="preserve">16-Aug-2026 R1–R4: auth/license + canonical persistence green; current work is final test isolation/oracle convergence, not backend persistence.</x:t>
  </x:si>
  <x:si>
    <x:t xml:space="preserve">REVISE — important design/coverage issue</x:t>
  </x:si>
  <x:si>
    <x:t xml:space="preserve">F-070 [Very Important] — R1-R4 exposed two test-design flaws: viewport runs share the same persisted dashboard and contaminate each other, and transient post-mouse DOM was treated as authoritative changed state even when Save canonicalised/compacted to different geometry.</x:t>
  </x:si>
  <x:si>
    <x:t xml:space="preserve">F-070 — Each viewport must snapshot/restore its original layout in finally, mutate relative to its starting state, use PATCH canonical as authoritative changed state, poll DOM to converge after save/reload, and then restore baseline. No more diagnostic-only packs.</x:t>
  </x:si>
  <x:si>
    <x:t xml:space="preserve">Presentation lane; Worker 3 only by explicit formal reassignment after zero-overlap + stable-prerequisite check</x:t>
  </x:si>
  <x:si>
    <x:t xml:space="preserve">MEDIUM</x:t>
  </x:si>
  <x:si>
    <x:t xml:space="preserve">Medium</x:t>
  </x:si>
  <x:si>
    <x:t xml:space="preserve">Worker 2</x:t>
  </x:si>
  <x:si>
    <x:t xml:space="preserve">Presentation BI/UX + E2E release integration</x:t>
  </x:si>
  <x:si>
    <x:t xml:space="preserve">E2E/debug convergence</x:t>
  </x:si>
  <x:si>
    <x:t xml:space="preserve">M1-A — parallel foundations</x:t>
  </x:si>
  <x:si>
    <x:t xml:space="preserve">GO now. Final isolated certification only; no more diagnostic-only iteration.</x:t>
  </x:si>
  <x:si>
    <x:t xml:space="preserve">Own Dashboard/workspace/shared shell/AnalysisToolbox/E2E. No W1 active vertical files; no W3 Jobs/Findings/Assistant files.</x:t>
  </x:si>
  <x:si>
    <x:t xml:space="preserve">Commit before downstream consumer starts; consumer must use the contract, not redesign producer-owned semantics.</x:t>
  </x:si>
  <x:si>
    <x:t xml:space="preserve">T-050</x:t>
  </x:si>
  <x:si>
    <x:t xml:space="preserve">Drill to population, provenance and evidence</x:t>
  </x:si>
  <x:si>
    <x:t xml:space="preserve">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x:t>
  </x:si>
  <x:si>
    <x:t xml:space="preserve">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x:t>
  </x:si>
  <x:si>
    <x:t xml:space="preserve">Frontend/UI feature</x:t>
  </x:si>
  <x:si>
    <x:t xml:space="preserve">T-051</x:t>
  </x:si>
  <x:si>
    <x:t xml:space="preserve">Widget failure isolation and the seven states</x:t>
  </x:si>
  <x:si>
    <x:t xml:space="preserve">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x:t>
  </x:si>
  <x:si>
    <x:t xml:space="preserve">Inject a failure into one widget query and confirm the other widgets on the page continue to render and interact. Apply a filter that returns no rows and confirm the widget says the selection returned nothing, not that there is no data.</x:t>
  </x:si>
  <x:si>
    <x:t xml:space="preserve">T-052</x:t>
  </x:si>
  <x:si>
    <x:t xml:space="preserve">Remove the hardcoded parameter default from the API client</x:t>
  </x:si>
  <x:si>
    <x:t xml:space="preserve">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x:t>
  </x:si>
  <x:si>
    <x:t xml:space="preserve">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x:t>
  </x:si>
  <x:si>
    <x:t xml:space="preserve">T-053</x:t>
  </x:si>
  <x:si>
    <x:t xml:space="preserve">M1-P4</x:t>
  </x:si>
  <x:si>
    <x:t xml:space="preserve">Reduce the demonstration navigation and add the inventory ratchet</x:t>
  </x:si>
  <x:si>
    <x:t xml:space="preserve">NEW IN v2.3, also from the presented-surface audit. Thirty-five navigation targets were classified and ELEVEN have no Chapter 3 contract, nine of them in the System group: the widget schema-drift diagnostic, author-mapping, four advisory pages, edge collector, historian connector, admin preview, brand, and /assistant once the dock lands. Every one is a surface the customer can open, and any surface opened is a frozen contract. Reduce the demonstration navigation to the entries backing the eighteen presented screens. HIDE the rest behind a configuration flag rather than deleting them - they are M2 retirement debt, not demo-day deletions. Then extend PPIQ-T12 with a fourth assertion: every navigation target resolves to a Chapter 3 contract id read from a checked-in inventory file. The inventory is DATA, so adding a page in M2a is a data change and not a code change.</x:t>
  </x:si>
  <x:si>
    <x:t xml:space="preserve">The architecture suite fails when a navigation entry is added whose target is not in the inventory file. Open every navigation group and confirm every entry maps to one of the eighteen screens. Confirm the hidden entries are still reachable by direct URL, so nothing is lost, only unlisted.</x:t>
  </x:si>
  <x:si>
    <x:t xml:space="preserve">Not Started</x:t>
  </x:si>
  <x:si>
    <x:t xml:space="preserve">DO NOT ASSIGN W3</x:t>
  </x:si>
  <x:si>
    <x:t xml:space="preserve">M1-B — journey/config surfaces</x:t>
  </x:si>
  <x:si>
    <x:t xml:space="preserve">T-054</x:t>
  </x:si>
  <x:si>
    <x:t xml:space="preserve">J4 Connections: read-only proof and load budget made visible</x:t>
  </x:si>
  <x:si>
    <x:t xml:space="preserve">Connections</x:t>
  </x:si>
  <x:si>
    <x:t xml:space="preserve">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x:t>
  </x:si>
  <x:si>
    <x:t xml:space="preserve">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x:t>
  </x:si>
  <x:si>
    <x:t xml:space="preserve">Worker 1</x:t>
  </x:si>
  <x:si>
    <x:t xml:space="preserve">Presentation data/config verticals</x:t>
  </x:si>
  <x:si>
    <x:t xml:space="preserve">Own Connections/Datasets/Import + Relationship/Mapping/Genealogy verticals. No DashboardGridLayout, AnalysisToolbox, Findings/Assistant, or W2 E2E.</x:t>
  </x:si>
  <x:si>
    <x:t xml:space="preserve">T-055</x:t>
  </x:si>
  <x:si>
    <x:t xml:space="preserve">J5 and J6 Dataset registry browse and watermark suggestion</x:t>
  </x:si>
  <x:si>
    <x:t xml:space="preserve">Data integration</x:t>
  </x:si>
  <x:si>
    <x:t xml:space="preserve">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the generated presentation-staging display name for cast pieces (NOT the donor schema name - `src_*` is retired by then and Chapter 3 forbids calling it staging). Decide deliberately whether to show them with an honest sentence or to present display names; do not discover this live in front of the customer.</x:t>
  </x:si>
  <x:si>
    <x:t xml:space="preserve">Register one dataset end to end and confirm the suggested business key and watermark are shown with reasons and can be overridden. Record which naming decision was taken in the traceability matrix.</x:t>
  </x:si>
  <x:si>
    <x:t xml:space="preserve">T-056</x:t>
  </x:si>
  <x:si>
    <x:t xml:space="preserve">J6 Import progress visibility</x:t>
  </x:si>
  <x:si>
    <x:t xml:space="preserve">An import that runs with no visible progress reads as a hang. Add a named progress indication driven by the existing import batch records: batch started, rows staged, batch completed, with the dataset name. Use the activity tray pattern rather than a modal. v2.10.3 RULING: this task certifies the real progress contract, but a live 100k bulk import is not a Presentation RC gate; Chapter 3 permits prepared import state in M1.</x:t>
  </x:si>
  <x:si>
    <x:t xml:space="preserve">Certify that real import-batch events drive started / rows-staged / completed progress and correct row counts in an integration environment. For the live M1 presentation, prepared import state is allowed; never claim a bulk import ran live unless it actually did.</x:t>
  </x:si>
  <x:si>
    <x:t xml:space="preserve">v2.10.3 — M1 live-bulk-import requirement removed from Presentation RC gate</x:t>
  </x:si>
  <x:si>
    <x:t xml:space="preserve">T-057</x:t>
  </x:si>
  <x:si>
    <x:t xml:space="preserve">J7 Relationship model vertical slice, part 1: publish one relationship</x:t>
  </x:si>
  <x:si>
    <x:t xml:space="preserve">Relationship model</x:t>
  </x:si>
  <x:si>
    <x:t xml:space="preserve">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
v2.10.2 AUTHORITY CORRECTION — Chapter 3 4.5.10's physical tables cannot be FINAL in M1 because source_definition_id is an FK to definition_store(id), which does not exist until T-089/T-090. M1 therefore freezes the FINAL EXTERNAL relationship contract/service/API and uses compatibility persistence only. Do not create a fake FK or steal definition_store into M1. T-095 owns canonical physical convergence.</x:t>
  </x:si>
  <x:si>
    <x:t xml:space="preserve">An integration test that publishes one relationship, reads it back, and asserts it is versioned and marked published. A second test asserting an unpublished relationship is not returned to consumers.
The M1 integration test must not reference a concrete relationship table name. It proves publish/read/version/publication semantics through the service/API so the same test can pass unchanged after T-095 replaces the hidden persistence.</x:t>
  </x:si>
  <x:si>
    <x:t xml:space="preserve">T-039 complete; M1 relationship compatibility slice only. Canonical physical relationship schema waits for T-089/T-090/T-095.</x:t>
  </x:si>
  <x:si>
    <x:t xml:space="preserve">v2.10.2 — final external contract separated from final physical relationship schema</x:t>
  </x:si>
  <x:si>
    <x:t xml:space="preserve">REVISE — critical design/sequencing issue</x:t>
  </x:si>
  <x:si>
    <x:t xml:space="preserve">F-052 [Critical] — 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x:t>
  </x:si>
  <x:si>
    <x:t xml:space="preserve">F-052 — T-057 must deliver the final external relationship service/API and M1-compatible persistence only. Do not claim final physical schema. T-095 owns canonical ppiq_meta.plant_relationships/_members/_paths convergence after T-089/T-090. T-058/T-059/T-060 consume the service, never table names.</x:t>
  </x:si>
  <x:si>
    <x:t xml:space="preserve">Presentation contract required; NOT booster-safe for physical-schema work until canonical prerequisite exists</x:t>
  </x:si>
  <x:si>
    <x:t xml:space="preserve">HIGH</x:t>
  </x:si>
  <x:si>
    <x:t xml:space="preserve">M1 freezes the stable external/semantic contract only. Do not create fake final FKs/storage that M2a will replace; canonical physical convergence has an explicit M2a owner.</x:t>
  </x:si>
  <x:si>
    <x:t xml:space="preserve">High</x:t>
  </x:si>
  <x:si>
    <x:t xml:space="preserve">Backend/domain contract</x:t>
  </x:si>
  <x:si>
    <x:t xml:space="preserve">T-039 complete; M1 relationship compatibility slice only. Canonical physical ...</x:t>
  </x:si>
  <x:si>
    <x:t xml:space="preserve">Commit → W2 may consume relationship contract in T-059; W1 keeps T-060.</x:t>
  </x:si>
  <x:si>
    <x:t xml:space="preserve">T-058</x:t>
  </x:si>
  <x:si>
    <x:t xml:space="preserve">J7 Relationship model vertical slice, part 2: one resolver consumer</x:t>
  </x:si>
  <x:si>
    <x:t xml:space="preserve">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x:t>
  </x:si>
  <x:si>
    <x:t xml:space="preserve">Point one widget at data spanning two sources, confirm it renders, then unpublish the relationship and confirm the widget refuses with a named reason instead of silently returning a partial result. Restore and confirm it renders again.</x:t>
  </x:si>
  <x:si>
    <x:t xml:space="preserve">T-057 final external relationship contract published; consume service/resolver only, never compatibility table names.</x:t>
  </x:si>
  <x:si>
    <x:t xml:space="preserve">v2.10.2 — explicit dependency on T-057 service contract</x:t>
  </x:si>
  <x:si>
    <x:t xml:space="preserve">T-057 final external relationship contract published; consume service/resolve...</x:t>
  </x:si>
  <x:si>
    <x:t xml:space="preserve">T-059</x:t>
  </x:si>
  <x:si>
    <x:t xml:space="preserve">Associative model, part 2: cross-source state through the published relationship</x:t>
  </x:si>
  <x:si>
    <x:t xml:space="preserve">SPLIT IN v2.2 and placed here because it DEPENDS on the resolver built immediately above. Make the cross-source associative state resolve through the published relationship model rather than through a join a dashboard owns. Chapter 3 DF7 requires page and widget queries and associative states to resolve through the published model; a selection that spans two sources and works by a dashboard-local join proves the opposite of the product design.</x:t>
  </x:si>
  <x:si>
    <x:t xml:space="preserve">Apply a selection that spans two sources and confirm the strip and every widget narrow consistently. Unpublish the relationship and confirm the cross-source state refuses with a named reason rather than silently narrowing to one source.</x:t>
  </x:si>
  <x:si>
    <x:t xml:space="preserve">T-048 + T-057 + T-058; cross-source associative state must resolve through the published relationship service.</x:t>
  </x:si>
  <x:si>
    <x:t xml:space="preserve">v2.10.2 — explicit relationship-resolver dependency</x:t>
  </x:si>
  <x:si>
    <x:t xml:space="preserve">T-060</x:t>
  </x:si>
  <x:si>
    <x:t xml:space="preserve">C6 Relationship Browser, minimal read-only slice</x:t>
  </x:si>
  <x:si>
    <x:t xml:space="preserve">NEW IN v2.3. Decision taken at traceability sign-off: show it. The relationship model slice is funded and it is the mechanism that separates this product from a dashboard with joins - a join declared once, published, versioned, and resolved by every consumer. Until now nothing rendered it. Build the smallest honest C6 from Chapter 3 4.4: a read-only list of published relationships, their members, their cardinality and their resolved path, with the evidence for each path. No authoring in M1; authoring is the shared shell in S1. Four hours to make the strongest differentiator visible is the best-value decision on this surface.</x:t>
  </x:si>
  <x:si>
    <x:t xml:space="preserve">Open a published relationship and confirm its members, cardinality and path render with evidence. Confirm an unpublished relationship is visibly distinct from a published one. Confirm the page is read-only - no control on it can modify a relationship.</x:t>
  </x:si>
  <x:si>
    <x:t xml:space="preserve">In Progress</x:t>
  </x:si>
  <x:si>
    <x:t xml:space="preserve">T-057 + T-058; C6 reads the relationship service/API, not compatibility table names.</x:t>
  </x:si>
  <x:si>
    <x:t xml:space="preserve">v2.10.2 — continuity-safe C6 dependency</x:t>
  </x:si>
  <x:si>
    <x:t xml:space="preserve">F-052 [Critical] — 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
F-060 [Very Important] — T-060 builds the M1 C6 route, then T-098 says 'Build the C6 Relationship Browser' again. That wording invites a second page/rebuild rather than hidden-authority convergence.</x:t>
  </x:si>
  <x:si>
    <x:t xml:space="preserve">T-061</x:t>
  </x:si>
  <x:si>
    <x:t xml:space="preserve">C2 Mapping Health, part 1: the typed issue contract and the reprocess API</x:t>
  </x:si>
  <x:si>
    <x:t xml:space="preserve">Mapping health</x:t>
  </x:si>
  <x:si>
    <x:t xml:space="preserve">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
v2.10.2 AUTHORITY CORRECTION — 'minimal FINAL slice' means the FINAL DTO/API/error-code/reprocess semantics, not the final projection_quarantine table. The Chapter 3 4.5.14 table depends on canonical staging_records and definition_versions that arrive in T-087/T-089/T-090. M1 may use compatibility persistence behind the final contract, with no table identity exposed to the page.</x:t>
  </x:si>
  <x:si>
    <x:t xml:space="preserve">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
Add an architecture/contract assertion that the M1 API/page does not depend on a compatibility table name. T-099/T-100 must later replace persistence without changing this response/action contract.</x:t>
  </x:si>
  <x:si>
    <x:t xml:space="preserve">Current M1 projection/mapping compatibility path + stable API seam. Canonical projection_quarantine persistence waits for T-087/T-089/T-090/T-099.</x:t>
  </x:si>
  <x:si>
    <x:t xml:space="preserve">v2.10.2 — final API contract separated from canonical quarantine persistence</x:t>
  </x:si>
  <x:si>
    <x:t xml:space="preserve">F-054 [Critical] — The final projection_quarantine physical schema requires canonical staging_records and definition_versions. M1 cannot honestly create the final table before T-087/T-089/T-090, yet T-061 currently says 'minimal FINAL slice' and validates real projection/reprocess behavior.</x:t>
  </x:si>
  <x:si>
    <x:t xml:space="preserve">T-062</x:t>
  </x:si>
  <x:si>
    <x:t xml:space="preserve">C2 Mapping Health, part 2: the final visible page</x:t>
  </x:si>
  <x:si>
    <x:t xml:space="preserve">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x:t>
  </x:si>
  <x:si>
    <x:t xml:space="preserve">Walk the page with three issue codes present, reprocess one, and confirm the group clears while the others remain. Confirm the empty state says the mapping is clean rather than that there is no data.</x:t>
  </x:si>
  <x:si>
    <x:t xml:space="preserve">T-061 committed final Mapping Health issue/reprocess API contract.</x:t>
  </x:si>
  <x:si>
    <x:t xml:space="preserve">v2.10.2 — explicit backend-contract dependency</x:t>
  </x:si>
  <x:si>
    <x:t xml:space="preserve">T-063</x:t>
  </x:si>
  <x:si>
    <x:t xml:space="preserve">C5 Genealogy: converge the legacy workbench onto the final two-state surface</x:t>
  </x:si>
  <x:si>
    <x:t xml:space="preserve">Genealogy</x:t>
  </x:si>
  <x:si>
    <x:t xml:space="preserve">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x:t>
  </x:si>
  <x:si>
    <x:t xml:space="preserve">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
v2.10.2 GENERICITY RATCHeT — the converged C5 page must use generic material-unit vocabulary from data/registry. Product UI/help text must not contain steel-only explanatory wording such as 'coil to heat/melt'. The unit type/native grain shown is data-driven so T-094 does not have to rewrite this page.</x:t>
  </x:si>
  <x:si>
    <x:t xml:space="preserve">v2.10.2 — generic material-unit acceptance added</x:t>
  </x:si>
  <x:si>
    <x:t xml:space="preserve">F-081 [Very Important] — Current GenealogyThreadPanel still contains steel-specific explanatory copy ('coil to heat/melt') while C5 is a generic material-unit explorer. If T-063 converges layout without removing product vocabulary, T-094 will immediately rework the same surface.</x:t>
  </x:si>
  <x:si>
    <x:t xml:space="preserve">T-064</x:t>
  </x:si>
  <x:si>
    <x:t xml:space="preserve">Add job_definitions.target_definition_id and the JB error codes</x:t>
  </x:si>
  <x:si>
    <x:t xml:space="preserve">Jobs</x:t>
  </x:si>
  <x:si>
    <x:t xml:space="preserve">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
v2.10.2 TECH-LEAD RULING — T-064 remains REQUIRED for the M1 presentation/J12/tutorial T7, but only the stable functional/public contract is implemented now. definition_store(id), the canonical FK target, is created in T-089 and bound in T-090, so M1 MUST NOT add a fake FK to inspection_jobs or ppiq_definition_versions and MUST NOT create definition_store early. Carry target_definition_id, target_definition_version, target_version_policy (current_published|pinned), target_parameters, and the executed definition/version into run history through IDefinitionService/compatibility storage. Canonical FK/CHECK/trigger convergence is T-106 after T-089/T-090.</x:t>
  </x:si>
  <x:si>
    <x:t xml:space="preserve">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
v2.10.2 ACCEPTANCE CORRECTION — certify all four Chapter 3 refusals: JB01 target-required class with no target; JB02 target surface/job-class mismatch; JB03 pinned version not published or superseded (not 'vanished'); JB04 an attempted definition deletion/retirement operation is refused because jobs target it, naming the jobs. A valid current_published target and a valid pinned target resolve deterministically, target_parameters round-trip, and run history records the exact version executed. No M1 test may require the physical definition_store FK.</x:t>
  </x:si>
  <x:si>
    <x:t xml:space="preserve">T-039 final IDefinitionService contract. M1 functional target/version semantics now; canonical physical FK/check/trigger convergence waits for T-089 + T-090 and is completed in T-106.</x:t>
  </x:si>
  <x:si>
    <x:t xml:space="preserve">v2.10.2 — M1 semantic contract retained; physical FK deferred to canonical store; JB/target contract completed</x:t>
  </x:si>
  <x:si>
    <x:t xml:space="preserve">F-053 [Critical] — T-064 requires a foreign key before the canonical FK target exists. It also omits target_parameters from the Chapter 3 job-target contract and its validation misses JB02/JB04 while describing a pinned version as 'no longer exists' even though published versions are immutable.
F-061 [Critical] — T-064 already says version policy pinned/current-published, while T-106 says 'add the full version policy' again. The duplicate wording leaves ownership of the final DB checks/triggers ambiguous.</x:t>
  </x:si>
  <x:si>
    <x:t xml:space="preserve">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F-061 — T-064 owns the M1 functional/public contract and compatibility semantics. T-106 owns canonical physical convergence after definition_store exists plus job_dependencies/DAG/cycle validation; it must not redesign the visible target/version contract.</x:t>
  </x:si>
  <x:si>
    <x:t xml:space="preserve">Worker 3</x:t>
  </x:si>
  <x:si>
    <x:t xml:space="preserve">Stable semantic booster — Jobs/Findings/Assistant</x:t>
  </x:si>
  <x:si>
    <x:t xml:space="preserve">GO now: T-039 semantic seam exists. M1 semantics only; NO fake FK. Final physical FK belongs to T-106 after T-089/T-090.</x:t>
  </x:si>
  <x:si>
    <x:t xml:space="preserve">Own only T-064/T-067/T-076 files. No final M1 DB schema, DashboardGridLayout/AnalysisToolbox, or W1 config verticals.</x:t>
  </x:si>
  <x:si>
    <x:t xml:space="preserve">Commit semantic target/version contract → W2 may start T-065; physical FK remains T-106.</x:t>
  </x:si>
  <x:si>
    <x:t xml:space="preserve">T-065</x:t>
  </x:si>
  <x:si>
    <x:t xml:space="preserve">J12 Analysis authoring: converge onto D3 Analysis Toolbox in S3 mode</x:t>
  </x:si>
  <x:si>
    <x:t xml:space="preserve">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x:t>
  </x:si>
  <x:si>
    <x:t xml:space="preserve">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x:t>
  </x:si>
  <x:si>
    <x:t xml:space="preserve">T-064 M1 functional target/version contract + T-068 registry-driven outcome/grain options. Do not wait for the physical definition_store FK.</x:t>
  </x:si>
  <x:si>
    <x:t xml:space="preserve">v2.10.2 — T-068 moved before T-065 to avoid immediate same-file rework</x:t>
  </x:si>
  <x:si>
    <x:t xml:space="preserve">F-053 [Critical] — T-064 requires a foreign key before the canonical FK target exists. It also omits target_parameters from the Chapter 3 job-target contract and its validation misses JB02/JB04 while describing a pinned version as 'no longer exists' even though published versions are immutable.
F-056 [Critical] — T-068 explicitly binds the UI to public.ml_outcome_definitions and GET /ml/foundation/outcomes, both compatibility-era authorities. Chapter 3 D3 requires registry-driven definition-options and T-090 later makes SM-06 OutcomeDefinition part of the immutable definition authority.
F-062 [Very Important] — Current order builds the Analysis Toolbox in T-065 while its outcome/grain arrays remain hardcoded, then T-068 immediately rewrites the same page. This violates the no-rework sequencing rule.</x:t>
  </x:si>
  <x:si>
    <x:t xml:space="preserve">M1-C — analysis/readiness/findings</x:t>
  </x:si>
  <x:si>
    <x:t xml:space="preserve">T-066</x:t>
  </x:si>
  <x:si>
    <x:t xml:space="preserve">One visible readiness authority on Home and Analysis</x:t>
  </x:si>
  <x:si>
    <x:t xml:space="preserve">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
v2.10.2 CONTINUITY CORRECTION — the visible panel must consume the canonical external route GET /api/readiness/evaluate (compatibility-backed during M1), not expose /api/ml/foundation/readiness as the customer contract. Canonical tenant/outcome threshold persistence and governed changes are owned by T-195.</x:t>
  </x:si>
  <x:si>
    <x:t xml:space="preserve">Compare the panel against a direct call to GET /api/ml/foundation/readiness. Every number on screen must match the API response exactly. Change one threshold in configuration and confirm the panel moves, proving it is not a static rendering.
Compare the panel against GET /api/readiness/evaluate. During M1 a compatibility adapter may supply the same payload; after T-195 the identical visible contract must resolve from canonical readiness_thresholds/change history without UI changes.</x:t>
  </x:si>
  <x:si>
    <x:t xml:space="preserve">T-065 final D3 Analysis Toolbox surface; M1 compatibility readiness evaluator available. Canonical threshold persistence later T-195.</x:t>
  </x:si>
  <x:si>
    <x:t xml:space="preserve">v2.10.2 — stable readiness API facade + canonical threshold owner separated</x:t>
  </x:si>
  <x:si>
    <x:t xml:space="preserve">F-055 [Critical] — M1 T-066 certifies /api/ml/foundation/readiness, while the final Chapter 3 authority is /api/readiness/evaluate plus readiness_thresholds/readiness_threshold_changes and governed PUT semantics. No existing backlog task owns the canonical threshold persistence/change-history contract.</x:t>
  </x:si>
  <x:si>
    <x:t xml:space="preserve">T-067</x:t>
  </x:si>
  <x:si>
    <x:t xml:space="preserve">Findings evidence panel, registry-driven throughout</x:t>
  </x:si>
  <x:si>
    <x:t xml:space="preserve">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x:t>
  </x:si>
  <x:si>
    <x:t xml:space="preserve">Open the strongest finding and confirm all six elements are present. Confirm the ordering is by effect size and not p-value, by comparing against the API response. Change the registry's default outcome and confirm the page opens on the new one with no code change.</x:t>
  </x:si>
  <x:si>
    <x:t xml:space="preserve">T-050 provenance/evidence drill + T-065 D3 authoring contract + T-066 visible readiness authority.</x:t>
  </x:si>
  <x:si>
    <x:t xml:space="preserve">v2.10.2 — explicit evidence/readiness dependencies</x:t>
  </x:si>
  <x:si>
    <x:t xml:space="preserve">WAIT for T-050 + T-065 + T-066 commits; then W3 owns Findings files exclusively.</x:t>
  </x:si>
  <x:si>
    <x:t xml:space="preserve">Commit → P4 may close once all other P4 tasks green.</x:t>
  </x:si>
  <x:si>
    <x:t xml:space="preserve">T-068</x:t>
  </x:si>
  <x:si>
    <x:t xml:space="preserve">Retire the hardcoded outcome and grain arrays</x:t>
  </x:si>
  <x:si>
    <x:t xml:space="preserve">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
v2.10.2 AUTHORITY CORRECTION — remove the literals through the stable analysis-options/outcome-registry contract used by D3 (for example /api/analysis-jobs/definition-options or the canonical /api/analyses/options facade), not by binding React to public.ml_outcome_definitions or the compatibility-era /ml/foundation/outcomes route. The physical outcome representation is allowed to change in T-090/T-147 with no frontend rewrite.</x:t>
  </x:si>
  <x:si>
    <x:t xml:space="preserve">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
The acceptance test adds/changes a registered outcome through the service/API contract and proves the UI follows without code change. Add an architecture assertion that AnalysisToolboxPage does not know the physical outcome table and has no fallback literal 'coil'. This task must close before T-065.</x:t>
  </x:si>
  <x:si>
    <x:t xml:space="preserve">v2.10.2 — stable registry contract; no direct temporary outcome-table authority; reordered before T-065</x:t>
  </x:si>
  <x:si>
    <x:t xml:space="preserve">F-056 [Critical] — T-068 explicitly binds the UI to public.ml_outcome_definitions and GET /ml/foundation/outcomes, both compatibility-era authorities. Chapter 3 D3 requires registry-driven definition-options and T-090 later makes SM-06 OutcomeDefinition part of the immutable definition authority.
F-059 [Critical] — T-094 says rename the canonical grain literal 'coil' to one generic term. The frozen design does not have one generic grain: it has material_unit_type_definitions, native_grain and dynamic outcome/model grain_code. Replacing 'coil' with 'material' would preserve the same architectural error under a new word.
F-062 [Very Important] — Current order builds the Analysis Toolbox in T-065 while its outcome/grain arrays remain hardcoded, then T-068 immediately rewrites the same page. This violates the no-rework sequencing rule.</x:t>
  </x:si>
  <x:si>
    <x:t xml:space="preserve">F-056 — T-068 must consume a stable analysis-options/outcome-registry service contract, not a physical table or temporary route. M2a swaps storage behind the contract. Complete T-068 before T-065 so the S3 authoring page is built registry-first instead of being rewritten immediately.
F-059 — Remove hardcoded/default coil semantics. Preserve customer-declared multi-grain unit types and outcome-specific grain_code. Rename T-094 scope from 'rename canonical grain' to 'remove hardcoded canonical grain default and bind to registry/material-unit authority'.
F-062 — Dependency order is T-068 -&gt; T-065. T-065 consumes registry-driven outcome/grain options from first implementation.</x:t>
  </x:si>
  <x:si>
    <x:t xml:space="preserve">T-039 definition-service/registry seam; complete BEFORE T-065. Canonical SM-06 storage convergence remains T-090/T-147.</x:t>
  </x:si>
  <x:si>
    <x:t xml:space="preserve">Registry authority must precede authoring consumption: T-068 before T-065. Visible contract must survive M2a unchanged.</x:t>
  </x:si>
  <x:si>
    <x:t xml:space="preserve">T-039 definition-service/registry seam; complete BEFORE T-065. Canonical SM-0...</x:t>
  </x:si>
  <x:si>
    <x:t xml:space="preserve">T-069</x:t>
  </x:si>
  <x:si>
    <x:t xml:space="preserve">M1-P5</x:t>
  </x:si>
  <x:si>
    <x:t xml:space="preserve">Website, part 1: the five-product information architecture</x:t>
  </x:si>
  <x:si>
    <x:t xml:space="preserve">Website</x:t>
  </x:si>
  <x:si>
    <x:t xml:space="preserve">Public site</x:t>
  </x:si>
  <x:si>
    <x:t xml:space="preserve">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x:t>
  </x:si>
  <x:si>
    <x:t xml:space="preserve">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x:t>
  </x:si>
  <x:si>
    <x:t xml:space="preserve">T-070</x:t>
  </x:si>
  <x:si>
    <x:t xml:space="preserve">Website, part 2: polish the presentation routes</x:t>
  </x:si>
  <x:si>
    <x:t xml:space="preserve">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 AUDIT HARDENING IN v2.9.2. The strongest existing polished website section is the minimum visual authority for every route touched here. Preserve one premium industrial/high-tech system across typography, spacing, node/card geometry, border radius, glow depth, cyan/green accent behaviour, graphical connector language and motion. Fix visible mojibake or HTML entities on the presented routes rather than carrying them into the meeting. New sections may extend the design system but never introduce a weaker second visual language.</x:t>
  </x:si>
  <x:si>
    <x:t xml:space="preserve">Click every link on every route you will open and confirm none is dead. Check desktop, mobile and keyboard navigation on those routes. Confirm no page shows a blocker, an unfinished item or a failed test, per the standing website honesty rule. Add a side-by-side visual comparison against the strongest existing website section at desktop and mobile. No text overflow, low-contrast text, disconnected graphical wires, raw HTML entities or encoding damage. Motion communicates data/system flow and respects `prefers-reduced-motion`. If a new section makes the company look less sophisticated than the reference section, T-070 is not done.</x:t>
  </x:si>
  <x:si>
    <x:t xml:space="preserve">T-071</x:t>
  </x:si>
  <x:si>
    <x:t xml:space="preserve">Build the G1 persistent assistant dock</x:t>
  </x:si>
  <x:si>
    <x:t xml:space="preserve">Chatbot</x:t>
  </x:si>
  <x:si>
    <x:t xml:space="preserve">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 AUDIT HARDENING IN v2.9.2. The dock's configuration/provider path is authentication-aware. Do not fire a protected assistant-configuration request before the authenticated token/session is available; lazy-load or gate it through the authenticated layout lifecycle so the first open does not produce a transient 401 that disappears only after retry.</x:t>
  </x:si>
  <x:si>
    <x:t xml:space="preserve">Open the dock on at least five different pages and confirm the conversation persists across navigation. Confirm the collapsed state does not obscure any control. Add a vitest asserting the dock renders inside the authenticated layout and not as a route element. From a fresh browser session, log in and open the assistant for the first time. The network log contains no assistant/configuration 401, the dock reaches its ready state without manual retry, and the same remains true after hard reload.</x:t>
  </x:si>
  <x:si>
    <x:t xml:space="preserve">Assistant answers must be grounded and permission-safe. Unsupported precision must refuse; 'meaningful but inaccurate' is NOT an acceptable M1 contract.</x:t>
  </x:si>
  <x:si>
    <x:t xml:space="preserve">T-072</x:t>
  </x:si>
  <x:si>
    <x:t xml:space="preserve">Page and widget context envelope</x:t>
  </x:si>
  <x:si>
    <x:t xml:space="preserve">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x:t>
  </x:si>
  <x:si>
    <x:t xml:space="preserve">Ask the same question on two different pages and confirm the retrieved evidence differs. Assert in an integration test that the context reaches the retrieval call and that no context field is echoed into the answer text unverified.</x:t>
  </x:si>
  <x:si>
    <x:t xml:space="preserve">T-073</x:t>
  </x:si>
  <x:si>
    <x:t xml:space="preserve">Add the page and widget chunk family to the retrieval corpus</x:t>
  </x:si>
  <x:si>
    <x:t xml:space="preserve">AI+ML</x:t>
  </x:si>
  <x:si>
    <x:t xml:space="preserve">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x:t>
  </x:si>
  <x:si>
    <x:t xml:space="preserve">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x:t>
  </x:si>
  <x:si>
    <x:t xml:space="preserve">T-074</x:t>
  </x:si>
  <x:si>
    <x:t xml:space="preserve">Registry-typed quantity guard on assistant answers</x:t>
  </x:si>
  <x:si>
    <x:t xml:space="preserve">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x:t>
  </x:si>
  <x:si>
    <x:t xml:space="preserve">Unit tests feeding a crafted draft for each rejection case and asserting the sentence is blocked. Then a live check: ask for a casting speed and confirm the answer either gives a speed with the registry's unit, gives an evidence band, or refuses. It must never return a date or a mass.</x:t>
  </x:si>
  <x:si>
    <x:t xml:space="preserve">T-075</x:t>
  </x:si>
  <x:si>
    <x:t xml:space="preserve">Citation chips, evidence strip and suggested questions</x:t>
  </x:si>
  <x:si>
    <x:t xml:space="preserve">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x:t>
  </x:si>
  <x:si>
    <x:t xml:space="preserve">Click a citation chip and confirm it expands to the underlying evidence. Click Open in page and confirm it navigates to the correct surface with the relevant selection applied. Confirm suggested questions change between two different pages.</x:t>
  </x:si>
  <x:si>
    <x:t xml:space="preserve">T-076</x:t>
  </x:si>
  <x:si>
    <x:t xml:space="preserve">Certified question pack and offline fallback</x:t>
  </x:si>
  <x:si>
    <x:t xml:space="preserve">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x:t>
  </x:si>
  <x:si>
    <x:t xml:space="preserve">Run all 10 to 15 twice, once online and once with the model endpoint unreachable, and record both answers. Any question that refuses in both runs is removed from the live set.</x:t>
  </x:si>
  <x:si>
    <x:t xml:space="preserve">M1-P3 T-049..T-052 closed + M1-P4 T-053..T-068 closed; certify the frozen visible Assistant contract only.</x:t>
  </x:si>
  <x:si>
    <x:t xml:space="preserve">v2.10.2 — explicit presentation-freeze gate</x:t>
  </x:si>
  <x:si>
    <x:t xml:space="preserve">AI documentation/static analysis</x:t>
  </x:si>
  <x:si>
    <x:t xml:space="preserve">M1-D — certification/release freeze</x:t>
  </x:si>
  <x:si>
    <x:t xml:space="preserve">T-077</x:t>
  </x:si>
  <x:si>
    <x:t xml:space="preserve">One Playwright journey covering all six beats</x:t>
  </x:si>
  <x:si>
    <x:t xml:space="preserve">E2E</x:t>
  </x:si>
  <x:si>
    <x:t xml:space="preserve">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x:t>
  </x:si>
  <x:si>
    <x:t xml:space="preserve">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x:t>
  </x:si>
  <x:si>
    <x:t xml:space="preserve">T-053..T-076 complete; journey runs only after final M1 visible surfaces/contracts are frozen.</x:t>
  </x:si>
  <x:si>
    <x:t xml:space="preserve">v2.10.2 — explicit six-beat journey gate</x:t>
  </x:si>
  <x:si>
    <x:t xml:space="preserve">Integration/E2E/certification</x:t>
  </x:si>
  <x:si>
    <x:t xml:space="preserve">T-078</x:t>
  </x:si>
  <x:si>
    <x:t xml:space="preserve">Execute visual regression and accessibility on the presented routes</x:t>
  </x:si>
  <x:si>
    <x:t xml:space="preserve">Visual and a11y</x:t>
  </x:si>
  <x:si>
    <x:t xml:space="preserve">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x:t>
  </x:si>
  <x:si>
    <x:t xml:space="preserve">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x:t>
  </x:si>
  <x:si>
    <x:t xml:space="preserve">T-077 golden journey green; run visual/a11y against the final presented routes.</x:t>
  </x:si>
  <x:si>
    <x:t xml:space="preserve">v2.10.2 — explicit final-route dependency</x:t>
  </x:si>
  <x:si>
    <x:t xml:space="preserve">T-079</x:t>
  </x:si>
  <x:si>
    <x:t xml:space="preserve">Failure injection suite</x:t>
  </x:si>
  <x:si>
    <x:t xml:space="preserve">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x:t>
  </x:si>
  <x:si>
    <x:t xml:space="preserve">Five scripted injections, each with a screenshot of the resulting state in the evidence folder, each showing a sentence rather than a raw error. A red outline with no sentence beside it is a failure of the specification, not an acceptable outcome.</x:t>
  </x:si>
  <x:si>
    <x:t xml:space="preserve">T-077 green + final M1 runtime/environment available; inject failures only after the visible contract is frozen.</x:t>
  </x:si>
  <x:si>
    <x:t xml:space="preserve">v2.10.2 — explicit final-contract dependency</x:t>
  </x:si>
  <x:si>
    <x:t xml:space="preserve">T-080</x:t>
  </x:si>
  <x:si>
    <x:t xml:space="preserve">Capture the Customer Contract Continuity snapshots</x:t>
  </x:si>
  <x:si>
    <x:t xml:space="preserve">Continuity</x:t>
  </x:si>
  <x:si>
    <x:t xml:space="preserve">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x:t>
  </x:si>
  <x:si>
    <x:t xml:space="preserve">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x:t>
  </x:si>
  <x:si>
    <x:t xml:space="preserve">T-076..T-079 complete; capture continuity only from the final M1 presentation state.</x:t>
  </x:si>
  <x:si>
    <x:t xml:space="preserve">v2.10.2 — continuity snapshot gate tightened</x:t>
  </x:si>
  <x:si>
    <x:t xml:space="preserve">T-081</x:t>
  </x:si>
  <x:si>
    <x:t xml:space="preserve">Write the screen-by-screen demonstration script</x:t>
  </x:si>
  <x:si>
    <x:t xml:space="preserve">Rehearsal</x:t>
  </x:si>
  <x:si>
    <x:t xml:space="preserve">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the generated presentation-staging display name for cast pieces (NOT the donor schema name - `src_*` is retired by then and Chapter 3 forbids calling it staging).</x:t>
  </x:si>
  <x:si>
    <x:t xml:space="preserve">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x:t>
  </x:si>
  <x:si>
    <x:t xml:space="preserve">T-080 final continuity snapshots captured.</x:t>
  </x:si>
  <x:si>
    <x:t xml:space="preserve">v2.10.2 — demo script follows frozen customer contract</x:t>
  </x:si>
  <x:si>
    <x:t xml:space="preserve">T-082</x:t>
  </x:si>
  <x:si>
    <x:t xml:space="preserve">Presentation environment preparation and clean-start verification</x:t>
  </x:si>
  <x:si>
    <x:t xml:space="preserve">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x:t>
  </x:si>
  <x:si>
    <x:t xml:space="preserve">Cold-boot the machine and reach the first demonstration screen following only a written checklist, twice, timing both. Record both timings. If the second run needs a step that is not on the checklist, the checklist is wrong.</x:t>
  </x:si>
  <x:si>
    <x:t xml:space="preserve">T-076..T-081 complete; environment preparation validates the frozen presentation package.</x:t>
  </x:si>
  <x:si>
    <x:t xml:space="preserve">v2.10.2 — explicit certification dependency</x:t>
  </x:si>
  <x:si>
    <x:t xml:space="preserve">Infrastructure/deployment</x:t>
  </x:si>
  <x:si>
    <x:t xml:space="preserve">T-083</x:t>
  </x:si>
  <x:si>
    <x:t xml:space="preserve">Three rehearsals, hostile hands and the fallback package</x:t>
  </x:si>
  <x:si>
    <x:t xml:space="preserve">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x:t>
  </x:si>
  <x:si>
    <x:t xml:space="preserve">Two consecutive rehearsals complete with no surprise. The hostile-hands run produces a defect list that is either fixed or explicitly accepted in writing. The fallback package exists on a second device.</x:t>
  </x:si>
  <x:si>
    <x:t xml:space="preserve">T-082 clean-start presentation environment green; then rehearse/fallback package.</x:t>
  </x:si>
  <x:si>
    <x:t xml:space="preserve">v2.10.2 — explicit rehearsal gate</x:t>
  </x:si>
  <x:si>
    <x:t xml:space="preserve">T-084</x:t>
  </x:si>
  <x:si>
    <x:t xml:space="preserve">M2a</x:t>
  </x:si>
  <x:si>
    <x:t xml:space="preserve">M2a-P1</x:t>
  </x:si>
  <x:si>
    <x:t xml:space="preserve">Emit the frozen Fleet v2 into native customer-source fixtures</x:t>
  </x:si>
  <x:si>
    <x:t xml:space="preserve">NEW IN v2.9, and it is the M1 to M2 convergence operation. The certified Fleet v2 truth must become the customer-source dataset, and the sources are heterogeneous, so THIS IS GENERATION AND NOT BACKUP AND RESTORE. A PostgreSQL dump of the presentation staging schema cannot be restored into Oracle or SQL Server, and attempting it is how a single-engine shortcut becomes an architecture. Emit native fixtures for each source from the SAME frozen generator: PostgreSQL, Oracle, SQL Server, MySQL, the QA file source and the yard file source, each in that engine's own types, identifier rules and file conventions. Estimated at 10 hours as four database emitters at about two hours each plus two file emitters at about one hour, derived from the target count rather than fitted to the phase.</x:t>
  </x:si>
  <x:si>
    <x:t xml:space="preserve">One frozen generator emits all six native fixture sets from one seed. Each fixture set loads cleanly into its own engine and the loaded content matches the certified Fleet v2 truth on row counts, column sets and every categorical distribution. No fixture is produced by exporting another engine's data. A second emission from the same seed is byte-identical. The emitter is committed with its fixtures, so the customer sources are reproducible from source control.</x:t>
  </x:si>
  <x:si>
    <x:t xml:space="preserve">Core platform / presentation-core lane</x:t>
  </x:si>
  <x:si>
    <x:t xml:space="preserve">NOT W3 PRIMARY</x:t>
  </x:si>
  <x:si>
    <x:t xml:space="preserve">Do not assign to Worker 3 unless a specific AI/ML integration hand-off is requested.</x:t>
  </x:si>
  <x:si>
    <x:t xml:space="preserve">M2a dependency order</x:t>
  </x:si>
  <x:si>
    <x:t xml:space="preserve">Track 2 — Real Customer Product</x:t>
  </x:si>
  <x:si>
    <x:t xml:space="preserve">Canonical core platform — DB/backend/security/infra</x:t>
  </x:si>
  <x:si>
    <x:t xml:space="preserve">M2A-0 — source fixtures</x:t>
  </x:si>
  <x:si>
    <x:t xml:space="preserve">WAIT for Presentation RC freeze/tag + clean index/worktree. Then: M2a dependency order</x:t>
  </x:si>
  <x:si>
    <x:t xml:space="preserve">Own canonical DB/backend/security/API/infra. No W2-owned UI/admin task files and no W3 ML/Assistant runtime.</x:t>
  </x:si>
  <x:si>
    <x:t xml:space="preserve">T-085</x:t>
  </x:si>
  <x:si>
    <x:t xml:space="preserve">Clean-room rebuild of the Fleet v2 emulator sources from source control</x:t>
  </x:si>
  <x:si>
    <x:t xml:space="preserve">NEW IN v2.7, and it exists because the dataset changed job. Presentation Fleet v2 is not disposable presentation data that ends with the customer meeting - from here it is the CONTROLLED REFERENCE PLANT that every M2 intelligence feature is developed and benchmarked against. That only means something if it is reproducible, so this task proves it is, BEFORE substantial M2 feature work starts. Destroy the emulator state and rebuild it: recreate the emulated PostgreSQL, Oracle, MSSQL, MySQL and file-based customer sources from a CLEAN state using only the committed generator and fixtures - down with volumes, not stop - then prove their structures and key populations. NO IMPORTANT STATE MAY EXIST ONLY IN A DOCKER VOLUME OR ONLY IN ppiq_presentation. Then consume the rebuilt fleet into a FRESH PPIQ database through the product path: discovery, register, import, staging, mappings, canonical, genealogy. DIRECT CANONICAL SEEDING IS NOT A VALID PATH FOR THIS PROOF. THE T-010 READING THAT 106,272 CANONICAL AGAINST 16,640 STAGED PROVED DIRECT SEEDING IS WITHDRAWN - the T-013 measurement showed the M1 database held THREE GENERATIONS of the same fleet at once: the newer enhanced source-shaped donor schemas, an older and roughly three times larger dump population, and canonical rows corresponding to that older imported generation. This task exists to eliminate GENERATION DRIFT, so that one Fleet v2 truth reaches every layer through the one path. This task does NOT redesign the dataset; T-027 already validated it.</x:t>
  </x:si>
  <x:si>
    <x:t xml:space="preserve">Every emulator source comes up from nothing and reports its expected structures and populations. Every M1 source-side enhancement survives the rebuild - the enhanced defect catalogue and its Pareto shape, the required chemistry elements, the customer grade specifications, the shift and crew calendar and its behaviour, maintenance and campaign regimes, equipment personality, the downtime stopped-time and production-impact semantics, stable source identities and provenance, negative controls, confounders, temporal regimes and complete genealogy. Row counts at source, staging and canonical with every difference explained. A sampled unit resolves from canonical back to its source record.</x:t>
  </x:si>
  <x:si>
    <x:t xml:space="preserve">DB/schema/migration</x:t>
  </x:si>
  <x:si>
    <x:t xml:space="preserve">T-086</x:t>
  </x:si>
  <x:si>
    <x:t xml:space="preserve">2026-09-30 Customer Pilot RC</x:t>
  </x:si>
  <x:si>
    <x:t xml:space="preserve">Customer Release</x:t>
  </x:si>
  <x:si>
    <x:t xml:space="preserve">T-087</x:t>
  </x:si>
  <x:si>
    <x:t xml:space="preserve">Physical three-schema migration</x:t>
  </x:si>
  <x:si>
    <x:t xml:space="preserve">Schema</x:t>
  </x:si>
  <x:si>
    <x:t xml:space="preserve">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x:t>
  </x:si>
  <x:si>
    <x:t xml:space="preserve">Rule 2 is provable in one query on a fresh database. All application tests pass. The canvas catalogue lists tables from the renamed schema with only a configuration change. AND THE BENCHMARK SURVIVES THE MOVE: the phenomenon and benchmark harness frozen in T-086 is re-run UNCHANGED after the schema migration and produces identical results. A migration that silently alters the reference dataset destroys every comparison made against it.</x:t>
  </x:si>
  <x:si>
    <x:t xml:space="preserve">T-086 + T-088 canonical migration order/runner/truth gate established FIRST.</x:t>
  </x:si>
  <x:si>
    <x:t xml:space="preserve">v2.10.2 — migration-order dependency reversed for safety</x:t>
  </x:si>
  <x:si>
    <x:t xml:space="preserve">F-054 [Critical] — The final projection_quarantine physical schema requires canonical staging_records and definition_versions. M1 cannot honestly create the final table before T-087/T-089/T-090, yet T-061 currently says 'minimal FINAL slice' and validates real projection/reprocess behavior.
F-057 [Critical] — The backlog performs the physical three-schema migration in T-087 before T-088 defines the one canonical migration order and duplicate-DDL truth gate. The T-044 migration-parity incident shows this ordering is unsafe.</x:t>
  </x:si>
  <x:si>
    <x:t xml:space="preserve">Establish migration authority/order first, then converge to the final three-schema topology. Fresh ppiq_plant must be provably empty.</x:t>
  </x:si>
  <x:si>
    <x:t xml:space="preserve">M2A-1 — schema/definition authority</x:t>
  </x:si>
  <x:si>
    <x:t xml:space="preserve">WAIT for Presentation RC freeze/tag + clean index/worktree. Then: T-086 + T-088 canonical migration order/runner/truth gate established FIRST.</x:t>
  </x:si>
  <x:si>
    <x:t xml:space="preserve">T-088</x:t>
  </x:si>
  <x:si>
    <x:t xml:space="preserve">Canonical migration order and legacy script archival</x:t>
  </x:si>
  <x:si>
    <x:t xml:space="preserve">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x:t>
  </x:si>
  <x:si>
    <x:t xml:space="preserve">A fresh database builds from the canonical path with no manual step. The truth gate fails if a duplicate CREATE TABLE is introduced.</x:t>
  </x:si>
  <x:si>
    <x:t xml:space="preserve">v2.10.2 — canonical migration authority precedes physical three-schema migration</x:t>
  </x:si>
  <x:si>
    <x:t xml:space="preserve">F-057 [Critical] — The backlog performs the physical three-schema migration in T-087 before T-088 defines the one canonical migration order and duplicate-DDL truth gate. The T-044 migration-parity incident shows this ordering is unsafe.</x:t>
  </x:si>
  <x:si>
    <x:t xml:space="preserve">F-057 — T-088 migration authority/runner/order gate must precede T-087 physical migration. T-087 becomes a migration authored and executed only through the canonical path. Fresh-install T-115 and install/upgrade T-123 validate the same chain.</x:t>
  </x:si>
  <x:si>
    <x:t xml:space="preserve">T-086 frozen M2 reference dataset; define canonical migration order before T-087 physical schema move.</x:t>
  </x:si>
  <x:si>
    <x:t xml:space="preserve">WAIT for Presentation RC freeze/tag + clean index/worktree. Then: T-086 frozen M2 reference dataset; define canonical migration order before T-...</x:t>
  </x:si>
  <x:si>
    <x:t xml:space="preserve">T-089</x:t>
  </x:si>
  <x:si>
    <x:t xml:space="preserve">definition_store, definition_versions and definition_dependencies</x:t>
  </x:si>
  <x:si>
    <x:t xml:space="preserve">Create the tables specified in Chapter 3 4.5.11 with immutable versions and a dependency graph, plus a trigger that rejects a dependency cycle.</x:t>
  </x:si>
  <x:si>
    <x:t xml:space="preserve">Integration tests: create, version, publish, and reject a cycle. Version rows must be immutable, proved by an update attempt that fails.</x:t>
  </x:si>
  <x:si>
    <x:t xml:space="preserve">T-087 + T-088 canonical three-schema/migration authority green.</x:t>
  </x:si>
  <x:si>
    <x:t xml:space="preserve">v2.10.2 — explicit schema/migration prerequisite</x:t>
  </x:si>
  <x:si>
    <x:t xml:space="preserve">F-052 [Critical] — 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
F-053 [Critical] — T-064 requires a foreign key before the canonical FK target exists. It also omits target_parameters from the Chapter 3 job-target contract and its validation misses JB02/JB04 while describing a pinned version as 'no longer exists' even though published versions are immutable.
F-054 [Critical] — The final projection_quarantine physical schema requires canonical staging_records and definition_versions. M1 cannot honestly create the final table before T-087/T-089/T-090, yet T-061 currently says 'minimal FINAL slice' and validates real projection/reprocess behavior.
F-058 [Critical] — T-092 says 'dimensions and measures as registry rows' without binding those rows to the unified definition authority. Chapter 3 §4.5.11 already defines master_dimension and master_measure as definition kinds, so a separate mutable registry can become a second source of truth.</x:t>
  </x:si>
  <x:si>
    <x:t xml:space="preserve">F-052 — T-057 must deliver the final external relationship service/API and M1-compatible persistence only. Do not claim final physical schema. T-095 owns canonical ppiq_meta.plant_relationships/_members/_paths convergence after T-089/T-090. T-058/T-059/T-060 consume the service, never table names.
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F-054 — T-061 owns the final typed DTO/API/error-code/reprocess semantics over compatibility persistence only. T-099/T-100 own canonical projection_quarantine and all 15 PV classes; T-101 completes retry/reprocess and preserves the M1 page contract unchanged.
F-058 — T-092 registry rows must be projections/catalogue views of canonical S2 master definitions (or compatibility projections during migration), never an independent definition authority. T-092 depends on T-089/T-090.</x:t>
  </x:si>
  <x:si>
    <x:t xml:space="preserve">Canonicalize M1 compatibility contracts without moving the customer-visible contract.</x:t>
  </x:si>
  <x:si>
    <x:t xml:space="preserve">WAIT for Presentation RC freeze/tag + clean index/worktree. Then: T-087 + T-088 canonical three-schema/migration authority green.</x:t>
  </x:si>
  <x:si>
    <x:t xml:space="preserve">T-090</x:t>
  </x:si>
  <x:si>
    <x:t xml:space="preserve">Move all five definition kinds onto the store</x:t>
  </x:si>
  <x:si>
    <x:t xml:space="preserve">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 v2.10.1 OUTCOME SEMANTICS BINDING. As part of canonical definition convergence, bind the already-frozen SM-06 OutcomeDefinition to the canonical immutable versioned definition authority; do not design a second outcome authority. The canonical binding preserves outcome_code, outcome_type, class_taxonomy_ref, ordinal_rank_map, grain_code, detection_position_code, detection_timestamp_field, direction, unit_code, censoring_policy and definition/version identity. Any legacy ml_outcome_definitions representation may remain only as a compatibility projection during convergence and must not remain an independent semantic authority.</x:t>
  </x:si>
  <x:si>
    <x:t xml:space="preserve">The M1 integration test written against IDefinitionService must pass unchanged, since it references no table name. That is the proof that the visible contract did not move. Publish an SM-06 OutcomeDefinition and resolve it back by exact immutable version. Changing detection_position_code, detection_timestamp_field, grain, taxonomy, ordinal map, direction, unit or censoring policy creates a new definition version rather than silently mutating published meaning. If a compatibility outcome representation remains during convergence, prove it resolves to the same canonical definition/version and cannot diverge into a second authority.</x:t>
  </x:si>
  <x:si>
    <x:t xml:space="preserve">T-089 complete; replace compatibility persistence behind unchanged IDefinitionService.</x:t>
  </x:si>
  <x:si>
    <x:t xml:space="preserve">v2.10.2 — explicit definition-store dependency</x:t>
  </x:si>
  <x:si>
    <x:t xml:space="preserve">F-052 [Critical] — 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
F-053 [Critical] — T-064 requires a foreign key before the canonical FK target exists. It also omits target_parameters from the Chapter 3 job-target contract and its validation misses JB02/JB04 while describing a pinned version as 'no longer exists' even though published versions are immutable.
F-054 [Critical] — The final projection_quarantine physical schema requires canonical staging_records and definition_versions. M1 cannot honestly create the final table before T-087/T-089/T-090, yet T-061 currently says 'minimal FINAL slice' and validates real projection/reprocess behavior.
F-056 [Critical] — T-068 explicitly binds the UI to public.ml_outcome_definitions and GET /ml/foundation/outcomes, both compatibility-era authorities. Chapter 3 D3 requires registry-driven definition-options and T-090 later makes SM-06 OutcomeDefinition part of the immutable definition authority.
F-058 [Critical] — T-092 says 'dimensions and measures as registry rows' without binding those rows to the unified definition authority. Chapter 3 §4.5.11 already defines master_dimension and master_measure as definition kinds, so a separate mutable registry can become a second source of truth.</x:t>
  </x:si>
  <x:si>
    <x:t xml:space="preserve">F-052 — T-057 must deliver the final external relationship service/API and M1-compatible persistence only. Do not claim final physical schema. T-095 owns canonical ppiq_meta.plant_relationships/_members/_paths convergence after T-089/T-090. T-058/T-059/T-060 consume the service, never table names.
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F-054 — T-061 owns the final typed DTO/API/error-code/reprocess semantics over compatibility persistence only. T-099/T-100 own canonical projection_quarantine and all 15 PV classes; T-101 completes retry/reprocess and preserves the M1 page contract unchanged.
F-056 — T-068 must consume a stable analysis-options/outcome-registry service contract, not a physical table or temporary route. M2a swaps storage behind the contract. Complete T-068 before T-065 so the S3 authoring page is built registry-first instead of being rewritten immediately.
F-058 — T-092 registry rows must be projections/catalogue views of canonical S2 master definitions (or compatibility projections during migration), never an independent definition authority. T-092 depends on T-089/T-090.</x:t>
  </x:si>
  <x:si>
    <x:t xml:space="preserve">WAIT for Presentation RC freeze/tag + clean index/worktree. Then: T-089 complete; replace compatibility persistence behind unchanged IDefinitio...</x:t>
  </x:si>
  <x:si>
    <x:t xml:space="preserve">T-091</x:t>
  </x:si>
  <x:si>
    <x:t xml:space="preserve">Impact preview, export and import</x:t>
  </x:si>
  <x:si>
    <x:t xml:space="preserve">Add dependency impact preview before a publish, and export and import of a definition with its dependencies, per Chapter 3 4.5.11.</x:t>
  </x:si>
  <x:si>
    <x:t xml:space="preserve">Publish a change to a definition three others depend on and confirm the preview lists all three before the publish is confirmed. Export and reimport into an empty database and confirm equality.</x:t>
  </x:si>
  <x:si>
    <x:t xml:space="preserve">T-090 all definition kinds bound to the canonical store.</x:t>
  </x:si>
  <x:si>
    <x:t xml:space="preserve">v2.10.2 — explicit canonical-store dependency</x:t>
  </x:si>
  <x:si>
    <x:t xml:space="preserve">Real generic product on canonical ppiq_staging / ppiq_meta / ppiq_plant. No customer/demo vocabulary, no prepared plant rows on clean install.</x:t>
  </x:si>
  <x:si>
    <x:t xml:space="preserve">WAIT for Presentation RC freeze/tag + clean index/worktree. Then: T-090 all definition kinds bound to the canonical store.</x:t>
  </x:si>
  <x:si>
    <x:t xml:space="preserve">T-092</x:t>
  </x:si>
  <x:si>
    <x:t xml:space="preserve">Registry authority: dimensions and measures as rows</x:t>
  </x:si>
  <x:si>
    <x:t xml:space="preserve">v2.10.2 — prevent second dimension/measure authority</x:t>
  </x:si>
  <x:si>
    <x:t xml:space="preserve">F-058 [Critical] — T-092 says 'dimensions and measures as registry rows' without binding those rows to the unified definition authority. Chapter 3 §4.5.11 already defines master_dimension and master_measure as definition kinds, so a separate mutable registry can become a second source of truth.</x:t>
  </x:si>
  <x:si>
    <x:t xml:space="preserve">WAIT for Presentation RC freeze/tag + clean index/worktree. Then: T-089 + T-090 canonical definition authority.</x:t>
  </x:si>
  <x:si>
    <x:t xml:space="preserve">T-093</x:t>
  </x:si>
  <x:si>
    <x:t xml:space="preserve">Plant-vocabulary sweep, part 1: build the term list and the architecture test</x:t>
  </x:si>
  <x:si>
    <x:t xml:space="preserve">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x:t>
  </x:si>
  <x:si>
    <x:t xml:space="preserve">Add a term to the list and confirm the build goes red on an existing violation, then goes green once that violation is fixed. Confirm removing a term from the list does not require a code change.</x:t>
  </x:si>
  <x:si>
    <x:t xml:space="preserve">v2.10.2 — explicit registry prerequisite</x:t>
  </x:si>
  <x:si>
    <x:t xml:space="preserve">WAIT for Presentation RC freeze/tag + clean index/worktree. Then: T-092 registry/definition authority available; architecture term list is comm...</x:t>
  </x:si>
  <x:si>
    <x:t xml:space="preserve">T-094</x:t>
  </x:si>
  <x:si>
    <x:t xml:space="preserve">v2.10.2 — 'rename grain' replaced by dynamic multi-grain authority</x:t>
  </x:si>
  <x:si>
    <x:t xml:space="preserve">F-059 [Critical] — T-094 says rename the canonical grain literal 'coil' to one generic term. The frozen design does not have one generic grain: it has material_unit_type_definitions, native_grain and dynamic outcome/model grain_code. Replacing 'coil' with 'material' would preserve the same architectural error under a new word.
F-081 [Very Important] — Current GenealogyThreadPanel still contains steel-specific explanatory copy ('coil to heat/melt') while C5 is a generic material-unit explorer. If T-063 converges layout without removing product vocabulary, T-094 will immediately rework the same surface.</x:t>
  </x:si>
  <x:si>
    <x:t xml:space="preserve">WAIT for Presentation RC freeze/tag + clean index/worktree. Then: T-092 + T-093; canonical multi-grain vocabulary authority available.</x:t>
  </x:si>
  <x:si>
    <x:t xml:space="preserve">T-095</x:t>
  </x:si>
  <x:si>
    <x:t xml:space="preserve">M2a-P2</x:t>
  </x:si>
  <x:si>
    <x:t xml:space="preserve">Relationship members, cardinality, grain conversion and preferred paths</x:t>
  </x:si>
  <x:si>
    <x:t xml:space="preserve">Extend the M1 slice to the full model in Chapter 3 4.5.10: members, cardinality, grain conversion between related entities, preferred path selection when more than one path exists, and published versions.
v2.10.2 CONVERGENCE CORRECTION — T-095 does not merely 'extend' M1 physical tables. It converges the M1 relationship service/compatibility persistence onto the canonical Chapter 3 4.5.10 tables after definition_store exists, including source_definition_id/version, grain conversion, preferred paths, ambiguity/validation state and retirement semantics, while keeping the M1 external contract stable.</x:t>
  </x:si>
  <x:si>
    <x:t xml:space="preserve">Declare two paths between the same pair of entities, mark one preferred, and confirm the resolver chooses it. Change the preference and confirm the resolution changes with no other edit.</x:t>
  </x:si>
  <x:si>
    <x:t xml:space="preserve">T-057 M1 relationship contract + T-089 + T-090 + T-094.</x:t>
  </x:si>
  <x:si>
    <x:t xml:space="preserve">v2.10.2 — canonical physical convergence explicitly separated from M1 compatibility</x:t>
  </x:si>
  <x:si>
    <x:t xml:space="preserve">F-052 [Critical] — 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
F-059 [Critical] — T-094 says rename the canonical grain literal 'coil' to one generic term. The frozen design does not have one generic grain: it has material_unit_type_definitions, native_grain and dynamic outcome/model grain_code. Replacing 'coil' with 'material' would preserve the same architectural error under a new word.
F-060 [Very Important] — T-060 builds the M1 C6 route, then T-098 says 'Build the C6 Relationship Browser' again. That wording invites a second page/rebuild rather than hidden-authority convergence.</x:t>
  </x:si>
  <x:si>
    <x:t xml:space="preserve">F-052 — T-057 must deliver the final external relationship service/API and M1-compatible persistence only. Do not claim final physical schema. T-095 owns canonical ppiq_meta.plant_relationships/_members/_paths convergence after T-089/T-090. T-058/T-059/T-060 consume the service, never table names.
F-059 — Remove hardcoded/default coil semantics. Preserve customer-declared multi-grain unit types and outcome-specific grain_code. Rename T-094 scope from 'rename canonical grain' to 'remove hardcoded canonical grain default and bind to registry/material-unit authority'.
F-060 — T-098 must complete the already-shown /relationships page in place: preserve route/layout/controls and replace/extend only the canonical relationship source/path evidence.</x:t>
  </x:si>
  <x:si>
    <x:t xml:space="preserve">M2A-2 — relationships/projection</x:t>
  </x:si>
  <x:si>
    <x:t xml:space="preserve">WAIT for Presentation RC freeze/tag + clean index/worktree. Then: T-057 M1 relationship contract + T-089 + T-090 + T-094.</x:t>
  </x:si>
  <x:si>
    <x:t xml:space="preserve">T-096</x:t>
  </x:si>
  <x:si>
    <x:t xml:space="preserve">Path resolver, part 1: resolver core and the first eight consumers</x:t>
  </x:si>
  <x:si>
    <x:t xml:space="preserve">Chapter 2 3.15.4 names sixteen consumers of the relationship model. Build the resolver core, then route the first eight through it: canonical projection, page and widget queries, associative filtering, drill-down, drill-through, genealogy, statistics and correlation.</x:t>
  </x:si>
  <x:si>
    <x:t xml:space="preserve">A regression test per consumer asserting it resolves through the published model, and refuses with a named reason when the relationship is unpublished. Eight tests, no exceptions.</x:t>
  </x:si>
  <x:si>
    <x:t xml:space="preserve">T-095 canonical relationship publication/model complete.</x:t>
  </x:si>
  <x:si>
    <x:t xml:space="preserve">v2.10.2 — explicit resolver-core prerequisite</x:t>
  </x:si>
  <x:si>
    <x:t xml:space="preserve">F-060 [Very Important] — T-060 builds the M1 C6 route, then T-098 says 'Build the C6 Relationship Browser' again. That wording invites a second page/rebuild rather than hidden-authority convergence.</x:t>
  </x:si>
  <x:si>
    <x:t xml:space="preserve">F-060 — T-098 must complete the already-shown /relationships page in place: preserve route/layout/controls and replace/extend only the canonical relationship source/path evidence.</x:t>
  </x:si>
  <x:si>
    <x:t xml:space="preserve">WAIT for Presentation RC freeze/tag + clean index/worktree. Then: T-095 canonical relationship publication/model complete.</x:t>
  </x:si>
  <x:si>
    <x:t xml:space="preserve">T-097</x:t>
  </x:si>
  <x:si>
    <x:t xml:space="preserve">Path resolver, part 2: the remaining eight consumers and the regression suite</x:t>
  </x:si>
  <x:si>
    <x:t xml:space="preserve">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x:t>
  </x:si>
  <x:si>
    <x:t xml:space="preserve">Eight further regression tests. For consumers whose engine arrives in M2b, the test asserts the seam exists and refuses when unpublished, which is what stops a later shortcut.</x:t>
  </x:si>
  <x:si>
    <x:t xml:space="preserve">T-096 first resolver consumers green.</x:t>
  </x:si>
  <x:si>
    <x:t xml:space="preserve">v2.10.2 — explicit resolver-part dependency</x:t>
  </x:si>
  <x:si>
    <x:t xml:space="preserve">WAIT for Presentation RC freeze/tag + clean index/worktree. Then: T-096 first resolver consumers green.</x:t>
  </x:si>
  <x:si>
    <x:t xml:space="preserve">T-098</x:t>
  </x:si>
  <x:si>
    <x:t xml:space="preserve">Relationship Browser page and path evidence</x:t>
  </x:si>
  <x:si>
    <x:t xml:space="preserve">Build the C6 Relationship Browser from Chapter 3 4.4 with the ten-field page contract, showing declared relationships, their members, their paths and the evidence for each path.
v2.10.2 CONTINUITY CORRECTION — complete the existing T-060 /relationships page in place. Do not create a second C6 surface. Preserve the route, layout and M1 control contract while replacing/extending the hidden relationship authority and path evidence.</x:t>
  </x:si>
  <x:si>
    <x:t xml:space="preserve">Open a relationship and confirm its members, cardinality and path are shown with evidence. Confirm an unpublished relationship is visibly distinct from a published one.
Run the M1 C6 continuity snapshot before/after canonical cutover and prove no visible-contract regression.</x:t>
  </x:si>
  <x:si>
    <x:t xml:space="preserve">T-060 M1 C6 surface + T-095 + T-096 + T-097.</x:t>
  </x:si>
  <x:si>
    <x:t xml:space="preserve">v2.10.2 — C6 completion/cutover, not page rebuild</x:t>
  </x:si>
  <x:si>
    <x:t xml:space="preserve">Canonical customer-facing UI/admin + continuity</x:t>
  </x:si>
  <x:si>
    <x:t xml:space="preserve">WAIT for Presentation RC freeze/tag + clean index/worktree. Then: T-060 M1 C6 surface + T-095 + T-096 + T-097.</x:t>
  </x:si>
  <x:si>
    <x:t xml:space="preserve">Own named UI/admin task end-to-end only after producer APIs/security are committed.</x:t>
  </x:si>
  <x:si>
    <x:t xml:space="preserve">T-099</x:t>
  </x:si>
  <x:si>
    <x:t xml:space="preserve">Quarantine, part 1: the table, the reprocess API and the first eight PV classes</x:t>
  </x:si>
  <x:si>
    <x:t xml:space="preserve">Quarantine</x:t>
  </x:si>
  <x:si>
    <x:t xml:space="preserve">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x:t>
  </x:si>
  <x:si>
    <x:t xml:space="preserve">Craft one malformed input per implemented class and assert each is quarantined under the correct code, while the good rows in the same batch still project.</x:t>
  </x:si>
  <x:si>
    <x:t xml:space="preserve">T-087 canonical staging schema + T-089/T-090 definition_versions authority.</x:t>
  </x:si>
  <x:si>
    <x:t xml:space="preserve">v2.10.2 — explicit physical FK prerequisites</x:t>
  </x:si>
  <x:si>
    <x:t xml:space="preserve">F-054 — T-061 owns the final typed DTO/API/error-code/reprocess semantics over compatibility persistence only. T-099/T-100 own canonical projection_quarantine and all 15 PV classes; T-101 completes retry/reprocess and preserves the M1 page contract unchanged.</x:t>
  </x:si>
  <x:si>
    <x:t xml:space="preserve">WAIT for Presentation RC freeze/tag + clean index/worktree. Then: T-087 canonical staging schema + T-089/T-090 definition_versions authority.</x:t>
  </x:si>
  <x:si>
    <x:t xml:space="preserve">T-100</x:t>
  </x:si>
  <x:si>
    <x:t xml:space="preserve">Quarantine, part 2: the remaining seven PV classes and per-class tests</x:t>
  </x:si>
  <x:si>
    <x:t xml:space="preserve">Implement the remaining seven validation classes and give every class its own test fixture, so the class set is provably complete against Chapter 3 4.5.14 rather than approximately complete.</x:t>
  </x:si>
  <x:si>
    <x:t xml:space="preserve">Fifteen fixtures, fifteen codes, fifteen passing tests. A test that enumerates the PV enum and fails if any member has no fixture.</x:t>
  </x:si>
  <x:si>
    <x:t xml:space="preserve">T-099 canonical quarantine table/API and first eight PV classes.</x:t>
  </x:si>
  <x:si>
    <x:t xml:space="preserve">v2.10.2 — explicit part-1 dependency</x:t>
  </x:si>
  <x:si>
    <x:t xml:space="preserve">WAIT for Presentation RC freeze/tag + clean index/worktree. Then: T-099 canonical quarantine table/API and first eight PV classes.</x:t>
  </x:si>
  <x:si>
    <x:t xml:space="preserve">T-101</x:t>
  </x:si>
  <x:si>
    <x:t xml:space="preserve">Quarantine retry, reprocess and Mapping Health completion</x:t>
  </x:si>
  <x:si>
    <x:t xml:space="preserve">Complete the C2 Mapping Health page against Chapter 3 4.4 C2: issues grouped by code, example rows, and Reprocess after the mapping is corrected. The M1 version delivered the shape; this delivers the full class set and the retry semantics.</x:t>
  </x:si>
  <x:si>
    <x:t xml:space="preserve">Quarantine rows under three different codes, correct one mapping, reprocess, and confirm only the affected rows clear. The M1 continuity snapshot of this page must still match.</x:t>
  </x:si>
  <x:si>
    <x:t xml:space="preserve">T-061 final M1 API/page contract + T-099 + T-100 canonical quarantine implementation.</x:t>
  </x:si>
  <x:si>
    <x:t xml:space="preserve">v2.10.2 — compatibility-to-canonical convergence dependency</x:t>
  </x:si>
  <x:si>
    <x:t xml:space="preserve">WAIT for Presentation RC freeze/tag + clean index/worktree. Then: T-061 final M1 API/page contract + T-099 + T-100 canonical quarantine impleme...</x:t>
  </x:si>
  <x:si>
    <x:t xml:space="preserve">T-102</x:t>
  </x:si>
  <x:si>
    <x:t xml:space="preserve">Identity resolution across sources</x:t>
  </x:si>
  <x:si>
    <x:t xml:space="preserve">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x:t>
  </x:si>
  <x:si>
    <x:t xml:space="preserve">Import the same material under two different source identifiers and confirm one canonical unit results with both aliases recorded. Re-run the import and confirm no duplicate appears.</x:t>
  </x:si>
  <x:si>
    <x:t xml:space="preserve">T-087 canonical plant schema + T-095 relationship/material identity authority.</x:t>
  </x:si>
  <x:si>
    <x:t xml:space="preserve">v2.10.2 — explicit canonical identity prerequisites</x:t>
  </x:si>
  <x:si>
    <x:t xml:space="preserve">WAIT for Presentation RC freeze/tag + clean index/worktree. Then: T-087 canonical plant schema + T-095 relationship/material identity authority.</x:t>
  </x:si>
  <x:si>
    <x:t xml:space="preserve">T-103</x:t>
  </x:si>
  <x:si>
    <x:t xml:space="preserve">Genealogy bidirectional walk hardening and weight proof</x:t>
  </x:si>
  <x:si>
    <x:t xml:space="preserve">Confirm the genealogy layer walks both directions on the customer's own keys and that attribution weights are enforced to sum to exactly 1.0 per child by the database trigger on genealogy_edges.contribution_weight numeric(9,6).</x:t>
  </x:si>
  <x:si>
    <x:t xml:space="preserve">Walk a chain backward and forward and confirm the same edges are traversed. Attempt an insert whose weights sum to 0.99 inside a transaction and confirm the trigger rejects it, then roll back.</x:t>
  </x:si>
  <x:si>
    <x:t xml:space="preserve">T-095 + T-102 canonical relationship/identity authority.</x:t>
  </x:si>
  <x:si>
    <x:t xml:space="preserve">v2.10.2 — explicit genealogy prerequisites</x:t>
  </x:si>
  <x:si>
    <x:t xml:space="preserve">WAIT for Presentation RC freeze/tag + clean index/worktree. Then: T-095 + T-102 canonical relationship/identity authority.</x:t>
  </x:si>
  <x:si>
    <x:t xml:space="preserve">T-104</x:t>
  </x:si>
  <x:si>
    <x:t xml:space="preserve">Projection through the versioned mapping, with version stamping</x:t>
  </x:si>
  <x:si>
    <x:t xml:space="preserve">Projection</x:t>
  </x:si>
  <x:si>
    <x:t xml:space="preserve">Complete the DF5 contract: source-shaped staging projects into the canonical plant model through the customer-authored versioned mapping, and every projected row records the mapping version that produced it.</x:t>
  </x:si>
  <x:si>
    <x:t xml:space="preserve">Project a batch, change the mapping version, project again, and confirm each row records the version that produced it. No row may carry a null mapping version.</x:t>
  </x:si>
  <x:si>
    <x:t xml:space="preserve">T-090 canonical versioned mapping definitions + T-095 relationship authority + T-099 quarantine authority.</x:t>
  </x:si>
  <x:si>
    <x:t xml:space="preserve">v2.10.2 — explicit projection/version/quarantine prerequisites</x:t>
  </x:si>
  <x:si>
    <x:t xml:space="preserve">WAIT for Presentation RC freeze/tag + clean index/worktree. Then: T-090 canonical versioned mapping definitions + T-095 relationship authority ...</x:t>
  </x:si>
  <x:si>
    <x:t xml:space="preserve">T-105</x:t>
  </x:si>
  <x:si>
    <x:t xml:space="preserve">Idempotent reprojection and mapping-version regression</x:t>
  </x:si>
  <x:si>
    <x:t xml:space="preserve">Make reprojection idempotent and add the regression suite: reprojecting the same batch must not duplicate rows, and rolling a mapping back to a previous version must produce the earlier result exactly.</x:t>
  </x:si>
  <x:si>
    <x:t xml:space="preserve">Reproject the same batch three times and confirm row counts are unchanged. Roll a mapping back and confirm the canonical output matches the earlier snapshot byte for byte.</x:t>
  </x:si>
  <x:si>
    <x:t xml:space="preserve">T-104 version-stamped projection complete.</x:t>
  </x:si>
  <x:si>
    <x:t xml:space="preserve">v2.10.2 — explicit reprojection prerequisite</x:t>
  </x:si>
  <x:si>
    <x:t xml:space="preserve">WAIT for Presentation RC freeze/tag + clean index/worktree. Then: T-104 version-stamped projection complete.</x:t>
  </x:si>
  <x:si>
    <x:t xml:space="preserve">Critical hand-off: after T-089..T-105 + T-112/T-114 are committed, W3 may open T-183/T-195/T-128 lane.</x:t>
  </x:si>
  <x:si>
    <x:t xml:space="preserve">T-106</x:t>
  </x:si>
  <x:si>
    <x:t xml:space="preserve">M2a-P3</x:t>
  </x:si>
  <x:si>
    <x:t xml:space="preserve">Job target version policy and dependency DAG</x:t>
  </x:si>
  <x:si>
    <x:t xml:space="preserve">Build on the M1 target_definition_id work: add the full version policy (pinned or current published), the job dependency graph, and cycle validation.
v2.10.2 BOUNDARY CORRECTION — the pinned/current-published PUBLIC semantics are already frozen by T-064. This task performs canonical physical convergence: job_definitions FK -&gt; definition_store(id) ON DELETE RESTRICT, target-version policy CHECKs/target-surface trigger against the canonical store, target_parameters persistence, plus job_dependencies DAG/cycle validation. Do not redesign T-064's visible contract.</x:t>
  </x:si>
  <x:si>
    <x:t xml:space="preserve">Declare a three-job chain, run it, and confirm order. Introduce a cycle and confirm it is refused at save time with a named code.</x:t>
  </x:si>
  <x:si>
    <x:t xml:space="preserve">T-064 functional contract + T-089 + T-090 canonical definition authority.</x:t>
  </x:si>
  <x:si>
    <x:t xml:space="preserve">v2.10.2 — canonical job-target persistence/DAG boundary clarified</x:t>
  </x:si>
  <x:si>
    <x:t xml:space="preserve">ML-aware job/runtime/delta hand-off</x:t>
  </x:si>
  <x:si>
    <x:t xml:space="preserve">M2A-3 — runtime/security hand-off</x:t>
  </x:si>
  <x:si>
    <x:t xml:space="preserve">WAIT for Presentation RC freeze/tag + clean index/worktree. Then: T-064 functional contract + T-089 + T-090 canonical definition authority.</x:t>
  </x:si>
  <x:si>
    <x:t xml:space="preserve">Own T-106/T-107/T-109 only after W1 producer contracts; no schema authority rewrites.</x:t>
  </x:si>
  <x:si>
    <x:t xml:space="preserve">T-107</x:t>
  </x:si>
  <x:si>
    <x:t xml:space="preserve">Dual-predicate admission control and the three ML execution lanes</x:t>
  </x:si>
  <x:si>
    <x:t xml:space="preserve">Replace the old single weighted-pool assumption with the frozen resource contract. Each lane has max_concurrency and resource_capacity; admission requires both running_count &lt; max_concurrency and sum(compute_weight)+candidate &lt;= resource_capacity. The logical ml class resolves to ml.training, ml.batch_scoring and ml.online_scoring. Online capacity is hard-reserved and unavailable to training or batch. Keep this platform-level scheduler generic; Worker 3 supplies the ML job classes and later integration tests, but this task must not wire any new AI runtime into the M1 presentation path.
v2.10.2 MEASUREMENT RULING — this task implements the configurable dual-predicate admission mechanism and three-lane isolation. Test values may prove satisfiability, but no max_concurrency/resource_capacity/reserved fraction is a production-selected value here. Site values remain benchmark outputs owned by T-155/T-159.</x:t>
  </x:si>
  <x:si>
    <x:t xml:space="preserve">Prove a declared job can be admitted under a satisfiable configuration and a too-heavy job is refused by name. Saturate training and batch and prove an online-scoring job still admits inside its reservation. Prove batch never enters the online lane and the same compute_weight is never used as a concurrency count. Existing import/projection/analysis/report behaviour remains green.
The acceptance report labels resource values as TEST_CONFIGURATION unless they come from the named production/site benchmark manifest. No code default is presented as the final capacity decision.</x:t>
  </x:si>
  <x:si>
    <x:t xml:space="preserve">Shared: Core Platform + Worker 3</x:t>
  </x:si>
  <x:si>
    <x:t xml:space="preserve">SHARED — AFTER M2a-P2</x:t>
  </x:si>
  <x:si>
    <x:t xml:space="preserve">Platform scheduler owns generic admission. Worker 3 owns ML lane job classes/tests only after schema/relationship hand-off; no M1 wiring.</x:t>
  </x:si>
  <x:si>
    <x:t xml:space="preserve">T-106 canonical job contract + T-095..T-105 canonical data/relationship path; coordinate with scheduler owner.</x:t>
  </x:si>
  <x:si>
    <x:t xml:space="preserve">v2.10.2 — mechanism separated from benchmark-selected capacity values</x:t>
  </x:si>
  <x:si>
    <x:t xml:space="preserve">F-067 [Very Important] — T-107 correctly replaces the unsatisfiable old weighted-pool rule, but it does not clearly distinguish implementing the admission mechanism from selecting real resource_capacity/max_concurrency/reservation numbers.</x:t>
  </x:si>
  <x:si>
    <x:t xml:space="preserve">F-067 — T-107 implements configurable dual predicates and proves satisfiability with test values only. It must not freeze production capacity constants. T-155/T-159 own measured site values and final selection.</x:t>
  </x:si>
  <x:si>
    <x:t xml:space="preserve">WAIT for Presentation RC freeze/tag + clean index/worktree. Then: T-106 canonical job contract + T-095..T-105 canonical data/relationship path;...</x:t>
  </x:si>
  <x:si>
    <x:t xml:space="preserve">T-108</x:t>
  </x:si>
  <x:si>
    <x:t xml:space="preserve">stage_watermarks and delta-scoped projection</x:t>
  </x:si>
  <x:si>
    <x:t xml:space="preserve">Delta propagation</x:t>
  </x:si>
  <x:si>
    <x:t xml:space="preserve">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x:t>
  </x:si>
  <x:si>
    <x:t xml:space="preserve">Change one source row and confirm projection processes a bounded delta rather than a full scan, evidenced by rows-scanned telemetry.</x:t>
  </x:si>
  <x:si>
    <x:t xml:space="preserve">T-109</x:t>
  </x:si>
  <x:si>
    <x:t xml:space="preserve">Delta-scoped feature refresh and analysis, with telemetry and ML hand-off</x:t>
  </x:si>
  <x:si>
    <x:t xml:space="preserve">Extend the stage-watermark mechanism into the canonical feature refresh and analysis path. The task owns delta discovery, dirty-feature identification and telemetry only; training must never read feature_store directly. Expose a bounded changed-population contract that Worker 3's Snapshot Materialiser consumes later. Do not add temporary M1/presentation schema dependencies.</x:t>
  </x:si>
  <x:si>
    <x:t xml:space="preserve">Insert one bounded delta and prove only affected feature rows and analyses are recomputed. Record rows scanned, rows changed and Scan Amplification. Assert no training/encoding component is reachable from this task and the output contract contains no customer table name.</x:t>
  </x:si>
  <x:si>
    <x:t xml:space="preserve">W3 AFTER M2a-P2</x:t>
  </x:si>
  <x:si>
    <x:t xml:space="preserve">Implement only against final canonical feature/delta contracts. Never read presentation compatibility tables or wire training.</x:t>
  </x:si>
  <x:si>
    <x:t xml:space="preserve">T-095..T-105; T-108</x:t>
  </x:si>
  <x:si>
    <x:t xml:space="preserve">EXPANDED / REWRITTEN v2.10</x:t>
  </x:si>
  <x:si>
    <x:t xml:space="preserve">Worker 3 AFTER M2a-P2</x:t>
  </x:si>
  <x:si>
    <x:t xml:space="preserve">WAIT for Presentation RC freeze/tag + clean index/worktree. Then: T-095..T-105; T-108</x:t>
  </x:si>
  <x:si>
    <x:t xml:space="preserve">T-110</x:t>
  </x:si>
  <x:si>
    <x:t xml:space="preserve">Chunk manifests, checkpoint, resume and deterministic merge</x:t>
  </x:si>
  <x:si>
    <x:t xml:space="preserve">Implement Chapter 4 5.3.9.6a: bounded chunks with receipts, checkpoint and resume after interruption, and a deterministic merge so a resumed run produces the same result as an uninterrupted one.</x:t>
  </x:si>
  <x:si>
    <x:t xml:space="preserve">Kill a running job at 60 percent, restart it, and confirm the final result is byte-identical to an uninterrupted run over the same input.</x:t>
  </x:si>
  <x:si>
    <x:t xml:space="preserve">T-111</x:t>
  </x:si>
  <x:si>
    <x:t xml:space="preserve">Scan budget and the Scan Amplification metric</x:t>
  </x:si>
  <x:si>
    <x:t xml:space="preserve">Monitoring</x:t>
  </x:si>
  <x:si>
    <x:t xml:space="preserve">Add scan admission and the Scan Amplification Ratio from Chapter 6 6.1.12.2a, with a baseline and a regression gate that fails the build when amplification rises beyond the baseline.</x:t>
  </x:si>
  <x:si>
    <x:t xml:space="preserve">Record a baseline, then deliberately remove a delta scope and confirm the gate goes red. Restore and confirm green.</x:t>
  </x:si>
  <x:si>
    <x:t xml:space="preserve">T-112</x:t>
  </x:si>
  <x:si>
    <x:t xml:space="preserve">Force RLS on every tenant-owned table with an architecture test</x:t>
  </x:si>
  <x:si>
    <x:t xml:space="preserve">Security</x:t>
  </x:si>
  <x:si>
    <x:t xml:space="preserve">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x:t>
  </x:si>
  <x:si>
    <x:t xml:space="preserve">A query listing tenant-owned tables without a policy returns zero rows. Add a new tenant table in a branch and confirm the architecture test goes red before it is merged.</x:t>
  </x:si>
  <x:si>
    <x:t xml:space="preserve">v2.10.2 — promoted to M2b persistence release gate</x:t>
  </x:si>
  <x:si>
    <x:t xml:space="preserve">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x:t>
  </x:si>
  <x:si>
    <x:t xml:space="preserve">F-063 — Every new tenant-owned table must receive tenant key, tenant-first uniqueness and FORCE RLS at creation. T-112/T-114 (or their proven architecture guards) become release gates for M2b persistence. T-135 becomes a cross-table audit/ratchet, not the first time security is applied.</x:t>
  </x:si>
  <x:si>
    <x:t xml:space="preserve">T-087/T-088 canonical migration authority available; establish FORCE RLS guard before any new M2b tenant-owned persistence is allowed.</x:t>
  </x:si>
  <x:si>
    <x:t xml:space="preserve">Customer-release administration/security must be functional and server/DB enforced; frontend-only hiding is not authorization.</x:t>
  </x:si>
  <x:si>
    <x:t xml:space="preserve">WAIT for Presentation RC freeze/tag + clean index/worktree. Then: T-087/T-088 canonical migration authority available; establish FORCE RLS guar...</x:t>
  </x:si>
  <x:si>
    <x:t xml:space="preserve">T-113</x:t>
  </x:si>
  <x:si>
    <x:t xml:space="preserve">Secret and configuration hygiene</x:t>
  </x:si>
  <x:si>
    <x:t xml:space="preserve">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x:t>
  </x:si>
  <x:si>
    <x:t xml:space="preserve">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x:t>
  </x:si>
  <x:si>
    <x:t xml:space="preserve">F-078 [Critical] — F7 System Settings /admin/settings and F8 Translation and Language /admin/translation are target pages. Current repo contains presentation-era translations but no final target routes and no backlog owner for installation settings/time zone/data boundary or governed translation packs.</x:t>
  </x:si>
  <x:si>
    <x:t xml:space="preserve">F-078 — Add T-200 for canonical System Settings and Translation/Language surfaces. T-113 configuration hygiene remains security plumbing, not this customer administration contract.</x:t>
  </x:si>
  <x:si>
    <x:t xml:space="preserve">T-114</x:t>
  </x:si>
  <x:si>
    <x:t xml:space="preserve">Tenant keys, tenant-aware uniqueness and canonical namespace on new APIs</x:t>
  </x:si>
  <x:si>
    <x:t xml:space="preserve">Apply tenant keys and tenant-aware uniqueness to every table introduced in M1 and M2a, and put every new endpoint on the canonical namespace from the outset so the migration does not have to catch up with new work.</x:t>
  </x:si>
  <x:si>
    <x:t xml:space="preserve">Insert the same natural key for two tenants and confirm both persist. A test asserting every endpoint added after this date matches the canonical domain pattern.</x:t>
  </x:si>
  <x:si>
    <x:t xml:space="preserve">T-087 + T-089/T-090 + T-095/T-099 canonical M2a tables available; establish tenant-first uniqueness/API law before M2b persistence.</x:t>
  </x:si>
  <x:si>
    <x:t xml:space="preserve">WAIT for Presentation RC freeze/tag + clean index/worktree. Then: T-087 + T-089/T-090 + T-095/T-099 canonical M2a tables available; establish t...</x:t>
  </x:si>
  <x:si>
    <x:t xml:space="preserve">T-115</x:t>
  </x:si>
  <x:si>
    <x:t xml:space="preserve">Fresh-install Rule 2 acceptance test, ephemeral</x:t>
  </x:si>
  <x:si>
    <x:t xml:space="preserve">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x:t>
  </x:si>
  <x:si>
    <x:t xml:space="preserve">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x:t>
  </x:si>
  <x:si>
    <x:t xml:space="preserve">T-116</x:t>
  </x:si>
  <x:si>
    <x:t xml:space="preserve">API namespace migration, part 1: map the 92 prefixes onto the 27 domains and stand up dual-serve</x:t>
  </x:si>
  <x:si>
    <x:t xml:space="preserve">Namespace</x:t>
  </x:si>
  <x:si>
    <x:t xml:space="preserve">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x:t>
  </x:si>
  <x:si>
    <x:t xml:space="preserve">Every one of the 544 routes appears exactly once in the mapping table. Both the old and the new path return identical responses for a sample of twenty routes.</x:t>
  </x:si>
  <x:si>
    <x:t xml:space="preserve">F-069 [Critical] — T-117 explicitly says legacy API dual-serve removal must be a named follow-up task, but v2.10.1 contains no owner for removing the old aliases. Frontend redirect cleanup T-149 is a different surface.</x:t>
  </x:si>
  <x:si>
    <x:t xml:space="preserve">F-069 — Add T-194: retire legacy API dual-serve aliases after client migration and canonical-journey continuity proves no consumer uses them.</x:t>
  </x:si>
  <x:si>
    <x:t xml:space="preserve">T-117</x:t>
  </x:si>
  <x:si>
    <x:t xml:space="preserve">API namespace migration, part 2: migrate the clients and add the token gate</x:t>
  </x:si>
  <x:si>
    <x:t xml:space="preserve">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x:t>
  </x:si>
  <x:si>
    <x:t xml:space="preserve">A test asserting no registered route matches /phase\d+|\/v\d+\/|p\d\d/. Open the browser network tab during the golden journey and confirm no request URL carries a phase or version token.</x:t>
  </x:si>
  <x:si>
    <x:t xml:space="preserve">T-118</x:t>
  </x:si>
  <x:si>
    <x:t xml:space="preserve">M2a-P4</x:t>
  </x:si>
  <x:si>
    <x:t xml:space="preserve">J1 to J3 commissioning built for real</x:t>
  </x:si>
  <x:si>
    <x:t xml:space="preserve">Commissioning</x:t>
  </x:si>
  <x:si>
    <x:t xml:space="preserve">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x:t>
  </x:si>
  <x:si>
    <x:t xml:space="preserve">Commission a site from an empty database following only the runbook, with no developer intervention and no database console. Confirm the customer administrator is not created automatically.</x:t>
  </x:si>
  <x:si>
    <x:t xml:space="preserve">M2A-4 — commissioning/admin/package</x:t>
  </x:si>
  <x:si>
    <x:t xml:space="preserve">T-119</x:t>
  </x:si>
  <x:si>
    <x:t xml:space="preserve">Eight-role catalogue with three enforcement layers</x:t>
  </x:si>
  <x:si>
    <x:t xml:space="preserve">Users and roles</x:t>
  </x:si>
  <x:si>
    <x:t xml:space="preserve">Implement the role catalogue as the shipped default with a three-role minimum as the smallest legal configuration, enforced at the API, the query and the UI layers. FormalRoleAccessMatrix already models capabilities including AssistantChat; extend rather than replace it.</x:t>
  </x:si>
  <x:si>
    <x:t xml:space="preserve">A matrix test asserting every role against every capability, at all three layers. Confirm a viewer cannot author SQL at any licence tier, which is a standing ruling.</x:t>
  </x:si>
  <x:si>
    <x:t xml:space="preserve">T-120</x:t>
  </x:si>
  <x:si>
    <x:t xml:space="preserve">Users and Roles administration surface</x:t>
  </x:si>
  <x:si>
    <x:t xml:space="preserve">Build the F1 Users and Roles page from Chapter 3 4.4 with the ten-field page contract. The code itself records that Users and Roles and System Health are missing from the UI.</x:t>
  </x:si>
  <x:si>
    <x:t xml:space="preserve">Create, edit, disable and re-enable a user, and change a role assignment, entirely through the interface. Confirm the audit layer records each change.</x:t>
  </x:si>
  <x:si>
    <x:t xml:space="preserve">T-121</x:t>
  </x:si>
  <x:si>
    <x:t xml:space="preserve">Licence and entitlement enforcement</x:t>
  </x:si>
  <x:si>
    <x:t xml:space="preserve">Licence</x:t>
  </x:si>
  <x:si>
    <x:t xml:space="preserve">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
v2.10.2 PAGE-COVERAGE EXPANSION — this owner also delivers the required F3 Authoring Quota and Limits route /admin/quota. F2 shows licence/entitlement and total meters; F3 allocates authoring quotas by role/user with current consumption, Amber at &gt;=80%, create disabled at 100%, and no lost draft.</x:t>
  </x:si>
  <x:si>
    <x:t xml:space="preserve">Exceed a meter and confirm the import queues and the job waits for a slot rather than failing. Confirm the customer can see their own approach to each meter in the interface, since a limit the customer cannot see is a trap.
In addition to licence-meter tests, open /admin/quota, change one role quota and one user override, approach 80% and 100%, and prove warning/disable semantics plus audit. Non-admin roles are denied by the final page contract.</x:t>
  </x:si>
  <x:si>
    <x:t xml:space="preserve">T-119 role catalogue/enforcement + licence authority.</x:t>
  </x:si>
  <x:si>
    <x:t xml:space="preserve">v2.10.2 — F3 /admin/quota target page added to existing licence/meter owner</x:t>
  </x:si>
  <x:si>
    <x:t xml:space="preserve">F-079 [Very Important] — F3 Authoring Quota and Limits /admin/quota is absent in the latest frontend route audit. T-121 owns metering and says every meter is visible but does not explicitly own the required F3 route/role-user allocation matrix.</x:t>
  </x:si>
  <x:si>
    <x:t xml:space="preserve">F-079 — Expand T-121 to deliver both F2 licence/meter enforcement and the separate F3 /admin/quota surface with role/user quotas, 80% warning and 100% create-disable semantics.</x:t>
  </x:si>
  <x:si>
    <x:t xml:space="preserve">WAIT for Presentation RC freeze/tag + clean index/worktree. Then: T-119 role catalogue/enforcement + licence authority.</x:t>
  </x:si>
  <x:si>
    <x:t xml:space="preserve">T-122</x:t>
  </x:si>
  <x:si>
    <x:t xml:space="preserve">Container architecture and configuration profiles, including isolated ML runtimes</x:t>
  </x:si>
  <x:si>
    <x:t xml:space="preserve">Deployment</x:t>
  </x:si>
  <x:si>
    <x:t xml:space="preserve">Implement the Chapter 6 container/profile architecture and include the frozen AI runtime split: ppiq-worker for ordinary batch work including ml.batch_scoring, ppiq-ml-train for ml.training, and ppiq-ml-online for hard-reserved online scoring only. Keep assistant serving behind ModelServingRuntime/model gateway. No training module may be imported by the online container. Preserve the same signed application artifact and profile-driven deployment.</x:t>
  </x:si>
  <x:si>
    <x:t xml:space="preserve">Bring up each profile from a clean machine. Prove ppiq-ml-online admits online scoring only, has a warm-model readiness check, and fails a dependency test if a trainer module is imported. Prove training/batch saturation cannot consume the online reservation. All existing non-ML containers remain healthy.</x:t>
  </x:si>
  <x:si>
    <x:t xml:space="preserve">Shared: Infrastructure + Worker 3</x:t>
  </x:si>
  <x:si>
    <x:t xml:space="preserve">SHARED — AFTER M2a-P3</x:t>
  </x:si>
  <x:si>
    <x:t xml:space="preserve">Infrastructure owns containers/profiles; Worker 3 owns ML runtime readiness/dependency tests. No presentation-profile changes.</x:t>
  </x:si>
  <x:si>
    <x:t xml:space="preserve">T-106 + T-107 + T-112 + T-113 + T-114 + T-117; T-137/T-168 runtime contracts available.</x:t>
  </x:si>
  <x:si>
    <x:t xml:space="preserve">v2.10.2 — explicit scheduler/security/runtime prerequisites</x:t>
  </x:si>
  <x:si>
    <x:t xml:space="preserve">WAIT for Presentation RC freeze/tag + clean index/worktree. Then: T-106 + T-107 + T-112 + T-113 + T-114 + T-117; T-137/T-168 runtime contracts ...</x:t>
  </x:si>
  <x:si>
    <x:t xml:space="preserve">T-123</x:t>
  </x:si>
  <x:si>
    <x:t xml:space="preserve">Install package, migration runner, upgrade and rollback</x:t>
  </x:si>
  <x:si>
    <x:t xml:space="preserve">Build the fresh installation and upgrade paths from Chapter 6 6.1.4, including what an upgrade may never do, and a rollback path. Migration runs as a deployment step rather than as a manual action.</x:t>
  </x:si>
  <x:si>
    <x:t xml:space="preserve">Install on a clean machine, upgrade from the previous version, then roll back. All three complete without manual database intervention. Run the fourteen post-deployment acceptance checks from 6.1.4.6.</x:t>
  </x:si>
  <x:si>
    <x:t xml:space="preserve">T-124</x:t>
  </x:si>
  <x:si>
    <x:t xml:space="preserve">Backup with a tested restore acceptance procedure</x:t>
  </x:si>
  <x:si>
    <x:t xml:space="preserve">Backup</x:t>
  </x:si>
  <x:si>
    <x:t xml:space="preserve">Chapter 6 6.1.11 requires not just backup but a tested restore acceptance procedure with a consistency rule. Implement schedule, retention, encryption and the restore rehearsal.</x:t>
  </x:si>
  <x:si>
    <x:t xml:space="preserve">Perform a real restore into a clean environment and run the acceptance procedure against it. A backup that has never been restored does not count as a backup.</x:t>
  </x:si>
  <x:si>
    <x:t xml:space="preserve">F-077 [Critical] — F9 Log Retention and Archival /admin/log-retention is the only allowed destructive log-history policy surface and carries dry-run, archive-before-delete, legal hold and audit minimums. No route/task currently owns it.</x:t>
  </x:si>
  <x:si>
    <x:t xml:space="preserve">F-077 — Add T-199. Backup/restore T-124 is not a substitute for governed log-retention/archival.</x:t>
  </x:si>
  <x:si>
    <x:t xml:space="preserve">T-125</x:t>
  </x:si>
  <x:si>
    <x:t xml:space="preserve">Minimum monitoring, health and alerting</x:t>
  </x:si>
  <x:si>
    <x:t xml:space="preserve">Implement the minimum from Chapter 6 6.1.12 required to operate a soft test: per-component metrics, alert severity and escalation, and the operational dashboard. Full observability and SLOs are M3.</x:t>
  </x:si>
  <x:si>
    <x:t xml:space="preserve">Trigger each alert condition deliberately and confirm it fires with the correct severity and reaches the configured channel.</x:t>
  </x:si>
  <x:si>
    <x:t xml:space="preserve">F-075 [Critical] — Chapter 3 requires E6 Alert Routing and Escalation /alert-routing with routing rules, retries, dead letters, quiet periods and escalation. Latest frontend audit has no route and no backlog task owns the capability.</x:t>
  </x:si>
  <x:si>
    <x:t xml:space="preserve">F-075 — Add T-197 before T-127 canonical J15 regression.</x:t>
  </x:si>
  <x:si>
    <x:t xml:space="preserve">T-126</x:t>
  </x:si>
  <x:si>
    <x:t xml:space="preserve">Support runbook and UAT dataset and configuration import</x:t>
  </x:si>
  <x:si>
    <x:t xml:space="preserve">Handover</x:t>
  </x:si>
  <x:si>
    <x:t xml:space="preserve">Write the runbook the customer's own operator will follow, and build the path to import the customer's UAT dataset and configuration. Include the operator, data engineer and administrator sections.</x:t>
  </x:si>
  <x:si>
    <x:t xml:space="preserve">A person who has not worked on the project commissions a site and completes one import following only the runbook. Every step they had to ask about is a defect in the runbook.</x:t>
  </x:si>
  <x:si>
    <x:t xml:space="preserve">T-127</x:t>
  </x:si>
  <x:si>
    <x:t xml:space="preserve">Canonical journey regression and the Continuity comparison</x:t>
  </x:si>
  <x:si>
    <x:t xml:space="preserve">Run J1 to J15 against a normal ppiq_app database with no presentation shortcut and no demonstration-only code path. Then run the Customer Contract Continuity comparison against the snapshots captured at the end of M1.</x:t>
  </x:si>
  <x:si>
    <x:t xml:space="preserve">The journey passes on the canonical database. The continuity comparison shows no change to navigation, control placement, authoring flow, terminology or refusal semantics. Any difference is a defect in M2, not an improvement.</x:t>
  </x:si>
  <x:si>
    <x:t xml:space="preserve">All M2a canonical-core/user-visible owners complete, including T-196/T-197/T-198/T-199/T-200 and expanded T-121. T-194 runs after this continuity proof to retire API aliases.</x:t>
  </x:si>
  <x:si>
    <x:t xml:space="preserve">v2.10.2 — canonical J1-J15 now gates newly discovered target-route owners</x:t>
  </x:si>
  <x:si>
    <x:t xml:space="preserve">F-069 [Critical] — T-117 explicitly says legacy API dual-serve removal must be a named follow-up task, but v2.10.1 contains no owner for removing the old aliases. Frontend redirect cleanup T-149 is a different surface.
F-075 [Critical] — Chapter 3 requires E6 Alert Routing and Escalation /alert-routing with routing rules, retries, dead letters, quiet periods and escalation. Latest frontend audit has no route and no backlog task owns the capability.
F-076 [Critical] — F5 Logging and Audit /admin/logs and F6 Log Channel Configuration /admin/log-channels are target pages. Audit logging exists in backend, but latest frontend audit has neither route and no task owns final log-channel authority/UI.
F-077 [Critical] — F9 Log Retention and Archival /admin/log-retention is the only allowed destructive log-history policy surface and carries dry-run, archive-before-delete, legal hold and audit minimums. No route/task currently owns it.
F-078 [Critical] — F7 System Settings /admin/settings and F8 Translation and Language /admin/translation are target pages. Current repo contains presentation-era translations but no final target routes and no backlog owner for installation settings/time zone/data boundary or governed translation packs.</x:t>
  </x:si>
  <x:si>
    <x:t xml:space="preserve">F-069 — Add T-194: retire legacy API dual-serve aliases after client migration and canonical-journey continuity proves no consumer uses them.
F-075 — Add T-197 before T-127 canonical J15 regression.
F-076 — Add T-198 to converge logging/audit read surface and canonical log-channel configuration, preserving audit immutability and role-scoped family visibility.
F-077 — Add T-199. Backup/restore T-124 is not a substitute for governed log-retention/archival.
F-078 — Add T-200 for canonical System Settings and Translation/Language surfaces. T-113 configuration hygiene remains security plumbing, not this customer administration contract.</x:t>
  </x:si>
  <x:si>
    <x:t xml:space="preserve">WAIT for Presentation RC freeze/tag + clean index/worktree. Then: All M2a canonical-core/user-visible owners complete, including T-196/T-197/T-...</x:t>
  </x:si>
  <x:si>
    <x:t xml:space="preserve">Continuity green → W1 executes T-194; M2a release gate may close.</x:t>
  </x:si>
  <x:si>
    <x:t xml:space="preserve">T-128</x:t>
  </x:si>
  <x:si>
    <x:t xml:space="preserve">M2b</x:t>
  </x:si>
  <x:si>
    <x:t xml:space="preserve">M2b-P1</x:t>
  </x:si>
  <x:si>
    <x:t xml:space="preserve">Feature store, outcome store and immutable snapshot metadata</x:t>
  </x:si>
  <x:si>
    <x:t xml:space="preserve">Intelligence store</x:t>
  </x:si>
  <x:si>
    <x:t xml:space="preserve">Use only final ppiq_meta/ppiq_plant authority and published relationship model. Do not depend on M1 compatibility/presentation tables.</x:t>
  </x:si>
  <x:si>
    <x:t xml:space="preserve">v2.10.2 — tenant/RLS security hand-off added</x:t>
  </x:si>
  <x:si>
    <x:t xml:space="preserve">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F-064 [Critical] — Worker-3 lane labels T-183/T-128 and dependent persistence as 'after M2a-P2', but their tables are tenant-owned and therefore require the M2a-P3 security/tenant guard from T-112/T-114.
F-082 [Very Important] — Phase Summary says all M2b-P1 starts after M2a-P2, but production persistence needs security/tenant authority from M2a-P3 while pure computation can start earlier.</x:t>
  </x:si>
  <x:si>
    <x:t xml:space="preserve">Intelligence/AI/ML/Assistant canonical integration</x:t>
  </x:si>
  <x:si>
    <x:t xml:space="preserve">AI/ML production integration</x:t>
  </x:si>
  <x:si>
    <x:t xml:space="preserve">M2B-1 — canonical intelligence persistence</x:t>
  </x:si>
  <x:si>
    <x:t xml:space="preserve">T-087..T-105 + T-112 + T-114 security/tenant hand-off. Outcome semantics from...</x:t>
  </x:si>
  <x:si>
    <x:t xml:space="preserve">Own intelligence/ML/Assistant and named intelligence surfaces. W1/W2 forbidden after hand-off.</x:t>
  </x:si>
  <x:si>
    <x:t xml:space="preserve">T-129</x:t>
  </x:si>
  <x:si>
    <x:t xml:space="preserve">Compute runs, findings and common evidence persistence</x:t>
  </x:si>
  <x:si>
    <x:t xml:space="preserve">Unify compute run records, terminal refusal states, gate state/evidence, correlation/findings persistence and evidence handles on the common intelligence substrate. Every new governed run carries semantic_manifest_id once T-183 is present. A refusal is a persisted result state, never an exception-shaped blank screen.</x:t>
  </x:si>
  <x:si>
    <x:t xml:space="preserve">For FINDING and each refusal class, resolve the row to run, manifest, gate evidence and source evidence. Break an evidence handle and prove the result is rejected. Break manifest coverage and prove G-55 refuses the new governed run.</x:t>
  </x:si>
  <x:si>
    <x:t xml:space="preserve">T-128 + T-183 + T-112 + T-114.</x:t>
  </x:si>
  <x:si>
    <x:t xml:space="preserve">v2.10.2 — security/manifest prerequisites explicit</x:t>
  </x:si>
  <x:si>
    <x:t xml:space="preserve">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F-064 [Critical] — Worker-3 lane labels T-183/T-128 and dependent persistence as 'after M2a-P2', but their tables are tenant-owned and therefore require the M2a-P3 security/tenant guard from T-112/T-114.</x:t>
  </x:si>
  <x:si>
    <x:t xml:space="preserve">F-063 — Every new tenant-owned table must receive tenant key, tenant-first uniqueness and FORCE RLS at creation. T-112/T-114 (or their proven architecture guards) become release gates for M2b persistence. T-135 becomes a cross-table audit/ratchet, not the first time security is applied.
F-064 — Change these start conditions to 'after canonical schema/relationship hand-off AND T-112/T-114 security hand-off'. Pure non-persistence kernels may still start earlier.</x:t>
  </x:si>
  <x:si>
    <x:t xml:space="preserve">T-130</x:t>
  </x:si>
  <x:si>
    <x:t xml:space="preserve">Model registry, serving identity, activation and fallback</x:t>
  </x:si>
  <x:si>
    <x:t xml:space="preserve">Model lifecycle</x:t>
  </x:si>
  <x:si>
    <x:t xml:space="preserve">Implement ppiq_plant.model_registry per serving identity (tenant_id, model_code, outcome_code, grain_code) plus model_version. status and serving_role are independent; at most one active and one approved fallback exist per serving identity, and one version can never be both. There is no ModelBundle. Store artifact identity, semantic_manifest_id, acceptance floors, quality/serving/training metrics and drift observations. Promotion policy itself is implemented by T-176 and wired by T-187.</x:t>
  </x:si>
  <x:si>
    <x:t xml:space="preserve">Create two serving identities with identical model_code but different outcome/grain and prove independent activation. Attempt duplicate active/fallback rows and primary=fallback and prove the database refuses them. Activate, retire and fall back atomically with every transition audited and manifest-resolvable.</x:t>
  </x:si>
  <x:si>
    <x:t xml:space="preserve">T-131</x:t>
  </x:si>
  <x:si>
    <x:t xml:space="preserve">Practice signature, windowing, context and cohorts</x:t>
  </x:si>
  <x:si>
    <x:t xml:space="preserve">Practice learning</x:t>
  </x:si>
  <x:si>
    <x:t xml:space="preserve">Implement the production practice-learning core: canonical signature construction, parameter windowing, declared context and comparison cohort. The engine consumes governed data-product contracts only and contains no source table/industry vocabulary. Persistence and the D10 surface remain T-133.</x:t>
  </x:si>
  <x:si>
    <x:t xml:space="preserve">Against the certified M2 reference dataset, recover the planted good-practice band and refuse/avoid the null control. Run a genericity test showing the kernel receives only semantic codes/data-product fields, never source identifiers.</x:t>
  </x:si>
  <x:si>
    <x:t xml:space="preserve">T-086 + T-128 + T-171</x:t>
  </x:si>
  <x:si>
    <x:t xml:space="preserve">T-132</x:t>
  </x:si>
  <x:si>
    <x:t xml:space="preserve">Support, confidence, back-off ladder and tolerance sensitivity</x:t>
  </x:si>
  <x:si>
    <x:t xml:space="preserve">Add support/confidence ranking, sparse-cohort back-off, resampling stability and tolerance sensitivity to practice learning. A result that changes materially under reasonable tolerance changes is explicitly marked sensitive rather than promoted as stable.</x:t>
  </x:si>
  <x:si>
    <x:t xml:space="preserve">A stable practice survives resampling and is ranked with support. A sparse cohort walks the declared back-off ladder. Widen tolerance and prove a flipping practice is marked sensitive with the tested settings persisted.</x:t>
  </x:si>
  <x:si>
    <x:t xml:space="preserve">T-133</x:t>
  </x:si>
  <x:si>
    <x:t xml:space="preserve">M2b-P2</x:t>
  </x:si>
  <x:si>
    <x:t xml:space="preserve">Practice persistence, drift and canonical D10 Practice Insights</x:t>
  </x:si>
  <x:si>
    <x:t xml:space="preserve">Persist practice_statistics/signatures with semantic_manifest_id and evidence, implement practice drift against the plant's own demonstrated best, and replace the M1 presentation adapter behind D10 with canonical sources without changing the frozen D10 visible contract.</x:t>
  </x:si>
  <x:si>
    <x:t xml:space="preserve">Move operating data away from the learned band and prove drift is detected, persisted and surfaced with evidence. Run the M1 continuity snapshot for D10 and prove no route, control, wording or state-semantics regression.</x:t>
  </x:si>
  <x:si>
    <x:t xml:space="preserve">W3 AFTER M2b-P1</x:t>
  </x:si>
  <x:si>
    <x:t xml:space="preserve">Canonical integration/cutover only. Preserve M1 visible contract; remove presentation backing only after continuity evidence exists.</x:t>
  </x:si>
  <x:si>
    <x:t xml:space="preserve">T-131 + T-132 + T-183</x:t>
  </x:si>
  <x:si>
    <x:t xml:space="preserve">Worker 3 AFTER M2b-P1</x:t>
  </x:si>
  <x:si>
    <x:t xml:space="preserve">T-134</x:t>
  </x:si>
  <x:si>
    <x:t xml:space="preserve">Bindable intelligence registry and evidence handles</x:t>
  </x:si>
  <x:si>
    <x:t xml:space="preserve">Make intelligence a first-class bindable source through registry_intelligence_sources. Fact-shaped measures may project through WidgetFact; native-grain rich sources retain declared columns. Predictions, findings, practice, readiness and model-state sources appear in the normal authoring shell with resolvable evidence.
v2.10.2 PHASE CORRECTION — this task builds the generic bindable-intelligence registry/evidence mechanism and registers only canonical sources that actually exist at this point. Do not promise prediction bindings before T-139 creates canonical predictions; T-139/T-189 register those sources later through the same mechanism.</x:t>
  </x:si>
  <x:si>
    <x:t xml:space="preserve">Bind one fact-shaped and one native-rich intelligence source through the standard authoring shell, filter/drill both and open evidence. Break an evidence handle and prove the widget refuses rather than rendering an uncited number. No ML-specific widget branch exists.</x:t>
  </x:si>
  <x:si>
    <x:t xml:space="preserve">T-090 definition authority + T-095/T-096 relationship resolver + available canonical intelligence sources (T-129/T-130/T-133/T-186 as applicable). Do not depend on future T-139 prediction rows.</x:t>
  </x:si>
  <x:si>
    <x:t xml:space="preserve">v2.10.2 — removed impossible early prediction registration / circular broad dependency</x:t>
  </x:si>
  <x:si>
    <x:t xml:space="preserve">F-065 [Critical] — T-134 promises predictions, findings, practice, readiness and model-state as bindable sources in M2b-P1, but canonical predictions do not exist until T-139 in P3. It also depends on T-128..T-135, while T-135 is written as covering future intelligence tables, creating a circular completion interpretation.</x:t>
  </x:si>
  <x:si>
    <x:t xml:space="preserve">F-065 — T-134 builds the generic registry/evidence binding mechanism and registers only sources that exist at that point. T-139/T-189 register prediction sources when created. T-135 is a security ratchet over current tables plus an architecture test that forces all future tables to comply.</x:t>
  </x:si>
  <x:si>
    <x:t xml:space="preserve">T-090 definition authority + T-095/T-096 relationship resolver + available ca...</x:t>
  </x:si>
  <x:si>
    <x:t xml:space="preserve">T-135</x:t>
  </x:si>
  <x:si>
    <x:t xml:space="preserve">Tenant-aware uniqueness across the intelligence tables</x:t>
  </x:si>
  <x:si>
    <x:t xml:space="preserve">Apply tenant ownership, tenant-first uniqueness and RLS to every new intelligence table in the frozen design, including model, prediction, practice, index-generation, capability/readiness and run/evidence tables. Semantic manifests use manifest_id PK plus UNIQUE(tenant_id, manifest_hash).
v2.10.2 SECURITY-RATChET RULING — T-135 is not the first time RLS is applied. T-112/T-114 establish the mandatory pattern before M2b persistence. T-135 audits current intelligence tables and adds/extends the architecture ratchet so every future tenant-owned intelligence table fails CI if tenant_id, tenant-first uniqueness or FORCE RLS is missing.</x:t>
  </x:si>
  <x:si>
    <x:t xml:space="preserve">Insert identical natural keys for two tenants and prove both persist. Prove cross-tenant reads fail from the database alone. The architecture test fails when any new tenant-owned intelligence table lacks forced RLS or tenant-first uniqueness.</x:t>
  </x:si>
  <x:si>
    <x:t xml:space="preserve">T-112 + T-114 + current M2b persistence tables (including T-128/T-129/T-130/T-183 as they land). Future tasks consume the ratchet.</x:t>
  </x:si>
  <x:si>
    <x:t xml:space="preserve">v2.10.2 — security retrofit converted to continuous architecture ratchet</x:t>
  </x:si>
  <x:si>
    <x:t xml:space="preserve">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F-065 [Critical] — T-134 promises predictions, findings, practice, readiness and model-state as bindable sources in M2b-P1, but canonical predictions do not exist until T-139 in P3. It also depends on T-128..T-135, while T-135 is written as covering future intelligence tables, creating a circular completion interpretation.</x:t>
  </x:si>
  <x:si>
    <x:t xml:space="preserve">F-063 — Every new tenant-owned table must receive tenant key, tenant-first uniqueness and FORCE RLS at creation. T-112/T-114 (or their proven architecture guards) become release gates for M2b persistence. T-135 becomes a cross-table audit/ratchet, not the first time security is applied.
F-065 — T-134 builds the generic registry/evidence binding mechanism and registers only sources that exist at that point. T-139/T-189 register prediction sources when created. T-135 is a security ratchet over current tables plus an architecture test that forces all future tables to comply.</x:t>
  </x:si>
  <x:si>
    <x:t xml:space="preserve">T-112 + T-114 + current M2b persistence tables (including T-128/T-129/T-130/T...</x:t>
  </x:si>
  <x:si>
    <x:t xml:space="preserve">T-136</x:t>
  </x:si>
  <x:si>
    <x:t xml:space="preserve">Incremental practice recomputation</x:t>
  </x:si>
  <x:si>
    <x:t xml:space="preserve">Make practice recomputation incremental using M2a stage watermarks and changed-population contracts. Recompute only affected cohorts/signatures and preserve prior immutable evidence for unaffected historical results.</x:t>
  </x:si>
  <x:si>
    <x:t xml:space="preserve">Add one day of data and prove recomputation scans a bounded delta, Scan Amplification stays inside the declared baseline, and unaffected practice rows/evidence hashes do not change.</x:t>
  </x:si>
  <x:si>
    <x:t xml:space="preserve">T-109 + T-131..T-133</x:t>
  </x:si>
  <x:si>
    <x:t xml:space="preserve">M2B-2 — runtime/model integration</x:t>
  </x:si>
  <x:si>
    <x:t xml:space="preserve">T-137</x:t>
  </x:si>
  <x:si>
    <x:t xml:space="preserve">M2b-P0B</x:t>
  </x:si>
  <x:si>
    <x:t xml:space="preserve">ModelServingRuntime and model-gateway adapter, isolated from the presentation dock</x:t>
  </x:si>
  <x:si>
    <x:t xml:space="preserve">LLM runtime</x:t>
  </x:si>
  <x:si>
    <x:t xml:space="preserve">Replace the obsolete provider-specific POST assumption with a replaceable ModelServingRuntime plus model-gateway adapter. Support self-hosted/private/BYOM endpoints, minimum-scoped evidence payloads, provider/model release identity, timeout/cancellation and no-unapproved-fallback. IMPLEMENT NOW ONLY AS AN ISOLATED MODULE: do not register it into the current assistant DI or change the M1 dock/runtime. Canonical wiring happens in T-138.</x:t>
  </x:si>
  <x:si>
    <x:t xml:space="preserve">Standalone contract tests run against a deterministic fake runtime and an HTTP translating stub. They prove minimum-scoped payload, timeout/cancel, governed provider/model identity, and refusal on unapproved fallback. A repository dependency test proves no production assistant registration or M1 route/file changed in this task.</x:t>
  </x:si>
  <x:si>
    <x:t xml:space="preserve">Isolated implementation only: new module/files/tests; NO production DI registration, DB migration, route/page edit, presentation schema/data edit or M1 runtime cutover.</x:t>
  </x:si>
  <x:si>
    <x:t xml:space="preserve">None beyond current repository/build; exact-file staging only</x:t>
  </x:si>
  <x:si>
    <x:t xml:space="preserve">56a2c37c ModelServingRuntime isolated module</x:t>
  </x:si>
  <x:si>
    <x:t xml:space="preserve">CLOSED — do not reopen</x:t>
  </x:si>
  <x:si>
    <x:t xml:space="preserve">Closed Foundation</x:t>
  </x:si>
  <x:si>
    <x:t xml:space="preserve">Isolated foundation. Do not count it as production-ready intelligence until canonical persistence/cutover tasks close.</x:t>
  </x:si>
  <x:si>
    <x:t xml:space="preserve">T-138</x:t>
  </x:si>
  <x:si>
    <x:t xml:space="preserve">M2b-P4</x:t>
  </x:si>
  <x:si>
    <x:t xml:space="preserve">Canonical Assistant runtime cutover: planner, retrieval, evidence packing, serving and verifier</x:t>
  </x:si>
  <x:si>
    <x:t xml:space="preserve">Re-run the certified M1 question pack and continuity snapshot. Every numeric claim resolves to a supplied handle, permission filtering occurs before ranking, truncation is disclosed, an engine refusal stays a refusal, and a fabricated/unsupported claim is blocked before display. No prepared presentation corpus is required.</x:t>
  </x:si>
  <x:si>
    <x:t xml:space="preserve">W3 AFTER M2b-P2</x:t>
  </x:si>
  <x:si>
    <x:t xml:space="preserve">Cut over internals only; G1 dock route/layout/wording remain frozen. No presentation corpus fallback after canonical cutover.</x:t>
  </x:si>
  <x:si>
    <x:t xml:space="preserve">T-137 + T-179..T-181 + T-134 + T-188</x:t>
  </x:si>
  <x:si>
    <x:t xml:space="preserve">Worker 3 AFTER M2b-P2</x:t>
  </x:si>
  <x:si>
    <x:t xml:space="preserve">Production integration/cutover on final schema/security authority. This is what turns isolated kernels into customer-shippable intelligence.</x:t>
  </x:si>
  <x:si>
    <x:t xml:space="preserve">M2B-4 — cutover/gates</x:t>
  </x:si>
  <x:si>
    <x:t xml:space="preserve">T-139</x:t>
  </x:si>
  <x:si>
    <x:t xml:space="preserve">M2b-P3</x:t>
  </x:si>
  <x:si>
    <x:t xml:space="preserve">prediction_runs, predictions and prediction_current</x:t>
  </x:si>
  <x:si>
    <x:t xml:space="preserve">Prediction</x:t>
  </x:si>
  <x:si>
    <x:t xml:space="preserve">Use canonical model/prediction/remediation stores only; preserve M1 UI contract on frontend cutovers.</x:t>
  </x:si>
  <x:si>
    <x:t xml:space="preserve">M2B-3 — prediction/remediation</x:t>
  </x:si>
  <x:si>
    <x:t xml:space="preserve">T-130 + T-187</x:t>
  </x:si>
  <x:si>
    <x:t xml:space="preserve">T-140</x:t>
  </x:si>
  <x:si>
    <x:t xml:space="preserve">Prediction drivers and comparables, persisted</x:t>
  </x:si>
  <x:si>
    <x:t xml:space="preserve">Persist prediction drivers, explanation metadata and comparable historical cases as evidence-grade rows. Drivers come from the governed explanation artifact and comparables from the served similarity generation; the UI never computes or narrates them from scratch.</x:t>
  </x:si>
  <x:si>
    <x:t xml:space="preserve">Open a prediction and resolve every driver/comparable to persisted model/index/evidence identity. Delete/deny the rows and prove the consuming surface refuses rather than inventing an explanation.</x:t>
  </x:si>
  <x:si>
    <x:t xml:space="preserve">T-139 + T-173/T-176</x:t>
  </x:si>
  <x:si>
    <x:t xml:space="preserve">T-141</x:t>
  </x:si>
  <x:si>
    <x:t xml:space="preserve">Actionable deadline and latency health</x:t>
  </x:si>
  <x:si>
    <x:t xml:space="preserve">Implement actionable_deadline_utc, delivery_latency_seconds, scoring_mode and met_actionable_deadline. Tie online scoring to the hard-reserved ml.online_scoring lane. A late prediction is historical evidence, never actionable.</x:t>
  </x:si>
  <x:si>
    <x:t xml:space="preserve">Saturate training and batch, submit online scoring and measure that the reserved lane still serves. Force a prediction past its actionable deadline and prove it is persisted as late and excluded from actionable presentation.</x:t>
  </x:si>
  <x:si>
    <x:t xml:space="preserve">W3 AFTER M2a-P4</x:t>
  </x:si>
  <x:si>
    <x:t xml:space="preserve">Deadline proof requires the final online-scoring deployment/reservation. No promise based only on priority ordering.</x:t>
  </x:si>
  <x:si>
    <x:t xml:space="preserve">T-107 + T-122 + T-139 + T-187</x:t>
  </x:si>
  <x:si>
    <x:t xml:space="preserve">Worker 3 AFTER M2a-P4</x:t>
  </x:si>
  <x:si>
    <x:t xml:space="preserve">T-142</x:t>
  </x:si>
  <x:si>
    <x:t xml:space="preserve">Remediation candidate generation from the customer's own history</x:t>
  </x:si>
  <x:si>
    <x:t xml:space="preserve">Remediation</x:t>
  </x:si>
  <x:si>
    <x:t xml:space="preserve">Generate remediation candidates from the customer's own governed history by finding comparable early conditions with better later outcomes and the later-stage practices that differed. Persist support, effect range, limitations, evidence and the semantic/model/index identities used. No candidate is a control instruction.</x:t>
  </x:si>
  <x:si>
    <x:t xml:space="preserve">On the certified M2 reference dataset, every emitted candidate meets the declared support threshold, has a bounded effect range and resolvable comparable evidence. Insufficient-support candidates do not emit. No source-system write API is reachable.</x:t>
  </x:si>
  <x:si>
    <x:t xml:space="preserve">T-131/T-132 + T-139/T-140</x:t>
  </x:si>
  <x:si>
    <x:t xml:space="preserve">T-143</x:t>
  </x:si>
  <x:si>
    <x:t xml:space="preserve">Integrate the nine-check remediation gate, can_accept and suppression</x:t>
  </x:si>
  <x:si>
    <x:t xml:space="preserve">Wire the pure decision kernel from T-178 into prediction/remediation persistence and API contracts. Eligibility is per prediction. can_accept is the complete server authority and the client never re-derives it. Outcomes are actionable, evidence_only, exploratory or suppressed; suppressed rows are audited and never shown.</x:t>
  </x:si>
  <x:si>
    <x:t xml:space="preserve">Run one persisted/API case per nine-check failure and per can_accept condition. Prove the same template can be suppressed for one prediction and actionable for another. Search every consuming API/UI payload and prove a suppressed candidate is absent.</x:t>
  </x:si>
  <x:si>
    <x:t xml:space="preserve">T-178 + T-142</x:t>
  </x:si>
  <x:si>
    <x:t xml:space="preserve">T-144</x:t>
  </x:si>
  <x:si>
    <x:t xml:space="preserve">Accept, Reject and Defer with action recording</x:t>
  </x:si>
  <x:si>
    <x:t xml:space="preserve">Feedback loop</x:t>
  </x:si>
  <x:si>
    <x:t xml:space="preserve">Implement Accept, Reject and Defer behind the server-authoritative can_accept boundary, with actor, timestamp and reason. Each decision creates the governed action/decision state only when allowed. PPIQ records human action and never issues a plant control command.</x:t>
  </x:si>
  <x:si>
    <x:t xml:space="preserve">Exercise all three decisions with can_accept true and false. Allowed actions persist actor/reason/state; disallowed actions fail server-side even if a client is modified. A dependency/network test proves no customer-source write/control client is reachable.</x:t>
  </x:si>
  <x:si>
    <x:t xml:space="preserve">T-145</x:t>
  </x:si>
  <x:si>
    <x:t xml:space="preserve">Outcome capture, evaluation and escalation</x:t>
  </x:si>
  <x:si>
    <x:t xml:space="preserve">Capture observed outcomes, prediction/remediation evaluation and escalation records. Intervened instances are reported separately from ordinary prediction-accuracy metrics. Escalation is a record, never an automatic decision.</x:t>
  </x:si>
  <x:si>
    <x:t xml:space="preserve">Accept a candidate, let the outcome arrive and prove evaluation closes the loop with intervention state preserved. Confirm intervened instances are excluded from ordinary accuracy calculation and an escalation creates no action automatically.</x:t>
  </x:si>
  <x:si>
    <x:t xml:space="preserve">T-146</x:t>
  </x:si>
  <x:si>
    <x:t xml:space="preserve">Converge the production statistical engine onto the certified method kernel</x:t>
  </x:si>
  <x:si>
    <x:t xml:space="preserve">Consolidation</x:t>
  </x:si>
  <x:si>
    <x:t xml:space="preserve">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x:t>
  </x:si>
  <x:si>
    <x:t xml:space="preserve">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x:t>
  </x:si>
  <x:si>
    <x:t xml:space="preserve">W3 AFTER M1 FREEZE + M2b-P1</x:t>
  </x:si>
  <x:si>
    <x:t xml:space="preserve">Do not change the current presentation engine while Worker 2 certifies T-045/T-046. Production cutover only after continuity freeze.</x:t>
  </x:si>
  <x:si>
    <x:t xml:space="preserve">T-147 COMPLETE + T-177 + T-128/T-129; M1 presentation continuity frozen.</x:t>
  </x:si>
  <x:si>
    <x:t xml:space="preserve">v2.10.2 — T-147 made hard predecessor of statistical-engine cutover</x:t>
  </x:si>
  <x:si>
    <x:t xml:space="preserve">F-066 [Very Important] — T-146 appears before T-147 in the execution list even though its own dependency text says T-147 precedes final cutover. An automated/parallel worker can therefore start the cutover against the wrong outcome/grain semantics.</x:t>
  </x:si>
  <x:si>
    <x:t xml:space="preserve">F-066 — Make T-146 explicitly depend on completed T-147. Worker-3 lane ordering must list T-147 before T-146.</x:t>
  </x:si>
  <x:si>
    <x:t xml:space="preserve">Worker 3 AFTER M1 FREEZE + M2b-P1</x:t>
  </x:si>
  <x:si>
    <x:t xml:space="preserve">T-147</x:t>
  </x:si>
  <x:si>
    <x:t xml:space="preserve">Fix the outcome namespace, grain assignment and ordinal loader</x:t>
  </x:si>
  <x:si>
    <x:t xml:space="preserve">Converge outcome namespace, grain ownership and ordinal/categorical loading on the canonical outcome store. Refresh must never silently reassign grain, and ordinal/categorical labels/classes are preserved as real outcomes rather than coerced to fake numeric targets. v2.10.1 SM-06 CONSUMPTION. Converge Engine-side outcome consumption on the canonical published SM-06 OutcomeDefinition and canonical outcome store. Consume — never redefine — outcome_type, class taxonomy, ordinal rank map, outcome-specific grain, detection_position_code, detection_timestamp_field, direction, unit and censoring policy. The two detection fields are the leakage anchors consumed by G-06. Refresh may not silently reassign grain, classes or outcome semantics, and categorical/ordinal outcomes remain real classes rather than fake numeric targets.</x:t>
  </x:si>
  <x:si>
    <x:t xml:space="preserve">One namespace across registry, store and engines. Grain survives refresh. Load ordinal/multiclass outcomes and prove class labels/counts seen by T-177/T-146 exactly match the store without manual repair. For a published SM-06 definition, prove the Engine receives exactly the canonical grain, classes/ranks, direction/unit/censoring semantics and detection_position_code/detection_timestamp_field. Inject a feature that becomes available only after the declared detection anchor and prove G-06 blocks it fail-closed. Publish a new outcome-definition version and prove an older run/snapshot continues to resolve the old semantics rather than being silently reinterpreted.</x:t>
  </x:si>
  <x:si>
    <x:t xml:space="preserve">v2.10.2 — execution order made explicit</x:t>
  </x:si>
  <x:si>
    <x:t xml:space="preserve">F-056 [Critical] — T-068 explicitly binds the UI to public.ml_outcome_definitions and GET /ml/foundation/outcomes, both compatibility-era authorities. Chapter 3 D3 requires registry-driven definition-options and T-090 later makes SM-06 OutcomeDefinition part of the immutable definition authority.
F-059 [Critical] — T-094 says rename the canonical grain literal 'coil' to one generic term. The frozen design does not have one generic grain: it has material_unit_type_definitions, native_grain and dynamic outcome/model grain_code. Replacing 'coil' with 'material' would preserve the same architectural error under a new word.
F-066 [Very Important] — T-146 appears before T-147 in the execution list even though its own dependency text says T-147 precedes final cutover. An automated/parallel worker can therefore start the cutover against the wrong outcome/grain semantics.</x:t>
  </x:si>
  <x:si>
    <x:t xml:space="preserve">F-056 — T-068 must consume a stable analysis-options/outcome-registry service contract, not a physical table or temporary route. M2a swaps storage behind the contract. Complete T-068 before T-065 so the S3 authoring page is built registry-first instead of being rewritten immediately.
F-059 — Remove hardcoded/default coil semantics. Preserve customer-declared multi-grain unit types and outcome-specific grain_code. Rename T-094 scope from 'rename canonical grain' to 'remove hardcoded canonical grain default and bind to registry/material-unit authority'.
F-066 — Make T-146 explicitly depend on completed T-147. Worker-3 lane ordering must list T-147 before T-146.</x:t>
  </x:si>
  <x:si>
    <x:t xml:space="preserve">T-090 canonical SM-06 binding + T-128/T-129 + T-177; complete BEFORE T-146 final cutover.</x:t>
  </x:si>
  <x:si>
    <x:t xml:space="preserve">T-090 canonical SM-06 binding + T-128/T-129 + T-177; complete BEFORE T-146 fi...</x:t>
  </x:si>
  <x:si>
    <x:t xml:space="preserve">T-148</x:t>
  </x:si>
  <x:si>
    <x:t xml:space="preserve">Map the 108 page files onto the 40 target pages</x:t>
  </x:si>
  <x:si>
    <x:t xml:space="preserve">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x:t>
  </x:si>
  <x:si>
    <x:t xml:space="preserve">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x:t>
  </x:si>
  <x:si>
    <x:t xml:space="preserve">Frontend/core platform lane</x:t>
  </x:si>
  <x:si>
    <x:t xml:space="preserve">Namespace/route cleanup is not AI/ML implementation and risks overlap with presentation/frontend ownership.</x:t>
  </x:si>
  <x:si>
    <x:t xml:space="preserve">M1 continuity frozen + all target-route implementation owners available, including T-196..T-200.</x:t>
  </x:si>
  <x:si>
    <x:t xml:space="preserve">v2.10.2 — exact 40-route/6-shell completeness gate</x:t>
  </x:si>
  <x:si>
    <x:t xml:space="preserve">F-074 [Critical] — Chapter 3 requires C4 Plant Model Explorer /plant-model. Latest frontend audit has no /plant-model route and the backlog has no executable page owner. T-148 only ensures existing page files are reachable; it cannot create a missing target page.
F-080 [Critical] — T-148 validation only proves every file under src/pages is reachable and that the count 'moves toward 40'. It can pass with target pages missing. That is weaker than the frozen 40-page/6-shell contract.</x:t>
  </x:si>
  <x:si>
    <x:t xml:space="preserve">F-074 — Add T-196 for canonical C4 Plant Model Explorer, after plant/relationship authority. T-148 route-inventory gate must require every one of the 40 target route pages to exist, not merely every file to be reachable.
F-080 — T-148 must prove exact target inventory: all 40 route pages are declared once at canonical routes, all six shell components are present, no orphan page file remains, and any legacy alias is temporary/owned. T-150 consumes this gate.</x:t>
  </x:si>
  <x:si>
    <x:t xml:space="preserve">Core route convergence / legacy UI cleanup</x:t>
  </x:si>
  <x:si>
    <x:t xml:space="preserve">M1 continuity frozen + all target-route implementation owners available, incl...</x:t>
  </x:si>
  <x:si>
    <x:t xml:space="preserve">Own route inventory/redirect cleanup only; do not touch W3 intelligence surfaces.</x:t>
  </x:si>
  <x:si>
    <x:t xml:space="preserve">T-149</x:t>
  </x:si>
  <x:si>
    <x:t xml:space="preserve">Delete the legacy redirects and re-verify continuity</x:t>
  </x:si>
  <x:si>
    <x:t xml:space="preserve">Remove the roughly 20 legacy Navigate redirects and the live phase-token routes (/phase8/*, /phase9/*, /phase15/*) that App.tsx still declares among its 69 route paths, then re-run the Customer Contract Continuity comparison.</x:t>
  </x:si>
  <x:si>
    <x:t xml:space="preserve">No route path matches /phase\d+/. The continuity comparison against the M1 snapshots still shows no change to any presented page.</x:t>
  </x:si>
  <x:si>
    <x:t xml:space="preserve">M1 continuity frozen</x:t>
  </x:si>
  <x:si>
    <x:t xml:space="preserve">T-150</x:t>
  </x:si>
  <x:si>
    <x:t xml:space="preserve">Complete the test gates</x:t>
  </x:si>
  <x:si>
    <x:t xml:space="preserve">Deliberately fail one unit/integration gate, one visual/a11y gate, one golden-journey gate, one G-48..G-55 gate and one Assistant quality probe; each makes the canonical pipeline non-green. Restore each and prove green. A mechanical scan reports zero mandatory validators not reachable from the canonical pipeline.</x:t>
  </x:si>
  <x:si>
    <x:t xml:space="preserve">Shared: CI owner + Worker 3</x:t>
  </x:si>
  <x:si>
    <x:t xml:space="preserve">SHARED — FINAL GATE</x:t>
  </x:si>
  <x:si>
    <x:t xml:space="preserve">Worker 3 supplies AI/ML/LLM gate tests; canonical pipeline owner performs final wiring. No duplicate pipeline.</x:t>
  </x:si>
  <x:si>
    <x:t xml:space="preserve">v2.10.2 — final pipeline consumes route/API retirement gates</x:t>
  </x:si>
  <x:si>
    <x:t xml:space="preserve">F-080 [Critical] — T-148 validation only proves every file under src/pages is reachable and that the count 'moves toward 40'. It can pass with target pages missing. That is weaker than the frozen 40-page/6-shell contract.</x:t>
  </x:si>
  <x:si>
    <x:t xml:space="preserve">Final cross-product gate closure</x:t>
  </x:si>
  <x:si>
    <x:t xml:space="preserve">T-192 + T-148 exact route/shell inventory + T-194 API-alias retirement + all ...</x:t>
  </x:si>
  <x:si>
    <x:t xml:space="preserve">T-150 only after W2/W3 component freeze; route failures back to owning agent.</x:t>
  </x:si>
  <x:si>
    <x:t xml:space="preserve">Final M2b gate. Fixes go back to exclusive owner; T-150 owner does not edit other agents' feature files.</x:t>
  </x:si>
  <x:si>
    <x:t xml:space="preserve">T-151</x:t>
  </x:si>
  <x:si>
    <x:t xml:space="preserve">M3</x:t>
  </x:si>
  <x:si>
    <x:t xml:space="preserve">M3-P1</x:t>
  </x:si>
  <x:si>
    <x:t xml:space="preserve">Site defect burn-down</x:t>
  </x:si>
  <x:si>
    <x:t xml:space="preserve">Site findings</x:t>
  </x:si>
  <x:si>
    <x:t xml:space="preserve">Fix what soft testing finds, without changing the frozen visible contract unless a formal product decision is approved and recorded.</x:t>
  </x:si>
  <x:si>
    <x:t xml:space="preserve">Each defect has a reproduction, a fix and a regression test. Any visible-contract change carries a written approval.</x:t>
  </x:si>
  <x:si>
    <x:t xml:space="preserve">M3 site/production owner</x:t>
  </x:si>
  <x:si>
    <x:t xml:space="preserve">Outside Worker 3 engine/AI/ML/LLM ownership unless explicitly handed off.</x:t>
  </x:si>
  <x:si>
    <x:t xml:space="preserve">M3 sequence</x:t>
  </x:si>
  <x:si>
    <x:t xml:space="preserve">Track 2 — Site / Production Certification</x:t>
  </x:si>
  <x:si>
    <x:t xml:space="preserve">Post-pilot production certification</x:t>
  </x:si>
  <x:si>
    <x:t xml:space="preserve">GA / Production Gate</x:t>
  </x:si>
  <x:si>
    <x:t xml:space="preserve">Required to call the product production-certified/second-customer repeatable. A Sep-30 install can only be a controlled pilot unless the applicable M3 gates are pulled forward and pass.</x:t>
  </x:si>
  <x:si>
    <x:t xml:space="preserve">Site/platform/infra/backend certification</x:t>
  </x:si>
  <x:si>
    <x:t xml:space="preserve">External/site certification</x:t>
  </x:si>
  <x:si>
    <x:t xml:space="preserve">M3 — site/production evidence</x:t>
  </x:si>
  <x:si>
    <x:t xml:space="preserve">WAIT for deployed Customer Pilot RC + real customer/site evidence. M3 sequence</x:t>
  </x:si>
  <x:si>
    <x:t xml:space="preserve">Own site/platform/backend/infra. No AI/ML calibration or customer UX docs.</x:t>
  </x:si>
  <x:si>
    <x:t xml:space="preserve">T-152</x:t>
  </x:si>
  <x:si>
    <x:t xml:space="preserve">Customer data edge cases</x:t>
  </x:si>
  <x:si>
    <x:t xml:space="preserve">New source patterns, dirty data, unusual keys, timestamps, nulls, late arrivals and customer-specific mapping requirements, handled through the three doors.</x:t>
  </x:si>
  <x:si>
    <x:t xml:space="preserve">Each case handled through import, registry or authoring. Any case requiring a code branch is escalated as a design gap.</x:t>
  </x:si>
  <x:si>
    <x:t xml:space="preserve">T-153</x:t>
  </x:si>
  <x:si>
    <x:t xml:space="preserve">Connector certification against real sources</x:t>
  </x:si>
  <x:si>
    <x:t xml:space="preserve">Connectors</x:t>
  </x:si>
  <x:si>
    <x:t xml:space="preserve">Enable and certify the customer's actual connectors. A catalogue row is not a connector; an unbuilt one stays dimmed and badged as planned.</x:t>
  </x:si>
  <x:si>
    <x:t xml:space="preserve">Each certified connector completes a read-only import against the real source with the load budget enforced.</x:t>
  </x:si>
  <x:si>
    <x:t xml:space="preserve">T-154</x:t>
  </x:si>
  <x:si>
    <x:t xml:space="preserve">Query plans, indexes and partition boundaries</x:t>
  </x:si>
  <x:si>
    <x:t xml:space="preserve">Performance</x:t>
  </x:si>
  <x:si>
    <x:t xml:space="preserve">Tune against real measurements from the customer's volumes, not against assumptions.</x:t>
  </x:si>
  <x:si>
    <x:t xml:space="preserve">Before and after query plans recorded for the ten slowest queries, with the improvement measured.</x:t>
  </x:si>
  <x:si>
    <x:t xml:space="preserve">T-155</x:t>
  </x:si>
  <x:si>
    <x:t xml:space="preserve">B-01/B-02 capacity tuning, scan amplification and model-serving memory</x:t>
  </x:si>
  <x:si>
    <x:t xml:space="preserve">On site hardware, jointly execute resource measurements for lane max_concurrency/resource_capacity/compute_weight and the hard online reservation, plus scan-amplification and warm-model/assistant memory. This task supplies measured capacity values; it does not redesign the architecture.</x:t>
  </x:si>
  <x:si>
    <x:t xml:space="preserve">Record hardware, commit and load profile. Saturate training/batch and prove online p95 remains inside the actionable budget. Publish measured lane values and before/after Scan Amplification with no starvation.</x:t>
  </x:si>
  <x:si>
    <x:t xml:space="preserve">SHARED — SITE BENCHMARK</x:t>
  </x:si>
  <x:si>
    <x:t xml:space="preserve">Worker 3 owns AI/ML benchmark execution/evidence; infrastructure owns capacity certification/topology.</x:t>
  </x:si>
  <x:si>
    <x:t xml:space="preserve">M2b accepted + site hardware</x:t>
  </x:si>
  <x:si>
    <x:t xml:space="preserve">Real-data AI/ML calibration + measured capacity</x:t>
  </x:si>
  <x:si>
    <x:t xml:space="preserve">Real-data AI/ML/site measurement</x:t>
  </x:si>
  <x:si>
    <x:t xml:space="preserve">WAIT for deployed Customer Pilot RC + real customer/site evidence. M2b accepted + site hardware</x:t>
  </x:si>
  <x:si>
    <x:t xml:space="preserve">Own AI/ML calibration/capacity evidence only.</x:t>
  </x:si>
  <x:si>
    <x:t xml:space="preserve">T-156</x:t>
  </x:si>
  <x:si>
    <x:t xml:space="preserve">Customer definitions built through the product</x:t>
  </x:si>
  <x:si>
    <x:t xml:space="preserve">Authoring</x:t>
  </x:si>
  <x:si>
    <x:t xml:space="preserve">Build and validate the customer's real pages, relationships, measures, analyses, models and log rules using the product's own authoring surfaces.</x:t>
  </x:si>
  <x:si>
    <x:t xml:space="preserve">Every customer artifact exists as a definition in the store, created through the interface, with no manual database insert.</x:t>
  </x:si>
  <x:si>
    <x:t xml:space="preserve">Customer UX / website / docs / training</x:t>
  </x:si>
  <x:si>
    <x:t xml:space="preserve">Own customer-facing UX/docs/website only.</x:t>
  </x:si>
  <x:si>
    <x:t xml:space="preserve">T-157</x:t>
  </x:si>
  <x:si>
    <x:t xml:space="preserve">Practice, prediction and model calibration on real data</x:t>
  </x:si>
  <x:si>
    <x:t xml:space="preserve">Calibration</x:t>
  </x:si>
  <x:si>
    <x:t xml:space="preserve">With a longer real-data window, execute governed retraining/calibration, OOT/subgroup/missingness/explanation-stability checks, drift review and the site portions of B-05/B-06. Tune only benchmark-open parameters; no gate threshold is weakened to make a model pass.</x:t>
  </x:si>
  <x:si>
    <x:t xml:space="preserve">Each served model has a governed retraining/evaluation record, calibration evidence, drift decision and reproducible manifest. Any encoder/ANN choice is supported by the recorded benchmark against its simpler/exact baseline.</x:t>
  </x:si>
  <x:si>
    <x:t xml:space="preserve">W3 SITE / M3</x:t>
  </x:si>
  <x:si>
    <x:t xml:space="preserve">Real-data calibration/validation only; architecture is frozen. Tune benchmark-open values, never lower governance gates.</x:t>
  </x:si>
  <x:si>
    <x:t xml:space="preserve">M2b accepted + customer data window</x:t>
  </x:si>
  <x:si>
    <x:t xml:space="preserve">F-068 [Very Important] — The harness intentionally leaves B-03..B-09 values unselected, but production-integration tasks can be read as choosing one artifact format/chunking/encoder/index/reranker/runtime before representative/site benchmark evidence exists.</x:t>
  </x:si>
  <x:si>
    <x:t xml:space="preserve">F-068 — 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</x:si>
  <x:si>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WAIT for deployed Customer Pilot RC + real customer/site evidence. M2b accepted + customer data window</x:t>
  </x:si>
  <x:si>
    <x:t xml:space="preserve">T-158</x:t>
  </x:si>
  <x:si>
    <x:t xml:space="preserve">Remediation validation against real process constraints</x:t>
  </x:si>
  <x:si>
    <x:t xml:space="preserve">Validate remediation actionability, support thresholds, controllability and process-stage timing against the customer's real constraints. The human approval/read-only boundary remains absolute.</x:t>
  </x:si>
  <x:si>
    <x:t xml:space="preserve">Validate all nine checks against real constraints and replay at least one allowed and one refused case. No path permits automatic plant control and all refusal evidence is retained.</x:t>
  </x:si>
  <x:si>
    <x:t xml:space="preserve">T-159</x:t>
  </x:si>
  <x:si>
    <x:t xml:space="preserve">M3-P2</x:t>
  </x:si>
  <x:si>
    <x:t xml:space="preserve">C1 to C4 capacity certification</x:t>
  </x:si>
  <x:si>
    <x:t xml:space="preserve">Certification</x:t>
  </x:si>
  <x:si>
    <x:t xml:space="preserve">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x:t>
  </x:si>
  <x:si>
    <x:t xml:space="preserve">Every worked sizing example recomputes from measured constants; C1-C4 profiles pass their promised envelope. The certification bundle records hardware, commit, dataset, benchmark outputs and sign-off.</x:t>
  </x:si>
  <x:si>
    <x:t xml:space="preserve">F-067 [Very Important] — T-107 correctly replaces the unsatisfiable old weighted-pool rule, but it does not clearly distinguish implementing the admission mechanism from selecting real resource_capacity/max_concurrency/reservation numbers.
F-068 [Very Important] — The harness intentionally leaves B-03..B-09 values unselected, but production-integration tasks can be read as choosing one artifact format/chunking/encoder/index/reranker/runtime before representative/site benchmark evidence exists.</x:t>
  </x:si>
  <x:si>
    <x:t xml:space="preserve">F-067 — T-107 implements configurable dual predicates and proves satisfiability with test values only. It must not freeze production capacity constants. T-155/T-159 own measured site values and final selection.
F-068 — 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</x:si>
  <x:si>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T-160</x:t>
  </x:si>
  <x:si>
    <x:t xml:space="preserve">HA, DR and restore rehearsal</x:t>
  </x:si>
  <x:si>
    <x:t xml:space="preserve">Resilience</x:t>
  </x:si>
  <x:si>
    <x:t xml:space="preserve">Production topology, RPO and RTO objectives, and a real disaster-recovery rehearsal.</x:t>
  </x:si>
  <x:si>
    <x:t xml:space="preserve">A full recovery rehearsal completes within the stated RPO and RTO, witnessed and recorded.</x:t>
  </x:si>
  <x:si>
    <x:t xml:space="preserve">T-161</x:t>
  </x:si>
  <x:si>
    <x:t xml:space="preserve">SSO and identity integration</x:t>
  </x:si>
  <x:si>
    <x:t xml:space="preserve">Integrate the customer identity provider with the final role catalogue, account lifecycle and emergency access.</x:t>
  </x:si>
  <x:si>
    <x:t xml:space="preserve">Account provisioning, de-provisioning and emergency access all tested against the customer directory.</x:t>
  </x:si>
  <x:si>
    <x:t xml:space="preserve">T-162</x:t>
  </x:si>
  <x:si>
    <x:t xml:space="preserve">Site security hardening and sign-off</x:t>
  </x:si>
  <x:si>
    <x:t xml:space="preserve">Network rules, secrets, certificate rotation, RLS and tenant proof, audit review.</x:t>
  </x:si>
  <x:si>
    <x:t xml:space="preserve">A tenant-isolation proof from the database alone, plus a signed security review.</x:t>
  </x:si>
  <x:si>
    <x:t xml:space="preserve">T-163</x:t>
  </x:si>
  <x:si>
    <x:t xml:space="preserve">Monitoring, SLOs and support escalation</x:t>
  </x:si>
  <x:si>
    <x:t xml:space="preserve">Operational dashboards, alerts, queue and latency and backup and certificate health, and the escalation path.</x:t>
  </x:si>
  <x:si>
    <x:t xml:space="preserve">Each SLO has a measured baseline and an alert that fires before it is breached.</x:t>
  </x:si>
  <x:si>
    <x:t xml:space="preserve">T-164</x:t>
  </x:si>
  <x:si>
    <x:t xml:space="preserve">The Value Engine</x:t>
  </x:si>
  <x:si>
    <x:t xml:space="preserve">Value</x:t>
  </x:si>
  <x:si>
    <x:t xml:space="preserve">A euro figure is only ever shown as a bounded range with its assumptions visible and its evidence resolvable. No number without evidence.</x:t>
  </x:si>
  <x:si>
    <x:t xml:space="preserve">T-165</x:t>
  </x:si>
  <x:si>
    <x:t xml:space="preserve">Commercial capacity finalisation and the sales calculator</x:t>
  </x:si>
  <x:si>
    <x:t xml:space="preserve">Commercial</x:t>
  </x:si>
  <x:si>
    <x:t xml:space="preserve">Validate the real user, page, job, DB-link and data bands against measured infrastructure, and build the Sales Administration and capacity calculator from Chapter 6 6.3.8.</x:t>
  </x:si>
  <x:si>
    <x:t xml:space="preserve">A quote produced by the calculator matches the measured server class for the same inputs.</x:t>
  </x:si>
  <x:si>
    <x:t xml:space="preserve">T-166</x:t>
  </x:si>
  <x:si>
    <x:t xml:space="preserve">Five-product website production completion</x:t>
  </x:si>
  <x:si>
    <x:t xml:space="preserve">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 AUDIT HARDENING IN v2.9.2. Production completion also certifies one coherent visual identity across all five product pages and shared public-site sections. Typography, UI primitives, graphical language, motion, responsive hierarchy and accessibility must come from the same design system used by the strongest PPIQ sections. Remove mojibake, visible HTML entities and locally invented low-quality box/flowchart styling; motion must reinforce meaning and degrade cleanly under reduced-motion preferences.</x:t>
  </x:si>
  <x:si>
    <x:t xml:space="preserve">Each of the five products has a complete page under the Golden Rule product-page contract. Every claim passes the Chapter 6 6.2.10 honesty rule and the certification is recorded. Lead flow tested end to end on each page. Run a five-product visual-system audit at desktop, tablet and mobile. Zero mojibake/visible entities, text overflow, disconnected graphical connectors or page-local font/control systems. Automated visual/a11y checks are green, reduced-motion is honoured, and a reviewer comparison against the strongest PPIQ reference section records no page as visually less sophisticated.</x:t>
  </x:si>
  <x:si>
    <x:t xml:space="preserve">T-167</x:t>
  </x:si>
  <x:si>
    <x:t xml:space="preserve">Documentation, training and production acceptance</x:t>
  </x:si>
  <x:si>
    <x:t xml:space="preserve">Runbook, operator and data-engineer and administrator guides, release notes, known limitations, rollback plan and the formal acceptance suite.</x:t>
  </x:si>
  <x:si>
    <x:t xml:space="preserve">The acceptance suite passes and is signed. Known limitations are written down before the customer finds them.</x:t>
  </x:si>
  <x:si>
    <x:t xml:space="preserve">T-168</x:t>
  </x:si>
  <x:si>
    <x:t xml:space="preserve">M2b-P0A</x:t>
  </x:si>
  <x:si>
    <x:t xml:space="preserve">Versioned C#↔Python ML job protocol and isolated runtime harness</x:t>
  </x:si>
  <x:si>
    <x:t xml:space="preserve">ML runtime</x:t>
  </x:si>
  <x:si>
    <x:t xml:space="preserve">Build the schema-independent execution protocol between the .NET job runner and Python ML processes. A versioned job spec carries job/tenant/site identity, model family, semantic manifest handle when available, snapshot/artifact URI+hash, seed, code identity, resource/cancellation/checkpoint settings and output location. Python returns a versioned result manifest with terminal state, metrics, artifact hashes, warnings/refusal and checkpoint identity. This task is deliberately NOT registered into production DI, scheduler or presentation runtime.</x:t>
  </x:si>
  <x:si>
    <x:t xml:space="preserve">Run deterministic fake trainers through success, honest refusal, crash, timeout, cancellation and checkpoint/resume. C# must preserve stdout/stderr and exit identity without parsing free-form text as truth. Re-running the same seeded fixture yields the same result-manifest content hashes. A dependency test proves no current M1 runtime registration changed.</x:t>
  </x:si>
  <x:si>
    <x:t xml:space="preserve">NEW v2.10</x:t>
  </x:si>
  <x:si>
    <x:t xml:space="preserve">16ea041a / 94ab4e40 / 723b9434 / 6aef283f; CI correction ef588f0c</x:t>
  </x:si>
  <x:si>
    <x:t xml:space="preserve">T-169</x:t>
  </x:si>
  <x:si>
    <x:t xml:space="preserve">Typed columnar training-artifact library and B-03 harness</x:t>
  </x:si>
  <x:si>
    <x:t xml:space="preserve">Data artifacts</x:t>
  </x:si>
  <x:si>
    <x:t xml:space="preserve">Implement a typed columnar artifact abstraction used by sealed feature snapshots. Parquet/Arrow/equivalent remain implementation candidates behind the contract. Own schema/type mapping, column projection, content hash, byte/row counts, deterministic read order, corruption detection and a benchmark hook for B-03. No database table is the training read path and this task does not create final persistence.</x:t>
  </x:si>
  <x:si>
    <x:t xml:space="preserve">Write and read the same representative fixture through each enabled candidate. Assert stable row/schema/content identity, projected-column reads, bounded memory and explicit refusal for unsupported/corrupt schemas. Produce B-03 benchmark output format without choosing a winner or guessing a production threshold.</x:t>
  </x:si>
  <x:si>
    <x:t xml:space="preserve">a887c554; 81 Python tests green</x:t>
  </x:si>
  <x:si>
    <x:t xml:space="preserve">T-170</x:t>
  </x:si>
  <x:si>
    <x:t xml:space="preserve">Chunked sequence-artifact library and bounded loader</x:t>
  </x:si>
  <x:si>
    <x:t xml:space="preserve">Implement the schema-independent sequence payload contract: immutable chunked typed numeric arrays, compression seam, chunk index, content hashes and bounded streaming/memory-mapped reads where supported. PostgreSQL array payloads are forbidden; final sequence_manifests persistence is T-185. Include the B-04 benchmark hook.</x:t>
  </x:si>
  <x:si>
    <x:t xml:space="preserve">Generate a large synthetic multi-channel sequence fixture, read it without whole-payload materialisation, verify chunk order/content hash and detect a corrupted/missing chunk. Compare at least two chunk/compression settings and emit B-04 measurements without hardcoding the selected values.</x:t>
  </x:si>
  <x:si>
    <x:t xml:space="preserve">5a216483; 402 Python tests green</x:t>
  </x:si>
  <x:si>
    <x:t xml:space="preserve">T-171</x:t>
  </x:si>
  <x:si>
    <x:t xml:space="preserve">Capability Profiler and eligibility/refusal kernel</x:t>
  </x:si>
  <x:si>
    <x:t xml:space="preserve">Readiness</x:t>
  </x:si>
  <x:si>
    <x:t xml:space="preserve">Implement a pure, industry-neutral Capability Profiler that converts declared semantic/data-product facts into measured capability states for statistics, similarity, novelty, supervised prediction, practice and remediation. Include collapsed-dimension handling, genealogy strength, outcome/label availability, population sufficiency and the canonical terminal/refusal taxonomy. No database access or presentation wiring.</x:t>
  </x:si>
  <x:si>
    <x:t xml:space="preserve">Table-driven fixtures cover a rich plant, a sparse plant, no-genealogy, single-level context, missing labels and unsupported method cases. The same input produces the same capability profile; a collapsed single-level dimension is removed rather than treated as an error; method absence is NOT_APPLICABLE rather than a false zero-variance claim.</x:t>
  </x:si>
  <x:si>
    <x:t xml:space="preserve">95cc019c capability-profiler pack; 24 targeted tests</x:t>
  </x:si>
  <x:si>
    <x:t xml:space="preserve">T-172</x:t>
  </x:si>
  <x:si>
    <x:t xml:space="preserve">MF-01 Process Encoder runtime behind a replaceable contract</x:t>
  </x:si>
  <x:si>
    <x:t xml:space="preserve">MF-01 Encoder</x:t>
  </x:si>
  <x:si>
    <x:t xml:space="preserve">Implement ProcessEncoder as a replaceable runtime with a PyTorch candidate, channel_set_version, deterministic seed/environment manifest, train/encode/artifact contracts and serving-cost telemetry. The encoder is optional and no production promotion decision is made here. It consumes only sealed typed sequence/snapshot artifacts and never live feature_store.</x:t>
  </x:si>
  <x:si>
    <x:t xml:space="preserve">Train/encode a deterministic fixture twice and compare artifact/embedding reproducibility within declared tolerance. Change channel_set_version and prove the prior encoder is incompatible. Measure metric-lift input hooks, p95 cost and artifact size for B-05; no task declares the encoder deployable merely because it trains.</x:t>
  </x:si>
  <x:si>
    <x:t xml:space="preserve">d4321856; 448 Python tests green</x:t>
  </x:si>
  <x:si>
    <x:t xml:space="preserve">T-173</x:t>
  </x:si>
  <x:si>
    <x:t xml:space="preserve">MF-02 VectorSimilarityIndex with exact-Flat recall baseline</x:t>
  </x:si>
  <x:si>
    <x:t xml:space="preserve">MF-02 Similarity</x:t>
  </x:si>
  <x:si>
    <x:t xml:space="preserve">Implement the VectorSimilarityIndex product contract: build, seal, extend/new-generation, search and recall_probe. Exact Flat remains the permanent benchmark on a representative sample; ANN families such as HNSW/IVF/PQ/FAISS are candidates only. Index generations are immutable and identified by content/generation manifest.</x:t>
  </x:si>
  <x:si>
    <x:t xml:space="preserve">Build Exact Flat and at least one approximate candidate on synthetic vectors. Measure recall@k, p95 search, build time and memory; deliberately degrade the ANN and prove a build below recall_floor is not eligible to serve. Repeating a sealed generation yields stable identity and search evidence handles.</x:t>
  </x:si>
  <x:si>
    <x:t xml:space="preserve">00a14286; 297 Python tests green</x:t>
  </x:si>
  <x:si>
    <x:t xml:space="preserve">T-174</x:t>
  </x:si>
  <x:si>
    <x:t xml:space="preserve">MF-03 novelty-model runtime and honest refusal semantics</x:t>
  </x:si>
  <x:si>
    <x:t xml:space="preserve">MF-03 Novelty</x:t>
  </x:si>
  <x:si>
    <x:t xml:space="preserve">Implement the novelty/anomaly family behind a replaceable contract with a simple baseline first and an isolation/density candidate only where eligible. Persistable outputs must separate score, threshold/calibration identity, population context and refusal state. No source-schema or industry vocabulary is allowed.</x:t>
  </x:si>
  <x:si>
    <x:t xml:space="preserve">Known synthetic normal/outlier populations produce expected ranking; a too-small or degenerate population returns the correct refusal instead of a fabricated score. Run deterministic seed/environment checks and export artifact/metrics in the common T-168 result-manifest shape.</x:t>
  </x:si>
  <x:si>
    <x:t xml:space="preserve">db033796; 340 Python tests green</x:t>
  </x:si>
  <x:si>
    <x:t xml:space="preserve">T-175</x:t>
  </x:si>
  <x:si>
    <x:t xml:space="preserve">MF-04 supervised-outcome training runtime and mandatory simple baseline</x:t>
  </x:si>
  <x:si>
    <x:t xml:space="preserve">MF-04 Supervised</x:t>
  </x:si>
  <x:si>
    <x:t xml:space="preserve">Implement SupervisedOutcomeModel behind the common runtime: train a mandatory simple baseline first, then a LightGBM tabular candidate for supported binary/multiclass/ordinal/continuous outcomes. Enforce prediction_cutoff/feature availability before training and emit reproducible artifact, holdout and performance metadata. Do not wire registry activation in this task. v2.10.1 SAFE-NOW OUTCOME RULE. During SAFE-NOW work, outcome definitions, prediction points and detection cutoffs are fixture-declared typed contracts only. Do not bind this task to ppiq_app tables, current ml_outcome_definitions rows, presentation outcomes or any physical production schema. Production supervised training consumes the canonical published SM-06 OutcomeDefinition only after its M2a binding is certified.</x:t>
  </x:si>
  <x:si>
    <x:t xml:space="preserve">Known-answer fixtures cover at least binary and multiclass/ordinal outcomes. Inject a post-cutoff feature and prove training is blocked. The candidate and baseline train on the same sealed snapshot and report comparable metrics plus environment/artifact hashes; no candidate is called champion here. Leakage tests derive cutoff/detection semantics from the typed fixture OutcomeDefinition contract rather than hardcoded product/plant constants. No SAFE-NOW model code contains a production outcome code, canonical grain literal or production detection anchor. The runtime executes completely against sealed in-memory/file fixtures.</x:t>
  </x:si>
  <x:si>
    <x:t xml:space="preserve">Isolated implementation only: new module/files/tests; NO production DI registration, DB migration, route/page edit, presentation schema/data edit or M1 runtime cutover. Outcome semantics are fixture-declared in SAFE-NOW; no ppiq_app/current outcome-table binding until canonical SM-06 is certified.</x:t>
  </x:si>
  <x:si>
    <x:t xml:space="preserve">v2.10.1 — fixture-only outcome semantics clarified; T-168/T-169 dependencies made explicit without blocking SAFE-NOW.</x:t>
  </x:si>
  <x:si>
    <x:t xml:space="preserve">2413c6e1; 141 tests green / 0 skipped</x:t>
  </x:si>
  <x:si>
    <x:t xml:space="preserve">T-168 + T-169 for the common runtime and sealed typed artifact contracts. Canonical SM-06 binding is NOT required for fixture-only SAFE-NOW work; it is required before production supervised-training integration.</x:t>
  </x:si>
  <x:si>
    <x:t xml:space="preserve">T-176</x:t>
  </x:si>
  <x:si>
    <x:t xml:space="preserve">Calibration, explanation stability and three-dimensional promotion kernel</x:t>
  </x:si>
  <x:si>
    <x:t xml:space="preserve">Model governance</x:t>
  </x:si>
  <x:si>
    <x:t xml:space="preserve">Implement the pure evaluation/promotion decision used by learned models. QUALITY covers discrimination/error, calibration, out-of-time, subgroup/regime stability, missingness robustness and explanation stability. SERVING covers p50/p95/p99, throughput, artifact size, RAM/VRAM and warm-up. TRAINING covers duration, peak memory and snapshot throughput. Include the encoder promotion inequality and TreeSHAP as an initial explanation candidate, not a product contract.</x:t>
  </x:si>
  <x:si>
    <x:t xml:space="preserve">A better-discriminating but worse-calibrated challenger is rejected. A model with unstable explanations is rejected. A simpler baseline that falls within the declared lift threshold defeats a costly encoder. Every promotion decision is reproducible from a frozen metrics document and names the failed dimension.</x:t>
  </x:si>
  <x:si>
    <x:t xml:space="preserve">08b54b61 + 0a61ccfb; final 230 tests green / 0 skipped</x:t>
  </x:si>
  <x:si>
    <x:t xml:space="preserve">T-177</x:t>
  </x:si>
  <x:si>
    <x:t xml:space="preserve">Production statistical-method kernel, including Numeric×Categorical</x:t>
  </x:si>
  <x:si>
    <x:t xml:space="preserve">Statistics</x:t>
  </x:si>
  <x:si>
    <x:t xml:space="preserve">Build the schema-independent statistical kernel that T-146 will later wire into production. Preserve the proven Numeric×Numeric, Binary×Numeric and Categorical×Categorical paths and implement Numeric×Categorical with assumption-aware one-way ANOVA and Kruskal-Wallis fallback. Produce aligned population/group counts, effect size, p-value, q/FDR and explicit exclusion taxonomy. v2.10.1 TRACEABILITY TIGHTENING. Before replacing, retiring or reimplementing any existing statistical path, inspect the current reachable statistical implementations and their behavioural tests/source trace and record the proven behaviour that must be preserved. Known-answer fixtures may be authored first because they are mathematics-only and database-independent; fixture construction does not authorise replacement of an existing path before that source/test trace is available.</x:t>
  </x:si>
  <x:si>
    <x:t xml:space="preserve">Known-answer fixtures select the expected method and effect-size family. Assumption violation switches ANOVA to Kruskal-Wallis. Constant input, unsupported pairing and insufficient groups/sample are three distinct terminal reasons. The kernel has no DI registration, DB write or M1 presentation dependency. Existing proven Numeric×Numeric, Binary×Numeric and Categorical×Categorical behaviours are regression-compared against the new kernel after the current implementation/test trace is inspected. Known-answer fixtures independently certify the mathematics. T-177 may begin with fixture construction before source trace is available, but may not close, retire or replace an existing reachable statistical path until the source/test trace has been inspected and parity is evidenced.</x:t>
  </x:si>
  <x:si>
    <x:t xml:space="preserve">Isolated implementation only: new module/files/tests; NO production DI registration, DB migration, route/page edit, presentation schema/data edit or M1 runtime cutover. Do not replace or retire an existing proven statistical implementation before its source/test trace has been inspected; fixture-only work may proceed immediately.</x:t>
  </x:si>
  <x:si>
    <x:t xml:space="preserve">Fixture subpack: none. Kernel completion/closure: current statistical implementation plus corresponding tests/source trace available. Production cutover remains T-146/T-147 after presentation hand-off.</x:t>
  </x:si>
  <x:si>
    <x:t xml:space="preserve">v2.10.1 — source/test parity gate added; fixture-first work remains SAFE NOW.</x:t>
  </x:si>
  <x:si>
    <x:t xml:space="preserve">502f8ca3 / 502e0da9 / bb4c5686; 52 targeted tests</x:t>
  </x:si>
  <x:si>
    <x:t xml:space="preserve">T-178</x:t>
  </x:si>
  <x:si>
    <x:t xml:space="preserve">Pure remediation eligibility and can_accept decision kernel</x:t>
  </x:si>
  <x:si>
    <x:t xml:space="preserve">Implement the nine-check remediation eligibility logic and the complete seven-condition can_accept authority as a pure, table-driven domain service. Return actionable, evidence_only, exploratory or suppressed plus named failed checks. No persistence, UI wiring or plant-control client in this task.</x:t>
  </x:si>
  <x:si>
    <x:t xml:space="preserve">One deterministic case fails each check by name; combinations produce the correct final class. can_accept cannot be reconstructed from fewer fields. A safety-check failure always produces suppressed. Static/dependency tests prove the kernel has no customer-source write/control dependency.</x:t>
  </x:si>
  <x:si>
    <x:t xml:space="preserve">b8792516 + corrective b5dbf232; 503 tests / 0 failures</x:t>
  </x:si>
  <x:si>
    <x:t xml:space="preserve">T-179</x:t>
  </x:si>
  <x:si>
    <x:t xml:space="preserve">Deterministic Assistant tool planner</x:t>
  </x:si>
  <x:si>
    <x:t xml:space="preserve">LLM orchestration</x:t>
  </x:si>
  <x:si>
    <x:t xml:space="preserve">Implement the deterministic planner between resolved intent/entity context and declared Layer A/Layer B tools. The LLM never chooses tools. The planner is tenant/permission aware, asks on ambiguity, prioritises structured tools for facts and emits an auditable plan object. Build in a new isolated namespace with no current dock wiring.</x:t>
  </x:si>
  <x:si>
    <x:t xml:space="preserve">A fixed probe set covers paraphrases, ambiguous entities, permission differences and unsupported intents. Equivalent intents select the same tool set; ambiguity asks rather than guesses; a forbidden tool is never planned. No LLM call occurs during planning.</x:t>
  </x:si>
  <x:si>
    <x:t xml:space="preserve">d2bf1834; deterministic Assistant planner</x:t>
  </x:si>
  <x:si>
    <x:t xml:space="preserve">T-180</x:t>
  </x:si>
  <x:si>
    <x:t xml:space="preserve">Permission-first hybrid retrieval and evidence packer</x:t>
  </x:si>
  <x:si>
    <x:t xml:space="preserve">LLM grounding</x:t>
  </x:si>
  <x:si>
    <x:t xml:space="preserve">Implement hybrid lexical+semantic retrieval/fusion with permission filtering BEFORE ranking, deduplication, tool-result priority, evidence-handle retention and a hard token budget with reserved answer allowance. Truncation is recorded/disclosed. Re-ranking stays behind an optional benchmarked seam for B-08. Isolated module only; no current presentation corpus cutover.</x:t>
  </x:si>
  <x:si>
    <x:t xml:space="preserve">A forbidden high-scoring chunk cannot displace an allowed chunk. Duplicate evidence is collapsed without losing handles. A token-overflow fixture records truncation and still preserves higher-priority structured evidence. Run with and without the reranker seam and emit B-07/B-08 measurements.</x:t>
  </x:si>
  <x:si>
    <x:t xml:space="preserve">87428c51; permission-first retrieval/evidence</x:t>
  </x:si>
  <x:si>
    <x:t xml:space="preserve">T-181</x:t>
  </x:si>
  <x:si>
    <x:t xml:space="preserve">Deterministic answer verifier and Q-01..Q-11 evaluation harness</x:t>
  </x:si>
  <x:si>
    <x:t xml:space="preserve">LLM verification</x:t>
  </x:si>
  <x:si>
    <x:t xml:space="preserve">Implement the post-LLM deterministic verifier plus a fixed Assistant quality harness. Verify numeric claims against supplied evidence handles, forbid claim-class upgrade, preserve engine refusal, distinguish transport failure from abstention and reject unsupported claims without another LLM call. Encode Q-01..Q-11 measurements including tool selection, groundedness, citation correctness, refusal and causal-overreach.</x:t>
  </x:si>
  <x:si>
    <x:t xml:space="preserve">Probe answers deliberately contain an uncited number, upgraded causal wording, erased refusal, fabricated handle and transport failure; each is blocked or classified correctly. A valid cited answer passes. Q-01..Q-11 results are machine-readable and reproducible on the fixed probe set.</x:t>
  </x:si>
  <x:si>
    <x:t xml:space="preserve">eaa82b8b45fb1fdb4b406abfbe2809c5f6fc9cd5; 58/58</x:t>
  </x:si>
  <x:si>
    <x:t xml:space="preserve">T-182</x:t>
  </x:si>
  <x:si>
    <x:t xml:space="preserve">Benchmark harness and result manifest for B-01..B-09</x:t>
  </x:si>
  <x:si>
    <x:t xml:space="preserve">AI/ML benchmarks</x:t>
  </x:si>
  <x:si>
    <x:t xml:space="preserve">Create the common benchmark runner/result schema for B-01 through B-09. Record hardware/runtime identity, commit, dataset/snapshot hash, parameters, warm-up, repetitions and p50/p95/p99/throughput/memory metrics as applicable. This task creates measurement machinery only; it must not guess production values.</x:t>
  </x:si>
  <x:si>
    <x:t xml:space="preserve">Run at least one synthetic smoke benchmark for each B-ID and produce a complete machine-readable result manifest. The harness refuses to publish a 'selected' value without the benchmark inputs/results that justify it. Re-running the same fixture preserves experiment identity and traceability.</x:t>
  </x:si>
  <x:si>
    <x:t xml:space="preserve">74470524; 63/63 targeted, 98/98 ML.Runtime, B01-B09 smoke 9/9</x:t>
  </x:si>
  <x:si>
    <x:t xml:space="preserve">T-183</x:t>
  </x:si>
  <x:si>
    <x:t xml:space="preserve">Semantic Contract Manifest persistence, resolver and G-55 coverage</x:t>
  </x:si>
  <x:si>
    <x:t xml:space="preserve">Semantic reproducibility</x:t>
  </x:si>
  <x:si>
    <x:t xml:space="preserve">After M2a-P1/P2 establish final definition/relationship authority, implement ppiq_meta.semantic_manifests as immutable tenant-owned reproducibility pins: manifest_id UUID PK, tenant_id, manifest_hash, referenced definition versions, relationship publication, registry/configuration hashes and UNIQUE(tenant_id, manifest_hash). Build ManifestResolver and semantic_manifest_id references on governed run/artifact/evidence tables. Legacy rows may be null; every new governed AI/ML execution must resolve a manifest.</x:t>
  </x:si>
  <x:si>
    <x:t xml:space="preserve">Create identical content in two tenants and prove separate rows; identical content twice in one tenant reuses the same manifest. Attempt mutation and refuse it. Start a new governed AI/ML run without a resolvable manifest and prove G-55 refuses before output persistence. A changed answer can be traced to a manifest diff.</x:t>
  </x:si>
  <x:si>
    <x:t xml:space="preserve">T-089..T-105 canonical definition/relationship authority + T-112 + T-114 security/tenant hand-off.</x:t>
  </x:si>
  <x:si>
    <x:t xml:space="preserve">v2.10.2 — start gate moved from M2a-P2-only to canonical + security hand-off</x:t>
  </x:si>
  <x:si>
    <x:t xml:space="preserve">F-063 — Every new tenant-owned table must receive tenant key, tenant-first uniqueness and FORCE RLS at creation. T-112/T-114 (or their proven architecture guards) become release gates for M2b persistence. T-135 becomes a cross-table audit/ratchet, not the first time security is applied.
F-064 — Change these start conditions to 'after canonical schema/relationship hand-off AND T-112/T-114 security hand-off'. Pure non-persistence kernels may still start earlier.
F-082 — Revise phase intent: canonical data/relationship authority after P2; any new tenant-owned production persistence waits for T-112/T-114 security hand-off. Keep pure cores parallel-safe.</x:t>
  </x:si>
  <x:si>
    <x:t xml:space="preserve">T-089..T-105 canonical definition/relationship authority + T-112 + T-114 secu...</x:t>
  </x:si>
  <x:si>
    <x:t xml:space="preserve">T-184</x:t>
  </x:si>
  <x:si>
    <x:t xml:space="preserve">Snapshot Materialiser: seal feature state into typed artifacts and enforce G-48</x:t>
  </x:si>
  <x:si>
    <x:t xml:space="preserve">Training data path</x:t>
  </x:si>
  <x:si>
    <x:t xml:space="preserve">Wire T-169 into production as the Snapshot Materialiser. It is the sole component permitted to read feature_store for sealing; training/encoding consume only the immutable typed artifact. Persist hash/format/size/row-count/semantic_manifest_id and optional declared audit sample. No full duplicate JSONB training population.
v2.10.2 BENCHMARK-STATE RULING — persist the artifact format actually used for each snapshot, but do not call one format the universal/site-selected winner merely because T-169/T-182 synthetic smoke runs. Selection remains measurement/site evidence; the materialiser must support explicit configured candidate identity.</x:t>
  </x:si>
  <x:si>
    <x:t xml:space="preserve">Seal a snapshot, mutate live feature_store, then train/read through the artifact and reproduce the original input. Architecture gate G-48 fails if any trainer/encoder queries feature_store directly. Corrupt the artifact and prove hash verification refuses it before training.</x:t>
  </x:si>
  <x:si>
    <x:t xml:space="preserve">T-128 + T-169 + T-183 + T-112/T-114/T-135 security ratchet.</x:t>
  </x:si>
  <x:si>
    <x:t xml:space="preserve">v2.10.2 — security and benchmark-selection state clarified</x:t>
  </x:si>
  <x:si>
    <x:t xml:space="preserve">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F-064 [Critical] — Worker-3 lane labels T-183/T-128 and dependent persistence as 'after M2a-P2', but their tables are tenant-owned and therefore require the M2a-P3 security/tenant guard from T-112/T-114.
F-068 [Very Important] — The harness intentionally leaves B-03..B-09 values unselected, but production-integration tasks can be read as choosing one artifact format/chunking/encoder/index/reranker/runtime before representative/site benchmark evidence exists.</x:t>
  </x:si>
  <x:si>
    <x:t xml:space="preserve">F-063 — Every new tenant-owned table must receive tenant key, tenant-first uniqueness and FORCE RLS at creation. T-112/T-114 (or their proven architecture guards) become release gates for M2b persistence. T-135 becomes a cross-table audit/ratchet, not the first time security is applied.
F-064 — Change these start conditions to 'after canonical schema/relationship hand-off AND T-112/T-114 security hand-off'. Pure non-persistence kernels may still start earlier.
F-068 — 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</x:si>
  <x:si>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T-185</x:t>
  </x:si>
  <x:si>
    <x:t xml:space="preserve">sequence_manifests persistence and object-storage sequence path</x:t>
  </x:si>
  <x:si>
    <x:t xml:space="preserve">Wire T-170 into production: ppiq_plant.sequence_manifests stores subject/channel/time/count/hash/storage/chunk metadata while object storage holds immutable numeric payload chunks. Integrate retention/backup identity and bounded loader access. PostgreSQL stores no numeric sequence arrays.
v2.10.2 BENCHMARK-STATE RULING — chunk/compression policy remains configured/recorded until representative/site B-04 evidence freezes it. Persist exact codec/chunk identity per manifest; do not hide the choice behind an unmeasured global default.</x:t>
  </x:si>
  <x:si>
    <x:t xml:space="preserve">Persist and reload a large multi-chunk sequence with manifest/content verification and bounded memory. Search the canonical schema and prove no numeric sequence payload array column exists. Restore the artifact/DB pair and reproduce the sequence; a missing chunk produces a typed refusal.</x:t>
  </x:si>
  <x:si>
    <x:t xml:space="preserve">T-170 + T-183 + T-122 final object-storage/container path + T-112/T-114/T-135 security ratchet.</x:t>
  </x:si>
  <x:si>
    <x:t xml:space="preserve">v2.10.2 — object-storage/security + unselected B-04 policy clarified</x:t>
  </x:si>
  <x:si>
    <x:t xml:space="preserve">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F-068 [Very Important] — The harness intentionally leaves B-03..B-09 values unselected, but production-integration tasks can be read as choosing one artifact format/chunking/encoder/index/reranker/runtime before representative/site benchmark evidence exists.</x:t>
  </x:si>
  <x:si>
    <x:t xml:space="preserve">F-063 — Every new tenant-owned table must receive tenant key, tenant-first uniqueness and FORCE RLS at creation. T-112/T-114 (or their proven architecture guards) become release gates for M2b persistence. T-135 becomes a cross-table audit/ratchet, not the first time security is applied.
F-068 — 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</x:si>
  <x:si>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T-170 + T-183 + T-122 final object-storage/container path + T-112/T-114/T-135...</x:t>
  </x:si>
  <x:si>
    <x:t xml:space="preserve">T-186</x:t>
  </x:si>
  <x:si>
    <x:t xml:space="preserve">Persist capability profiles, prediction points and the model-count governor</x:t>
  </x:si>
  <x:si>
    <x:t xml:space="preserve">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x:t>
  </x:si>
  <x:si>
    <x:t xml:space="preserve">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x:t>
  </x:si>
  <x:si>
    <x:t xml:space="preserve">T-171 + T-183 + T-128/T-129 + T-195 canonical readiness thresholds + T-135 security ratchet.</x:t>
  </x:si>
  <x:si>
    <x:t xml:space="preserve">v2.10.2 — readiness/security prerequisites explicit</x:t>
  </x:si>
  <x:si>
    <x:t xml:space="preserve">F-055 [Critical] — M1 T-066 certifies /api/ml/foundation/readiness, while the final Chapter 3 authority is /api/readiness/evaluate plus readiness_thresholds/readiness_threshold_changes and governed PUT semantics. No existing backlog task owns the canonical threshold persistence/change-history contract.
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F-064 [Critical] — Worker-3 lane labels T-183/T-128 and dependent persistence as 'after M2a-P2', but their tables are tenant-owned and therefore require the M2a-P3 security/tenant guard from T-112/T-114.</x:t>
  </x:si>
  <x:si>
    <x:t xml:space="preserve">F-055 — T-066 must render through the stable /api/readiness/evaluate facade (compatibility-backed in M1). Add T-195 for canonical tenant/outcome readiness thresholds, change history, fail-closed evaluation and governed updates before canonical readiness/model cutover.
F-063 — Every new tenant-owned table must receive tenant key, tenant-first uniqueness and FORCE RLS at creation. T-112/T-114 (or their proven architecture guards) become release gates for M2b persistence. T-135 becomes a cross-table audit/ratchet, not the first time security is applied.
F-064 — Change these start conditions to 'after canonical schema/relationship hand-off AND T-112/T-114 security hand-off'. Pure non-persistence kernels may still start earlier.</x:t>
  </x:si>
  <x:si>
    <x:t xml:space="preserve">T-171 + T-183 + T-128/T-129 + T-195 canonical readiness thresholds + T-135 se...</x:t>
  </x:si>
  <x:si>
    <x:t xml:space="preserve">T-187</x:t>
  </x:si>
  <x:si>
    <x:t xml:space="preserve">Production training/index integration: snapshots → ML lanes → registry activation</x:t>
  </x:si>
  <x:si>
    <x:t xml:space="preserve">ML integration</x:t>
  </x:si>
  <x:si>
    <x:t xml:space="preserve">Integrate T-168 runtime, T-172/T-174/T-175 learned families, T-173 index builder, T-176 promotion, T-183 manifests and T-184/T-185 artifacts with the M2a scheduler lanes. Training/index jobs consume sealed artifacts, checkpoint where declared, write governed result manifests and register candidates; only gate-approved versions activate. No daytime request enters training.
v2.10.2 BENCHMARK-STATE RULING — integration may activate a candidate only against the declared frozen acceptance metrics for the environment. It must record candidate/runtime/index/artifact identities and may not convert synthetic benchmark smoke into a universal production selection. Site B-05/B-06 choices are frozen by T-157; final B-01..B-09 sizing/selection evidence is consumed by T-159.</x:t>
  </x:si>
  <x:si>
    <x:t xml:space="preserve">Run a full candidate job from sealed snapshot through training/evaluation/registry. Prove direct feature_store access is absent, a failed gate cannot activate, a passed candidate activates atomically per serving identity, and online serving remains available while training/batch are saturated. MF-02 recall floor blocks an inadequate index.</x:t>
  </x:si>
  <x:si>
    <x:t xml:space="preserve">W3 AFTER M2a-P3</x:t>
  </x:si>
  <x:si>
    <x:t xml:space="preserve">Production ML job wiring may begin only after scheduler/delta/RLS contracts are stable. No daytime request may enter training.</x:t>
  </x:si>
  <x:si>
    <x:t xml:space="preserve">T-107 + T-109 + T-168..T-176 + T-183..T-186 + T-112/T-114/T-135 + T-195.</x:t>
  </x:si>
  <x:si>
    <x:t xml:space="preserve">v2.10.2 — benchmark-selection and security gates tightened</x:t>
  </x:si>
  <x:si>
    <x:t xml:space="preserve">Worker 3 AFTER M2a-P3</x:t>
  </x:si>
  <x:si>
    <x:t xml:space="preserve">T-188</x:t>
  </x:si>
  <x:si>
    <x:t xml:space="preserve">Canonical D4 Findings and D8 ML Readiness/Models cutover</x:t>
  </x:si>
  <x:si>
    <x:t xml:space="preserve">Intelligence surfaces</x:t>
  </x:si>
  <x:si>
    <x:t xml:space="preserve">Replace the M1 presentation adapters behind D4 Findings and D8 ML Readiness/Models with canonical run/finding/capability/model-registry sources. Preserve the frozen route, layout, labels, controls and refusal semantics; only the hidden data authority changes. Expose method/population/q-value/effect evidence and real readiness/model lifecycle state.</x:t>
  </x:si>
  <x:si>
    <x:t xml:space="preserve">Run the M1 continuity snapshots for both pages and record no visible-contract regression. Kill a canonical source and prove the page shows the same bounded failure/refusal state rather than presentation fallback data. Every displayed model/finding resolves to manifest/run/evidence.</x:t>
  </x:si>
  <x:si>
    <x:t xml:space="preserve">T-129 + T-130 + T-186 + T-195 + M1 continuity snapshots.</x:t>
  </x:si>
  <x:si>
    <x:t xml:space="preserve">v2.10.2 — canonical readiness-threshold dependency added</x:t>
  </x:si>
  <x:si>
    <x:t xml:space="preserve">T-189</x:t>
  </x:si>
  <x:si>
    <x:t xml:space="preserve">Canonical D5 Risk and D9 Early Warning cutover</x:t>
  </x:si>
  <x:si>
    <x:t xml:space="preserve">Prediction surfaces</x:t>
  </x:si>
  <x:si>
    <x:t xml:space="preserve">Bind D5 Risk and D9 Early Warning to prediction_current/prediction evidence. D5 remains aggregate current risk; D9 remains the per-unit actionable queue with deadline, drivers, fallback state, comparables and can_accept/remediation status. Preserve the M1 visual contract and remove presentation-only backing data.</x:t>
  </x:si>
  <x:si>
    <x:t xml:space="preserve">Continuity snapshots remain stable. Force a late prediction, fallback use, missing driver evidence and suppressed remediation; each renders the designed canonical state. No row appears actionable after its deadline and no client re-derives can_accept.</x:t>
  </x:si>
  <x:si>
    <x:t xml:space="preserve">T-139..T-143 + M1 continuity snapshots</x:t>
  </x:si>
  <x:si>
    <x:t xml:space="preserve">T-190</x:t>
  </x:si>
  <x:si>
    <x:t xml:space="preserve">Canonical D6 Suggestions and decision-action cutover</x:t>
  </x:si>
  <x:si>
    <x:t xml:space="preserve">Remediation surfaces</x:t>
  </x:si>
  <x:si>
    <x:t xml:space="preserve">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x:t>
  </x:si>
  <x:si>
    <x:t xml:space="preserve">Run continuity snapshots. Attempt client-side manipulation to enable a forbidden decision and prove the server refuses it. Exercise actionable/evidence_only/exploratory/suppressed cases and confirm only allowed states appear with evidence and actor/reason history.</x:t>
  </x:si>
  <x:si>
    <x:t xml:space="preserve">T-142..T-145 + M1 continuity snapshots</x:t>
  </x:si>
  <x:si>
    <x:t xml:space="preserve">T-191</x:t>
  </x:si>
  <x:si>
    <x:t xml:space="preserve">D11 Scenario Simulation: governed read-only modelled comparison</x:t>
  </x:si>
  <x:si>
    <x:t xml:space="preserve">Scenario simulation</x:t>
  </x:si>
  <x:si>
    <x:t xml:space="preserve">Implement the already-designed D11 scenario path as decision support, not plant control: choose declared variables within valid ranges, hold the rest fixed, run against a named active model version/semantic manifest, compare with baseline and persist scenario_runs with uncertainty/disclaimer/evidence. It never writes to a customer system and never masquerades as an observed prediction.</x:t>
  </x:si>
  <x:si>
    <x:t xml:space="preserve">Run a bounded scenario and resolve baseline/model/manifest/evidence. An out-of-range or non-controllable variable is refused. The result is labelled simulation, includes uncertainty, and no source-system write/control endpoint is reachable from the path.</x:t>
  </x:si>
  <x:si>
    <x:t xml:space="preserve">T-130 + T-176 + T-187</x:t>
  </x:si>
  <x:si>
    <x:t xml:space="preserve">T-192</x:t>
  </x:si>
  <x:si>
    <x:t xml:space="preserve">Target-architecture gate pack G-48..G-55</x:t>
  </x:si>
  <x:si>
    <x:t xml:space="preserve">Architecture gates</x:t>
  </x:si>
  <x:si>
    <x:t xml:space="preserve">Implement the eight target-architecture gates as executable tests: G-48 materialiser-only feature_store read; G-49 ML lane isolation; G-50 admission satisfiable; G-51 ANN recall floor; G-52 evidence-budget/truncation integrity; G-53 deterministic answer verification; G-54 governed-model-only learned multimodal output; G-55 semantic-manifest coverage. Keep them standalone and fail-closed; T-150 owns final pipeline wiring.</x:t>
  </x:si>
  <x:si>
    <x:t xml:space="preserve">Falsify every gate once. Each deliberate violation fails for the named reason and passes only after the defect is removed. A missing test input/dependency is a failure, not a skip/pass. Produce one machine-readable gate report consumable by T-150.</x:t>
  </x:si>
  <x:si>
    <x:t xml:space="preserve">W3 AFTER COMPONENT INTEGRATION</x:t>
  </x:si>
  <x:si>
    <x:t xml:space="preserve">Implement/falsify gates against final components; standalone gate files first, canonical pipeline wiring belongs to T-150.</x:t>
  </x:si>
  <x:si>
    <x:t xml:space="preserve">T-183..T-191 + T-107/T-122 as applicable</x:t>
  </x:si>
  <x:si>
    <x:t xml:space="preserve">Worker 3 AFTER COMPONENT INTEGRATION</x:t>
  </x:si>
  <x:si>
    <x:t xml:space="preserve">T-193</x:t>
  </x:si>
  <x:si>
    <x:t xml:space="preserve">Drift Supervisor and governed model-action proposals</x:t>
  </x:si>
  <x:si>
    <x:t xml:space="preserve">Implement the Drift Supervisor over served model/index/practice state. Detect declared distribution/performance/calibration/explanation drift, propose bounded actions, shadow-run where applicable and require human approval before applying. It may never lower readiness thresholds, refusal rules, evidence requirements, leakage gates, tenant isolation or semantic contracts, and it never performs continuous online weight updates.</x:t>
  </x:si>
  <x:si>
    <x:t xml:space="preserve">Trigger each supported drift class on fixtures and prove a proposal is recorded with evidence. Attempt to propose a forbidden threshold/gate weakening and prove it is rejected structurally. Approve one allowed bounded action and confirm atomic application plus rollback pointer; reject one and confirm no state change.</x:t>
  </x:si>
  <x:si>
    <x:t xml:space="preserve">W3 AFTER MODEL/PREDICTION INTEGRATION</x:t>
  </x:si>
  <x:si>
    <x:t xml:space="preserve">Supervisor may propose only governed bounded actions; never modify architecture gates/thresholds or auto-update plant/model weights.</x:t>
  </x:si>
  <x:si>
    <x:t xml:space="preserve">T-130 + T-187 + T-139/T-145</x:t>
  </x:si>
  <x:si>
    <x:t xml:space="preserve">Worker 3 AFTER MODEL/PREDICTION INTEGRATION</x:t>
  </x:si>
  <x:si>
    <x:t xml:space="preserve">T-194</x:t>
  </x:si>
  <x:si>
    <x:t xml:space="preserve">Retire legacy API dual-serve aliases after canonical-client continuity proof</x:t>
  </x:si>
  <x:si>
    <x:t xml:space="preserve">API namespace</x:t>
  </x:si>
  <x:si>
    <x:t xml:space="preserve">T-117 deliberately introduces a dual-serve transition while clients migrate. Close that transition explicitly after T-127 proves the canonical journey and continuity. Remove every legacy phase/version/task-token API alias, preserve only canonical /api/{domain} routes, and keep a machine-readable mapping artifact so support can interpret old logs without keeping old endpoints alive.</x:t>
  </x:si>
  <x:si>
    <x:t xml:space="preserve">After T-127 is green, enumerate the route table and prove zero legacy alias remains. A representative old path returns the governed retired-route response or 404 according to the API policy, while the canonical path remains green. Re-run the route-token gate and a bounded canonical-journey regression. No frontend client calls an old alias.</x:t>
  </x:si>
  <x:si>
    <x:t xml:space="preserve">Core/API namespace only. Do not touch Worker 3 engine/ML code except shared regression consumers.</x:t>
  </x:si>
  <x:si>
    <x:t xml:space="preserve">T-117 + T-127</x:t>
  </x:si>
  <x:si>
    <x:t xml:space="preserve">NEW v2.10.2 — closes T-117 named follow-up orphan</x:t>
  </x:si>
  <x:si>
    <x:t xml:space="preserve">NEW OWNER ADDED — closes a genuine design/coverage gap</x:t>
  </x:si>
  <x:si>
    <x:t xml:space="preserve">WAIT for Presentation RC freeze/tag + clean index/worktree. Then: T-117 + T-127</x:t>
  </x:si>
  <x:si>
    <x:t xml:space="preserve">T-195</x:t>
  </x:si>
  <x:si>
    <x:t xml:space="preserve">Canonical readiness thresholds, governed change history and fail-closed readiness API</x:t>
  </x:si>
  <x:si>
    <x:t xml:space="preserve">Readiness governance</x:t>
  </x:si>
  <x:si>
    <x:t xml:space="preserve">Implement the Chapter 3 canonical readiness authority behind the M1-compatible facade: ppiq_meta.readiness_thresholds and readiness_threshold_changes, tenant/outcome-scoped thresholds, GET /api/readiness/evaluate, GET /api/readiness/matrix, GET /api/readiness/thresholds and governed PUT with required justification/audit. Evaluation failure is Blocked/readiness-could-not-be-measured, never Ready by default.</x:t>
  </x:si>
  <x:si>
    <x:t xml:space="preserve">Create thresholds for two tenants/outcomes and prove isolation. Change one threshold through the governed API with justification and prove change history/audit. Attempt a non-human/unauthorised change and refuse it. Force the population measurement to fail and prove the result is Blocked with the fail-closed reason. M1 T-066 visible contract remains unchanged.</x:t>
  </x:si>
  <x:si>
    <x:t xml:space="preserve">W3 AFTER M2a-P3 SECURITY</x:t>
  </x:si>
  <x:si>
    <x:t xml:space="preserve">Canonical readiness backend only; no M1 presentation UI edits. Use final definition/outcome authority and T-112/T-114 tenancy guards.</x:t>
  </x:si>
  <x:si>
    <x:t xml:space="preserve">T-090 + T-112 + T-114</x:t>
  </x:si>
  <x:si>
    <x:t xml:space="preserve">NEW v2.10.2 — closes canonical readiness-governance ownership gap</x:t>
  </x:si>
  <x:si>
    <x:t xml:space="preserve">F-055 [Critical] — M1 T-066 certifies /api/ml/foundation/readiness, while the final Chapter 3 authority is /api/readiness/evaluate plus readiness_thresholds/readiness_threshold_changes and governed PUT semantics. No existing backlog task owns the canonical threshold persistence/change-history contract.
F-082 [Very Important] — Phase Summary says all M2b-P1 starts after M2a-P2, but production persistence needs security/tenant authority from M2a-P3 while pure computation can start earlier.</x:t>
  </x:si>
  <x:si>
    <x:t xml:space="preserve">F-055 — T-066 must render through the stable /api/readiness/evaluate facade (compatibility-backed in M1). Add T-195 for canonical tenant/outcome readiness thresholds, change history, fail-closed evaluation and governed updates before canonical readiness/model cutover.
F-082 — Revise phase intent: canonical data/relationship authority after P2; any new tenant-owned production persistence waits for T-112/T-114 security hand-off. Keep pure cores parallel-safe.</x:t>
  </x:si>
  <x:si>
    <x:t xml:space="preserve">Worker 3 only after M2a-P3 security hand-off (T-112/T-114)</x:t>
  </x:si>
  <x:si>
    <x:t xml:space="preserve">T-196</x:t>
  </x:si>
  <x:si>
    <x:t xml:space="preserve">C4 Plant Model Explorer canonical route and structural evidence surface</x:t>
  </x:si>
  <x:si>
    <x:t xml:space="preserve">Plant model</x:t>
  </x:si>
  <x:si>
    <x:t xml:space="preserve">Implement the missing Chapter 3 C4 /plant-model surface on the canonical plant authority. Show site/area/equipment hierarchy, search, unmapped-only state, selected-node details and the routes/operations that reference it. Unmapped equipment is explicit Amber evidence rather than silently dropped. The page is generic and uses imported plant vocabulary only.</x:t>
  </x:si>
  <x:si>
    <x:t xml:space="preserve">Route /plant-model exists exactly once. Load a canonical reference plant and prove hierarchy/details match GET /api/plant/layout and /api/plant/equipment/{id}. Introduce one unmapped equipment reference and prove it is visible with its source object. Empty install renders the designed no-projection state. Keyboard tree traversal and RTL contract pass.</x:t>
  </x:si>
  <x:si>
    <x:t xml:space="preserve">Canonical plant/relationship UI only; no Worker 3 model/runtime work.</x:t>
  </x:si>
  <x:si>
    <x:t xml:space="preserve">T-087 + T-094 + T-095</x:t>
  </x:si>
  <x:si>
    <x:t xml:space="preserve">NEW v2.10.2 — closes missing C4 target-route owner</x:t>
  </x:si>
  <x:si>
    <x:t xml:space="preserve">F-074 [Critical] — Chapter 3 requires C4 Plant Model Explorer /plant-model. Latest frontend audit has no /plant-model route and the backlog has no executable page owner. T-148 only ensures existing page files are reachable; it cannot create a missing target page.</x:t>
  </x:si>
  <x:si>
    <x:t xml:space="preserve">F-074 — Add T-196 for canonical C4 Plant Model Explorer, after plant/relationship authority. T-148 route-inventory gate must require every one of the 40 target route pages to exist, not merely every file to be reachable.</x:t>
  </x:si>
  <x:si>
    <x:t xml:space="preserve">WAIT for Presentation RC freeze/tag + clean index/worktree. Then: T-087 + T-094 + T-095</x:t>
  </x:si>
  <x:si>
    <x:t xml:space="preserve">T-197</x:t>
  </x:si>
  <x:si>
    <x:t xml:space="preserve">E6 Alert Routing and Escalation with delivery, retry and dead-letter evidence</x:t>
  </x:si>
  <x:si>
    <x:t xml:space="preserve">Backend + Frontend</x:t>
  </x:si>
  <x:si>
    <x:t xml:space="preserve">Alert routing</x:t>
  </x:si>
  <x:si>
    <x:t xml:space="preserve">Implement Chapter 3 E6 /alert-routing: routing rules over log/plant-data channels, severity, recipients, delivery channels, escalation delay, working hours/quiet periods, deduplication, grouping key, rate limit, suppression, test delivery, retry and dead-letter visibility. Entries are held during quiet periods, never silently lost.</x:t>
  </x:si>
  <x:si>
    <x:t xml:space="preserve">Create and test a routing rule, force one delivery failure through its retry ceiling and prove it appears in dead letters with reason. Prove a rule with no recipient and an escalation with no escalation recipient are refused. Quiet-period traffic is held and later delivered. Role enforcement and audit evidence pass.</x:t>
  </x:si>
  <x:si>
    <x:t xml:space="preserve">Administration/notification path only. No model/remediation-control writeback.</x:t>
  </x:si>
  <x:si>
    <x:t xml:space="preserve">T-119 + T-198</x:t>
  </x:si>
  <x:si>
    <x:t xml:space="preserve">NEW v2.10.2 — closes missing E6 target-route/capability owner</x:t>
  </x:si>
  <x:si>
    <x:t xml:space="preserve">Full-stack governed feature</x:t>
  </x:si>
  <x:si>
    <x:t xml:space="preserve">WAIT for Presentation RC freeze/tag + clean index/worktree. Then: T-119 + T-198</x:t>
  </x:si>
  <x:si>
    <x:t xml:space="preserve">T-198</x:t>
  </x:si>
  <x:si>
    <x:t xml:space="preserve">F5 Logging and Audit plus F6 Log Channel Configuration</x:t>
  </x:si>
  <x:si>
    <x:t xml:space="preserve">Logging administration</x:t>
  </x:si>
  <x:si>
    <x:t xml:space="preserve">Implement the Chapter 3 canonical logging administration contract: /admin/logs with role-scoped System/Job/Data/Audit/Assistant/Plant Data families, filtering, live tail/replay, run correlation and export; plus /admin/log-channels for channel identity, severity mapping, routing/export target and reading roles. Built-in/audit channels are locked as specified; retention is read-only here and owned by F9.</x:t>
  </x:si>
  <x:si>
    <x:t xml:space="preserve">Every permitted family is queryable and a forbidden family is absent for the role. Drop and resume the live stream and prove replay. Correlate one run across families. Audit has no edit/delete control. Create a custom channel, prove built-ins remain locked, and refuse an attempt to create/retarget the audit family. Canonical log tables and audit trail are used.</x:t>
  </x:si>
  <x:si>
    <x:t xml:space="preserve">Logging/admin only. Must obey T-112/T-114 tenancy/security and preserve existing audit history.</x:t>
  </x:si>
  <x:si>
    <x:t xml:space="preserve">T-112 + T-114 + T-119</x:t>
  </x:si>
  <x:si>
    <x:t xml:space="preserve">NEW v2.10.2 — closes missing F5/F6 owners</x:t>
  </x:si>
  <x:si>
    <x:t xml:space="preserve">F-076 [Critical] — F5 Logging and Audit /admin/logs and F6 Log Channel Configuration /admin/log-channels are target pages. Audit logging exists in backend, but latest frontend audit has neither route and no task owns final log-channel authority/UI.</x:t>
  </x:si>
  <x:si>
    <x:t xml:space="preserve">F-076 — Add T-198 to converge logging/audit read surface and canonical log-channel configuration, preserving audit immutability and role-scoped family visibility.</x:t>
  </x:si>
  <x:si>
    <x:t xml:space="preserve">WAIT for Presentation RC freeze/tag + clean index/worktree. Then: T-112 + T-114 + T-119</x:t>
  </x:si>
  <x:si>
    <x:t xml:space="preserve">T-199</x:t>
  </x:si>
  <x:si>
    <x:t xml:space="preserve">F9 Log Retention and Archival with dry-run, legal hold and no-delete-on-archive-failure</x:t>
  </x:si>
  <x:si>
    <x:t xml:space="preserve">Log retention</x:t>
  </x:si>
  <x:si>
    <x:t xml:space="preserve">Implement Chapter 3 F9 /admin/log-retention as the sole destructive log-history policy surface. Persist per-channel retention policy, archive-before-delete, destination, cleanup schedule/batch size, governed audit minimum and legal hold. Require pre-save dry-run impact. Cleanup history records cutoff, examined/archived/deleted rows, reclaimed storage, duration and failure reason.</x:t>
  </x:si>
  <x:si>
    <x:t xml:space="preserve">Attempt audit retention below the governed minimum and refuse it. Save without preview and refuse it. Put a channel on legal hold and prove cleanup is blocked. Make the archive destination fail and prove zero rows are deleted. Complete one successful preview+cleanup and reconcile counts/history. Only Administrator can access the page.</x:t>
  </x:si>
  <x:si>
    <x:t xml:space="preserve">Destructive log policy only; no general backup policy replacement. T-124 remains platform backup/restore.</x:t>
  </x:si>
  <x:si>
    <x:t xml:space="preserve">T-124 + T-198</x:t>
  </x:si>
  <x:si>
    <x:t xml:space="preserve">NEW v2.10.2 — closes missing F9 destructive-governance owner</x:t>
  </x:si>
  <x:si>
    <x:t xml:space="preserve">WAIT for Presentation RC freeze/tag + clean index/worktree. Then: T-124 + T-198</x:t>
  </x:si>
  <x:si>
    <x:t xml:space="preserve">T-200</x:t>
  </x:si>
  <x:si>
    <x:t xml:space="preserve">F7 System Settings and F8 Translation/Language canonical administration</x:t>
  </x:si>
  <x:si>
    <x:t xml:space="preserve">System administration</x:t>
  </x:si>
  <x:si>
    <x:t xml:space="preserve">Implement Chapter 3 F7 /admin/settings and F8 /admin/translation. System settings own site identity, units/formats, plant time zone, documented retention defaults and per-tenant no-egress data boundary. Translation owns language packs, review/mirror-verification state, context-aware labels, import/export and fallback language. Presentation-era hardcoded translation tables become compatibility data only.</x:t>
  </x:si>
  <x:si>
    <x:t xml:space="preserve">Change plant time zone through a confirmed action and prove the resulting setting is audited and used by a shift-aware display; toggle no-egress and prove affected capabilities report the new boundary. Add/edit a translation, mark review/mirror state, export and reimport a pack, and verify RTL rendering for Arabic. No machine-locale fallback silently changes formats.</x:t>
  </x:si>
  <x:si>
    <x:t xml:space="preserve">Administration/i18n only. No presentation-only literals become production authority.</x:t>
  </x:si>
  <x:si>
    <x:t xml:space="preserve">NEW v2.10.2 — closes missing F7/F8 target-route owners</x:t>
  </x:si>
  <x:si>
    <x:t xml:space="preserve">WAIT for Presentation RC freeze/tag + clean index/worktree. Then: T-113 + T-119</x:t>
  </x:si>
  <x:si>
    <x:t xml:space="preserve">Open Traditional h</x:t>
  </x:si>
  <x:si>
    <x:t xml:space="preserve">W1 P80 h</x:t>
  </x:si>
  <x:si>
    <x:t xml:space="preserve">W2 P80 h</x:t>
  </x:si>
  <x:si>
    <x:t xml:space="preserve">W3 P80 h</x:t>
  </x:si>
  <x:si>
    <x:t xml:space="preserve">AI Bottleneck / Ruling</x:t>
  </x:si>
  <x:si>
    <x:t xml:space="preserve">Closed / no remaining AI load.</x:t>
  </x:si>
  <x:si>
    <x:t xml:space="preserve">Total required till Presentation</x:t>
  </x:si>
  <x:si>
    <x:t xml:space="preserve">Strict Done hours</x:t>
  </x:si>
  <x:si>
    <x:t xml:space="preserve">Worker 2 is the guarded load bottleneck; follow Task Map gates.</x:t>
  </x:si>
  <x:si>
    <x:t xml:space="preserve">Not-yet-Done hours</x:t>
  </x:si>
  <x:si>
    <x:t xml:space="preserve">Worker 1 is the guarded load bottleneck; follow Task Map gates.</x:t>
  </x:si>
  <x:si>
    <x:t xml:space="preserve">Strict Done %</x:t>
  </x:si>
  <x:si>
    <x:t xml:space="preserve">Worker 3 is the guarded load bottleneck; follow Task Map gates.</x:t>
  </x:si>
  <x:si>
    <x:t xml:space="preserve">AI Critical Agent</x:t>
  </x:si>
  <x:si>
    <x:t xml:space="preserve">AI Delivery Ruling</x:t>
  </x:si>
  <x:si>
    <x:t xml:space="preserve">20-Aug feasible with strict scope/file locks.</x:t>
  </x:si>
  <x:si>
    <x:t xml:space="preserve">Prioritise W1 canonical/security hand-off; W2/W3 consume committed contracts.</x:t>
  </x:si>
  <x:si>
    <x:t xml:space="preserve">W3 starts after canonical/security gate and runs in parallel with M2a tail.</x:t>
  </x:si>
  <x:si>
    <x:t xml:space="preserve">Evidence/site-gated; AI cannot remove customer/hardware calendar.</x:t>
  </x:si>
  <x:si>
    <x:t xml:space="preserve">Edit only these columns</x:t>
  </x:si>
  <x:si>
    <x:t xml:space="preserve">Status (column K). Ownership/safety/dependencies are generated plan controls and should change only through a backlog revision.</x:t>
  </x:si>
  <x:si>
    <x:t xml:space="preserve">Critical / Very Important / Important / Optional. Severity, not execution sequence.</x:t>
  </x:si>
  <x:si>
    <x:t xml:space="preserve">No task exceeds 12 hours. A partial task is rewritten as its executable remainder with a fresh estimate.</x:t>
  </x:si>
  <x:si>
    <x:t xml:space="preserve">Status values</x:t>
  </x:si>
  <x:si>
    <x:t xml:space="preserve">Not Started / In Progress / Blocked / Done.</x:t>
  </x:si>
  <x:si>
    <x:t xml:space="preserve">Definition of Done</x:t>
  </x:si>
  <x:si>
    <x:t xml:space="preserve">The Task Validation column passes against an executed system/kernel/runtime. Compilation or presence of a test file is not Done.</x:t>
  </x:si>
  <x:si>
    <x:t xml:space="preserve">W3 SAFE NOW</x:t>
  </x:si>
  <x:si>
    <x:t xml:space="preserve">Worker 3 may execute immediately, but ONLY in isolated new modules/files/tests: no DB migration, production DI registration, route/page change, presentation schema/data edit or current runtime cutover.</x:t>
  </x:si>
  <x:si>
    <x:t xml:space="preserve">Final definition-store + relationship-model hand-off is required before Worker 3 touches production persistence.</x:t>
  </x:si>
  <x:si>
    <x:t xml:space="preserve">W3 AFTER M2b-P1/P2</x:t>
  </x:si>
  <x:si>
    <x:t xml:space="preserve">Canonical integration/cutover task. Preserve M1 continuity snapshots; data authority may change but the visible contract may not.</x:t>
  </x:si>
  <x:si>
    <x:t xml:space="preserve">Presentation/frontend namespace/core-platform work owned by Workers 1/2 or the platform lane.</x:t>
  </x:si>
  <x:si>
    <x:t xml:space="preserve">SHARED</x:t>
  </x:si>
  <x:si>
    <x:t xml:space="preserve">Worker 3 supplies the AI/ML contract/tests; the named platform/infra/CI owner owns the generic subsystem or final pipeline.</x:t>
  </x:si>
  <x:si>
    <x:t xml:space="preserve">Presentation protection law</x:t>
  </x:si>
  <x:si>
    <x:t xml:space="preserve">Canonical-schema protection law</x:t>
  </x:si>
  <x:si>
    <x:t xml:space="preserve">Fake-data law</x:t>
  </x:si>
  <x:si>
    <x:t xml:space="preserve">No cutover while presentation is active</x:t>
  </x:si>
  <x:si>
    <x:t xml:space="preserve">Repository isolation</x:t>
  </x:si>
  <x:si>
    <x:t xml:space="preserve">Database semantic durability</x:t>
  </x:si>
  <x:si>
    <x:t xml:space="preserve">Fail-closed mutation tooling</x:t>
  </x:si>
  <x:si>
    <x:t xml:space="preserve">Audit-finding traceability</x:t>
  </x:si>
  <x:si>
    <x:t xml:space="preserve">v2.10 scope result</x:t>
  </x:si>
  <x:si>
    <x:t xml:space="preserve">Source</x:t>
  </x:si>
  <x:si>
    <x:t xml:space="preserve">v2.10.2 review field</x:t>
  </x:si>
  <x:si>
    <x:t xml:space="preserve">Meaning</x:t>
  </x:si>
  <x:si>
    <x:t xml:space="preserve">Separates planned Status from evidence-backed execution state.</x:t>
  </x:si>
  <x:si>
    <x:t xml:space="preserve">REVISE means the task text/dependency/acceptance had an authority contradiction or material coverage issue.</x:t>
  </x:si>
  <x:si>
    <x:t xml:space="preserve">Risk of implementing the task as previously written before the corrected prerequisite/contract is in place.</x:t>
  </x:si>
  <x:si>
    <x:t xml:space="preserve">Booster rule</x:t>
  </x:si>
  <x:si>
    <x:t xml:space="preserve">Worker 3 may help another lane only when there is zero intended file/subsystem overlap and no prerequisite that a later task will materially replace.</x:t>
  </x:si>
  <x:si>
    <x:t xml:space="preserve">Authority rule</x:t>
  </x:si>
  <x:si>
    <x:t xml:space="preserve">External/public contract may freeze before physical canonical persistence; never call compatibility storage FINAL when Chapter 3 requires a future canonical authority.</x:t>
  </x:si>
  <x:si>
    <x:t xml:space="preserve">Authoritative execution owner under the three-agent orchestration. One open task has one owner.</x:t>
  </x:si>
  <x:si>
    <x:t xml:space="preserve">AI Speed Factor</x:t>
  </x:si>
  <x:si>
    <x:t xml:space="preserve">Planning compression from traditional engineering hours to expected AI agent-active time; varies by execution class.</x:t>
  </x:si>
  <x:si>
    <x:t xml:space="preserve">P50 AI Active Time</x:t>
  </x:si>
  <x:si>
    <x:t xml:space="preserve">Expected bounded agent-active wall-clock with stable prerequisites and a clean task lock.</x:t>
  </x:si>
  <x:si>
    <x:t xml:space="preserve">P80 Guarded Time</x:t>
  </x:si>
  <x:si>
    <x:t xml:space="preserve">Conservative agent-active planning time including retries, runtime integration and debugging risk.</x:t>
  </x:si>
  <x:si>
    <x:t xml:space="preserve">Exclusive boundary preventing two agents from editing or invalidating the same area concurrently.</x:t>
  </x:si>
  <x:si>
    <x:t xml:space="preserve">Start / Dependency Gate</x:t>
  </x:si>
  <x:si>
    <x:t xml:space="preserve">Producer commit/product authority that must be frozen before the assigned agent may begin.</x:t>
  </x:si>
  <x:si>
    <x:t xml:space="preserve">No-Rework Handoff</x:t>
  </x:si>
  <x:si>
    <x:t xml:space="preserve">Consumer starts only after producer commit and consumes the contract rather than redesigning producer-owned semantics.</x:t>
  </x:si>
  <x:si>
    <x:t xml:space="preserve">PPIQ v2.10.2 — Deep Design Finding → Executable Owner Traceability</x:t>
  </x:si>
  <x:si>
    <x:t xml:space="preserve">TRACEABILITY KPI</x:t>
  </x:si>
  <x:si>
    <x:t xml:space="preserve">VALUE</x:t>
  </x:si>
  <x:si>
    <x:t xml:space="preserve">Deep reconciliation against Chapter 3/4, Layer-B architecture, current source/audit evidence and live task execution. This pass fixes design/phase/owner contradictions, not merely status tracking. M1 scope remains 574 h.</x:t>
  </x:si>
  <x:si>
    <x:t xml:space="preserve">Architecture findings</x:t>
  </x:si>
  <x:si>
    <x:t xml:space="preserve">New-task orphans</x:t>
  </x:si>
  <x:si>
    <x:t xml:space="preserve">New tasks added</x:t>
  </x:si>
  <x:si>
    <x:t xml:space="preserve">Worker 3 SAFE-NOW tasks</x:t>
  </x:si>
  <x:si>
    <x:t xml:space="preserve">Worker 3 SAFE-NOW hours</x:t>
  </x:si>
  <x:si>
    <x:t xml:space="preserve">Column1</x:t>
  </x:si>
  <x:si>
    <x:t xml:space="preserve">Column2</x:t>
  </x:si>
  <x:si>
    <x:t xml:space="preserve">Column3</x:t>
  </x:si>
  <x:si>
    <x:t xml:space="preserve">Column4</x:t>
  </x:si>
  <x:si>
    <x:t xml:space="preserve">Column5</x:t>
  </x:si>
  <x:si>
    <x:t xml:space="preserve">Column6</x:t>
  </x:si>
  <x:si>
    <x:t xml:space="preserve">M1 hours changed</x:t>
  </x:si>
  <x:si>
    <x:t xml:space="preserve">M2a hours changed</x:t>
  </x:si>
  <x:si>
    <x:t xml:space="preserve">M2b hours changed</x:t>
  </x:si>
  <x:si>
    <x:t xml:space="preserve">Finding ID</x:t>
  </x:si>
  <x:si>
    <x:t xml:space="preserve">Finding</x:t>
  </x:si>
  <x:si>
    <x:t xml:space="preserve">Executable Owner</x:t>
  </x:si>
  <x:si>
    <x:t xml:space="preserve">Phase</x:t>
  </x:si>
  <x:si>
    <x:t xml:space="preserve">Disposition</x:t>
  </x:si>
  <x:si>
    <x:t xml:space="preserve">Rationale / Scope Decision</x:t>
  </x:si>
  <x:si>
    <x:t xml:space="preserve">F-001</x:t>
  </x:si>
  <x:si>
    <x:t xml:space="preserve">Numeric×Categorical correlation method missing</x:t>
  </x:si>
  <x:si>
    <x:t xml:space="preserve">T-177 / T-146</x:t>
  </x:si>
  <x:si>
    <x:t xml:space="preserve">M2b-P0B / P4</x:t>
  </x:si>
  <x:si>
    <x:t xml:space="preserve">EXPANDED</x:t>
  </x:si>
  <x:si>
    <x:t xml:space="preserve">Kernel split from production cutover; safe-now computation no longer touches presentation runtime.</x:t>
  </x:si>
  <x:si>
    <x:t xml:space="preserve">F-002</x:t>
  </x:si>
  <x:si>
    <x:t xml:space="preserve">Unsupported Numeric×Categorical mislabeled zero-variance</x:t>
  </x:si>
  <x:si>
    <x:t xml:space="preserve">Truthful exclusion taxonomy is tested in the isolated kernel and production cutover.</x:t>
  </x:si>
  <x:si>
    <x:t xml:space="preserve">F-003</x:t>
  </x:si>
  <x:si>
    <x:t xml:space="preserve">Outcome namespace / grain / ordinal loader defects</x:t>
  </x:si>
  <x:si>
    <x:t xml:space="preserve">EXISTING</x:t>
  </x:si>
  <x:si>
    <x:t xml:space="preserve">Canonical outcome integration owner retained.</x:t>
  </x:si>
  <x:si>
    <x:t xml:space="preserve">F-004</x:t>
  </x:si>
  <x:si>
    <x:t xml:space="preserve">Page Builder demo-shaped widget/source assumptions</x:t>
  </x:si>
  <x:si>
    <x:t xml:space="preserve">T-041 / T-042</x:t>
  </x:si>
  <x:si>
    <x:t xml:space="preserve">Presentation owner; Worker 3 excluded.</x:t>
  </x:si>
  <x:si>
    <x:t xml:space="preserve">F-005</x:t>
  </x:si>
  <x:si>
    <x:t xml:space="preserve">Operational dashboard weak bindings, raw IDs and degenerate dimensions</x:t>
  </x:si>
  <x:si>
    <x:t xml:space="preserve">Presentation owner; unchanged.</x:t>
  </x:si>
  <x:si>
    <x:t xml:space="preserve">F-006</x:t>
  </x:si>
  <x:si>
    <x:t xml:space="preserve">Analysis/Model pages show flat or information-free charts</x:t>
  </x:si>
  <x:si>
    <x:t xml:space="preserve">Worker 2 presentation owner; production AI cutovers wait.</x:t>
  </x:si>
  <x:si>
    <x:t xml:space="preserve">F-007</x:t>
  </x:si>
  <x:si>
    <x:t xml:space="preserve">Chart renderer compatibility without analytical compatibility</x:t>
  </x:si>
  <x:si>
    <x:t xml:space="preserve">Worker 2 presentation owner; Worker 3 must not cut over engine during certification.</x:t>
  </x:si>
  <x:si>
    <x:t xml:space="preserve">F-008</x:t>
  </x:si>
  <x:si>
    <x:t xml:space="preserve">Seven pages need distinct stories but one product design language</x:t>
  </x:si>
  <x:si>
    <x:t xml:space="preserve">Presentation lane.</x:t>
  </x:si>
  <x:si>
    <x:t xml:space="preserve">F-009</x:t>
  </x:si>
  <x:si>
    <x:t xml:space="preserve">Assistant first-open protected-config 401 risk</x:t>
  </x:si>
  <x:si>
    <x:t xml:space="preserve">Completed presentation contract.</x:t>
  </x:si>
  <x:si>
    <x:t xml:space="preserve">F-010</x:t>
  </x:si>
  <x:si>
    <x:t xml:space="preserve">Assistant page/widget context</x:t>
  </x:si>
  <x:si>
    <x:t xml:space="preserve">Completed.</x:t>
  </x:si>
  <x:si>
    <x:t xml:space="preserve">F-011</x:t>
  </x:si>
  <x:si>
    <x:t xml:space="preserve">Assistant page/widget evidence corpus</x:t>
  </x:si>
  <x:si>
    <x:t xml:space="preserve">Completed presentation corpus; canonical cutover later T-138.</x:t>
  </x:si>
  <x:si>
    <x:t xml:space="preserve">F-012</x:t>
  </x:si>
  <x:si>
    <x:t xml:space="preserve">Typed quantity safety</x:t>
  </x:si>
  <x:si>
    <x:t xml:space="preserve">F-013</x:t>
  </x:si>
  <x:si>
    <x:t xml:space="preserve">Citation/evidence UX</x:t>
  </x:si>
  <x:si>
    <x:t xml:space="preserve">Completed visible contract.</x:t>
  </x:si>
  <x:si>
    <x:t xml:space="preserve">F-014</x:t>
  </x:si>
  <x:si>
    <x:t xml:space="preserve">Certified live questions and offline fallback</x:t>
  </x:si>
  <x:si>
    <x:t xml:space="preserve">Presentation certification owner.</x:t>
  </x:si>
  <x:si>
    <x:t xml:space="preserve">F-015</x:t>
  </x:si>
  <x:si>
    <x:t xml:space="preserve">Website visual regression/inconsistent presentation</x:t>
  </x:si>
  <x:si>
    <x:t xml:space="preserve">T-070 / T-166</x:t>
  </x:si>
  <x:si>
    <x:t xml:space="preserve">M1-P5 / M3-P2</x:t>
  </x:si>
  <x:si>
    <x:t xml:space="preserve">Outside Worker 3.</x:t>
  </x:si>
  <x:si>
    <x:t xml:space="preserve">F-016</x:t>
  </x:si>
  <x:si>
    <x:t xml:space="preserve">Mojibake / visible HTML entities</x:t>
  </x:si>
  <x:si>
    <x:t xml:space="preserve">F-017</x:t>
  </x:si>
  <x:si>
    <x:t xml:space="preserve">Visual/a11y tests invoked with --list</x:t>
  </x:si>
  <x:si>
    <x:t xml:space="preserve">T-078 / T-150</x:t>
  </x:si>
  <x:si>
    <x:t xml:space="preserve">M1-P5 / M2b-P4</x:t>
  </x:si>
  <x:si>
    <x:t xml:space="preserve">Immediate M1 owner + final pipeline owner.</x:t>
  </x:si>
  <x:si>
    <x:t xml:space="preserve">F-018</x:t>
  </x:si>
  <x:si>
    <x:t xml:space="preserve">CI can swallow failures or leave validators orphaned</x:t>
  </x:si>
  <x:si>
    <x:t xml:space="preserve">Final pipeline now also consumes T-192 and Assistant quality probes.</x:t>
  </x:si>
  <x:si>
    <x:t xml:space="preserve">F-019</x:t>
  </x:si>
  <x:si>
    <x:t xml:space="preserve">Demo/local/bootstrap/secrets/hardcoded-host leakage into Production</x:t>
  </x:si>
  <x:si>
    <x:t xml:space="preserve">Core platform owner.</x:t>
  </x:si>
  <x:si>
    <x:t xml:space="preserve">F-020</x:t>
  </x:si>
  <x:si>
    <x:t xml:space="preserve">Incomplete RLS coverage</x:t>
  </x:si>
  <x:si>
    <x:t xml:space="preserve">T-112 / T-135</x:t>
  </x:si>
  <x:si>
    <x:t xml:space="preserve">M2a-P3 / M2b-P1</x:t>
  </x:si>
  <x:si>
    <x:t xml:space="preserve">M2a owns generic RLS; T-135 covers new intelligence tables.</x:t>
  </x:si>
  <x:si>
    <x:t xml:space="preserve">F-021</x:t>
  </x:si>
  <x:si>
    <x:t xml:space="preserve">src_* retirement/dependency proof/backup restore</x:t>
  </x:si>
  <x:si>
    <x:t xml:space="preserve">Unchanged.</x:t>
  </x:si>
  <x:si>
    <x:t xml:space="preserve">F-022</x:t>
  </x:si>
  <x:si>
    <x:t xml:space="preserve">Final ppiq_staging / ppiq_plant / ppiq_meta authority</x:t>
  </x:si>
  <x:si>
    <x:t xml:space="preserve">T-087 / T-088</x:t>
  </x:si>
  <x:si>
    <x:t xml:space="preserve">Worker 3 persistence explicitly waits for this authority.</x:t>
  </x:si>
  <x:si>
    <x:t xml:space="preserve">F-023</x:t>
  </x:si>
  <x:si>
    <x:t xml:space="preserve">Unified definition authority</x:t>
  </x:si>
  <x:si>
    <x:t xml:space="preserve">T-089–T-094</x:t>
  </x:si>
  <x:si>
    <x:t xml:space="preserve">Manifest resolver depends on it.</x:t>
  </x:si>
  <x:si>
    <x:t xml:space="preserve">F-024</x:t>
  </x:si>
  <x:si>
    <x:t xml:space="preserve">Permanent relationship model and projection quarantine</x:t>
  </x:si>
  <x:si>
    <x:t xml:space="preserve">T-095–T-105</x:t>
  </x:si>
  <x:si>
    <x:t xml:space="preserve">Worker 3 production persistence hand-off gate.</x:t>
  </x:si>
  <x:si>
    <x:t xml:space="preserve">F-025</x:t>
  </x:si>
  <x:si>
    <x:t xml:space="preserve">Production feature/outcome snapshots and intelligence substrate</x:t>
  </x:si>
  <x:si>
    <x:t xml:space="preserve">T-128–T-136 / T-169 / T-183–T-186</x:t>
  </x:si>
  <x:si>
    <x:t xml:space="preserve">Original owner retained and split to cover manifest, columnar and sequence contracts.</x:t>
  </x:si>
  <x:si>
    <x:t xml:space="preserve">F-026</x:t>
  </x:si>
  <x:si>
    <x:t xml:space="preserve">Prediction/remediation/feedback loop</x:t>
  </x:si>
  <x:si>
    <x:t xml:space="preserve">T-139–T-145 / T-178 / T-189 / T-190</x:t>
  </x:si>
  <x:si>
    <x:t xml:space="preserve">Pure eligibility kernel + canonical surfaces added.</x:t>
  </x:si>
  <x:si>
    <x:t xml:space="preserve">F-027</x:t>
  </x:si>
  <x:si>
    <x:t xml:space="preserve">Economic Value Engine / auditable ROI</x:t>
  </x:si>
  <x:si>
    <x:t xml:space="preserve">F-028</x:t>
  </x:si>
  <x:si>
    <x:t xml:space="preserve">Product-semantic DB fix can exist only live/ignored</x:t>
  </x:si>
  <x:si>
    <x:t xml:space="preserve">Global Law</x:t>
  </x:si>
  <x:si>
    <x:t xml:space="preserve">All</x:t>
  </x:si>
  <x:si>
    <x:t xml:space="preserve">GLOBAL LAW</x:t>
  </x:si>
  <x:si>
    <x:t xml:space="preserve">Permanent durability rule.</x:t>
  </x:si>
  <x:si>
    <x:t xml:space="preserve">F-029</x:t>
  </x:si>
  <x:si>
    <x:t xml:space="preserve">Mutating pack can silently miss anchor/fail after mutation</x:t>
  </x:si>
  <x:si>
    <x:t xml:space="preserve">Fail-closed mutation rule.</x:t>
  </x:si>
  <x:si>
    <x:t xml:space="preserve">F-030</x:t>
  </x:si>
  <x:si>
    <x:t xml:space="preserve">Parallel workers can stage/commit each other's dirty files</x:t>
  </x:si>
  <x:si>
    <x:t xml:space="preserve">Exact-file staging rule; restated in Worker 3 Lane.</x:t>
  </x:si>
  <x:si>
    <x:t xml:space="preserve">F-031</x:t>
  </x:si>
  <x:si>
    <x:t xml:space="preserve">Future audit finding can freeze without executable owner</x:t>
  </x:si>
  <x:si>
    <x:t xml:space="preserve">Zero-orphan freeze rule.</x:t>
  </x:si>
  <x:si>
    <x:t xml:space="preserve">F-032</x:t>
  </x:si>
  <x:si>
    <x:t xml:space="preserve">Semantic Contract Manifest has no executable owner</x:t>
  </x:si>
  <x:si>
    <x:t xml:space="preserve">NEW TASK</x:t>
  </x:si>
  <x:si>
    <x:t xml:space="preserve">Tenant-safe manifest persistence/resolver/G-55.</x:t>
  </x:si>
  <x:si>
    <x:t xml:space="preserve">F-033</x:t>
  </x:si>
  <x:si>
    <x:t xml:space="preserve">Training path could read JSONB/live feature_store</x:t>
  </x:si>
  <x:si>
    <x:t xml:space="preserve">T-169 / T-184</x:t>
  </x:si>
  <x:si>
    <x:t xml:space="preserve">M2b-P0A / P1</x:t>
  </x:si>
  <x:si>
    <x:t xml:space="preserve">Columnar library + sole production Snapshot Materialiser.</x:t>
  </x:si>
  <x:si>
    <x:t xml:space="preserve">F-034</x:t>
  </x:si>
  <x:si>
    <x:t xml:space="preserve">Sequence payload stored as PostgreSQL arrays</x:t>
  </x:si>
  <x:si>
    <x:t xml:space="preserve">T-170 / T-185</x:t>
  </x:si>
  <x:si>
    <x:t xml:space="preserve">M2b-P0A / P2</x:t>
  </x:si>
  <x:si>
    <x:t xml:space="preserve">Chunked object payload + DB manifest only.</x:t>
  </x:si>
  <x:si>
    <x:t xml:space="preserve">F-035</x:t>
  </x:si>
  <x:si>
    <x:t xml:space="preserve">C#↔Python ML execution protocol unspecified in backlog</x:t>
  </x:si>
  <x:si>
    <x:t xml:space="preserve">T-168 / T-187</x:t>
  </x:si>
  <x:si>
    <x:t xml:space="preserve">Versioned job/result manifest and production integration.</x:t>
  </x:si>
  <x:si>
    <x:t xml:space="preserve">F-036</x:t>
  </x:si>
  <x:si>
    <x:t xml:space="preserve">Capability Profiler/model eligibility not owned</x:t>
  </x:si>
  <x:si>
    <x:t xml:space="preserve">T-171 / T-186</x:t>
  </x:si>
  <x:si>
    <x:t xml:space="preserve">Pure profiler now, canonical persistence later.</x:t>
  </x:si>
  <x:si>
    <x:t xml:space="preserve">F-037</x:t>
  </x:si>
  <x:si>
    <x:t xml:space="preserve">MF-01 Process Encoder implementation missing</x:t>
  </x:si>
  <x:si>
    <x:t xml:space="preserve">Optional encoder behind contract and B-05.</x:t>
  </x:si>
  <x:si>
    <x:t xml:space="preserve">F-038</x:t>
  </x:si>
  <x:si>
    <x:t xml:space="preserve">MF-02 VectorSimilarityIndex/Exact Flat baseline missing</x:t>
  </x:si>
  <x:si>
    <x:t xml:space="preserve">ANN policy measured against Exact Flat.</x:t>
  </x:si>
  <x:si>
    <x:t xml:space="preserve">F-039</x:t>
  </x:si>
  <x:si>
    <x:t xml:space="preserve">MF-03 novelty implementation missing</x:t>
  </x:si>
  <x:si>
    <x:t xml:space="preserve">Baseline-first novelty runtime.</x:t>
  </x:si>
  <x:si>
    <x:t xml:space="preserve">F-040</x:t>
  </x:si>
  <x:si>
    <x:t xml:space="preserve">MF-04 supervised training implementation missing</x:t>
  </x:si>
  <x:si>
    <x:t xml:space="preserve">T-175 / T-176 / T-187</x:t>
  </x:si>
  <x:si>
    <x:t xml:space="preserve">M2b-P0B / P2</x:t>
  </x:si>
  <x:si>
    <x:t xml:space="preserve">Baseline, LightGBM candidate, promotion and integration.</x:t>
  </x:si>
  <x:si>
    <x:t xml:space="preserve">F-041</x:t>
  </x:si>
  <x:si>
    <x:t xml:space="preserve">Three-dimensional model promotion not executable</x:t>
  </x:si>
  <x:si>
    <x:t xml:space="preserve">T-176 / T-130</x:t>
  </x:si>
  <x:si>
    <x:t xml:space="preserve">M2b-P0B / P1</x:t>
  </x:si>
  <x:si>
    <x:t xml:space="preserve">Quality + serving + training decision.</x:t>
  </x:si>
  <x:si>
    <x:t xml:space="preserve">F-042</x:t>
  </x:si>
  <x:si>
    <x:t xml:space="preserve">Three ML lanes/hard reservation not explicit in old scheduler task</x:t>
  </x:si>
  <x:si>
    <x:t xml:space="preserve">T-107 / T-122 / T-187</x:t>
  </x:si>
  <x:si>
    <x:t xml:space="preserve">M2a / M2b-P2</x:t>
  </x:si>
  <x:si>
    <x:t xml:space="preserve">Shared platform/ML ownership without M1 interference.</x:t>
  </x:si>
  <x:si>
    <x:t xml:space="preserve">F-043</x:t>
  </x:si>
  <x:si>
    <x:t xml:space="preserve">LLM could choose tools / planner unspecified</x:t>
  </x:si>
  <x:si>
    <x:t xml:space="preserve">T-179 / T-138</x:t>
  </x:si>
  <x:si>
    <x:t xml:space="preserve">Deterministic planner; LLM never selects tools.</x:t>
  </x:si>
  <x:si>
    <x:t xml:space="preserve">F-044</x:t>
  </x:si>
  <x:si>
    <x:t xml:space="preserve">Permission-before-ranking/evidence budget not owned</x:t>
  </x:si>
  <x:si>
    <x:t xml:space="preserve">T-180 / T-138</x:t>
  </x:si>
  <x:si>
    <x:t xml:space="preserve">Hybrid retrieval + evidence packer.</x:t>
  </x:si>
  <x:si>
    <x:t xml:space="preserve">F-045</x:t>
  </x:si>
  <x:si>
    <x:t xml:space="preserve">Deterministic answer verifier/Q-01..Q-11 not owned</x:t>
  </x:si>
  <x:si>
    <x:t xml:space="preserve">T-181 / T-138</x:t>
  </x:si>
  <x:si>
    <x:t xml:space="preserve">Non-LLM verifier + fixed quality probes.</x:t>
  </x:si>
  <x:si>
    <x:t xml:space="preserve">F-046</x:t>
  </x:si>
  <x:si>
    <x:t xml:space="preserve">G-48..G-55 only documented, not backlog-owned</x:t>
  </x:si>
  <x:si>
    <x:t xml:space="preserve">T-192 / T-150</x:t>
  </x:si>
  <x:si>
    <x:t xml:space="preserve">Fail-closed target-architecture gate pack + pipeline wiring.</x:t>
  </x:si>
  <x:si>
    <x:t xml:space="preserve">F-047</x:t>
  </x:si>
  <x:si>
    <x:t xml:space="preserve">B-01..B-09 benchmark programme lacks executable harness</x:t>
  </x:si>
  <x:si>
    <x:t xml:space="preserve">T-182 / T-155 / T-157 / T-159</x:t>
  </x:si>
  <x:si>
    <x:t xml:space="preserve">M2b / M3</x:t>
  </x:si>
  <x:si>
    <x:t xml:space="preserve">Harness now; production/site values measured later.</x:t>
  </x:si>
  <x:si>
    <x:t xml:space="preserve">F-048</x:t>
  </x:si>
  <x:si>
    <x:t xml:space="preserve">M1 fake/presentation intelligence surfaces lack canonical cutover owners</x:t>
  </x:si>
  <x:si>
    <x:t xml:space="preserve">T-133 / T-188 / T-189 / T-190 / T-138</x:t>
  </x:si>
  <x:si>
    <x:t xml:space="preserve">Replace hidden data authority without visible-contract change.</x:t>
  </x:si>
  <x:si>
    <x:t xml:space="preserve">F-049</x:t>
  </x:si>
  <x:si>
    <x:t xml:space="preserve">D11 Scenario Simulation has design but no backlog owner</x:t>
  </x:si>
  <x:si>
    <x:t xml:space="preserve">Governed read-only simulation, not control.</x:t>
  </x:si>
  <x:si>
    <x:t xml:space="preserve">F-050</x:t>
  </x:si>
  <x:si>
    <x:t xml:space="preserve">Drift Supervisor target contract lacks executable owner</x:t>
  </x:si>
  <x:si>
    <x:t xml:space="preserve">Governed proposals, shadow/human approval, no gate weakening.</x:t>
  </x:si>
  <x:si>
    <x:t xml:space="preserve">F-051</x:t>
  </x:si>
  <x:si>
    <x:t xml:space="preserve">Frozen SM-06 OutcomeDefinition canonical binding and G-06 leakage-anchor execution ownership was implicit in the backlog</x:t>
  </x:si>
  <x:si>
    <x:t xml:space="preserve">T-090 / T-128 / T-147</x:t>
  </x:si>
  <x:si>
    <x:t xml:space="preserve">M2a-P1 / M2b-P1 / M2b-P4</x:t>
  </x:si>
  <x:si>
    <x:t xml:space="preserve">No architecture gap. T-090 owns canonical immutable SM-06 binding/versioning; T-128 stores observed outcome values/history by definition version; T-147 owns Engine-side semantic consumption and detection-position/time leakage-anchor enforcement.</x:t>
  </x:si>
  <x:si>
    <x:t xml:space="preserve">F-052</x:t>
  </x:si>
  <x:si>
    <x:t xml:space="preserve">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x:t>
  </x:si>
  <x:si>
    <x:t xml:space="preserve">T-057, T-058, T-059, T-060, T-089, T-090, T-095</x:t>
  </x:si>
  <x:si>
    <x:t xml:space="preserve">REVISE EXISTING TASKS</x:t>
  </x:si>
  <x:si>
    <x:t xml:space="preserve">T-057 must deliver the final external relationship service/API and M1-compatible persistence only. Do not claim final physical schema. T-095 owns canonical ppiq_meta.plant_relationships/_members/_paths convergence after T-089/T-090. T-058/T-059/T-060 consume the service, never table names.</x:t>
  </x:si>
  <x:si>
    <x:t xml:space="preserve">F-053</x:t>
  </x:si>
  <x:si>
    <x:t xml:space="preserve">T-064 requires a foreign key before the canonical FK target exists. It also omits target_parameters from the Chapter 3 job-target contract and its validation misses JB02/JB04 while describing a pinned version as 'no longer exists' even though published versions are immutable.</x:t>
  </x:si>
  <x:si>
    <x:t xml:space="preserve">T-064, T-065, T-089, T-090, T-106</x:t>
  </x:si>
  <x:si>
    <x:t xml:space="preserve">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x:t>
  </x:si>
  <x:si>
    <x:t xml:space="preserve">F-054</x:t>
  </x:si>
  <x:si>
    <x:t xml:space="preserve">The final projection_quarantine physical schema requires canonical staging_records and definition_versions. M1 cannot honestly create the final table before T-087/T-089/T-090, yet T-061 currently says 'minimal FINAL slice' and validates real projection/reprocess behavior.</x:t>
  </x:si>
  <x:si>
    <x:t xml:space="preserve">T-061, T-062, T-087, T-089, T-090, T-099, T-100, T-101</x:t>
  </x:si>
  <x:si>
    <x:t xml:space="preserve">T-061 owns the final typed DTO/API/error-code/reprocess semantics over compatibility persistence only. T-099/T-100 own canonical projection_quarantine and all 15 PV classes; T-101 completes retry/reprocess and preserves the M1 page contract unchanged.</x:t>
  </x:si>
  <x:si>
    <x:t xml:space="preserve">F-055</x:t>
  </x:si>
  <x:si>
    <x:t xml:space="preserve">M1 T-066 certifies /api/ml/foundation/readiness, while the final Chapter 3 authority is /api/readiness/evaluate plus readiness_thresholds/readiness_threshold_changes and governed PUT semantics. No existing backlog task owns the canonical threshold persistence/change-history contract.</x:t>
  </x:si>
  <x:si>
    <x:t xml:space="preserve">T-066, T-186, T-195</x:t>
  </x:si>
  <x:si>
    <x:t xml:space="preserve">NEW TASK + REVISE T-066</x:t>
  </x:si>
  <x:si>
    <x:t xml:space="preserve">T-066 must render through the stable /api/readiness/evaluate facade (compatibility-backed in M1). Add T-195 for canonical tenant/outcome readiness thresholds, change history, fail-closed evaluation and governed updates before canonical readiness/model cutover.</x:t>
  </x:si>
  <x:si>
    <x:t xml:space="preserve">F-056</x:t>
  </x:si>
  <x:si>
    <x:t xml:space="preserve">T-068 explicitly binds the UI to public.ml_outcome_definitions and GET /ml/foundation/outcomes, both compatibility-era authorities. Chapter 3 D3 requires registry-driven definition-options and T-090 later makes SM-06 OutcomeDefinition part of the immutable definition authority.</x:t>
  </x:si>
  <x:si>
    <x:t xml:space="preserve">T-068, T-065, T-090, T-147</x:t>
  </x:si>
  <x:si>
    <x:t xml:space="preserve">T-068 must consume a stable analysis-options/outcome-registry service contract, not a physical table or temporary route. M2a swaps storage behind the contract. Complete T-068 before T-065 so the S3 authoring page is built registry-first instead of being rewritten immediately.</x:t>
  </x:si>
  <x:si>
    <x:t xml:space="preserve">F-057</x:t>
  </x:si>
  <x:si>
    <x:t xml:space="preserve">The backlog performs the physical three-schema migration in T-087 before T-088 defines the one canonical migration order and duplicate-DDL truth gate. The T-044 migration-parity incident shows this ordering is unsafe.</x:t>
  </x:si>
  <x:si>
    <x:t xml:space="preserve">T-087, T-088, T-115, T-123</x:t>
  </x:si>
  <x:si>
    <x:t xml:space="preserve">REVISE DEPENDENCIES</x:t>
  </x:si>
  <x:si>
    <x:t xml:space="preserve">T-088 migration authority/runner/order gate must precede T-087 physical migration. T-087 becomes a migration authored and executed only through the canonical path. Fresh-install T-115 and install/upgrade T-123 validate the same chain.</x:t>
  </x:si>
  <x:si>
    <x:t xml:space="preserve">F-058</x:t>
  </x:si>
  <x:si>
    <x:t xml:space="preserve">T-092 says 'dimensions and measures as registry rows' without binding those rows to the unified definition authority. Chapter 3 §4.5.11 already defines master_dimension and master_measure as definition kinds, so a separate mutable registry can become a second source of truth.</x:t>
  </x:si>
  <x:si>
    <x:t xml:space="preserve">T-089, T-090, T-092</x:t>
  </x:si>
  <x:si>
    <x:t xml:space="preserve">REVISE EXISTING TASK</x:t>
  </x:si>
  <x:si>
    <x:t xml:space="preserve">T-092 registry rows must be projections/catalogue views of canonical S2 master definitions (or compatibility projections during migration), never an independent definition authority. T-092 depends on T-089/T-090.</x:t>
  </x:si>
  <x:si>
    <x:t xml:space="preserve">F-059</x:t>
  </x:si>
  <x:si>
    <x:t xml:space="preserve">T-094 says rename the canonical grain literal 'coil' to one generic term. The frozen design does not have one generic grain: it has material_unit_type_definitions, native_grain and dynamic outcome/model grain_code. Replacing 'coil' with 'material' would preserve the same architectural error under a new word.</x:t>
  </x:si>
  <x:si>
    <x:t xml:space="preserve">T-068, T-094, T-095, T-147</x:t>
  </x:si>
  <x:si>
    <x:t xml:space="preserve">REWRITE TASK SEMANTICS</x:t>
  </x:si>
  <x:si>
    <x:t xml:space="preserve">Remove hardcoded/default coil semantics. Preserve customer-declared multi-grain unit types and outcome-specific grain_code. Rename T-094 scope from 'rename canonical grain' to 'remove hardcoded canonical grain default and bind to registry/material-unit authority'.</x:t>
  </x:si>
  <x:si>
    <x:t xml:space="preserve">F-060</x:t>
  </x:si>
  <x:si>
    <x:t xml:space="preserve">T-060 builds the M1 C6 route, then T-098 says 'Build the C6 Relationship Browser' again. That wording invites a second page/rebuild rather than hidden-authority convergence.</x:t>
  </x:si>
  <x:si>
    <x:t xml:space="preserve">T-060, T-095, T-096, T-097, T-098</x:t>
  </x:si>
  <x:si>
    <x:t xml:space="preserve">REVISE T-098</x:t>
  </x:si>
  <x:si>
    <x:t xml:space="preserve">T-098 must complete the already-shown /relationships page in place: preserve route/layout/controls and replace/extend only the canonical relationship source/path evidence.</x:t>
  </x:si>
  <x:si>
    <x:t xml:space="preserve">F-061</x:t>
  </x:si>
  <x:si>
    <x:t xml:space="preserve">T-064 already says version policy pinned/current-published, while T-106 says 'add the full version policy' again. The duplicate wording leaves ownership of the final DB checks/triggers ambiguous.</x:t>
  </x:si>
  <x:si>
    <x:t xml:space="preserve">T-064, T-106</x:t>
  </x:si>
  <x:si>
    <x:t xml:space="preserve">REVISE TASK BOUNDARY</x:t>
  </x:si>
  <x:si>
    <x:t xml:space="preserve">T-064 owns the M1 functional/public contract and compatibility semantics. T-106 owns canonical physical convergence after definition_store exists plus job_dependencies/DAG/cycle validation; it must not redesign the visible target/version contract.</x:t>
  </x:si>
  <x:si>
    <x:t xml:space="preserve">F-062</x:t>
  </x:si>
  <x:si>
    <x:t xml:space="preserve">Current order builds the Analysis Toolbox in T-065 while its outcome/grain arrays remain hardcoded, then T-068 immediately rewrites the same page. This violates the no-rework sequencing rule.</x:t>
  </x:si>
  <x:si>
    <x:t xml:space="preserve">T-065, T-068</x:t>
  </x:si>
  <x:si>
    <x:t xml:space="preserve">Dependency order is T-068 -&gt; T-065. T-065 consumes registry-driven outcome/grain options from first implementation.</x:t>
  </x:si>
  <x:si>
    <x:t xml:space="preserve">F-063</x:t>
  </x:si>
  <x:si>
    <x:t xml:space="preserve">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x:t>
  </x:si>
  <x:si>
    <x:t xml:space="preserve">T-112, T-114, T-128, T-129, T-130, T-135, T-139, T-183, T-184, T-185, T-186, T-187</x:t>
  </x:si>
  <x:si>
    <x:t xml:space="preserve">REVISE RELEASE GATES</x:t>
  </x:si>
  <x:si>
    <x:t xml:space="preserve">Every new tenant-owned table must receive tenant key, tenant-first uniqueness and FORCE RLS at creation. T-112/T-114 (or their proven architecture guards) become release gates for M2b persistence. T-135 becomes a cross-table audit/ratchet, not the first time security is applied.</x:t>
  </x:si>
  <x:si>
    <x:t xml:space="preserve">F-064</x:t>
  </x:si>
  <x:si>
    <x:t xml:space="preserve">Worker-3 lane labels T-183/T-128 and dependent persistence as 'after M2a-P2', but their tables are tenant-owned and therefore require the M2a-P3 security/tenant guard from T-112/T-114.</x:t>
  </x:si>
  <x:si>
    <x:t xml:space="preserve">T-183, T-128, T-129, T-130, T-184, T-186</x:t>
  </x:si>
  <x:si>
    <x:t xml:space="preserve">REVISE W3 START CONDITIONS</x:t>
  </x:si>
  <x:si>
    <x:t xml:space="preserve">Change these start conditions to 'after canonical schema/relationship hand-off AND T-112/T-114 security hand-off'. Pure non-persistence kernels may still start earlier.</x:t>
  </x:si>
  <x:si>
    <x:t xml:space="preserve">F-065</x:t>
  </x:si>
  <x:si>
    <x:t xml:space="preserve">T-134 promises predictions, findings, practice, readiness and model-state as bindable sources in M2b-P1, but canonical predictions do not exist until T-139 in P3. It also depends on T-128..T-135, while T-135 is written as covering future intelligence tables, creating a circular completion interpretation.</x:t>
  </x:si>
  <x:si>
    <x:t xml:space="preserve">T-134, T-135, T-139, T-188, T-189</x:t>
  </x:si>
  <x:si>
    <x:t xml:space="preserve">REVISE T-134/T-135</x:t>
  </x:si>
  <x:si>
    <x:t xml:space="preserve">T-134 builds the generic registry/evidence binding mechanism and registers only sources that exist at that point. T-139/T-189 register prediction sources when created. T-135 is a security ratchet over current tables plus an architecture test that forces all future tables to comply.</x:t>
  </x:si>
  <x:si>
    <x:t xml:space="preserve">F-066</x:t>
  </x:si>
  <x:si>
    <x:t xml:space="preserve">T-146 appears before T-147 in the execution list even though its own dependency text says T-147 precedes final cutover. An automated/parallel worker can therefore start the cutover against the wrong outcome/grain semantics.</x:t>
  </x:si>
  <x:si>
    <x:t xml:space="preserve">T-146, T-147</x:t>
  </x:si>
  <x:si>
    <x:t xml:space="preserve">REVISE ORDER</x:t>
  </x:si>
  <x:si>
    <x:t xml:space="preserve">Make T-146 explicitly depend on completed T-147. Worker-3 lane ordering must list T-147 before T-146.</x:t>
  </x:si>
  <x:si>
    <x:t xml:space="preserve">F-067</x:t>
  </x:si>
  <x:si>
    <x:t xml:space="preserve">T-107 correctly replaces the unsatisfiable old weighted-pool rule, but it does not clearly distinguish implementing the admission mechanism from selecting real resource_capacity/max_concurrency/reservation numbers.</x:t>
  </x:si>
  <x:si>
    <x:t xml:space="preserve">T-107, T-155, T-159, T-182</x:t>
  </x:si>
  <x:si>
    <x:t xml:space="preserve">CLARIFY ACCEPTANCE</x:t>
  </x:si>
  <x:si>
    <x:t xml:space="preserve">T-107 implements configurable dual predicates and proves satisfiability with test values only. It must not freeze production capacity constants. T-155/T-159 own measured site values and final selection.</x:t>
  </x:si>
  <x:si>
    <x:t xml:space="preserve">F-068</x:t>
  </x:si>
  <x:si>
    <x:t xml:space="preserve">The harness intentionally leaves B-03..B-09 values unselected, but production-integration tasks can be read as choosing one artifact format/chunking/encoder/index/reranker/runtime before representative/site benchmark evidence exists.</x:t>
  </x:si>
  <x:si>
    <x:t xml:space="preserve">T-169, T-170, T-172, T-173, T-180, T-182, T-184, T-185, T-187, T-157, T-159</x:t>
  </x:si>
  <x:si>
    <x:t xml:space="preserve">CLARIFY INTEGRATION CONTRACT</x:t>
  </x:si>
  <x:si>
    <x:t xml:space="preserve">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</x:si>
  <x:si>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F-069</x:t>
  </x:si>
  <x:si>
    <x:t xml:space="preserve">T-117 explicitly says legacy API dual-serve removal must be a named follow-up task, but v2.10.1 contains no owner for removing the old aliases. Frontend redirect cleanup T-149 is a different surface.</x:t>
  </x:si>
  <x:si>
    <x:t xml:space="preserve">T-116, T-117, T-127, T-194</x:t>
  </x:si>
  <x:si>
    <x:t xml:space="preserve">Add T-194: retire legacy API dual-serve aliases after client migration and canonical-journey continuity proves no consumer uses them.</x:t>
  </x:si>
  <x:si>
    <x:t xml:space="preserve">F-070</x:t>
  </x:si>
  <x:si>
    <x:t xml:space="preserve">R1-R4 exposed two test-design flaws: viewport runs share the same persisted dashboard and contaminate each other, and transient post-mouse DOM was treated as authoritative changed state even when Save canonicalised/compacted to different geometry.</x:t>
  </x:si>
  <x:si>
    <x:t xml:space="preserve">REVISE VALIDATION</x:t>
  </x:si>
  <x:si>
    <x:t xml:space="preserve">Each viewport must snapshot/restore its original layout in finally, mutate relative to its starting state, use PATCH canonical as authoritative changed state, poll DOM to converge after save/reload, and then restore baseline. No more diagnostic-only packs.</x:t>
  </x:si>
  <x:si>
    <x:t xml:space="preserve">F-071</x:t>
  </x:si>
  <x:si>
    <x:t xml:space="preserve">86 tasks use generic dependency text ('Current M1 sequence', 'M2a dependency order', or 'M3 sequence') instead of executable task IDs/gates. T-064 demonstrated how this lets a worker reach a task before its real authority exists.</x:t>
  </x:si>
  <x:si>
    <x:t xml:space="preserve">32 M1 tasks + 41 M2a tasks + 13 M3 tasks</x:t>
  </x:si>
  <x:si>
    <x:t xml:space="preserve">BACKLOG STRUCTURE CORRECTION</x:t>
  </x:si>
  <x:si>
    <x:t xml:space="preserve">Replace generic dependencies at least for all open Critical/Very Important tasks with explicit task IDs and named release gates. Preserve broad phase intent only as secondary text.</x:t>
  </x:si>
  <x:si>
    <x:t xml:space="preserve">F-072</x:t>
  </x:si>
  <x:si>
    <x:t xml:space="preserve">Backlog rows already mark T-137 and T-168..T-182 Done, while Worker 3 Lane still says Not Started. Two manually maintained status authorities caused the exact T-170/T-182 tracking confusion raised by the user.</x:t>
  </x:si>
  <x:si>
    <x:t xml:space="preserve">Worker 3 Lane sheet</x:t>
  </x:si>
  <x:si>
    <x:t xml:space="preserve">WORKBOOK FIX</x:t>
  </x:si>
  <x:si>
    <x:t xml:space="preserve">Worker 3 Lane Status must be formula-linked to Backlog Status; evidence/commit lives in one live ledger only.</x:t>
  </x:si>
  <x:si>
    <x:t xml:space="preserve">F-073</x:t>
  </x:si>
  <x:si>
    <x:t xml:space="preserve">Status is stored without an evidence/commit column, so a static workbook can say Done/Not Started without showing why and handovers become a second execution ledger.</x:t>
  </x:si>
  <x:si>
    <x:t xml:space="preserve">Backlog workbook</x:t>
  </x:si>
  <x:si>
    <x:t xml:space="preserve">Add verified live-state, evidence/commit, design-verdict, ruling, revised-gate, parallel-eligibility and rework-risk columns to Backlog.</x:t>
  </x:si>
  <x:si>
    <x:t xml:space="preserve">F-074</x:t>
  </x:si>
  <x:si>
    <x:t xml:space="preserve">Chapter 3 requires C4 Plant Model Explorer /plant-model. Latest frontend audit has no /plant-model route and the backlog has no executable page owner. T-148 only ensures existing page files are reachable; it cannot create a missing target page.</x:t>
  </x:si>
  <x:si>
    <x:t xml:space="preserve">T-148, T-196</x:t>
  </x:si>
  <x:si>
    <x:t xml:space="preserve">NEW TASK + REVISE T-148</x:t>
  </x:si>
  <x:si>
    <x:t xml:space="preserve">Add T-196 for canonical C4 Plant Model Explorer, after plant/relationship authority. T-148 route-inventory gate must require every one of the 40 target route pages to exist, not merely every file to be reachable.</x:t>
  </x:si>
  <x:si>
    <x:t xml:space="preserve">F-075</x:t>
  </x:si>
  <x:si>
    <x:t xml:space="preserve">Chapter 3 requires E6 Alert Routing and Escalation /alert-routing with routing rules, retries, dead letters, quiet periods and escalation. Latest frontend audit has no route and no backlog task owns the capability.</x:t>
  </x:si>
  <x:si>
    <x:t xml:space="preserve">T-125, T-127, T-197</x:t>
  </x:si>
  <x:si>
    <x:t xml:space="preserve">Add T-197 before T-127 canonical J15 regression.</x:t>
  </x:si>
  <x:si>
    <x:t xml:space="preserve">F-076</x:t>
  </x:si>
  <x:si>
    <x:t xml:space="preserve">F5 Logging and Audit /admin/logs and F6 Log Channel Configuration /admin/log-channels are target pages. Audit logging exists in backend, but latest frontend audit has neither route and no task owns final log-channel authority/UI.</x:t>
  </x:si>
  <x:si>
    <x:t xml:space="preserve">T-127, T-198</x:t>
  </x:si>
  <x:si>
    <x:t xml:space="preserve">Add T-198 to converge logging/audit read surface and canonical log-channel configuration, preserving audit immutability and role-scoped family visibility.</x:t>
  </x:si>
  <x:si>
    <x:t xml:space="preserve">F-077</x:t>
  </x:si>
  <x:si>
    <x:t xml:space="preserve">F9 Log Retention and Archival /admin/log-retention is the only allowed destructive log-history policy surface and carries dry-run, archive-before-delete, legal hold and audit minimums. No route/task currently owns it.</x:t>
  </x:si>
  <x:si>
    <x:t xml:space="preserve">T-124, T-127, T-199</x:t>
  </x:si>
  <x:si>
    <x:t xml:space="preserve">Add T-199. Backup/restore T-124 is not a substitute for governed log-retention/archival.</x:t>
  </x:si>
  <x:si>
    <x:t xml:space="preserve">F-078</x:t>
  </x:si>
  <x:si>
    <x:t xml:space="preserve">F7 System Settings /admin/settings and F8 Translation and Language /admin/translation are target pages. Current repo contains presentation-era translations but no final target routes and no backlog owner for installation settings/time zone/data boundary or governed translation packs.</x:t>
  </x:si>
  <x:si>
    <x:t xml:space="preserve">T-113, T-127, T-200</x:t>
  </x:si>
  <x:si>
    <x:t xml:space="preserve">Add T-200 for canonical System Settings and Translation/Language surfaces. T-113 configuration hygiene remains security plumbing, not this customer administration contract.</x:t>
  </x:si>
  <x:si>
    <x:t xml:space="preserve">F-079</x:t>
  </x:si>
  <x:si>
    <x:t xml:space="preserve">F3 Authoring Quota and Limits /admin/quota is absent in the latest frontend route audit. T-121 owns metering and says every meter is visible but does not explicitly own the required F3 route/role-user allocation matrix.</x:t>
  </x:si>
  <x:si>
    <x:t xml:space="preserve">EXPAND EXISTING TASK</x:t>
  </x:si>
  <x:si>
    <x:t xml:space="preserve">Expand T-121 to deliver both F2 licence/meter enforcement and the separate F3 /admin/quota surface with role/user quotas, 80% warning and 100% create-disable semantics.</x:t>
  </x:si>
  <x:si>
    <x:t xml:space="preserve">F-080</x:t>
  </x:si>
  <x:si>
    <x:t xml:space="preserve">T-148 validation only proves every file under src/pages is reachable and that the count 'moves toward 40'. It can pass with target pages missing. That is weaker than the frozen 40-page/6-shell contract.</x:t>
  </x:si>
  <x:si>
    <x:t xml:space="preserve">T-148, T-150</x:t>
  </x:si>
  <x:si>
    <x:t xml:space="preserve">T-148 must prove exact target inventory: all 40 route pages are declared once at canonical routes, all six shell components are present, no orphan page file remains, and any legacy alias is temporary/owned. T-150 consumes this gate.</x:t>
  </x:si>
  <x:si>
    <x:t xml:space="preserve">F-081</x:t>
  </x:si>
  <x:si>
    <x:t xml:space="preserve">Current GenealogyThreadPanel still contains steel-specific explanatory copy ('coil to heat/melt') while C5 is a generic material-unit explorer. If T-063 converges layout without removing product vocabulary, T-094 will immediately rework the same surface.</x:t>
  </x:si>
  <x:si>
    <x:t xml:space="preserve">T-063, T-094</x:t>
  </x:si>
  <x:si>
    <x:t xml:space="preserve">T-063 acceptance must require generic material-unit labels driven by data/registry and no industry noun in product UI. T-094 remains the whole-product ratchet.</x:t>
  </x:si>
  <x:si>
    <x:t xml:space="preserve">F-082</x:t>
  </x:si>
  <x:si>
    <x:t xml:space="preserve">Phase Summary says all M2b-P1 starts after M2a-P2, but production persistence needs security/tenant authority from M2a-P3 while pure computation can start earlier.</x:t>
  </x:si>
  <x:si>
    <x:t xml:space="preserve">M2b-P1 / T-128 / T-183 / T-195</x:t>
  </x:si>
  <x:si>
    <x:t xml:space="preserve">REVISE PHASE INTENT</x:t>
  </x:si>
  <x:si>
    <x:t xml:space="preserve">Revise phase intent: canonical data/relationship authority after P2; any new tenant-owned production persistence waits for T-112/T-114 security hand-off. Keep pure cores parallel-safe.</x:t>
  </x:si>
  <x:si>
    <x:t xml:space="preserve">Goal: Worker 3 SAFE-NOW isolated lane is complete. Future Worker 3 persistence/integration work remains parallel-safe only after canonical schema/relationship AND T-112/T-114 tenant/RLS security hand-offs. Booster reassignment requires zero file overlap and stable prerequisites.</x:t>
  </x:si>
  <x:si>
    <x:t xml:space="preserve">KPI</x:t>
  </x:si>
  <x:si>
    <x:t xml:space="preserve">NON-INTERFERENCE RULES — APPLY TO EVERY SAFE-NOW TASK</x:t>
  </x:si>
  <x:si>
    <x:t xml:space="preserve">SAFE NOW tasks</x:t>
  </x:si>
  <x:si>
    <x:t xml:space="preserve">1. No production DB migration or write against presentation/compatibility schemas.</x:t>
  </x:si>
  <x:si>
    <x:t xml:space="preserve">SAFE NOW hours</x:t>
  </x:si>
  <x:si>
    <x:t xml:space="preserve">2. No edit to M1 routes/pages, presentation DB/seeds, current Assistant DI, T-045/T-046 production engine wiring or visible UI contract.</x:t>
  </x:si>
  <x:si>
    <x:t xml:space="preserve">Worker 3 total planned hours</x:t>
  </x:si>
  <x:si>
    <x:t xml:space="preserve">3. New isolated modules/files/tests only; integration happens in the later task that owns the cutover.</x:t>
  </x:si>
  <x:si>
    <x:t xml:space="preserve">4. No fake ML result, hardcoded production answer or seeded intelligence presented as real.</x:t>
  </x:si>
  <x:si>
    <x:t xml:space="preserve">5. Exact-file staging only; never git add . / git add -A and never reset another worker's dirty path.</x:t>
  </x:si>
  <x:si>
    <x:t xml:space="preserve">Seq</x:t>
  </x:si>
  <x:si>
    <x:t xml:space="preserve">Wave</x:t>
  </x:si>
  <x:si>
    <x:t xml:space="preserve">Parallel Label</x:t>
  </x:si>
  <x:si>
    <x:t xml:space="preserve">Start Condition</x:t>
  </x:si>
  <x:si>
    <x:t xml:space="preserve">Boundary / Scope</x:t>
  </x:si>
  <x:si>
    <x:t xml:space="preserve">Primary Deliverable</x:t>
  </x:si>
  <x:si>
    <x:t xml:space="preserve">Live Evidence / Commit</x:t>
  </x:si>
  <x:si>
    <x:t xml:space="preserve">v2.10.2 Gate / Ruling</x:t>
  </x:si>
  <x:si>
    <x:t xml:space="preserve">0 — SAFE NOW</x:t>
  </x:si>
  <x:si>
    <x:t xml:space="preserve">Fixture subpack: none. Closure: current statistical implementation + corresponding tests/source trace available; exact-file staging only</x:t>
  </x:si>
  <x:si>
    <x:t xml:space="preserve">Isolated implementation only: new module/files/tests; NO production DI registration, DB migration, route/page edit, presentation schema/data edit or M1 runtime cutover. Do not replace an existing proven statistical path before inspecting its source/test trace.</x:t>
  </x:si>
  <x:si>
    <x:t xml:space="preserve">Certified statistical kernel</x:t>
  </x:si>
  <x:si>
    <x:t xml:space="preserve">Capability-profile/refusal kernel</x:t>
  </x:si>
  <x:si>
    <x:t xml:space="preserve">Versioned ML job spec/result manifest</x:t>
  </x:si>
  <x:si>
    <x:t xml:space="preserve">Typed columnar artifact library</x:t>
  </x:si>
  <x:si>
    <x:t xml:space="preserve">None beyond current repository/build; exact-file staging only
F-068: 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</x:si>
  <x:si>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T-168 + T-169; canonical SM-06 not required for fixture-only SAFE-NOW</x:t>
  </x:si>
  <x:si>
    <x:t xml:space="preserve">Isolated implementation only: new module/files/tests; NO production DI registration, DB migration, route/page edit, presentation schema/data edit or M1 runtime cutover. Outcome semantics are typed fixtures only; no ppiq_app/outcome-table binding.</x:t>
  </x:si>
  <x:si>
    <x:t xml:space="preserve">Supervised baseline + LightGBM candidate runtime</x:t>
  </x:si>
  <x:si>
    <x:t xml:space="preserve">3D evaluation/promotion decision</x:t>
  </x:si>
  <x:si>
    <x:t xml:space="preserve">VectorSimilarityIndex + exact recall baseline</x:t>
  </x:si>
  <x:si>
    <x:t xml:space="preserve">Novelty runtime</x:t>
  </x:si>
  <x:si>
    <x:t xml:space="preserve">Chunked sequence artifact library</x:t>
  </x:si>
  <x:si>
    <x:t xml:space="preserve">Optional process encoder runtime</x:t>
  </x:si>
  <x:si>
    <x:t xml:space="preserve">Nine-check/can_accept domain kernel</x:t>
  </x:si>
  <x:si>
    <x:t xml:space="preserve">Deterministic tool planner</x:t>
  </x:si>
  <x:si>
    <x:t xml:space="preserve">Permission-first retrieval + evidence packer</x:t>
  </x:si>
  <x:si>
    <x:t xml:space="preserve">Deterministic verifier + Q harness</x:t>
  </x:si>
  <x:si>
    <x:t xml:space="preserve">ModelServingRuntime/gateway adapter</x:t>
  </x:si>
  <x:si>
    <x:t xml:space="preserve">B01-B09 benchmark result harness</x:t>
  </x:si>
  <x:si>
    <x:t xml:space="preserve">None beyond current repository/build; exact-file staging only
F-067: T-107 implements configurable dual predicates and proves satisfiability with test values only. It must not freeze production capacity constants. T-155/T-159 own measured site values and final selection. | F-068: 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</x:si>
  <x:si>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1 — after M2a-P2</x:t>
  </x:si>
  <x:si>
    <x:t xml:space="preserve">T-089..T-105</x:t>
  </x:si>
  <x:si>
    <x:t xml:space="preserve">T-089..T-105 canonical definition/relationship authority + T-112 + T-114 security/tenant hand-off.
F-063: Every new tenant-owned table must receive tenant key, tenant-first uniqueness and FORCE RLS at creation. T-112/T-114 (or their proven architecture guards) become release gates for M2b persistence. T-135 becomes a cross-table audit/ratchet, not the first time security is applied. | F-064: Change these start conditions to 'after canonical schema/relationship hand-off AND T-112/T-114 security hand-off'. Pure non-persistence kernels may still start earlier. | F-082: Revise phase intent: canonical data/relationship authority after P2; any new tenant-owned production persistence waits for T-112/T-114 security hand-off. Keep pure cores parallel-safe.</x:t>
  </x:si>
  <x:si>
    <x:t xml:space="preserve">T-087..T-105</x:t>
  </x:si>
  <x:si>
    <x:t xml:space="preserve">T-087..T-105 + T-112 + T-114 security/tenant hand-off. Outcome semantics from T-090.
F-063: Every new tenant-owned table must receive tenant key, tenant-first uniqueness and FORCE RLS at creation. T-112/T-114 (or their proven architecture guards) become release gates for M2b persistence. T-135 becomes a cross-table audit/ratchet, not the first time security is applied. | F-064: Change these start conditions to 'after canonical schema/relationship hand-off AND T-112/T-114 security hand-off'. Pure non-persistence kernels may still start earlier. | F-082: Revise phase intent: canonical data/relationship authority after P2; any new tenant-owned production persistence waits for T-112/T-114 security hand-off. Keep pure cores parallel-safe.</x:t>
  </x:si>
  <x:si>
    <x:t xml:space="preserve">T-087..T-105 + new intelligence tables</x:t>
  </x:si>
  <x:si>
    <x:t xml:space="preserve">T-112 + T-114 + current M2b persistence tables (including T-128/T-129/T-130/T-183 as they land). Future tasks consume the ratchet.
F-063: Every new tenant-owned table must receive tenant key, tenant-first uniqueness and FORCE RLS at creation. T-112/T-114 (or their proven architecture guards) become release gates for M2b persistence. T-135 becomes a cross-table audit/ratchet, not the first time security is applied. | F-065: T-134 builds the generic registry/evidence binding mechanism and registers only sources that exist at that point. T-139/T-189 register prediction sources when created. T-135 is a security ratchet over current tables plus an architecture test that forces all future tables to comply.</x:t>
  </x:si>
  <x:si>
    <x:t xml:space="preserve">T-128 + T-169 + T-183</x:t>
  </x:si>
  <x:si>
    <x:t xml:space="preserve">T-128 + T-169 + T-183 + T-112/T-114/T-135 security ratchet.
F-063: Every new tenant-owned table must receive tenant key, tenant-first uniqueness and FORCE RLS at creation. T-112/T-114 (or their proven architecture guards) become release gates for M2b persistence. T-135 becomes a cross-table audit/ratchet, not the first time security is applied. | F-064: Change these start conditions to 'after canonical schema/relationship hand-off AND T-112/T-114 security hand-off'. Pure non-persistence kernels may still start earlier. | F-068: 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</x:si>
  <x:si>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T-128 + T-183</x:t>
  </x:si>
  <x:si>
    <x:t xml:space="preserve">T-128 + T-183 + T-112 + T-114.
F-063: Every new tenant-owned table must receive tenant key, tenant-first uniqueness and FORCE RLS at creation. T-112/T-114 (or their proven architecture guards) become release gates for M2b persistence. T-135 becomes a cross-table audit/ratchet, not the first time security is applied. | F-064: Change these start conditions to 'after canonical schema/relationship hand-off AND T-112/T-114 security hand-off'. Pure non-persistence kernels may still start earlier.</x:t>
  </x:si>
  <x:si>
    <x:t xml:space="preserve">2 — canonical integration</x:t>
  </x:si>
  <x:si>
    <x:t xml:space="preserve">T-170 + T-183 + final object storage</x:t>
  </x:si>
  <x:si>
    <x:t xml:space="preserve">T-170 + T-183 + T-122 final object-storage/container path + T-112/T-114/T-135 security ratchet.
F-063: Every new tenant-owned table must receive tenant key, tenant-first uniqueness and FORCE RLS at creation. T-112/T-114 (or their proven architecture guards) become release gates for M2b persistence. T-135 becomes a cross-table audit/ratchet, not the first time security is applied. | F-068: 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</x:si>
  <x:si>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T-171 + T-183 + T-128/T-129</x:t>
  </x:si>
  <x:si>
    <x:t xml:space="preserve">T-171 + T-183 + T-128/T-129 + T-195 canonical readiness thresholds + T-135 security ratchet.
F-055: T-066 must render through the stable /api/readiness/evaluate facade (compatibility-backed in M1). Add T-195 for canonical tenant/outcome readiness thresholds, change history, fail-closed evaluation and governed updates before canonical readiness/model cutover. | F-063: Every new tenant-owned table must receive tenant key, tenant-first uniqueness and FORCE RLS at creation. T-112/T-114 (or their proven architecture guards) become release gates for M2b persistence. T-135 becomes a cross-table audit/ratchet, not the first time security is applied. | F-064: Change these start conditions to 'after canonical schema/relationship hand-off AND T-112/T-114 security hand-off'. Pure non-persistence kernels may still start earlier.</x:t>
  </x:si>
  <x:si>
    <x:t xml:space="preserve">T-128..T-135 + M2a definition store</x:t>
  </x:si>
  <x:si>
    <x:t xml:space="preserve">T-090 definition authority + T-095/T-096 relationship resolver + available canonical intelligence sources (T-129/T-130/T-133/T-186 as applicable). Do not depend on future T-139 prediction rows.
F-065: T-134 builds the generic registry/evidence binding mechanism and registers only sources that exist at that point. T-139/T-189 register prediction sources when created. T-135 is a security ratchet over current tables plus an architecture test that forces all future tables to comply.</x:t>
  </x:si>
  <x:si>
    <x:t xml:space="preserve">T-129 + T-130 + T-186 + M1 continuity snapshots</x:t>
  </x:si>
  <x:si>
    <x:t xml:space="preserve">T-129 + T-130 + T-186 + T-195 + M1 continuity snapshots.
F-065: T-134 builds the generic registry/evidence binding mechanism and registers only sources that exist at that point. T-139/T-189 register prediction sources when created. T-135 is a security ratchet over current tables plus an architecture test that forces all future tables to comply.</x:t>
  </x:si>
  <x:si>
    <x:t xml:space="preserve">T-107 + T-109 + T-168..T-176 + T-183..T-186</x:t>
  </x:si>
  <x:si>
    <x:t xml:space="preserve">T-107 + T-109 + T-168..T-176 + T-183..T-186 + T-112/T-114/T-135 + T-195.
F-063: Every new tenant-owned table must receive tenant key, tenant-first uniqueness and FORCE RLS at creation. T-112/T-114 (or their proven architecture guards) become release gates for M2b persistence. T-135 becomes a cross-table audit/ratchet, not the first time security is applied. | F-068: 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</x:si>
  <x:si>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3 — prediction/remediation</x:t>
  </x:si>
  <x:si>
    <x:t xml:space="preserve">T-130 + T-187
F-063: Every new tenant-owned table must receive tenant key, tenant-first uniqueness and FORCE RLS at creation. T-112/T-114 (or their proven architecture guards) become release gates for M2b persistence. T-135 becomes a cross-table audit/ratchet, not the first time security is applied. | F-065: T-134 builds the generic registry/evidence binding mechanism and registers only sources that exist at that point. T-139/T-189 register prediction sources when created. T-135 is a security ratchet over current tables plus an architecture test that forces all future tables to comply.</x:t>
  </x:si>
  <x:si>
    <x:t xml:space="preserve">T-139..T-143 + M1 continuity snapshots
F-065: T-134 builds the generic registry/evidence binding mechanism and registers only sources that exist at that point. T-139/T-189 register prediction sources when created. T-135 is a security ratchet over current tables plus an architecture test that forces all future tables to comply.</x:t>
  </x:si>
  <x:si>
    <x:t xml:space="preserve">4 — convergence/gates</x:t>
  </x:si>
  <x:si>
    <x:t xml:space="preserve">T-177 + T-128/T-129; T-147 precedes final T-146 cutover</x:t>
  </x:si>
  <x:si>
    <x:t xml:space="preserve">T-090 canonical SM-06 binding + T-128/T-129 + T-177; complete BEFORE T-146 final cutover.
F-056: T-068 must consume a stable analysis-options/outcome-registry service contract, not a physical table or temporary route. M2a swaps storage behind the contract. Complete T-068 before T-065 so the S3 authoring page is built registry-first instead of being rewritten immediately. | F-059: Remove hardcoded/default coil semantics. Preserve customer-declared multi-grain unit types and outcome-specific grain_code. Rename T-094 scope from 'rename canonical grain' to 'remove hardcoded canonical grain default and bind to registry/material-unit authority'. | F-066: Make T-146 explicitly depend on completed T-147. Worker-3 lane ordering must list T-147 before T-146.</x:t>
  </x:si>
  <x:si>
    <x:t xml:space="preserve">T-147 COMPLETE + T-177 + T-128/T-129; M1 presentation continuity frozen.
F-066: Make T-146 explicitly depend on completed T-147. Worker-3 lane ordering must list T-147 before T-146.</x:t>
  </x:si>
  <x:si>
    <x:t xml:space="preserve">5 — site/M3</x:t>
  </x:si>
  <x:si>
    <x:t xml:space="preserve">M2b accepted + customer data window
F-068: 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</x:si>
  <x:si>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M2b accepted + site hardware
F-067: T-107 implements configurable dual predicates and proves satisfiability with test values only. It must not freeze production capacity constants. T-155/T-159 own measured site values and final selection.</x:t>
  </x:si>
  <x:si>
    <x:t xml:space="preserve">M2b accepted + site hardware
F-067: T-107 implements configurable dual predicates and proves satisfiability with test values only. It must not freeze production capacity constants. T-155/T-159 own measured site values and final selection. | F-068: M2b integration must carry explicit configured candidate identity and measured evidence without declaring a universal/site winner. B-05/B-06 selections are site-calibrated in T-157; remaining sizing/selection values freeze in T-159 or the named site benchmark owner.</x:t>
  </x:si>
  <x:si>
    <x:t xml:space="preserve">17A</x:t>
  </x:si>
  <x:si>
    <x:t xml:space="preserve">1B — after M2a-P3 security</x:t>
  </x:si>
  <x:si>
    <x:t xml:space="preserve">Canonical readiness thresholds/history + fail-closed API</x:t>
  </x:si>
  <x:si>
    <x:t xml:space="preserve">Security-gated canonical readiness authority; no M1 UI changes.</x:t>
  </x:si>
  <x:si>
    <x:t xml:space="preserve">Architecture contract</x:t>
  </x:si>
  <x:si>
    <x:t xml:space="preserve">Primary task owner(s)</x:t>
  </x:si>
  <x:si>
    <x:t xml:space="preserve">Implementation type</x:t>
  </x:si>
  <x:si>
    <x:t xml:space="preserve">Worker 3 timing</x:t>
  </x:si>
  <x:si>
    <x:t xml:space="preserve">Presentation interference</x:t>
  </x:si>
  <x:si>
    <x:t xml:space="preserve">Final evidence/gate</x:t>
  </x:si>
  <x:si>
    <x:t xml:space="preserve">Backlog state</x:t>
  </x:si>
  <x:si>
    <x:t xml:space="preserve">Notes</x:t>
  </x:si>
  <x:si>
    <x:t xml:space="preserve">Semantic Contract Manifest</x:t>
  </x:si>
  <x:si>
    <x:t xml:space="preserve">NEW production persistence</x:t>
  </x:si>
  <x:si>
    <x:t xml:space="preserve">After M2a-P3 security (T-112/T-114), with definition/relationship authority complete</x:t>
  </x:si>
  <x:si>
    <x:t xml:space="preserve">None if hand-off respected</x:t>
  </x:si>
  <x:si>
    <x:t xml:space="preserve">G-55 / Scan V4 contract</x:t>
  </x:si>
  <x:si>
    <x:t xml:space="preserve">COVERED</x:t>
  </x:si>
  <x:si>
    <x:t xml:space="preserve">Tenant-safe manifest_id PK; UNIQUE(tenant_id, manifest_hash).</x:t>
  </x:si>
  <x:si>
    <x:t xml:space="preserve">Columnar training snapshots</x:t>
  </x:si>
  <x:si>
    <x:t xml:space="preserve">T-169 + T-184 + T-128</x:t>
  </x:si>
  <x:si>
    <x:t xml:space="preserve">NEW library + production integration</x:t>
  </x:si>
  <x:si>
    <x:t xml:space="preserve">T-169 closed; production T-184/T-128 after M2a-P3 security</x:t>
  </x:si>
  <x:si>
    <x:t xml:space="preserve">None in safe-now library</x:t>
  </x:si>
  <x:si>
    <x:t xml:space="preserve">G-48 + B-03</x:t>
  </x:si>
  <x:si>
    <x:t xml:space="preserve">feature_store is current state, never training read path.</x:t>
  </x:si>
  <x:si>
    <x:t xml:space="preserve">Sequence manifests/object payload</x:t>
  </x:si>
  <x:si>
    <x:t xml:space="preserve">T-170 + T-185</x:t>
  </x:si>
  <x:si>
    <x:t xml:space="preserve">T-170 closed; T-185 after canonical + security hand-off</x:t>
  </x:si>
  <x:si>
    <x:t xml:space="preserve">B-04 + restore proof</x:t>
  </x:si>
  <x:si>
    <x:t xml:space="preserve">No numeric sequence arrays in PostgreSQL.</x:t>
  </x:si>
  <x:si>
    <x:t xml:space="preserve">C#↔Python ML execution</x:t>
  </x:si>
  <x:si>
    <x:t xml:space="preserve">T-168 + T-187</x:t>
  </x:si>
  <x:si>
    <x:t xml:space="preserve">NEW runtime + integration</x:t>
  </x:si>
  <x:si>
    <x:t xml:space="preserve">T-168 now; T-187 after M2a-P3</x:t>
  </x:si>
  <x:si>
    <x:t xml:space="preserve">No production wiring now</x:t>
  </x:si>
  <x:si>
    <x:t xml:space="preserve">Job-result manifest + lane tests</x:t>
  </x:si>
  <x:si>
    <x:t xml:space="preserve">Decision/governance remains in .NET; computation in Python.</x:t>
  </x:si>
  <x:si>
    <x:t xml:space="preserve">Capability Profiler</x:t>
  </x:si>
  <x:si>
    <x:t xml:space="preserve">T-171 + T-186</x:t>
  </x:si>
  <x:si>
    <x:t xml:space="preserve">NEW kernel + persistence</x:t>
  </x:si>
  <x:si>
    <x:t xml:space="preserve">Kernel closed; persistence T-186 after canonical + security hand-off</x:t>
  </x:si>
  <x:si>
    <x:t xml:space="preserve">None now</x:t>
  </x:si>
  <x:si>
    <x:t xml:space="preserve">Readiness/refusal tests</x:t>
  </x:si>
  <x:si>
    <x:t xml:space="preserve">Includes collapsed dimensions and capability truth.</x:t>
  </x:si>
  <x:si>
    <x:t xml:space="preserve">MF-01 Process Encoder</x:t>
  </x:si>
  <x:si>
    <x:t xml:space="preserve">T-172 + T-176 + T-187</x:t>
  </x:si>
  <x:si>
    <x:t xml:space="preserve">NEW</x:t>
  </x:si>
  <x:si>
    <x:t xml:space="preserve">Now isolated</x:t>
  </x:si>
  <x:si>
    <x:t xml:space="preserve">B-05 + promotion gate</x:t>
  </x:si>
  <x:si>
    <x:t xml:space="preserve">Optional; ships only if earned.</x:t>
  </x:si>
  <x:si>
    <x:t xml:space="preserve">MF-02 Similarity Index</x:t>
  </x:si>
  <x:si>
    <x:t xml:space="preserve">T-173 + T-187</x:t>
  </x:si>
  <x:si>
    <x:t xml:space="preserve">G-51 + B-06</x:t>
  </x:si>
  <x:si>
    <x:t xml:space="preserve">VectorSimilarityIndex contract; Exact Flat baseline.</x:t>
  </x:si>
  <x:si>
    <x:t xml:space="preserve">T-174 + T-187</x:t>
  </x:si>
  <x:si>
    <x:t xml:space="preserve">Model validation/refusal</x:t>
  </x:si>
  <x:si>
    <x:t xml:space="preserve">Simple baseline first.</x:t>
  </x:si>
  <x:si>
    <x:t xml:space="preserve">MF-04 Supervised outcome</x:t>
  </x:si>
  <x:si>
    <x:t xml:space="preserve">T-175 + T-176 + T-187</x:t>
  </x:si>
  <x:si>
    <x:t xml:space="preserve">Leakage + 3D promotion</x:t>
  </x:si>
  <x:si>
    <x:t xml:space="preserve">LightGBM candidate behind contract.</x:t>
  </x:si>
  <x:si>
    <x:t xml:space="preserve">MF-05 / MF-06 statistical engines</x:t>
  </x:si>
  <x:si>
    <x:t xml:space="preserve">T-177 + T-146 + T-147</x:t>
  </x:si>
  <x:si>
    <x:t xml:space="preserve">Expanded existing owner</x:t>
  </x:si>
  <x:si>
    <x:t xml:space="preserve">Kernel now; cutover after M1 freeze</x:t>
  </x:si>
  <x:si>
    <x:t xml:space="preserve">Cutover waits for Worker 2</x:t>
  </x:si>
  <x:si>
    <x:t xml:space="preserve">Known-answer matrix + CI</x:t>
  </x:si>
  <x:si>
    <x:t xml:space="preserve">Numeric×Categorical gap explicitly closed.</x:t>
  </x:si>
  <x:si>
    <x:t xml:space="preserve">MF-07 Practice Engine</x:t>
  </x:si>
  <x:si>
    <x:t xml:space="preserve">T-131..T-133 + T-136</x:t>
  </x:si>
  <x:si>
    <x:t xml:space="preserve">After canonical + security hand-off</x:t>
  </x:si>
  <x:si>
    <x:t xml:space="preserve">No M1 cutover until canonical</x:t>
  </x:si>
  <x:si>
    <x:t xml:space="preserve">Practice evidence/drift</x:t>
  </x:si>
  <x:si>
    <x:t xml:space="preserve">D10 cutover preserves continuity.</x:t>
  </x:si>
  <x:si>
    <x:t xml:space="preserve">Model registry/fallback</x:t>
  </x:si>
  <x:si>
    <x:t xml:space="preserve">None</x:t>
  </x:si>
  <x:si>
    <x:t xml:space="preserve">Serving identity constraints</x:t>
  </x:si>
  <x:si>
    <x:t xml:space="preserve">No ModelBundle.</x:t>
  </x:si>
  <x:si>
    <x:t xml:space="preserve">Three ML lanes / hard reservation</x:t>
  </x:si>
  <x:si>
    <x:t xml:space="preserve">T-107 + T-122 + T-187</x:t>
  </x:si>
  <x:si>
    <x:t xml:space="preserve">Shared platform/ML</x:t>
  </x:si>
  <x:si>
    <x:t xml:space="preserve">After platform hand-off</x:t>
  </x:si>
  <x:si>
    <x:t xml:space="preserve">None to presentation</x:t>
  </x:si>
  <x:si>
    <x:t xml:space="preserve">G-49/G-50 + B-01/B-02</x:t>
  </x:si>
  <x:si>
    <x:t xml:space="preserve">Online lane never admits batch/training.</x:t>
  </x:si>
  <x:si>
    <x:t xml:space="preserve">Prediction/remediation</x:t>
  </x:si>
  <x:si>
    <x:t xml:space="preserve">T-139..T-145 + T-178</x:t>
  </x:si>
  <x:si>
    <x:t xml:space="preserve">Expanded existing + new kernel</x:t>
  </x:si>
  <x:si>
    <x:t xml:space="preserve">After model integration</x:t>
  </x:si>
  <x:si>
    <x:t xml:space="preserve">Canonical only</x:t>
  </x:si>
  <x:si>
    <x:t xml:space="preserve">Deadline + nine-check evidence</x:t>
  </x:si>
  <x:si>
    <x:t xml:space="preserve">Human/read-only boundary preserved.</x:t>
  </x:si>
  <x:si>
    <x:t xml:space="preserve">Canonical intelligence frontend</x:t>
  </x:si>
  <x:si>
    <x:t xml:space="preserve">T-188 + T-189 + T-190 + T-133</x:t>
  </x:si>
  <x:si>
    <x:t xml:space="preserve">NEW cutover tasks</x:t>
  </x:si>
  <x:si>
    <x:t xml:space="preserve">After canonical sources and security hand-off</x:t>
  </x:si>
  <x:si>
    <x:t xml:space="preserve">Visible contract frozen</x:t>
  </x:si>
  <x:si>
    <x:t xml:space="preserve">Continuity snapshots</x:t>
  </x:si>
  <x:si>
    <x:t xml:space="preserve">D4/D5/D6/D8/D9/D10 real data authority.</x:t>
  </x:si>
  <x:si>
    <x:t xml:space="preserve">Scenario Simulation D11</x:t>
  </x:si>
  <x:si>
    <x:t xml:space="preserve">No current presentation change</x:t>
  </x:si>
  <x:si>
    <x:t xml:space="preserve">Scenario evidence/refusal</x:t>
  </x:si>
  <x:si>
    <x:t xml:space="preserve">Simulation, not prediction/control.</x:t>
  </x:si>
  <x:si>
    <x:t xml:space="preserve">Assistant deterministic planner</x:t>
  </x:si>
  <x:si>
    <x:t xml:space="preserve">T-179 + T-138</x:t>
  </x:si>
  <x:si>
    <x:t xml:space="preserve">NEW kernel + cutover</x:t>
  </x:si>
  <x:si>
    <x:t xml:space="preserve">Planner now; cutover later</x:t>
  </x:si>
  <x:si>
    <x:t xml:space="preserve">No dock change now</x:t>
  </x:si>
  <x:si>
    <x:t xml:space="preserve">Q-01</x:t>
  </x:si>
  <x:si>
    <x:t xml:space="preserve">LLM does not choose tools.</x:t>
  </x:si>
  <x:si>
    <x:t xml:space="preserve">Hybrid retrieval/evidence packing</x:t>
  </x:si>
  <x:si>
    <x:t xml:space="preserve">T-180 + T-138</x:t>
  </x:si>
  <x:si>
    <x:t xml:space="preserve">No corpus cutover now</x:t>
  </x:si>
  <x:si>
    <x:t xml:space="preserve">B-07/B-08 + Q gates</x:t>
  </x:si>
  <x:si>
    <x:t xml:space="preserve">Permission before ranking.</x:t>
  </x:si>
  <x:si>
    <x:t xml:space="preserve">ModelServingRuntime</x:t>
  </x:si>
  <x:si>
    <x:t xml:space="preserve">T-137 + T-138</x:t>
  </x:si>
  <x:si>
    <x:t xml:space="preserve">Rewritten existing owner</x:t>
  </x:si>
  <x:si>
    <x:t xml:space="preserve">No DI registration now</x:t>
  </x:si>
  <x:si>
    <x:t xml:space="preserve">B-09</x:t>
  </x:si>
  <x:si>
    <x:t xml:space="preserve">Provider/model change governed.</x:t>
  </x:si>
  <x:si>
    <x:t xml:space="preserve">Deterministic answer verifier</x:t>
  </x:si>
  <x:si>
    <x:t xml:space="preserve">T-181 + T-138</x:t>
  </x:si>
  <x:si>
    <x:t xml:space="preserve">G-53 + Q-01..Q-11</x:t>
  </x:si>
  <x:si>
    <x:t xml:space="preserve">No LLM self-verification.</x:t>
  </x:si>
  <x:si>
    <x:t xml:space="preserve">G-48..G-55</x:t>
  </x:si>
  <x:si>
    <x:t xml:space="preserve">T-192 + T-150</x:t>
  </x:si>
  <x:si>
    <x:t xml:space="preserve">NEW gate pack + final CI</x:t>
  </x:si>
  <x:si>
    <x:t xml:space="preserve">After components</x:t>
  </x:si>
  <x:si>
    <x:t xml:space="preserve">Fail-closed falsification</x:t>
  </x:si>
  <x:si>
    <x:t xml:space="preserve">Each gate falsified once before trusted.</x:t>
  </x:si>
  <x:si>
    <x:t xml:space="preserve">B-01..B-09</x:t>
  </x:si>
  <x:si>
    <x:t xml:space="preserve">T-182 + T-155/T-157/T-159</x:t>
  </x:si>
  <x:si>
    <x:t xml:space="preserve">NEW harness + site execution</x:t>
  </x:si>
  <x:si>
    <x:t xml:space="preserve">Harness now; values later</x:t>
  </x:si>
  <x:si>
    <x:t xml:space="preserve">Measured result manifests</x:t>
  </x:si>
  <x:si>
    <x:t xml:space="preserve">No guessed values.</x:t>
  </x:si>
  <x:si>
    <x:t xml:space="preserve">Drift Supervisor</x:t>
  </x:si>
  <x:si>
    <x:t xml:space="preserve">Governed proposal/rollback tests</x:t>
  </x:si>
  <x:si>
    <x:t xml:space="preserve">Cannot weaken gates or auto-update weights.</x:t>
  </x:si>
  <x:si>
    <x:t xml:space="preserve">SM-06 OutcomeDefinition semantics and leakage anchors</x:t>
  </x:si>
  <x:si>
    <x:t xml:space="preserve">T-090 + T-128 + T-147</x:t>
  </x:si>
  <x:si>
    <x:t xml:space="preserve">Frozen semantic contract → canonical binding → values/history → Engine consumption</x:t>
  </x:si>
  <x:si>
    <x:t xml:space="preserve">T-090 in M2a; T-128/T-147 after canonical hand-off</x:t>
  </x:si>
  <x:si>
    <x:t xml:space="preserve">None if hand-offs respected</x:t>
  </x:si>
  <x:si>
    <x:t xml:space="preserve">Immutable definition version + G-06 leakage falsification</x:t>
  </x:si>
  <x:si>
    <x:t xml:space="preserve">Design already frozen. T-090 binds/version-controls SM-06; T-128 stores observed values by definition version; T-147 consumes grain/classes/detection anchors without redefining them.</x:t>
  </x:si>
  <x:si>
    <x:t xml:space="preserve">Canonical readiness threshold governance</x:t>
  </x:si>
  <x:si>
    <x:t xml:space="preserve">T-066 + T-186 + T-195</x:t>
  </x:si>
  <x:si>
    <x:t xml:space="preserve">M1 facade + capability integration + canonical threshold/history persistence</x:t>
  </x:si>
  <x:si>
    <x:t xml:space="preserve">M1 visible facade now; T-195 after M2a-P3 security</x:t>
  </x:si>
  <x:si>
    <x:t xml:space="preserve">No M1 UI redesign</x:t>
  </x:si>
  <x:si>
    <x:t xml:space="preserve">Fail-closed readiness + governed threshold audit</x:t>
  </x:si>
  <x:si>
    <x:t xml:space="preserve">T-195 closes the previously orphaned Chapter 3 readiness_thresholds/readiness_threshold_changes and canonical /api/readiness/* authority.</x:t>
  </x:si>
  <x:si>
    <x:t xml:space="preserve">Control</x:t>
  </x:si>
  <x:si>
    <x:t xml:space="preserve">Result</x:t>
  </x:si>
  <x:si>
    <x:t xml:space="preserve">DECISION</x:t>
  </x:si>
  <x:si>
    <x:t xml:space="preserve">M1 presentation hours</x:t>
  </x:si>
  <x:si>
    <x:t xml:space="preserve">574 — UNCHANGED</x:t>
  </x:si>
  <x:si>
    <x:t xml:space="preserve">Worker 3 starts immediately on the SAFE-NOW isolated kernels/runtimes. He does NOT touch active M1 presentation code/data or final production persistence before the specified M2a hand-off. The added M2b scope is the implementation decomposition of the frozen Rev7/7.1 architecture, not a new architecture round.</x:t>
  </x:si>
  <x:si>
    <x:t xml:space="preserve">M2a canonical-core hours</x:t>
  </x:si>
  <x:si>
    <x:t xml:space="preserve">490 — REVISED (+58 h)</x:t>
  </x:si>
  <x:si>
    <x:t xml:space="preserve">M2b old → new</x:t>
  </x:si>
  <x:si>
    <x:t xml:space="preserve">528 h → 538 h</x:t>
  </x:si>
  <x:si>
    <x:t xml:space="preserve">Programme old → new</x:t>
  </x:si>
  <x:si>
    <x:t xml:space="preserve">1,738 h → 1,806 h</x:t>
  </x:si>
  <x:si>
    <x:t xml:space="preserve">New tasks</x:t>
  </x:si>
  <x:si>
    <x:t xml:space="preserve">33 total new tasks since v2.9.2; +7 in v2.10.2</x:t>
  </x:si>
  <x:si>
    <x:t xml:space="preserve">Worker 3 SAFE NOW</x:t>
  </x:si>
  <x:si>
    <x:t xml:space="preserve">16 tasks / 172 h — ALL CLOSED</x:t>
  </x:si>
  <x:si>
    <x:t xml:space="preserve">Change Class</x:t>
  </x:si>
  <x:si>
    <x:t xml:space="preserve">Task IDs</x:t>
  </x:si>
  <x:si>
    <x:t xml:space="preserve">What changed</x:t>
  </x:si>
  <x:si>
    <x:t xml:space="preserve">Why</x:t>
  </x:si>
  <x:si>
    <x:t xml:space="preserve">Presentation impact</x:t>
  </x:si>
  <x:si>
    <x:t xml:space="preserve">Worker 3 rule</x:t>
  </x:si>
  <x:si>
    <x:t xml:space="preserve">Rewritten existing</x:t>
  </x:si>
  <x:si>
    <x:t xml:space="preserve">T-107, T-109, T-122</x:t>
  </x:si>
  <x:si>
    <x:t xml:space="preserve">Scheduler/delta/container contracts aligned to ML lanes and final training path.</x:t>
  </x:si>
  <x:si>
    <x:t xml:space="preserve">Rev7 resource/runtime architecture.</x:t>
  </x:si>
  <x:si>
    <x:t xml:space="preserve">NONE — M1 untouched.</x:t>
  </x:si>
  <x:si>
    <x:t xml:space="preserve">Shared/later hand-off.</x:t>
  </x:si>
  <x:si>
    <x:t xml:space="preserve">Expanded M2b existing</x:t>
  </x:si>
  <x:si>
    <x:t xml:space="preserve">T-128..T-150</x:t>
  </x:si>
  <x:si>
    <x:t xml:space="preserve">Persistence, registry, prediction/remediation, assistant and engine cutovers updated to final contracts.</x:t>
  </x:si>
  <x:si>
    <x:t xml:space="preserve">Old backlog predates 11-12 Aug architecture freeze.</x:t>
  </x:si>
  <x:si>
    <x:t xml:space="preserve">NONE until canonical cutover.</x:t>
  </x:si>
  <x:si>
    <x:t xml:space="preserve">Worker 3 owns AI scope except T-148/T-149 and shared T-150.</x:t>
  </x:si>
  <x:si>
    <x:t xml:space="preserve">New SAFE-NOW</x:t>
  </x:si>
  <x:si>
    <x:t xml:space="preserve">T-168..T-182</x:t>
  </x:si>
  <x:si>
    <x:t xml:space="preserve">Schema-independent runtime, artifact, model, statistical, remediation and Assistant kernels.</x:t>
  </x:si>
  <x:si>
    <x:t xml:space="preserve">Keep Worker 3 productive without merge/runtime conflicts.</x:t>
  </x:si>
  <x:si>
    <x:t xml:space="preserve">ZERO by construction.</x:t>
  </x:si>
  <x:si>
    <x:t xml:space="preserve">Isolated files/tests only; no production wiring.</x:t>
  </x:si>
  <x:si>
    <x:t xml:space="preserve">New canonical integration</x:t>
  </x:si>
  <x:si>
    <x:t xml:space="preserve">T-183..T-193</x:t>
  </x:si>
  <x:si>
    <x:t xml:space="preserve">Manifest, snapshot/sequence integration, capability/model integration, real AI surfaces, gates and drift.</x:t>
  </x:si>
  <x:si>
    <x:t xml:space="preserve">Close architecture-to-backlog orphans.</x:t>
  </x:si>
  <x:si>
    <x:t xml:space="preserve">Only after M1 continuity and M2a hand-offs.</x:t>
  </x:si>
  <x:si>
    <x:t xml:space="preserve">Canonical-only integration.</x:t>
  </x:si>
  <x:si>
    <x:t xml:space="preserve">M3 alignment</x:t>
  </x:si>
  <x:si>
    <x:t xml:space="preserve">T-155, T-157..T-159</x:t>
  </x:si>
  <x:si>
    <x:t xml:space="preserve">Benchmark-open values measured on site; architecture stays frozen.</x:t>
  </x:si>
  <x:si>
    <x:t xml:space="preserve">B01-B09 are measurements, not design questions.</x:t>
  </x:si>
  <x:si>
    <x:t xml:space="preserve">NONE.</x:t>
  </x:si>
  <x:si>
    <x:t xml:space="preserve">Worker 3 + infrastructure/site owners.</x:t>
  </x:si>
  <x:si>
    <x:t xml:space="preserve">v2.10.1 tightening</x:t>
  </x:si>
  <x:si>
    <x:t xml:space="preserve">T-090, T-128, T-147, T-175, T-177</x:t>
  </x:si>
  <x:si>
    <x:t xml:space="preserve">Made SM-06 OutcomeDefinition binding/consumption ownership explicit; added statistical source/test parity gate; clarified fixture-only supervised SAFE-NOW.</x:t>
  </x:si>
  <x:si>
    <x:t xml:space="preserve">Close an implementation-ownership ambiguity without reopening the frozen Rev7/7.1 architecture.</x:t>
  </x:si>
  <x:si>
    <x:t xml:space="preserve">NONE — M1/Workers 1–2 untouched.</x:t>
  </x:si>
  <x:si>
    <x:t xml:space="preserve">Owners and parallel labels unchanged; only descriptions, validation, boundaries and dependencies tightened.</x:t>
  </x:si>
  <x:si>
    <x:t xml:space="preserve">v2.10.2 design authority</x:t>
  </x:si>
  <x:si>
    <x:t xml:space="preserve">T-057, T-061, T-064, T-087..T-107</x:t>
  </x:si>
  <x:si>
    <x:t xml:space="preserve">Separated final external contracts from final physical schema where prerequisites do not yet exist; corrected migration/definition/relationship/job-target sequencing.</x:t>
  </x:si>
  <x:si>
    <x:t xml:space="preserve">T-064 exposed a real architecture sequencing contradiction; deep pass found the same class elsewhere.</x:t>
  </x:si>
  <x:si>
    <x:t xml:space="preserve">M1 visible contract preserved; temporary physical claims removed.</x:t>
  </x:si>
  <x:si>
    <x:t xml:space="preserve">Worker 3 cannot steal unstable physical-schema work.</x:t>
  </x:si>
  <x:si>
    <x:t xml:space="preserve">v2.10.2 security gates</x:t>
  </x:si>
  <x:si>
    <x:t xml:space="preserve">T-112, T-114, T-128..T-135, T-183..T-188, T-195</x:t>
  </x:si>
  <x:si>
    <x:t xml:space="preserve">Tenant-owned intelligence persistence now waits for final tenant keys/FORCE-RLS authority at table creation.</x:t>
  </x:si>
  <x:si>
    <x:t xml:space="preserve">Prevent insecure tables followed by later RLS retrofits.</x:t>
  </x:si>
  <x:si>
    <x:t xml:space="preserve">NONE to M1.</x:t>
  </x:si>
  <x:si>
    <x:t xml:space="preserve">Worker 3 production persistence starts only after security hand-off.</x:t>
  </x:si>
  <x:si>
    <x:t xml:space="preserve">v2.10.2 route/admin coverage</x:t>
  </x:si>
  <x:si>
    <x:t xml:space="preserve">T-121, T-148, T-196..T-200</x:t>
  </x:si>
  <x:si>
    <x:t xml:space="preserve">Exact 40-route + 6-shell coverage; explicit owners added for Plant Model, Alert Routing, Logging/Audit, Log Channels, Retention, Settings and Translation; quota page owner expanded.</x:t>
  </x:si>
  <x:si>
    <x:t xml:space="preserve">Target inventory had required pages absent from current audit and/or without an executable owner.</x:t>
  </x:si>
  <x:si>
    <x:t xml:space="preserve">No M1 scope increase; M2a operational completeness increases.</x:t>
  </x:si>
  <x:si>
    <x:t xml:space="preserve">Mostly non-W3; canonical admin/platform owners.</x:t>
  </x:si>
  <x:si>
    <x:t xml:space="preserve">v2.10.2 acceptance correction</x:t>
  </x:si>
  <x:si>
    <x:t xml:space="preserve">Viewport persistence certification isolated by baseline snapshot/restore; PATCH canonical layout is the changed-state authority; DOM convergence is polled before/after reload.</x:t>
  </x:si>
  <x:si>
    <x:t xml:space="preserve">R1-R4 exposed test contamination and transient-DOM oracle defects.</x:t>
  </x:si>
  <x:si>
    <x:t xml:space="preserve">Improves M1 truth without weakening acceptance.</x:t>
  </x:si>
  <x:si>
    <x:t xml:space="preserve">Worker 2 only.</x:t>
  </x:si>
  <x:si>
    <x:t xml:space="preserve">v2.10.2 execution ledger</x:t>
  </x:si>
  <x:si>
    <x:t xml:space="preserve">T-137, T-168..T-182</x:t>
  </x:si>
  <x:si>
    <x:t xml:space="preserve">Backlog live state reconciled with evidenced commits; Worker 3 Lane no longer reports closed SAFE-NOW work as Not Started.</x:t>
  </x:si>
  <x:si>
    <x:t xml:space="preserve">Static lane sheet had become stale against executed work.</x:t>
  </x:si>
  <x:si>
    <x:t xml:space="preserve">Do not reopen closed SAFE-NOW tasks.</x:t>
  </x:si>
  <x:si>
    <x:t xml:space="preserve">v2.10.3</x:t>
  </x:si>
  <x:si>
    <x:t xml:space="preserve">16-Aug-2026</x:t>
  </x:si>
  <x:si>
    <x:t xml:space="preserve">Concept reconciliation</x:t>
  </x:si>
  <x:si>
    <x:t xml:space="preserve">Two-track Product Contract + delivery feasibility + branch/data/admin/AI terminology rulings</x:t>
  </x:si>
  <x:si>
    <x:t xml:space="preserve">Tech Lead</x:t>
  </x:si>
  <x:si>
    <x:t xml:space="preserve">Added concept alignment; no task IDs renumbered</x:t>
  </x:si>
  <x:si>
    <x:t xml:space="preserve">v2.10.4</x:t>
  </x:si>
  <x:si>
    <x:t xml:space="preserve">Three-AI-agent orchestration</x:t>
  </x:si>
  <x:si>
    <x:t xml:space="preserve">Exclusive Worker1/2/3 queues, file/subsystem locks, dependency hand-offs, AI P50/P80 wall-clock estimates and recalibrated delivery feasibility.</x:t>
  </x:si>
  <x:si>
    <x:t xml:space="preserve">No task IDs renumbered; traditional Hours preserved as complexity baseline.</x:t>
  </x:si>
  <x:si>
    <x:t xml:space="preserve">Severity</x:t>
  </x:si>
  <x:si>
    <x:t xml:space="preserve">Type</x:t>
  </x:si>
  <x:si>
    <x:t xml:space="preserve">Affected Tasks</x:t>
  </x:si>
  <x:si>
    <x:t xml:space="preserve">Authority</x:t>
  </x:si>
  <x:si>
    <x:t xml:space="preserve">Architecture / sequencing</x:t>
  </x:si>
  <x:si>
    <x:t xml:space="preserve">Chapter 3 §4.5.10 + §4.5.11; T-039 compatibility-boundary doctrine</x:t>
  </x:si>
  <x:si>
    <x:t xml:space="preserve">Architecture / acceptance</x:t>
  </x:si>
  <x:si>
    <x:t xml:space="preserve">Chapter 3 §4.5.5a; Worker-3 HEAD probe; T-039</x:t>
  </x:si>
  <x:si>
    <x:t xml:space="preserve">Chapter 3 §4.5.14; C2 Mapping Health contract</x:t>
  </x:si>
  <x:si>
    <x:t xml:space="preserve">API / authority</x:t>
  </x:si>
  <x:si>
    <x:t xml:space="preserve">Chapter 3 readiness contract and D3/D8 page calls</x:t>
  </x:si>
  <x:si>
    <x:t xml:space="preserve">Outcome authority / continuity</x:t>
  </x:si>
  <x:si>
    <x:t xml:space="preserve">Chapter 3 D3 calls + §4.5.11; T-090</x:t>
  </x:si>
  <x:si>
    <x:t xml:space="preserve">Migration sequencing</x:t>
  </x:si>
  <x:si>
    <x:t xml:space="preserve">Runtime migration lesson from T-044; T-087/T-088 scopes</x:t>
  </x:si>
  <x:si>
    <x:t xml:space="preserve">Single authority</x:t>
  </x:si>
  <x:si>
    <x:t xml:space="preserve">Chapter 3 §4.5.11 definition kinds</x:t>
  </x:si>
  <x:si>
    <x:t xml:space="preserve">Semantic model</x:t>
  </x:si>
  <x:si>
    <x:t xml:space="preserve">Chapter 3 material_unit_type_definitions/material_units; model serving identity</x:t>
  </x:si>
  <x:si>
    <x:t xml:space="preserve">Continuity / duplication</x:t>
  </x:si>
  <x:si>
    <x:t xml:space="preserve">Customer Contract Continuity law; Chapter 3 C6</x:t>
  </x:si>
  <x:si>
    <x:t xml:space="preserve">Scope duplication</x:t>
  </x:si>
  <x:si>
    <x:t xml:space="preserve">Chapter 3 §4.5.5a</x:t>
  </x:si>
  <x:si>
    <x:t xml:space="preserve">Execution sequencing / rework</x:t>
  </x:si>
  <x:si>
    <x:t xml:space="preserve">Current frontend evidence + T-065/T-068 scopes</x:t>
  </x:si>
  <x:si>
    <x:t xml:space="preserve">Security / tenancy</x:t>
  </x:si>
  <x:si>
    <x:t xml:space="preserve">Layer-B tenant rule; Chapter 3 tenant-owned tables; T-112/T-114</x:t>
  </x:si>
  <x:si>
    <x:t xml:space="preserve">Dependency / phase design</x:t>
  </x:si>
  <x:si>
    <x:t xml:space="preserve">F-063 ruling</x:t>
  </x:si>
  <x:si>
    <x:t xml:space="preserve">Circular / impossible promise</x:t>
  </x:si>
  <x:si>
    <x:t xml:space="preserve">T-134/T-135/T-139 scopes</x:t>
  </x:si>
  <x:si>
    <x:t xml:space="preserve">Execution order</x:t>
  </x:si>
  <x:si>
    <x:t xml:space="preserve">T-146 dependency text; T-147 canonical SM-06 consumption</x:t>
  </x:si>
  <x:si>
    <x:t xml:space="preserve">Benchmark / calibration</x:t>
  </x:si>
  <x:si>
    <x:t xml:space="preserve">Chapter 4 old weighted-pool defect; Layer-B OD-11; T-182/T-155/T-159</x:t>
  </x:si>
  <x:si>
    <x:t xml:space="preserve">Benchmark / architecture</x:t>
  </x:si>
  <x:si>
    <x:t xml:space="preserve">T-182 'Harness now; values later'; Layer-B measurement-open decisions</x:t>
  </x:si>
  <x:si>
    <x:t xml:space="preserve">Orphan owner</x:t>
  </x:si>
  <x:si>
    <x:t xml:space="preserve">T-117 scope; zero-orphan freeze law</x:t>
  </x:si>
  <x:si>
    <x:t xml:space="preserve">Acceptance design</x:t>
  </x:si>
  <x:si>
    <x:t xml:space="preserve">16-Aug T-049 R3/R4 Playwright evidence</x:t>
  </x:si>
  <x:si>
    <x:t xml:space="preserve">Backlog execution safety</x:t>
  </x:si>
  <x:si>
    <x:t xml:space="preserve">Backlog dependency-column scan</x:t>
  </x:si>
  <x:si>
    <x:t xml:space="preserve">Tracking model</x:t>
  </x:si>
  <x:si>
    <x:t xml:space="preserve">Current workbook internal inconsistency</x:t>
  </x:si>
  <x:si>
    <x:t xml:space="preserve">Tracking / evidence</x:t>
  </x:si>
  <x:si>
    <x:t xml:space="preserve">T-170/T-182 tracking incident</x:t>
  </x:si>
  <x:si>
    <x:t xml:space="preserve">Target-page coverage</x:t>
  </x:si>
  <x:si>
    <x:t xml:space="preserve">Chapter 3 C4; 11-Aug frontend audit; T-148 validation</x:t>
  </x:si>
  <x:si>
    <x:t xml:space="preserve">Target-page/capability coverage</x:t>
  </x:si>
  <x:si>
    <x:t xml:space="preserve">Chapter 3 E6; route audit</x:t>
  </x:si>
  <x:si>
    <x:t xml:space="preserve">Admin coverage</x:t>
  </x:si>
  <x:si>
    <x:t xml:space="preserve">Chapter 3 F5/F6; current backend/frontend audit</x:t>
  </x:si>
  <x:si>
    <x:t xml:space="preserve">Retention / destructive governance</x:t>
  </x:si>
  <x:si>
    <x:t xml:space="preserve">Chapter 3 F9 and §4.5.15</x:t>
  </x:si>
  <x:si>
    <x:t xml:space="preserve">Administration / i18n coverage</x:t>
  </x:si>
  <x:si>
    <x:t xml:space="preserve">Chapter 3 F7/F8; current route audit</x:t>
  </x:si>
  <x:si>
    <x:t xml:space="preserve">Chapter 3 F3; T-121</x:t>
  </x:si>
  <x:si>
    <x:t xml:space="preserve">Route-inventory gate</x:t>
  </x:si>
  <x:si>
    <x:t xml:space="preserve">Chapter 3 §4.3; T-148 validation</x:t>
  </x:si>
  <x:si>
    <x:t xml:space="preserve">Genericity / UI contract</x:t>
  </x:si>
  <x:si>
    <x:t xml:space="preserve">11-Aug frontend audit; Chapter 3 C5 generic material-unit contract</x:t>
  </x:si>
  <x:si>
    <x:t xml:space="preserve">Phase gate</x:t>
  </x:si>
  <x:si>
    <x:t xml:space="preserve">F-063/F-064</x:t>
  </x:si>
  <x:si>
    <x:t xml:space="preserve">Contract ID</x:t>
  </x:si>
  <x:si>
    <x:t xml:space="preserve">Route Page</x:t>
  </x:si>
  <x:si>
    <x:t xml:space="preserve">Canonical Route</x:t>
  </x:si>
  <x:si>
    <x:t xml:space="preserve">Present in 11-Aug Frontend Audit</x:t>
  </x:si>
  <x:si>
    <x:t xml:space="preserve">v2.10.2 Coverage Ruling</x:t>
  </x:si>
  <x:si>
    <x:t xml:space="preserve">A1</x:t>
  </x:si>
  <x:si>
    <x:t xml:space="preserve">Login</x:t>
  </x:si>
  <x:si>
    <x:t xml:space="preserve">/login</x:t>
  </x:si>
  <x:si>
    <x:t xml:space="preserve">J1</x:t>
  </x:si>
  <x:si>
    <x:t xml:space="preserve">Present</x:t>
  </x:si>
  <x:si>
    <x:t xml:space="preserve">Existing route; T-002/T-077/T-083 certification</x:t>
  </x:si>
  <x:si>
    <x:t xml:space="preserve">PRESENT — keep owner/acceptance; T-148 must certify exact canonical inventory</x:t>
  </x:si>
  <x:si>
    <x:t xml:space="preserve">A2</x:t>
  </x:si>
  <x:si>
    <x:t xml:space="preserve">Home</x:t>
  </x:si>
  <x:si>
    <x:t xml:space="preserve">/</x:t>
  </x:si>
  <x:si>
    <x:t xml:space="preserve">Existing route; M1 presentation lane</x:t>
  </x:si>
  <x:si>
    <x:t xml:space="preserve">B1</x:t>
  </x:si>
  <x:si>
    <x:t xml:space="preserve">/data-integration/connections</x:t>
  </x:si>
  <x:si>
    <x:t xml:space="preserve">J4</x:t>
  </x:si>
  <x:si>
    <x:t xml:space="preserve">Existing route; T-054 / T-127</x:t>
  </x:si>
  <x:si>
    <x:t xml:space="preserve">B2</x:t>
  </x:si>
  <x:si>
    <x:t xml:space="preserve">Dataset Registry</x:t>
  </x:si>
  <x:si>
    <x:t xml:space="preserve">/data-integration/registry</x:t>
  </x:si>
  <x:si>
    <x:t xml:space="preserve">J5</x:t>
  </x:si>
  <x:si>
    <x:t xml:space="preserve">Existing route; T-055 / T-089..T-094</x:t>
  </x:si>
  <x:si>
    <x:t xml:space="preserve">B3</x:t>
  </x:si>
  <x:si>
    <x:t xml:space="preserve">Prepare Import</x:t>
  </x:si>
  <x:si>
    <x:t xml:space="preserve">/data-integration/prepare</x:t>
  </x:si>
  <x:si>
    <x:t xml:space="preserve">Existing route; T-056 / T-099..T-101</x:t>
  </x:si>
  <x:si>
    <x:t xml:space="preserve">B4</x:t>
  </x:si>
  <x:si>
    <x:t xml:space="preserve">Importing</x:t>
  </x:si>
  <x:si>
    <x:t xml:space="preserve">/data-integration/importing</x:t>
  </x:si>
  <x:si>
    <x:t xml:space="preserve">J6, J8</x:t>
  </x:si>
  <x:si>
    <x:t xml:space="preserve">Existing route; T-056 / T-101</x:t>
  </x:si>
  <x:si>
    <x:t xml:space="preserve">B5</x:t>
  </x:si>
  <x:si>
    <x:t xml:space="preserve">Jobs Monitor</x:t>
  </x:si>
  <x:si>
    <x:t xml:space="preserve">/data-integration/jobs</x:t>
  </x:si>
  <x:si>
    <x:t xml:space="preserve">J6, J8, J12</x:t>
  </x:si>
  <x:si>
    <x:t xml:space="preserve">Existing route; T-064/T-065 / T-106..T-111</x:t>
  </x:si>
  <x:si>
    <x:t xml:space="preserve">B6</x:t>
  </x:si>
  <x:si>
    <x:t xml:space="preserve">Connector Truth</x:t>
  </x:si>
  <x:si>
    <x:t xml:space="preserve">/data-integration/connector-truth</x:t>
  </x:si>
  <x:si>
    <x:t xml:space="preserve">Existing route; T-054</x:t>
  </x:si>
  <x:si>
    <x:t xml:space="preserve">C1</x:t>
  </x:si>
  <x:si>
    <x:t xml:space="preserve">Transformation Studio</x:t>
  </x:si>
  <x:si>
    <x:t xml:space="preserve">/prep/canvas</x:t>
  </x:si>
  <x:si>
    <x:t xml:space="preserve">J7</x:t>
  </x:si>
  <x:si>
    <x:t xml:space="preserve">Existing route; T-057 / T-095..T-101</x:t>
  </x:si>
  <x:si>
    <x:t xml:space="preserve">C2</x:t>
  </x:si>
  <x:si>
    <x:t xml:space="preserve">Mapping Health</x:t>
  </x:si>
  <x:si>
    <x:t xml:space="preserve">/mapping-health</x:t>
  </x:si>
  <x:si>
    <x:t xml:space="preserve">J8</x:t>
  </x:si>
  <x:si>
    <x:t xml:space="preserve">Existing route; T-061/T-062 / T-099..T-101</x:t>
  </x:si>
  <x:si>
    <x:t xml:space="preserve">C3</x:t>
  </x:si>
  <x:si>
    <x:t xml:space="preserve">Data Quality</x:t>
  </x:si>
  <x:si>
    <x:t xml:space="preserve">/data-quality</x:t>
  </x:si>
  <x:si>
    <x:t xml:space="preserve">C4</x:t>
  </x:si>
  <x:si>
    <x:t xml:space="preserve">Plant Model Explorer</x:t>
  </x:si>
  <x:si>
    <x:t xml:space="preserve">/plant-model</x:t>
  </x:si>
  <x:si>
    <x:t xml:space="preserve">J9</x:t>
  </x:si>
  <x:si>
    <x:t xml:space="preserve">Missing</x:t>
  </x:si>
  <x:si>
    <x:t xml:space="preserve">NEW T-196</x:t>
  </x:si>
  <x:si>
    <x:t xml:space="preserve">MISSING NOW — genuine coverage gap; new explicit owner added in v2.10.2</x:t>
  </x:si>
  <x:si>
    <x:t xml:space="preserve">C5</x:t>
  </x:si>
  <x:si>
    <x:t xml:space="preserve">Genealogy Explorer</x:t>
  </x:si>
  <x:si>
    <x:t xml:space="preserve">/materials ; /materials/{id}</x:t>
  </x:si>
  <x:si>
    <x:t xml:space="preserve">Existing route; T-063 / T-102..T-105</x:t>
  </x:si>
  <x:si>
    <x:t xml:space="preserve">C6</x:t>
  </x:si>
  <x:si>
    <x:t xml:space="preserve">Relationship Browser</x:t>
  </x:si>
  <x:si>
    <x:t xml:space="preserve">/relationships</x:t>
  </x:si>
  <x:si>
    <x:t xml:space="preserve">T-060 presentation + T-098 canonical</x:t>
  </x:si>
  <x:si>
    <x:t xml:space="preserve">MISSING NOW — existing future owner retained; do not create duplicate task</x:t>
  </x:si>
  <x:si>
    <x:t xml:space="preserve">D1</x:t>
  </x:si>
  <x:si>
    <x:t xml:space="preserve">Interactive Workspace</x:t>
  </x:si>
  <x:si>
    <x:t xml:space="preserve">/workspace/:dashboardCode</x:t>
  </x:si>
  <x:si>
    <x:t xml:space="preserve">J11</x:t>
  </x:si>
  <x:si>
    <x:t xml:space="preserve">Existing route; T-049..T-052 / T-127</x:t>
  </x:si>
  <x:si>
    <x:t xml:space="preserve">D2</x:t>
  </x:si>
  <x:si>
    <x:t xml:space="preserve">Page Builder</x:t>
  </x:si>
  <x:si>
    <x:t xml:space="preserve">/page-builder</x:t>
  </x:si>
  <x:si>
    <x:t xml:space="preserve">J10</x:t>
  </x:si>
  <x:si>
    <x:t xml:space="preserve">Existing route; T-040..T-043 / T-092..T-094</x:t>
  </x:si>
  <x:si>
    <x:t xml:space="preserve">D3</x:t>
  </x:si>
  <x:si>
    <x:t xml:space="preserve">Analysis Toolbox</x:t>
  </x:si>
  <x:si>
    <x:t xml:space="preserve">/analysis/toolbox</x:t>
  </x:si>
  <x:si>
    <x:t xml:space="preserve">J12</x:t>
  </x:si>
  <x:si>
    <x:t xml:space="preserve">Existing route; T-064/T-065/T-068 / T-106</x:t>
  </x:si>
  <x:si>
    <x:t xml:space="preserve">D4</x:t>
  </x:si>
  <x:si>
    <x:t xml:space="preserve">Findings</x:t>
  </x:si>
  <x:si>
    <x:t xml:space="preserve">/correlations</x:t>
  </x:si>
  <x:si>
    <x:t xml:space="preserve">J13</x:t>
  </x:si>
  <x:si>
    <x:t xml:space="preserve">Existing route; T-067 / T-146/T-147</x:t>
  </x:si>
  <x:si>
    <x:t xml:space="preserve">D5</x:t>
  </x:si>
  <x:si>
    <x:t xml:space="preserve">Risk Dashboard</x:t>
  </x:si>
  <x:si>
    <x:t xml:space="preserve">/risk</x:t>
  </x:si>
  <x:si>
    <x:t xml:space="preserve">Existing route; T-047 / T-139..T-145</x:t>
  </x:si>
  <x:si>
    <x:t xml:space="preserve">D6</x:t>
  </x:si>
  <x:si>
    <x:t xml:space="preserve">Suggestions</x:t>
  </x:si>
  <x:si>
    <x:t xml:space="preserve">/suggestions</x:t>
  </x:si>
  <x:si>
    <x:t xml:space="preserve">J13, J14</x:t>
  </x:si>
  <x:si>
    <x:t xml:space="preserve">Existing route; T-133/T-190</x:t>
  </x:si>
  <x:si>
    <x:t xml:space="preserve">D7</x:t>
  </x:si>
  <x:si>
    <x:t xml:space="preserve">Value Dashboard</x:t>
  </x:si>
  <x:si>
    <x:t xml:space="preserve">/value</x:t>
  </x:si>
  <x:si>
    <x:t xml:space="preserve">Existing route; T-164</x:t>
  </x:si>
  <x:si>
    <x:t xml:space="preserve">D8</x:t>
  </x:si>
  <x:si>
    <x:t xml:space="preserve">ML Readiness and Models</x:t>
  </x:si>
  <x:si>
    <x:t xml:space="preserve">/ml-readiness</x:t>
  </x:si>
  <x:si>
    <x:t xml:space="preserve">Existing route; T-066 / T-186 + T-195</x:t>
  </x:si>
  <x:si>
    <x:t xml:space="preserve">D9</x:t>
  </x:si>
  <x:si>
    <x:t xml:space="preserve">Early Warning</x:t>
  </x:si>
  <x:si>
    <x:t xml:space="preserve">/early-warning</x:t>
  </x:si>
  <x:si>
    <x:t xml:space="preserve">D10</x:t>
  </x:si>
  <x:si>
    <x:t xml:space="preserve">Practice Insights</x:t>
  </x:si>
  <x:si>
    <x:t xml:space="preserve">/practice-insights</x:t>
  </x:si>
  <x:si>
    <x:t xml:space="preserve">T-133/T-136</x:t>
  </x:si>
  <x:si>
    <x:t xml:space="preserve">D11</x:t>
  </x:si>
  <x:si>
    <x:t xml:space="preserve">Scenario Simulation</x:t>
  </x:si>
  <x:si>
    <x:t xml:space="preserve">/scenarios</x:t>
  </x:si>
  <x:si>
    <x:t xml:space="preserve">Existing route; T-142/T-143</x:t>
  </x:si>
  <x:si>
    <x:t xml:space="preserve">D12</x:t>
  </x:si>
  <x:si>
    <x:t xml:space="preserve">Benchmarking</x:t>
  </x:si>
  <x:si>
    <x:t xml:space="preserve">/benchmarking</x:t>
  </x:si>
  <x:si>
    <x:t xml:space="preserve">Existing route; T-182 + T-155/T-159</x:t>
  </x:si>
  <x:si>
    <x:t xml:space="preserve">E2</x:t>
  </x:si>
  <x:si>
    <x:t xml:space="preserve">Assistant Configuration</x:t>
  </x:si>
  <x:si>
    <x:t xml:space="preserve">/assistant-config</x:t>
  </x:si>
  <x:si>
    <x:t xml:space="preserve">J15</x:t>
  </x:si>
  <x:si>
    <x:t xml:space="preserve">Existing route; T-071..T-073 / T-138</x:t>
  </x:si>
  <x:si>
    <x:t xml:space="preserve">E3</x:t>
  </x:si>
  <x:si>
    <x:t xml:space="preserve">Plant Data Log</x:t>
  </x:si>
  <x:si>
    <x:t xml:space="preserve">/data-integration/alerting</x:t>
  </x:si>
  <x:si>
    <x:t xml:space="preserve">Existing route; T-125/T-149</x:t>
  </x:si>
  <x:si>
    <x:t xml:space="preserve">E4</x:t>
  </x:si>
  <x:si>
    <x:t xml:space="preserve">Supervisor</x:t>
  </x:si>
  <x:si>
    <x:t xml:space="preserve">/supervisor</x:t>
  </x:si>
  <x:si>
    <x:t xml:space="preserve">E5</x:t>
  </x:si>
  <x:si>
    <x:t xml:space="preserve">Reports</x:t>
  </x:si>
  <x:si>
    <x:t xml:space="preserve">/reports</x:t>
  </x:si>
  <x:si>
    <x:t xml:space="preserve">Existing route; T-126/T-167</x:t>
  </x:si>
  <x:si>
    <x:t xml:space="preserve">E6</x:t>
  </x:si>
  <x:si>
    <x:t xml:space="preserve">Alert Routing and Escalation</x:t>
  </x:si>
  <x:si>
    <x:t xml:space="preserve">/alert-routing</x:t>
  </x:si>
  <x:si>
    <x:t xml:space="preserve">NEW T-197</x:t>
  </x:si>
  <x:si>
    <x:t xml:space="preserve">F1</x:t>
  </x:si>
  <x:si>
    <x:t xml:space="preserve">Users and Roles</x:t>
  </x:si>
  <x:si>
    <x:t xml:space="preserve">/admin/users</x:t>
  </x:si>
  <x:si>
    <x:t xml:space="preserve">J3</x:t>
  </x:si>
  <x:si>
    <x:t xml:space="preserve">F2</x:t>
  </x:si>
  <x:si>
    <x:t xml:space="preserve">Licence and Entitlement</x:t>
  </x:si>
  <x:si>
    <x:t xml:space="preserve">/admin/license</x:t>
  </x:si>
  <x:si>
    <x:t xml:space="preserve">J2</x:t>
  </x:si>
  <x:si>
    <x:t xml:space="preserve">Existing route; T-119</x:t>
  </x:si>
  <x:si>
    <x:t xml:space="preserve">F3</x:t>
  </x:si>
  <x:si>
    <x:t xml:space="preserve">Authoring Quota and Limits</x:t>
  </x:si>
  <x:si>
    <x:t xml:space="preserve">/admin/quota</x:t>
  </x:si>
  <x:si>
    <x:t xml:space="preserve">T-121 — scope expanded in v2.10.2</x:t>
  </x:si>
  <x:si>
    <x:t xml:space="preserve">MISSING NOW — expand T-121 to own canonical /admin/quota page</x:t>
  </x:si>
  <x:si>
    <x:t xml:space="preserve">F4</x:t>
  </x:si>
  <x:si>
    <x:t xml:space="preserve">Jobs Administration</x:t>
  </x:si>
  <x:si>
    <x:t xml:space="preserve">/admin/jobs</x:t>
  </x:si>
  <x:si>
    <x:t xml:space="preserve">Existing route; T-111/T-121</x:t>
  </x:si>
  <x:si>
    <x:t xml:space="preserve">F5</x:t>
  </x:si>
  <x:si>
    <x:t xml:space="preserve">Logging and Audit</x:t>
  </x:si>
  <x:si>
    <x:t xml:space="preserve">/admin/logs</x:t>
  </x:si>
  <x:si>
    <x:t xml:space="preserve">NEW T-198</x:t>
  </x:si>
  <x:si>
    <x:t xml:space="preserve">F6</x:t>
  </x:si>
  <x:si>
    <x:t xml:space="preserve">Log Channel Configuration</x:t>
  </x:si>
  <x:si>
    <x:t xml:space="preserve">/admin/log-channels</x:t>
  </x:si>
  <x:si>
    <x:t xml:space="preserve">F7</x:t>
  </x:si>
  <x:si>
    <x:t xml:space="preserve">System Settings</x:t>
  </x:si>
  <x:si>
    <x:t xml:space="preserve">/admin/settings</x:t>
  </x:si>
  <x:si>
    <x:t xml:space="preserve">NEW T-200</x:t>
  </x:si>
  <x:si>
    <x:t xml:space="preserve">F8</x:t>
  </x:si>
  <x:si>
    <x:t xml:space="preserve">Translation and Language</x:t>
  </x:si>
  <x:si>
    <x:t xml:space="preserve">/admin/translation</x:t>
  </x:si>
  <x:si>
    <x:t xml:space="preserve">F9</x:t>
  </x:si>
  <x:si>
    <x:t xml:space="preserve">Log Retention and Archival</x:t>
  </x:si>
  <x:si>
    <x:t xml:space="preserve">/admin/log-retention</x:t>
  </x:si>
  <x:si>
    <x:t xml:space="preserve">NEW T-199</x:t>
  </x:si>
  <x:si>
    <x:t xml:space="preserve">PlantProcess IQ — Two-Track Product Contract (v2.10.3)</x:t>
  </x:si>
  <x:si>
    <x:t xml:space="preserve">Area</x:t>
  </x:si>
  <x:si>
    <x:t xml:space="preserve">Track 1 — Presentation RC (20-Aug)</x:t>
  </x:si>
  <x:si>
    <x:t xml:space="preserve">Track 1 Ruling</x:t>
  </x:si>
  <x:si>
    <x:t xml:space="preserve">Track 2 — Customer Product</x:t>
  </x:si>
  <x:si>
    <x:t xml:space="preserve">Track 2 Ruling</x:t>
  </x:si>
  <x:si>
    <x:t xml:space="preserve">Backlog Owner / Tasks</x:t>
  </x:si>
  <x:si>
    <x:t xml:space="preserve">Acceptance Signal</x:t>
  </x:si>
  <x:si>
    <x:t xml:space="preserve">Risk / Note</x:t>
  </x:si>
  <x:si>
    <x:t xml:space="preserve">Source emulation</x:t>
  </x:si>
  <x:si>
    <x:t xml:space="preserve">Live Test Connection to emulated customer sources; prepared registration state is acceptable.</x:t>
  </x:si>
  <x:si>
    <x:t xml:space="preserve">Do not model src_* as a product schema. src_* is donor state only and must retire. Docker/native emulators are the source side.</x:t>
  </x:si>
  <x:si>
    <x:t xml:space="preserve">Separate real source systems/connectors outside ppiq_app.</x:t>
  </x:si>
  <x:si>
    <x:t xml:space="preserve">Read-only DB-Link, load budgets, connector certification; imports fill staging.</x:t>
  </x:si>
  <x:si>
    <x:t xml:space="preserve">T-054/T-055; M2a connector/import tasks</x:t>
  </x:si>
  <x:si>
    <x:t xml:space="preserve">Connection succeeds live; source failure is readable; no write to source.</x:t>
  </x:si>
  <x:si>
    <x:t xml:space="preserve">M1 live bulk import is optional, not a release gate.</x:t>
  </x:si>
  <x:si>
    <x:t xml:space="preserve">Staging / dump_store</x:t>
  </x:si>
  <x:si>
    <x:t xml:space="preserve">Prepared source-shaped, unprepared data in presentation staging/dump_store for Canvas/SQL/wiring.</x:t>
  </x:si>
  <x:si>
    <x:t xml:space="preserve">Allowed M1 exception from one Fleet v2 generator; identities must match the plant representation.</x:t>
  </x:si>
  <x:si>
    <x:t xml:space="preserve">ppiq_staging starts EMPTY and is written by import/projection pipeline only.</x:t>
  </x:si>
  <x:si>
    <x:t xml:space="preserve">Final generic source-shaped staging, watermarks, quarantine; no analytical consumers read it.</x:t>
  </x:si>
  <x:si>
    <x:t xml:space="preserve">T-030/T-031; T-087/T-099/T-100</x:t>
  </x:si>
  <x:si>
    <x:t xml:space="preserve">M1 cross-layer consistency; M2 empty-install + real ingestion proof.</x:t>
  </x:si>
  <x:si>
    <x:t xml:space="preserve">High if temporary names leak into public contract.</x:t>
  </x:si>
  <x:si>
    <x:t xml:space="preserve">Metadata / configuration</x:t>
  </x:si>
  <x:si>
    <x:t xml:space="preserve">Presentation profile may contain prepared product configuration required for pages/jobs/roles/logs.</x:t>
  </x:si>
  <x:si>
    <x:t xml:space="preserve">Keep product configuration distinct from plant reality. Do not seed runtime history as fake activity.</x:t>
  </x:si>
  <x:si>
    <x:t xml:space="preserve">ppiq_meta has a declared generic schema; bootstrap/config rows only where product-owned; runtime tables start naturally empty.</x:t>
  </x:si>
  <x:si>
    <x:t xml:space="preserve">Definitions, relationships, jobs, users/roles, audit/log governance live here under genericity/RLS rules.</x:t>
  </x:si>
  <x:si>
    <x:t xml:space="preserve">T-039; T-089/T-090; T-119..T-122; T-196..T-200</x:t>
  </x:si>
  <x:si>
    <x:t xml:space="preserve">No customer/demo vocabulary in clean install; metadata bootstrap reproducible from scripts.</x:t>
  </x:si>
  <x:si>
    <x:t xml:space="preserve">M2 admin cannot be frontend-only.</x:t>
  </x:si>
  <x:si>
    <x:t xml:space="preserve">Canonical operational data</x:t>
  </x:si>
  <x:si>
    <x:t xml:space="preserve">Pre-populated from Fleet v2 generator.</x:t>
  </x:si>
  <x:si>
    <x:t xml:space="preserve">Correct for M1.</x:t>
  </x:si>
  <x:si>
    <x:t xml:space="preserve">ppiq_plant starts EMPTY on fresh customer install.</x:t>
  </x:si>
  <x:si>
    <x:t xml:space="preserve">Filled only through governed projection/import jobs.</x:t>
  </x:si>
  <x:si>
    <x:t xml:space="preserve">T-024; T-087+</x:t>
  </x:si>
  <x:si>
    <x:t xml:space="preserve">M1 canonical counts/phenomena; M2 one-query empty-plant proof then job-driven fill.</x:t>
  </x:si>
  <x:si>
    <x:t xml:space="preserve">Critical architecture boundary.</x:t>
  </x:si>
  <x:si>
    <x:t xml:space="preserve">Analytical data</x:t>
  </x:si>
  <x:si>
    <x:t xml:space="preserve">Available for charts/assistant, but produced by real engines.</x:t>
  </x:si>
  <x:si>
    <x:t xml:space="preserve">Do NOT prefill authored analysis answers. Real engine computation is mandatory.</x:t>
  </x:si>
  <x:si>
    <x:t xml:space="preserve">Stored in ppiq_plant analytical area and produced by governed engines/runs.</x:t>
  </x:si>
  <x:si>
    <x:t xml:space="preserve">Every immutable analytical row traces to run + definition version.</x:t>
  </x:si>
  <x:si>
    <x:t xml:space="preserve">T-025; M2b T-128..T-147/T-183..T-193</x:t>
  </x:si>
  <x:si>
    <x:t xml:space="preserve">Recompute from canonical and reproduce evidence; no answer labels reachable from runtime.</x:t>
  </x:si>
  <x:si>
    <x:t xml:space="preserve">User concept corrected: prepared ≠ fabricated.</x:t>
  </x:si>
  <x:si>
    <x:t xml:space="preserve">BI dashboard / layout / filters</x:t>
  </x:si>
  <x:si>
    <x:t xml:space="preserve">Target: frozen PPIQ M1 authoring/interaction contract, customer-demo quality.</x:t>
  </x:si>
  <x:si>
    <x:t xml:space="preserve">Do not use '95% of Qlik/Power BI/Tableau' as acceptance; that is unbounded. Certify PPIQ's defined enterprise contract.</x:t>
  </x:si>
  <x:si>
    <x:t xml:space="preserve">Generic enterprise BI authoring on final definitions, sources, relationships, security and persistence.</x:t>
  </x:si>
  <x:si>
    <x:t xml:space="preserve">Measure against PPIQ product contract + performance/accessibility/security, not competitor feature count.</x:t>
  </x:si>
  <x:si>
    <x:t xml:space="preserve">T-041..T-052; M2a definition/relationship convergence</x:t>
  </x:si>
  <x:si>
    <x:t xml:space="preserve">Create/edit/save/reload/filter/drill/failure-isolation all certified.</x:t>
  </x:si>
  <x:si>
    <x:t xml:space="preserve">T-049 currently on critical path.</x:t>
  </x:si>
  <x:si>
    <x:t xml:space="preserve">Canvas / SQL / wiring</x:t>
  </x:si>
  <x:si>
    <x:t xml:space="preserve">Live authoring/validation/preview against prepared staging; visible contract is final.</x:t>
  </x:si>
  <x:si>
    <x:t xml:space="preserve">85% label replaced by: all frozen M1 authoring states used in tutorial are complete and certified.</x:t>
  </x:si>
  <x:si>
    <x:t xml:space="preserve">Same shell over real ppiq_staging and final definition store.</x:t>
  </x:si>
  <x:si>
    <x:t xml:space="preserve">Customer can author transformations/pages/analysis/model/log rule through governed definitions.</x:t>
  </x:si>
  <x:si>
    <x:t xml:space="preserve">T-032..T-040; T-089/T-090</x:t>
  </x:si>
  <x:si>
    <x:t xml:space="preserve">Golden Gate + reconstructable SQL + role mapping + final service seam.</x:t>
  </x:si>
  <x:si>
    <x:t xml:space="preserve">M1 largely done.</x:t>
  </x:si>
  <x:si>
    <x:t xml:space="preserve">Widget/Page authoring</x:t>
  </x:si>
  <x:si>
    <x:t xml:space="preserve">Create page; add/edit widget through shared shell; save and persist.</x:t>
  </x:si>
  <x:si>
    <x:t xml:space="preserve">Target is frozen visible contract, not broad competitor parity.</x:t>
  </x:si>
  <x:si>
    <x:t xml:space="preserve">Fully generic page/widget authoring; no prebuilt customer dashboards required.</x:t>
  </x:si>
  <x:si>
    <x:t xml:space="preserve">Definitions/versioning/permissions/licence govern authoring.</x:t>
  </x:si>
  <x:si>
    <x:t xml:space="preserve">T-038/T-041..T-052; M2a/M2b convergence</x:t>
  </x:si>
  <x:si>
    <x:t xml:space="preserve">User-created page/widget survives reload and contract remains unchanged after M2 migration.</x:t>
  </x:si>
  <x:si>
    <x:t xml:space="preserve">Strong M1 foundation already exists.</x:t>
  </x:si>
  <x:si>
    <x:t xml:space="preserve">Jobs / scheduler</x:t>
  </x:si>
  <x:si>
    <x:t xml:space="preserve">Show honest job monitoring/configuration and analysis-job target/version semantics needed by tutorial.</x:t>
  </x:si>
  <x:si>
    <x:t xml:space="preserve">Do not make live SRC→staging→plant bulk execution an Aug-20 gate merely for show. If demonstrated, it must truly run.</x:t>
  </x:si>
  <x:si>
    <x:t xml:space="preserve">Real import/projection/analysis/model jobs; bounded scheduler, delta propagation, concurrency and recovery.</x:t>
  </x:si>
  <x:si>
    <x:t xml:space="preserve">Capacity and concurrency are benchmarked, not guessed.</x:t>
  </x:si>
  <x:si>
    <x:t xml:space="preserve">T-056/T-064/T-065; M2a-P3; T-155/T-159</x:t>
  </x:si>
  <x:si>
    <x:t xml:space="preserve">M1 tutorial job works honestly. M2 runs real pipeline from empty staging/plant.</x:t>
  </x:si>
  <x:si>
    <x:t xml:space="preserve">'Hundreds at once' only after measured certification.</x:t>
  </x:si>
  <x:si>
    <x:t xml:space="preserve">Showcase dashboards</x:t>
  </x:si>
  <x:si>
    <x:t xml:space="preserve">Prepared dashboards/pages full of real computed/displayable presentation data.</x:t>
  </x:si>
  <x:si>
    <x:t xml:space="preserve">100% of the chosen showcase set by M1 freeze.</x:t>
  </x:si>
  <x:si>
    <x:t xml:space="preserve">No customer-specific premade dashboards in clean customer install unless shipped as optional templates.</x:t>
  </x:si>
  <x:si>
    <x:t xml:space="preserve">Users author their own pages.</x:t>
  </x:si>
  <x:si>
    <x:t xml:space="preserve">M1-P3/M1-P5</x:t>
  </x:si>
  <x:si>
    <x:t xml:space="preserve">All selected presentation pages green; M2 empty customer workspace proof.</x:t>
  </x:si>
  <x:si>
    <x:t xml:space="preserve">Correct two-track separation.</x:t>
  </x:si>
  <x:si>
    <x:t xml:space="preserve">Configuration pages</x:t>
  </x:si>
  <x:si>
    <x:t xml:space="preserve">Only pages needed by the presentation journey must be complete and honest by 20-Aug.</x:t>
  </x:si>
  <x:si>
    <x:t xml:space="preserve">Do not add fake admin/config pages just to reach a route count.</x:t>
  </x:si>
  <x:si>
    <x:t xml:space="preserve">All target config/admin pages must exist and be functionally enforced before product release.</x:t>
  </x:si>
  <x:si>
    <x:t xml:space="preserve">Backend/DB authority must match UI visibility.</x:t>
  </x:si>
  <x:si>
    <x:t xml:space="preserve">T-053..T-068; T-119..T-122; T-196..T-200</x:t>
  </x:si>
  <x:si>
    <x:t xml:space="preserve">M1 presented routes green; M2 exact route inventory + endpoint/RLS enforcement.</x:t>
  </x:si>
  <x:si>
    <x:t xml:space="preserve">User concept narrowed for M1 deadline.</x:t>
  </x:si>
  <x:si>
    <x:t xml:space="preserve">Admin / RBAC / licence</x:t>
  </x:si>
  <x:si>
    <x:t xml:space="preserve">Presentation may show existing real surfaces; non-required admin pages are not M1 blockers.</x:t>
  </x:si>
  <x:si>
    <x:t xml:space="preserve">Frontend-only authority is unacceptable if the page implies control.</x:t>
  </x:si>
  <x:si>
    <x:t xml:space="preserve">Users/roles/licence/quota/settings/logs require server-side enforcement; hidden URL must still refuse.</x:t>
  </x:si>
  <x:si>
    <x:t xml:space="preserve">Signed licence; RLS + endpoint + handler + UI + contract-test layers.</x:t>
  </x:si>
  <x:si>
    <x:t xml:space="preserve">M2a-P4; T-196..T-200</x:t>
  </x:si>
  <x:si>
    <x:t xml:space="preserve">Direct URL/API bypass attempts fail; downgrade/expiry keeps data read-only, never deletes it.</x:t>
  </x:si>
  <x:si>
    <x:t xml:space="preserve">Critical correction to user concept.</x:t>
  </x:si>
  <x:si>
    <x:t xml:space="preserve">AI/ML proof of concept</x:t>
  </x:si>
  <x:si>
    <x:t xml:space="preserve">Use real computations already available; 3–4 demonstrable capabilities are enough if they do not fake outputs.</x:t>
  </x:si>
  <x:si>
    <x:t xml:space="preserve">Results may be exploratory, but must be truthful/grounded. Do not wire isolated kernels merely to hit a count.</x:t>
  </x:si>
  <x:si>
    <x:t xml:space="preserve">Productionize the seven intelligence/engine families plus required orchestration, persistence and serving components.</x:t>
  </x:si>
  <x:si>
    <x:t xml:space="preserve">The 18-row list is an intelligence-platform component list, NOT 18 ML models.</x:t>
  </x:si>
  <x:si>
    <x:t xml:space="preserve">T-025 + existing M1 engine; T-168..T-182 done foundations; T-183..T-193 integration</x:t>
  </x:si>
  <x:si>
    <x:t xml:space="preserve">M1: real computation → governed result → chart. M2: production manifest/snapshot/registry/cutover.</x:t>
  </x:si>
  <x:si>
    <x:t xml:space="preserve">Major terminology/scope correction.</x:t>
  </x:si>
  <x:si>
    <x:t xml:space="preserve">Assistant / in-house expert</x:t>
  </x:si>
  <x:si>
    <x:t xml:space="preserve">Meaningful grounded answers from permitted presentation evidence; honest refusal is a success.</x:t>
  </x:si>
  <x:si>
    <x:t xml:space="preserve">'Not accurate/precise is okay' is rejected. Unsupported numbers/claims must refuse.</x:t>
  </x:si>
  <x:si>
    <x:t xml:space="preserve">Permission-first retrieval + deterministic planner/verifier + serving runtime + canonical evidence.</x:t>
  </x:si>
  <x:si>
    <x:t xml:space="preserve">Answer only supported intents/evidence; never promise 'any question'.</x:t>
  </x:si>
  <x:si>
    <x:t xml:space="preserve">T-071..T-076; T-138/T-180/T-181</x:t>
  </x:si>
  <x:si>
    <x:t xml:space="preserve">Citations/evidence resolve; fabricated numeric claims rejected; unsupported questions refuse.</x:t>
  </x:si>
  <x:si>
    <x:t xml:space="preserve">Current M1 assistant foundation is strong.</x:t>
  </x:si>
  <x:si>
    <x:t xml:space="preserve">Presentation freeze strategy</x:t>
  </x:si>
  <x:si>
    <x:t xml:space="preserve">Freeze a reproducible Presentation RC.</x:t>
  </x:si>
  <x:si>
    <x:t xml:space="preserve">Use immutable release tag/artifact + presentation profile/database. No long-lived environment/demo code branch.</x:t>
  </x:si>
  <x:si>
    <x:t xml:space="preserve">Main remains the only evolving product line; short-lived feature branches only.</x:t>
  </x:si>
  <x:si>
    <x:t xml:space="preserve">Promotion moves identical signed artifact across environments.</x:t>
  </x:si>
  <x:si>
    <x:t xml:space="preserve">T-003/T-080/T-082/T-083</x:t>
  </x:si>
  <x:si>
    <x:t xml:space="preserve">Rebuild Presentation RC from source + tag and run twice clean.</x:t>
  </x:si>
  <x:si>
    <x:t xml:space="preserve">Direct conflict with 'long-lived Presentation branch' idea.</x:t>
  </x:si>
  <x:si>
    <x:t xml:space="preserve">Customer installation</x:t>
  </x:si>
  <x:si>
    <x:t xml:space="preserve">Not M1.</x:t>
  </x:si>
  <x:si>
    <x:t xml:space="preserve">30-Sep target should be treated as a controlled Customer Pilot RC unless production/site gates also pass.</x:t>
  </x:si>
  <x:si>
    <x:t xml:space="preserve">Full GA/second-customer repeatability remains M3 certification work.</x:t>
  </x:si>
  <x:si>
    <x:t xml:space="preserve">M2a/M2b + applicable M3 gates</x:t>
  </x:si>
  <x:si>
    <x:t xml:space="preserve">Fresh install, empty plant, real source path, signed licence, smoke/E2E, rollback/restore evidence.</x:t>
  </x:si>
  <x:si>
    <x:t xml:space="preserve">Full enterprise scope by 30-Sep is schedule-red at current backlog.</x:t>
  </x:si>
  <x:si>
    <x:t xml:space="preserve">v2.10.3 — Concept / Architecture Rulings</x:t>
  </x:si>
  <x:si>
    <x:t xml:space="preserve">ID</x:t>
  </x:si>
  <x:si>
    <x:t xml:space="preserve">User Concept</x:t>
  </x:si>
  <x:si>
    <x:t xml:space="preserve">Verdict</x:t>
  </x:si>
  <x:si>
    <x:t xml:space="preserve">Authoritative Ruling</x:t>
  </x:si>
  <x:si>
    <x:t xml:space="preserve">Backlog Impact</x:t>
  </x:si>
  <x:si>
    <x:t xml:space="preserve">C-01</x:t>
  </x:si>
  <x:si>
    <x:t xml:space="preserve">Two tracks: Presentation then real customer product</x:t>
  </x:si>
  <x:si>
    <x:t xml:space="preserve">ACCEPT</x:t>
  </x:si>
  <x:si>
    <x:t xml:space="preserve">Keep the two-track product intent, but Track 1 is a controlled prepared-data profile of the same product contract; Track 2 converges storage/runtime without moving the visible contract.</x:t>
  </x:si>
  <x:si>
    <x:t xml:space="preserve">Milestone definitions clarified; Track columns added.</x:t>
  </x:si>
  <x:si>
    <x:t xml:space="preserve">Chapter 3 §4.5.2a</x:t>
  </x:si>
  <x:si>
    <x:t xml:space="preserve">C-02</x:t>
  </x:si>
  <x:si>
    <x:t xml:space="preserve">Long-lived Presentation branch</x:t>
  </x:si>
  <x:si>
    <x:t xml:space="preserve">REJECT</x:t>
  </x:si>
  <x:si>
    <x:t xml:space="preserve">T-003/T-080/T-082/T-083 release-freeze wording.</x:t>
  </x:si>
  <x:si>
    <x:t xml:space="preserve">Chapter 6 §6.1.3.2</x:t>
  </x:si>
  <x:si>
    <x:t xml:space="preserve">C-03</x:t>
  </x:si>
  <x:si>
    <x:t xml:space="preserve">ppiq_presentation.SRC_XXX as emulated product source layer</x:t>
  </x:si>
  <x:si>
    <x:t xml:space="preserve">REJECT / REFRAME</x:t>
  </x:si>
  <x:si>
    <x:t xml:space="preserve">src_* is donor state, not product staging. Connection-test emulators live outside the product; dump_store is transitional M1 staging.</x:t>
  </x:si>
  <x:si>
    <x:t xml:space="preserve">M1 source/staging contract clarified.</x:t>
  </x:si>
  <x:si>
    <x:t xml:space="preserve">Chapter 3 §4.5.2a rule 4</x:t>
  </x:si>
  <x:si>
    <x:t xml:space="preserve">C-04</x:t>
  </x:si>
  <x:si>
    <x:t xml:space="preserve">Prefill canonical operational data in Presentation</x:t>
  </x:si>
  <x:si>
    <x:t xml:space="preserve">Allowed if emitted deterministically from Fleet v2.</x:t>
  </x:si>
  <x:si>
    <x:t xml:space="preserve">No scope change; T-024 already closed.</x:t>
  </x:si>
  <x:si>
    <x:t xml:space="preserve">Chapter 3 §4.5.2a rule 1</x:t>
  </x:si>
  <x:si>
    <x:t xml:space="preserve">Accepted</x:t>
  </x:si>
  <x:si>
    <x:t xml:space="preserve">C-05</x:t>
  </x:si>
  <x:si>
    <x:t xml:space="preserve">Prefill analytical answer tables in Presentation</x:t>
  </x:si>
  <x:si>
    <x:t xml:space="preserve">Analytical rows must be computed by real engines from canonical operational data; authored answers are forbidden.</x:t>
  </x:si>
  <x:si>
    <x:t xml:space="preserve">T-025 remains authority; concept sheet corrected.</x:t>
  </x:si>
  <x:si>
    <x:t xml:space="preserve">Chapter 3 §4.5.2a rule 2</x:t>
  </x:si>
  <x:si>
    <x:t xml:space="preserve">C-06</x:t>
  </x:si>
  <x:si>
    <x:t xml:space="preserve">Live bulk import/projection mandatory for Presentation</x:t>
  </x:si>
  <x:si>
    <x:t xml:space="preserve">DEFER FROM RELEASE GATE</x:t>
  </x:si>
  <x:si>
    <x:t xml:space="preserve">M1 may show prepared registration/import state. Live connection + Canvas authoring are real; full external pipeline returns in M2a.</x:t>
  </x:si>
  <x:si>
    <x:t xml:space="preserve">T-056 validation narrowed; T-077 journey wording governed by prepared-data rule.</x:t>
  </x:si>
  <x:si>
    <x:t xml:space="preserve">Chapter 3 §4.5.2a rule 3</x:t>
  </x:si>
  <x:si>
    <x:t xml:space="preserve">C-07</x:t>
  </x:si>
  <x:si>
    <x:t xml:space="preserve">95% / 100% compared with Qlik/Power BI/Tableau</x:t>
  </x:si>
  <x:si>
    <x:t xml:space="preserve">REPLACE METRIC</x:t>
  </x:si>
  <x:si>
    <x:t xml:space="preserve">Use completion of frozen PPIQ enterprise authoring contract, not competitor feature-count parity.</x:t>
  </x:si>
  <x:si>
    <x:t xml:space="preserve">Release criteria sheets use PPIQ contract language.</x:t>
  </x:si>
  <x:si>
    <x:t xml:space="preserve">Product Contract / backlog</x:t>
  </x:si>
  <x:si>
    <x:t xml:space="preserve">C-08</x:t>
  </x:si>
  <x:si>
    <x:t xml:space="preserve">M1 all Admin pages 100% frontend without backend</x:t>
  </x:si>
  <x:si>
    <x:t xml:space="preserve">NOT M1 GATE</x:t>
  </x:si>
  <x:si>
    <x:t xml:space="preserve">Only presented routes must be complete/honest. Do not build fake control pages for optics.</x:t>
  </x:si>
  <x:si>
    <x:t xml:space="preserve">Keep admin completion in M2a; no extra M1 scope added.</x:t>
  </x:si>
  <x:si>
    <x:t xml:space="preserve">Chapter 3 presentation rule</x:t>
  </x:si>
  <x:si>
    <x:t xml:space="preserve">C-09</x:t>
  </x:si>
  <x:si>
    <x:t xml:space="preserve">M2 Admin frontend can exist without backend functionality</x:t>
  </x:si>
  <x:si>
    <x:t xml:space="preserve">Customer release requires DB RLS + endpoint entitlement/role + handler state + UI + contract test.</x:t>
  </x:si>
  <x:si>
    <x:t xml:space="preserve">M2a-P4/T-196..T-200 remain functional release work.</x:t>
  </x:si>
  <x:si>
    <x:t xml:space="preserve">Chapter 6 §6.3.2.3</x:t>
  </x:si>
  <x:si>
    <x:t xml:space="preserve">C-10</x:t>
  </x:si>
  <x:si>
    <x:t xml:space="preserve">Monthly licence remotely controlled</x:t>
  </x:si>
  <x:si>
    <x:t xml:space="preserve">PARTIAL</x:t>
  </x:si>
  <x:si>
    <x:t xml:space="preserve">Signed offline-verifiable licence is canonical; remote revocation may exist where connected but cannot be mandatory phone-home because air-gapped must work.</x:t>
  </x:si>
  <x:si>
    <x:t xml:space="preserve">No new task; acceptance wording clarified.</x:t>
  </x:si>
  <x:si>
    <x:t xml:space="preserve">Chapter 6 §6.3.3</x:t>
  </x:si>
  <x:si>
    <x:t xml:space="preserve">C-11</x:t>
  </x:si>
  <x:si>
    <x:t xml:space="preserve">Hundreds of jobs concurrently as a fixed target</x:t>
  </x:si>
  <x:si>
    <x:t xml:space="preserve">MEASURE, DON'T GUESS</x:t>
  </x:si>
  <x:si>
    <x:t xml:space="preserve">Concurrency/capacity values come from B-01/B-02 and C1–C4 certification on target hardware/data.</x:t>
  </x:si>
  <x:si>
    <x:t xml:space="preserve">Capacity claims gated by T-155/T-159 evidence.</x:t>
  </x:si>
  <x:si>
    <x:t xml:space="preserve">Layer B benchmarks + Chapter 6</x:t>
  </x:si>
  <x:si>
    <x:t xml:space="preserve">C-12</x:t>
  </x:si>
  <x:si>
    <x:t xml:space="preserve">18 ML models</x:t>
  </x:si>
  <x:si>
    <x:t xml:space="preserve">RENAME / RESCOPE</x:t>
  </x:si>
  <x:si>
    <x:t xml:space="preserve">There are seven intelligence/engine families MF-01..MF-07. The 18-row inventory mixes models, statistical engines, Assistant, machinery, benchmark harness and cutover.</x:t>
  </x:si>
  <x:si>
    <x:t xml:space="preserve">AI/ML sheet and concept contract terminology corrected.</x:t>
  </x:si>
  <x:si>
    <x:t xml:space="preserve">Final Synchronisation Ledger + Layer B Design Pack</x:t>
  </x:si>
  <x:si>
    <x:t xml:space="preserve">C-13</x:t>
  </x:si>
  <x:si>
    <x:t xml:space="preserve">M1 3–4 model POC; accuracy unimportant</x:t>
  </x:si>
  <x:si>
    <x:t xml:space="preserve">ACCEPT WITH TRUTH RULE</x:t>
  </x:si>
  <x:si>
    <x:t xml:space="preserve">A small real POC is fine; output quality need not be production-grade, but outputs cannot be fabricated or knowingly inaccurate. Honest refusal is valid.</x:t>
  </x:si>
  <x:si>
    <x:t xml:space="preserve">Use existing real engine computation; do not force production cutover solely for a count.</x:t>
  </x:si>
  <x:si>
    <x:t xml:space="preserve">Chapter 3/4 engine governance</x:t>
  </x:si>
  <x:si>
    <x:t xml:space="preserve">C-14</x:t>
  </x:si>
  <x:si>
    <x:t xml:space="preserve">M1 chatbot meaningful even if imprecise/inaccurate</x:t>
  </x:si>
  <x:si>
    <x:t xml:space="preserve">REJECT INACCURACY</x:t>
  </x:si>
  <x:si>
    <x:t xml:space="preserve">Grounded contextual answer is required; unsupported precision refuses. 'Meaningful but inaccurate' would undermine product trust.</x:t>
  </x:si>
  <x:si>
    <x:t xml:space="preserve">T-074/T-076 acceptance remains strict.</x:t>
  </x:si>
  <x:si>
    <x:t xml:space="preserve">Assistant grounding contract</x:t>
  </x:si>
  <x:si>
    <x:t xml:space="preserve">C-15</x:t>
  </x:si>
  <x:si>
    <x:t xml:space="preserve">M2 chatbot answers any question</x:t>
  </x:si>
  <x:si>
    <x:t xml:space="preserve">REJECT ABSOLUTE</x:t>
  </x:si>
  <x:si>
    <x:t xml:space="preserve">In-house expert means broad supported plant questions through governed tools/evidence, with permission and refusal boundaries; never literally any question.</x:t>
  </x:si>
  <x:si>
    <x:t xml:space="preserve">T-138 quality/cutover gate remains bounded.</x:t>
  </x:si>
  <x:si>
    <x:t xml:space="preserve">Layer B Assistant + Q gates</x:t>
  </x:si>
  <x:si>
    <x:t xml:space="preserve">C-16</x:t>
  </x:si>
  <x:si>
    <x:t xml:space="preserve">30-Sep = fully production-certified first customer release</x:t>
  </x:si>
  <x:si>
    <x:t xml:space="preserve">HIGH-RISK / SPLIT</x:t>
  </x:si>
  <x:si>
    <x:t xml:space="preserve">Treat 30-Sep as Customer Pilot RC unless the applicable M3 site/security/DR/capacity/acceptance gates are pulled forward and pass. M3 remains the GA/second-customer repeatability gate.</x:t>
  </x:si>
  <x:si>
    <x:t xml:space="preserve">Delivery Feasibility sheet added; milestone definitions clarified.</x:t>
  </x:si>
  <x:si>
    <x:t xml:space="preserve">Backlog M3 + Chapter 6 deployment</x:t>
  </x:si>
  <x:si>
    <x:t xml:space="preserve">PPIQ v2.10.4 — Three-AI-Agent Operating Model</x:t>
  </x:si>
  <x:si>
    <x:t xml:space="preserve">Agent</x:t>
  </x:si>
  <x:si>
    <x:t xml:space="preserve">Primary Role</x:t>
  </x:si>
  <x:si>
    <x:t xml:space="preserve">Current M1 Queue</x:t>
  </x:si>
  <x:si>
    <x:t xml:space="preserve">Future Track</x:t>
  </x:si>
  <x:si>
    <x:t xml:space="preserve">Owned Areas</x:t>
  </x:si>
  <x:si>
    <x:t xml:space="preserve">Forbidden / Non-Overlap Areas</x:t>
  </x:si>
  <x:si>
    <x:t xml:space="preserve">Release / Handoff Rule</x:t>
  </x:si>
  <x:si>
    <x:t xml:space="preserve">Planning Model</x:t>
  </x:si>
  <x:si>
    <x:t xml:space="preserve">Core Platform + Data/Configuration Vertical</x:t>
  </x:si>
  <x:si>
    <x:t xml:space="preserve">T-057→T-058→T-060; T-061→T-062; T-054→T-056; T-063</x:t>
  </x:si>
  <x:si>
    <x:t xml:space="preserve">M2a canonical DB/schema/definitions/relationships/projection/security/API/infra; M2b T-150; M3 platform/site</x:t>
  </x:si>
  <x:si>
    <x:t xml:space="preserve">Connections/Datasets/Import, Relationships, Mapping Health, Genealogy; canonical DB/backend/infra</x:t>
  </x:si>
  <x:si>
    <x:t xml:space="preserve">No DashboardGridLayout/AnalysisToolbox/Findings/Assistant. No Worker-2 E2E. No Worker-3 ML runtime.</x:t>
  </x:si>
  <x:si>
    <x:t xml:space="preserve">Commit producer contract before W2/W3 consumes it. After M1 freeze, drive M2a canonical/security critical path first.</x:t>
  </x:si>
  <x:si>
    <x:t xml:space="preserve">Guarded planning: ~6–14x compression depending DB/runtime integration.</x:t>
  </x:si>
  <x:si>
    <x:t xml:space="preserve">Presentation BI / UX Integration + Release Certification</x:t>
  </x:si>
  <x:si>
    <x:t xml:space="preserve">T-049→T-053; T-059; T-068→T-065→T-066; T-077→T-083</x:t>
  </x:si>
  <x:si>
    <x:t xml:space="preserve">M2a customer-facing canonical UI/admin + T-127 continuity; M2b route convergence; M3 UX/docs/website</x:t>
  </x:si>
  <x:si>
    <x:t xml:space="preserve">Dashboard/workspace/shared shell/navigation, Analysis Toolbox/readiness, E2E/visual/release certification</x:t>
  </x:si>
  <x:si>
    <x:t xml:space="preserve">No W1-owned config verticals while locked. No W3 Job/Findings/Assistant or intelligence surfaces after hand-off.</x:t>
  </x:si>
  <x:si>
    <x:t xml:space="preserve">Presentation integrator. Once defect layer is proven, fix/close; do not create diagnostic-only loops.</x:t>
  </x:si>
  <x:si>
    <x:t xml:space="preserve">Guarded planning: ~4–10x compression; larger P80 buffer for E2E/runtime debugging.</x:t>
  </x:si>
  <x:si>
    <x:t xml:space="preserve">Engine / AI / ML + Stable Semantic Booster</x:t>
  </x:si>
  <x:si>
    <x:t xml:space="preserve">T-064 now; T-067 after T-050/T-065/T-066; T-076 after M1-P4 freeze</x:t>
  </x:si>
  <x:si>
    <x:t xml:space="preserve">M2a T-106/T-107/T-109; then M2b intelligence/Assistant production integration; M3 AI/ML calibration</x:t>
  </x:si>
  <x:si>
    <x:t xml:space="preserve">Jobs target semantics, Findings evidence, Assistant contract; ML/engine/runtime/intelligence persistence and cutovers</x:t>
  </x:si>
  <x:si>
    <x:t xml:space="preserve">No fake final schema in M1. No W1/W2 live files. No intelligence persistence before canonical + T-112/T-114 security hand-off.</x:t>
  </x:si>
  <x:si>
    <x:t xml:space="preserve">If prerequisite is unstable, STOP. If stable, own end-to-end and commit before consumer starts.</x:t>
  </x:si>
  <x:si>
    <x:t xml:space="preserve">Observed isolated throughput may exceed 20x; guarded planning uses ~8–18x by class.</x:t>
  </x:si>
  <x:si>
    <x:t xml:space="preserve">NON-INTERFERENCE / NO-REWORK LAWS</x:t>
  </x:si>
  <x:si>
    <x:t xml:space="preserve">1</x:t>
  </x:si>
  <x:si>
    <x:t xml:space="preserve">One task = one exclusive owner until commit.</x:t>
  </x:si>
  <x:si>
    <x:t xml:space="preserve">No shared implementation task between agents.</x:t>
  </x:si>
  <x:si>
    <x:t xml:space="preserve">2</x:t>
  </x:si>
  <x:si>
    <x:t xml:space="preserve">File/subsystem lock is stronger than a module label.</x:t>
  </x:si>
  <x:si>
    <x:t xml:space="preserve">If two tasks touch the same page/context/migration authority, keep one owner or run sequentially.</x:t>
  </x:si>
  <x:si>
    <x:t xml:space="preserve">3</x:t>
  </x:si>
  <x:si>
    <x:t xml:space="preserve">No work ahead of unstable prerequisites.</x:t>
  </x:si>
  <x:si>
    <x:t xml:space="preserve">Start only after producer contract/schema is committed and frozen for the consumer.</x:t>
  </x:si>
  <x:si>
    <x:t xml:space="preserve">4</x:t>
  </x:si>
  <x:si>
    <x:t xml:space="preserve">Commit is the hand-off boundary.</x:t>
  </x:si>
  <x:si>
    <x:t xml:space="preserve">Never consume another agent's uncommitted worktree.</x:t>
  </x:si>
  <x:si>
    <x:t xml:space="preserve">5</x:t>
  </x:si>
  <x:si>
    <x:t xml:space="preserve">Tests never certify a moving target.</x:t>
  </x:si>
  <x:si>
    <x:t xml:space="preserve">E2E/visual certification starts only after the tested visible contract is frozen.</x:t>
  </x:si>
  <x:si>
    <x:t xml:space="preserve">6</x:t>
  </x:si>
  <x:si>
    <x:t xml:space="preserve">Shared-worktree destructive commands are forbidden.</x:t>
  </x:si>
  <x:si>
    <x:t xml:space="preserve">No git add ., git add -A, git clean -fd, reset --hard, restore . during parallel work.</x:t>
  </x:si>
  <x:si>
    <x:t xml:space="preserve">7</x:t>
  </x:si>
  <x:si>
    <x:t xml:space="preserve">Traditional Hours remain scope-complexity points.</x:t>
  </x:si>
  <x:si>
    <x:t xml:space="preserve">AI P50/P80 columns estimate agent-active wall-clock; acceptance/runtime/site gates still apply.</x:t>
  </x:si>
  <x:si>
    <x:t xml:space="preserve">AI SPEED MODEL — planning calibration, not a promise</x:t>
  </x:si>
  <x:si>
    <x:t xml:space="preserve">Execution Class</x:t>
  </x:si>
  <x:si>
    <x:t xml:space="preserve">Typical Compression</x:t>
  </x:si>
  <x:si>
    <x:t xml:space="preserve">Reason</x:t>
  </x:si>
  <x:si>
    <x:t xml:space="preserve">Examples</x:t>
  </x:si>
  <x:si>
    <x:t xml:space="preserve">~18x</x:t>
  </x:si>
  <x:si>
    <x:t xml:space="preserve">Highly compressible once scope is frozen.</x:t>
  </x:si>
  <x:si>
    <x:t xml:space="preserve">Docs, matrices, question packs</x:t>
  </x:si>
  <x:si>
    <x:t xml:space="preserve">~10x</x:t>
  </x:si>
  <x:si>
    <x:t xml:space="preserve">Fast code/test generation; moderate integration risk.</x:t>
  </x:si>
  <x:si>
    <x:t xml:space="preserve">Resolvers, services, APIs</x:t>
  </x:si>
  <x:si>
    <x:t xml:space="preserve">~9x</x:t>
  </x:si>
  <x:si>
    <x:t xml:space="preserve">Fast implementation; browser/runtime proof still real.</x:t>
  </x:si>
  <x:si>
    <x:t xml:space="preserve">Pages, authoring surfaces</x:t>
  </x:si>
  <x:si>
    <x:t xml:space="preserve">~8x</x:t>
  </x:si>
  <x:si>
    <x:t xml:space="preserve">DDL/EF/runtime parity requires real database proof.</x:t>
  </x:si>
  <x:si>
    <x:t xml:space="preserve">Schema authority, migration convergence</x:t>
  </x:si>
  <x:si>
    <x:t xml:space="preserve">~6x</x:t>
  </x:si>
  <x:si>
    <x:t xml:space="preserve">Containers/processes/ports consume wall-clock.</x:t>
  </x:si>
  <x:si>
    <x:t xml:space="preserve">Docker, install, backup, monitoring</x:t>
  </x:si>
  <x:si>
    <x:t xml:space="preserve">~5x</x:t>
  </x:si>
  <x:si>
    <x:t xml:space="preserve">Runtime state and diagnosis dominate.</x:t>
  </x:si>
  <x:si>
    <x:t xml:space="preserve">Playwright, cross-layer journeys</x:t>
  </x:si>
  <x:si>
    <x:t xml:space="preserve">~3x or less</x:t>
  </x:si>
  <x:si>
    <x:t xml:space="preserve">Customer/hardware waiting cannot be compressed by generation.</x:t>
  </x:si>
  <x:si>
    <x:t xml:space="preserve">M3 site, HA/DR, SSO, production acceptance</x:t>
  </x:si>
  <x:si>
    <x:t xml:space="preserve">Task ID</x:t>
  </x:si>
  <x:si>
    <x:t xml:space="preserve">Milestone</x:t>
  </x:si>
  <x:si>
    <x:t xml:space="preserve">Traditional h</x:t>
  </x:si>
  <x:si>
    <x:t xml:space="preserve">Agent Queue #</x:t>
  </x:si>
  <x:si>
    <x:t xml:space="preserve">Lane</x:t>
  </x:si>
  <x:si>
    <x:t xml:space="preserve">Speed x</x:t>
  </x:si>
  <x:si>
    <x:t xml:space="preserve">P50 Agent h</x:t>
  </x:si>
  <x:si>
    <x:t xml:space="preserve">P80 Agent h</x:t>
  </x:si>
  <x:si>
    <x:t xml:space="preserve">Handoff / No-Rework Rule</x:t>
  </x:si>
  <x:si>
    <x:t xml:space="preserve">Presentation Phenomena and Widget Coverage Matrix, 
part 1: inventory and the...</x:t>
  </x:si>
  <x:si>
    <x:t xml:space="preserve">Run the canonical semantic path end to end through the M1 compatibility bound...</x:t>
  </x:si>
  <x:si>
    <x:t xml:space="preserve">SQL mode: safe editor, run test, returned columns and the reconstructability ...</x:t>
  </x:si>
  <x:si>
    <x:t xml:space="preserve">T-048 + T-057 + T-058; cross-source associative state must resolve through th...</x:t>
  </x:si>
  <x:si>
    <x:t xml:space="preserve">T-057 + T-058; C6 reads the relationship service/API, not compatibility table...</x:t>
  </x:si>
  <x:si>
    <x:t xml:space="preserve">Current M1 projection/mapping compatibility path + stable API seam. Canonical...</x:t>
  </x:si>
  <x:si>
    <x:t xml:space="preserve">Commit → W1 consumes in T-062; contract remains stable through M2a convergence.</x:t>
  </x:si>
  <x:si>
    <x:t xml:space="preserve">T-064 M1 functional target/version contract + T-068 registry-driven outcome/g...</x:t>
  </x:si>
  <x:si>
    <x:t xml:space="preserve">T-065 final D3 Analysis Toolbox surface; M1 compatibility readiness evaluator...</x:t>
  </x:si>
  <x:si>
    <x:t xml:space="preserve">Commit → release W3 to T-067.</x:t>
  </x:si>
  <x:si>
    <x:t xml:space="preserve">WAIT for T-053..T-068 frozen/closed; then certify Assistant against frozen M1 contract.</x:t>
  </x:si>
  <x:si>
    <x:t xml:space="preserve">Commit → W2 starts T-077 golden journey.</x:t>
  </x:si>
  <x:si>
    <x:t xml:space="preserve">T-053..T-076 complete; journey runs only after final M1 visible surfaces/cont...</x:t>
  </x:si>
  <x:si>
    <x:t xml:space="preserve">T-077 green + final M1 runtime/environment available; inject failures only af...</x:t>
  </x:si>
  <x:si>
    <x:t xml:space="preserve">T-076..T-079 complete; capture continuity only from the final M1 presentation...</x:t>
  </x:si>
  <x:si>
    <x:t xml:space="preserve">T-076..T-081 complete; environment preparation validates the frozen presentat...</x:t>
  </x:si>
  <x:si>
    <x:t xml:space="preserve">T-082 clean-start presentation environment green; then rehearse/fallback pack...</x:t>
  </x:si>
  <x:si>
    <x:t xml:space="preserve">API namespace migration, part 1: map the 92 prefixes onto the 27 domains and ...</x:t>
  </x:si>
  <x:si>
    <x:t xml:space="preserve">Container architecture and configuration profiles, including isolated ML runt...</x:t>
  </x:si>
  <x:si>
    <x:t xml:space="preserve">ModelServingRuntime and model-gateway adapter, isolated from the presentation...</x:t>
  </x:si>
  <x:si>
    <x:t xml:space="preserve">Canonical Assistant runtime cutover: planner, retrieval, evidence packing, se...</x:t>
  </x:si>
  <x:si>
    <x:t xml:space="preserve">Production training/index integration: snapshots → ML lanes → registry activa...</x:t>
  </x:si>
  <x:si>
    <x:t xml:space="preserve">Canonical readiness thresholds, governed change history and fail-closed readi...</x:t>
  </x:si>
  <x:si>
    <x:t xml:space="preserve">F9 Log Retention and Archival with dry-run, legal hold and no-delete-on-archi...</x:t>
  </x:si>
  <x:si>
    <x:t xml:space="preserve">Exclusive Lock</x:t>
  </x:si>
  <x:si>
    <x:t xml:space="preserve">Handoff</x:t>
  </x:si>
</x:sst>
</file>

<file path=xl/styles.xml><?xml version="1.0" encoding="utf-8"?>
<x:styleSheet xmlns:x="http://schemas.openxmlformats.org/spreadsheetml/2006/main">
  <x:numFmts count="2">
    <x:numFmt numFmtId="164" formatCode="0.0%"/>
    <x:numFmt numFmtId="165" formatCode="0.0"/>
  </x:numFmts>
  <x:fonts count="27">
    <x:font>
      <x:sz val="11"/>
      <x:color theme="1"/>
      <x:name val="Calibri"/>
    </x:font>
    <x:font>
      <x:sz val="9"/>
      <x:name val="Arial"/>
    </x:font>
    <x:font>
      <x:b/>
      <x:sz val="9"/>
      <x:name val="Arial"/>
    </x:font>
    <x:font>
      <x:b/>
      <x:sz val="10"/>
      <x:name val="Arial"/>
    </x:font>
    <x:font>
      <x:b/>
      <x:sz val="11"/>
      <x:name val="Arial"/>
    </x:font>
    <x:font>
      <x:b/>
      <x:sz val="11"/>
      <x:color theme="1"/>
      <x:name val="Calibri"/>
    </x:font>
    <x:font>
      <x:i/>
      <x:sz val="11"/>
      <x:color rgb="FF1F2937"/>
      <x:name val="Calibri"/>
    </x:font>
    <x:font>
      <x:b/>
      <x:sz val="11"/>
      <x:color rgb="FFFFFFFF"/>
      <x:name val="Calibri"/>
    </x:font>
    <x:font>
      <x:b/>
      <x:sz val="10"/>
      <x:color rgb="FFFFFFFF"/>
      <x:name val="Calibri"/>
    </x:font>
    <x:font>
      <x:b/>
      <x:sz val="10"/>
      <x:color rgb="FFFFFFFF"/>
      <x:name val="Arial"/>
    </x:font>
    <x:font>
      <x:b/>
      <x:sz val="14"/>
      <x:color rgb="FFFFFFFF"/>
      <x:name val="Calibri"/>
    </x:font>
    <x:font>
      <x:b/>
      <x:sz val="11"/>
      <x:color rgb="FF075985"/>
      <x:name val="Calibri"/>
    </x:font>
    <x:font>
      <x:sz val="11"/>
      <x:color rgb="FF7F1D1D"/>
      <x:name val="Calibri"/>
    </x:font>
    <x:font>
      <x:b/>
      <x:sz val="11"/>
      <x:color rgb="FF065F46"/>
      <x:name val="Calibri"/>
    </x:font>
    <x:font>
      <x:sz val="10"/>
      <x:color rgb="FF111827"/>
      <x:name val="Arial"/>
    </x:font>
    <x:font>
      <x:sz val="10"/>
      <x:color rgb="FF111827"/>
      <x:name val="Calibri"/>
    </x:font>
    <x:font>
      <x:b/>
      <x:sz val="10"/>
      <x:color rgb="FF06233F"/>
      <x:name val="Arial"/>
    </x:font>
    <x:font>
      <x:b/>
      <x:sz val="10"/>
      <x:color rgb="FF06233F"/>
      <x:name val="Calibri"/>
    </x:font>
    <x:font>
      <x:b/>
      <x:sz val="10"/>
      <x:color rgb="FF111827"/>
      <x:name val="Calibri"/>
    </x:font>
    <x:font>
      <x:b/>
      <x:sz val="11"/>
      <x:color rgb="FF991B1B"/>
      <x:name val="Calibri"/>
    </x:font>
    <x:font>
      <x:b/>
      <x:sz val="16"/>
      <x:color rgb="FFFFFFFF"/>
      <x:name val="Calibri"/>
    </x:font>
    <x:font>
      <x:b/>
      <x:sz val="12"/>
      <x:color rgb="FFFFFFFF"/>
      <x:name val="Calibri"/>
    </x:font>
    <x:font>
      <x:b/>
      <x:sz val="13"/>
      <x:color rgb="FFFFFFFF"/>
      <x:name val="Calibri"/>
    </x:font>
    <x:font>
      <x:b/>
      <x:sz val="15"/>
      <x:color rgb="FFFFFFFF"/>
      <x:name val="Calibri"/>
    </x:font>
    <x:font>
      <x:b/>
      <x:sz val="13"/>
      <x:color theme="1"/>
      <x:name val="Calibri"/>
    </x:font>
    <x:font>
      <x:b/>
      <x:sz val="11"/>
      <x:color rgb="FF17365D"/>
      <x:name val="Calibri"/>
    </x:font>
    <x:font>
      <x:b/>
      <x:sz val="15"/>
      <x:color rgb="FFFFFFFF"/>
      <x:name val="Arial"/>
    </x:font>
  </x:fonts>
  <x:fills count="40">
    <x:fill>
      <x:patternFill patternType="none"/>
    </x:fill>
    <x:fill>
      <x:patternFill patternType="gray125"/>
    </x:fill>
    <x:fill>
      <x:patternFill patternType="solid">
        <x:fgColor rgb="FF0B1730"/>
      </x:patternFill>
    </x:fill>
    <x:fill>
      <x:patternFill patternType="solid">
        <x:fgColor rgb="FF00D4FF"/>
      </x:patternFill>
    </x:fill>
    <x:fill>
      <x:patternFill patternType="solid">
        <x:fgColor rgb="FF0A84FF"/>
      </x:patternFill>
    </x:fill>
    <x:fill>
      <x:patternFill patternType="solid">
        <x:fgColor rgb="FF2CE6A2"/>
      </x:patternFill>
    </x:fill>
    <x:fill>
      <x:patternFill patternType="solid">
        <x:fgColor rgb="FF8EA7C1"/>
      </x:patternFill>
    </x:fill>
    <x:fill>
      <x:patternFill patternType="solid">
        <x:fgColor rgb="FF92D050"/>
      </x:patternFill>
    </x:fill>
    <x:fill>
      <x:patternFill patternType="solid">
        <x:fgColor rgb="FF0B1F33"/>
      </x:patternFill>
    </x:fill>
    <x:fill>
      <x:patternFill patternType="solid">
        <x:fgColor rgb="FFD9EAF7"/>
      </x:patternFill>
    </x:fill>
    <x:fill>
      <x:patternFill patternType="solid">
        <x:fgColor rgb="FF0B1730"/>
      </x:patternFill>
    </x:fill>
    <x:fill>
      <x:patternFill patternType="solid">
        <x:fgColor rgb="FF13C5E8"/>
      </x:patternFill>
    </x:fill>
    <x:fill>
      <x:patternFill patternType="solid">
        <x:fgColor rgb="FF2483E6"/>
      </x:patternFill>
    </x:fill>
    <x:fill>
      <x:patternFill patternType="solid">
        <x:fgColor rgb="FF34D6A1"/>
      </x:patternFill>
    </x:fill>
    <x:fill>
      <x:patternFill patternType="solid">
        <x:fgColor rgb="FFE0F2FE"/>
      </x:patternFill>
    </x:fill>
    <x:fill>
      <x:patternFill patternType="solid">
        <x:fgColor rgb="FF7F1D1D"/>
      </x:patternFill>
    </x:fill>
    <x:fill>
      <x:patternFill patternType="solid">
        <x:fgColor rgb="FFFEE2E2"/>
      </x:patternFill>
    </x:fill>
    <x:fill>
      <x:patternFill patternType="solid">
        <x:fgColor rgb="FF065F46"/>
      </x:patternFill>
    </x:fill>
    <x:fill>
      <x:patternFill patternType="solid">
        <x:fgColor rgb="FFD1FAE5"/>
      </x:patternFill>
    </x:fill>
    <x:fill>
      <x:patternFill patternType="solid">
        <x:fgColor rgb="FF071A3D"/>
      </x:patternFill>
    </x:fill>
    <x:fill>
      <x:patternFill patternType="solid">
        <x:fgColor rgb="FFF3F7FF"/>
      </x:patternFill>
    </x:fill>
    <x:fill>
      <x:patternFill patternType="solid">
        <x:fgColor rgb="FF0B5FFF"/>
      </x:patternFill>
    </x:fill>
    <x:fill>
      <x:patternFill patternType="solid">
        <x:fgColor rgb="FFDFF4E4"/>
      </x:patternFill>
    </x:fill>
    <x:fill>
      <x:patternFill patternType="solid">
        <x:fgColor rgb="FFFFF1CC"/>
      </x:patternFill>
    </x:fill>
    <x:fill>
      <x:patternFill patternType="solid">
        <x:fgColor rgb="FFFDE2E2"/>
      </x:patternFill>
    </x:fill>
    <x:fill>
      <x:patternFill patternType="solid">
        <x:fgColor rgb="FFEAF2FF"/>
      </x:patternFill>
    </x:fill>
    <x:fill>
      <x:patternFill patternType="solid">
        <x:fgColor rgb="FF1565C0"/>
      </x:patternFill>
    </x:fill>
    <x:fill>
      <x:patternFill patternType="solid">
        <x:fgColor rgb="FF0B3A66"/>
      </x:patternFill>
    </x:fill>
    <x:fill>
      <x:patternFill patternType="solid">
        <x:fgColor rgb="FF1F4E78"/>
      </x:patternFill>
    </x:fill>
    <x:fill>
      <x:patternFill patternType="solid">
        <x:fgColor rgb="FF0F6CBD"/>
      </x:patternFill>
    </x:fill>
    <x:fill>
      <x:patternFill patternType="solid">
        <x:fgColor rgb="FFD9EAF7"/>
      </x:patternFill>
    </x:fill>
    <x:fill>
      <x:patternFill patternType="solid">
        <x:fgColor rgb="FFD9EAD3"/>
      </x:patternFill>
    </x:fill>
    <x:fill>
      <x:patternFill patternType="solid">
        <x:fgColor rgb="FFEADCF8"/>
      </x:patternFill>
    </x:fill>
    <x:fill>
      <x:patternFill patternType="solid">
        <x:fgColor rgb="FFFFFF00"/>
      </x:patternFill>
    </x:fill>
    <x:fill>
      <x:patternFill patternType="solid">
        <x:fgColor rgb="FF92D050"/>
      </x:patternFill>
    </x:fill>
    <x:fill>
      <x:patternFill patternType="solid">
        <x:fgColor rgb="FF17365D"/>
      </x:patternFill>
    </x:fill>
    <x:fill>
      <x:patternFill patternType="solid">
        <x:fgColor rgb="FFD9EAF7"/>
      </x:patternFill>
    </x:fill>
    <x:fill>
      <x:patternFill patternType="solid">
        <x:fgColor rgb="FFEEF4F8"/>
      </x:patternFill>
    </x:fill>
    <x:fill>
      <x:patternFill patternType="solid">
        <x:fgColor rgb="FF1F4E78"/>
      </x:patternFill>
    </x:fill>
    <x:fill>
      <x:patternFill patternType="solid">
        <x:fgColor rgb="FF17365D"/>
      </x:patternFill>
    </x:fill>
  </x:fills>
  <x:borders count="50">
    <x:border/>
    <x:border>
      <x:left style="thin">
        <x:color rgb="FF1D3A63"/>
      </x:left>
      <x:right style="thin">
        <x:color rgb="FF1D3A63"/>
      </x:right>
      <x:top style="thin">
        <x:color rgb="FF1D3A63"/>
      </x:top>
      <x:bottom style="thin">
        <x:color rgb="FF1D3A63"/>
      </x:bottom>
    </x:border>
    <x:border>
      <x:left style="thin">
        <x:color indexed="64"/>
      </x:left>
      <x:right style="thin">
        <x:color indexed="64"/>
      </x:right>
      <x:top style="thin">
        <x:color indexed="64"/>
      </x:top>
      <x:bottom style="thin">
        <x:color indexed="64"/>
      </x:bottom>
    </x:border>
    <x:border>
      <x:left style="thin">
        <x:color rgb="FF294A7A"/>
      </x:left>
      <x:top style="thin">
        <x:color rgb="FF294A7A"/>
      </x:top>
    </x:border>
    <x:border>
      <x:top style="thin">
        <x:color rgb="FF294A7A"/>
      </x:top>
    </x:border>
    <x:border>
      <x:right style="thin">
        <x:color rgb="FF294A7A"/>
      </x:right>
      <x:top style="thin">
        <x:color rgb="FF294A7A"/>
      </x:top>
    </x:border>
    <x:border>
      <x:left style="thin">
        <x:color rgb="FF294A7A"/>
      </x:left>
    </x:border>
    <x:border>
      <x:right style="thin">
        <x:color rgb="FF294A7A"/>
      </x:right>
    </x:border>
    <x:border>
      <x:left style="thin">
        <x:color rgb="FF294A7A"/>
      </x:left>
      <x:bottom style="thin">
        <x:color rgb="FF294A7A"/>
      </x:bottom>
    </x:border>
    <x:border>
      <x:bottom style="thin">
        <x:color rgb="FF294A7A"/>
      </x:bottom>
    </x:border>
    <x:border>
      <x:right style="thin">
        <x:color rgb="FF294A7A"/>
      </x:right>
      <x:bottom style="thin">
        <x:color rgb="FF294A7A"/>
      </x:bottom>
    </x:border>
    <x:border>
      <x:left style="thin">
        <x:color rgb="FF294A7A"/>
      </x:left>
      <x:right style="thin">
        <x:color rgb="FF1D3A63"/>
      </x:right>
      <x:top style="thin">
        <x:color rgb="FF294A7A"/>
      </x:top>
      <x:bottom style="thin">
        <x:color rgb="FF1D3A63"/>
      </x:bottom>
    </x:border>
    <x:border>
      <x:left style="thin">
        <x:color rgb="FF1D3A63"/>
      </x:left>
      <x:right style="thin">
        <x:color rgb="FF1D3A63"/>
      </x:right>
      <x:top style="thin">
        <x:color rgb="FF294A7A"/>
      </x:top>
      <x:bottom style="thin">
        <x:color rgb="FF1D3A63"/>
      </x:bottom>
    </x:border>
    <x:border>
      <x:left style="thin">
        <x:color rgb="FF1D3A63"/>
      </x:left>
      <x:right style="thin">
        <x:color rgb="FF294A7A"/>
      </x:right>
      <x:top style="thin">
        <x:color rgb="FF294A7A"/>
      </x:top>
      <x:bottom style="thin">
        <x:color rgb="FF1D3A63"/>
      </x:bottom>
    </x:border>
    <x:border>
      <x:left style="thin">
        <x:color rgb="FF294A7A"/>
      </x:left>
      <x:right style="thin">
        <x:color rgb="FF1D3A63"/>
      </x:right>
      <x:top style="thin">
        <x:color rgb="FF1D3A63"/>
      </x:top>
      <x:bottom style="thin">
        <x:color rgb="FF1D3A63"/>
      </x:bottom>
    </x:border>
    <x:border>
      <x:left style="thin">
        <x:color rgb="FF1D3A63"/>
      </x:left>
      <x:right style="thin">
        <x:color rgb="FF294A7A"/>
      </x:right>
      <x:top style="thin">
        <x:color rgb="FF1D3A63"/>
      </x:top>
      <x:bottom style="thin">
        <x:color rgb="FF1D3A63"/>
      </x:bottom>
    </x:border>
    <x:border>
      <x:left style="thin">
        <x:color rgb="FF294A7A"/>
      </x:left>
      <x:right style="thin">
        <x:color indexed="64"/>
      </x:right>
      <x:top style="thin">
        <x:color rgb="FF294A7A"/>
      </x:top>
      <x:bottom style="thin">
        <x:color indexed="64"/>
      </x:bottom>
    </x:border>
    <x:border>
      <x:left style="thin">
        <x:color indexed="64"/>
      </x:left>
      <x:right style="thin">
        <x:color rgb="FF294A7A"/>
      </x:right>
      <x:top style="thin">
        <x:color rgb="FF294A7A"/>
      </x:top>
      <x:bottom style="thin">
        <x:color indexed="64"/>
      </x:bottom>
    </x:border>
    <x:border>
      <x:left style="thin">
        <x:color rgb="FF294A7A"/>
      </x:left>
      <x:right style="thin">
        <x:color indexed="64"/>
      </x:right>
      <x:top style="thin">
        <x:color indexed="64"/>
      </x:top>
      <x:bottom style="thin">
        <x:color indexed="64"/>
      </x:bottom>
    </x:border>
    <x:border>
      <x:left style="thin">
        <x:color indexed="64"/>
      </x:left>
      <x:right style="thin">
        <x:color rgb="FF294A7A"/>
      </x:right>
      <x:top style="thin">
        <x:color indexed="64"/>
      </x:top>
      <x:bottom style="thin">
        <x:color indexed="64"/>
      </x:bottom>
    </x:border>
    <x:border>
      <x:left style="thin">
        <x:color rgb="FF294A7A"/>
      </x:left>
      <x:right style="thin">
        <x:color indexed="64"/>
      </x:right>
      <x:top style="thin">
        <x:color indexed="64"/>
      </x:top>
      <x:bottom style="thin">
        <x:color rgb="FF294A7A"/>
      </x:bottom>
    </x:border>
    <x:border>
      <x:left style="thin">
        <x:color indexed="64"/>
      </x:left>
      <x:right style="thin">
        <x:color rgb="FF294A7A"/>
      </x:right>
      <x:top style="thin">
        <x:color indexed="64"/>
      </x:top>
      <x:bottom style="thin">
        <x:color rgb="FF294A7A"/>
      </x:bottom>
    </x:border>
    <x:border>
      <x:left style="thin">
        <x:color rgb="FF294A7A"/>
      </x:left>
      <x:right style="thin">
        <x:color rgb="FF1D3A63"/>
      </x:right>
      <x:top style="thin">
        <x:color rgb="FF1D3A63"/>
      </x:top>
    </x:border>
    <x:border>
      <x:left style="thin">
        <x:color rgb="FF1D3A63"/>
      </x:left>
      <x:right style="thin">
        <x:color rgb="FF1D3A63"/>
      </x:right>
      <x:top style="thin">
        <x:color rgb="FF1D3A63"/>
      </x:top>
    </x:border>
    <x:border>
      <x:left style="thin">
        <x:color rgb="FF1D3A63"/>
      </x:left>
      <x:right style="thin">
        <x:color rgb="FF294A7A"/>
      </x:right>
      <x:top style="thin">
        <x:color rgb="FF1D3A63"/>
      </x:top>
    </x:border>
    <x:border/>
    <x:border>
      <x:left style="thin">
        <x:color rgb="FF1D3A63"/>
      </x:left>
      <x:right style="thin">
        <x:color rgb="FF1D3A63"/>
      </x:right>
      <x:top style="thin">
        <x:color rgb="FF1D3A63"/>
      </x:top>
      <x:bottom style="thin">
        <x:color rgb="FF1D3A63"/>
      </x:bottom>
    </x:border>
    <x:border>
      <x:left style="thin">
        <x:color rgb="FF294A7A"/>
      </x:left>
      <x:top style="thin">
        <x:color rgb="FF294A7A"/>
      </x:top>
    </x:border>
    <x:border>
      <x:top style="thin">
        <x:color rgb="FF294A7A"/>
      </x:top>
    </x:border>
    <x:border>
      <x:right style="thin">
        <x:color rgb="FF294A7A"/>
      </x:right>
      <x:top style="thin">
        <x:color rgb="FF294A7A"/>
      </x:top>
    </x:border>
    <x:border>
      <x:left style="thin">
        <x:color rgb="FF294A7A"/>
      </x:left>
    </x:border>
    <x:border>
      <x:right style="thin">
        <x:color rgb="FF294A7A"/>
      </x:right>
    </x:border>
    <x:border>
      <x:left style="thin">
        <x:color rgb="FF294A7A"/>
      </x:left>
      <x:bottom style="thin">
        <x:color rgb="FF294A7A"/>
      </x:bottom>
    </x:border>
    <x:border>
      <x:bottom style="thin">
        <x:color rgb="FF294A7A"/>
      </x:bottom>
    </x:border>
    <x:border>
      <x:right style="thin">
        <x:color rgb="FF294A7A"/>
      </x:right>
      <x:bottom style="thin">
        <x:color rgb="FF294A7A"/>
      </x:bottom>
    </x:border>
    <x:border>
      <x:left style="thin">
        <x:color rgb="FF1D3A63"/>
      </x:left>
      <x:right style="thin">
        <x:color rgb="FF294A7A"/>
      </x:right>
      <x:top style="thin">
        <x:color rgb="FF1D3A63"/>
      </x:top>
      <x:bottom style="thin">
        <x:color rgb="FF1D3A63"/>
      </x:bottom>
    </x:border>
    <x:border>
      <x:left style="thin">
        <x:color rgb="FF294A7A"/>
      </x:left>
      <x:right style="thin">
        <x:color indexed="64"/>
      </x:right>
      <x:top style="thin">
        <x:color rgb="FF294A7A"/>
      </x:top>
      <x:bottom style="thin">
        <x:color indexed="64"/>
      </x:bottom>
    </x:border>
    <x:border>
      <x:left style="thin">
        <x:color indexed="64"/>
      </x:left>
      <x:right style="thin">
        <x:color rgb="FF294A7A"/>
      </x:right>
      <x:top style="thin">
        <x:color rgb="FF294A7A"/>
      </x:top>
      <x:bottom style="thin">
        <x:color indexed="64"/>
      </x:bottom>
    </x:border>
    <x:border>
      <x:left style="thin">
        <x:color rgb="FF294A7A"/>
      </x:left>
      <x:right style="thin">
        <x:color indexed="64"/>
      </x:right>
      <x:top style="thin">
        <x:color indexed="64"/>
      </x:top>
      <x:bottom style="thin">
        <x:color indexed="64"/>
      </x:bottom>
    </x:border>
    <x:border>
      <x:left style="thin">
        <x:color indexed="64"/>
      </x:left>
      <x:right style="thin">
        <x:color rgb="FF294A7A"/>
      </x:right>
      <x:top style="thin">
        <x:color indexed="64"/>
      </x:top>
      <x:bottom style="thin">
        <x:color indexed="64"/>
      </x:bottom>
    </x:border>
    <x:border>
      <x:left style="thin">
        <x:color rgb="FF294A7A"/>
      </x:left>
      <x:right style="thin">
        <x:color indexed="64"/>
      </x:right>
      <x:top style="thin">
        <x:color indexed="64"/>
      </x:top>
      <x:bottom style="thin">
        <x:color rgb="FF294A7A"/>
      </x:bottom>
    </x:border>
    <x:border>
      <x:left style="thin">
        <x:color indexed="64"/>
      </x:left>
      <x:right style="thin">
        <x:color rgb="FF294A7A"/>
      </x:right>
      <x:top style="thin">
        <x:color indexed="64"/>
      </x:top>
      <x:bottom style="thin">
        <x:color rgb="FF294A7A"/>
      </x:bottom>
    </x:border>
    <x:border>
      <x:left style="thin">
        <x:color rgb="FF294A7A"/>
      </x:left>
      <x:right style="thin">
        <x:color rgb="FF1D3A63"/>
      </x:right>
      <x:top style="thin">
        <x:color rgb="FF1D3A63"/>
      </x:top>
      <x:bottom style="thin">
        <x:color rgb="FF1D3A63"/>
      </x:bottom>
    </x:border>
    <x:border>
      <x:left style="thin">
        <x:color rgb="FF294A7A"/>
      </x:left>
      <x:right style="thin">
        <x:color rgb="FF1D3A63"/>
      </x:right>
      <x:top style="thin">
        <x:color rgb="FF1D3A63"/>
      </x:top>
    </x:border>
    <x:border>
      <x:left style="thin">
        <x:color rgb="FF1D3A63"/>
      </x:left>
      <x:right style="thin">
        <x:color rgb="FF1D3A63"/>
      </x:right>
      <x:top style="thin">
        <x:color rgb="FF1D3A63"/>
      </x:top>
    </x:border>
    <x:border>
      <x:left style="thin">
        <x:color rgb="FF1D3A63"/>
      </x:left>
      <x:right style="thin">
        <x:color rgb="FF294A7A"/>
      </x:right>
      <x:top style="thin">
        <x:color rgb="FF1D3A63"/>
      </x:top>
    </x:border>
    <x:border>
      <x:left style="thin">
        <x:color indexed="64"/>
      </x:left>
      <x:right style="thin">
        <x:color indexed="64"/>
      </x:right>
      <x:top style="thin">
        <x:color indexed="64"/>
      </x:top>
      <x:bottom style="thin">
        <x:color indexed="64"/>
      </x:bottom>
    </x:border>
    <x:border>
      <x:left style="thin">
        <x:color rgb="FF294A7A"/>
      </x:left>
      <x:right style="thin">
        <x:color rgb="FF1D3A63"/>
      </x:right>
      <x:top style="thin">
        <x:color rgb="FF294A7A"/>
      </x:top>
      <x:bottom style="thin">
        <x:color rgb="FF1D3A63"/>
      </x:bottom>
    </x:border>
    <x:border>
      <x:left style="thin">
        <x:color rgb="FF1D3A63"/>
      </x:left>
      <x:right style="thin">
        <x:color rgb="FF1D3A63"/>
      </x:right>
      <x:top style="thin">
        <x:color rgb="FF294A7A"/>
      </x:top>
      <x:bottom style="thin">
        <x:color rgb="FF1D3A63"/>
      </x:bottom>
    </x:border>
    <x:border>
      <x:left style="thin">
        <x:color rgb="FF1D3A63"/>
      </x:left>
      <x:right style="thin">
        <x:color rgb="FF294A7A"/>
      </x:right>
      <x:top style="thin">
        <x:color rgb="FF294A7A"/>
      </x:top>
      <x:bottom style="thin">
        <x:color rgb="FF1D3A63"/>
      </x:bottom>
    </x:border>
  </x:borders>
  <x:cellStyleXfs count="1">
    <x:xf numFmtId="0" fontId="0" fillId="0" borderId="0"/>
  </x:cellStyleXfs>
  <x:cellXfs count="529">
    <x:xf numFmtId="0" fontId="0" fillId="0" borderId="0" xfId="0"/>
    <x:xf numFmtId="0" fontId="1" fillId="0" borderId="1" xfId="0" applyFont="1" applyBorder="1" applyAlignment="1">
      <x:alignment vertical="top" wrapText="1"/>
    </x:xf>
    <x:xf numFmtId="0" fontId="0" fillId="0" borderId="0" xfId="0" applyAlignment="1">
      <x:alignment wrapText="1"/>
    </x:xf>
    <x:xf numFmtId="0" fontId="7" fillId="8" borderId="0" xfId="0" applyFont="1" applyFill="1" applyAlignment="1">
      <x:alignment horizontal="center" vertical="center"/>
    </x:xf>
    <x:xf numFmtId="0" fontId="0" fillId="0" borderId="0" xfId="0" applyAlignment="1">
      <x:alignment vertical="center"/>
    </x:xf>
    <x:xf numFmtId="0" fontId="0" fillId="0" borderId="0" xfId="0" applyAlignment="1">
      <x:alignment horizontal="left" vertical="center"/>
    </x:xf>
    <x:xf numFmtId="0" fontId="0" fillId="0" borderId="0" xfId="0" applyAlignment="1">
      <x:alignment horizontal="left" vertical="center" wrapText="1"/>
    </x:xf>
    <x:xf numFmtId="0" fontId="0" fillId="0" borderId="0" xfId="0" applyAlignment="1">
      <x:alignment vertical="top" wrapText="1"/>
    </x:xf>
    <x:xf numFmtId="0" fontId="0" fillId="0" borderId="3" xfId="0" applyBorder="1" applyAlignment="1">
      <x:alignment vertical="top" wrapText="1"/>
    </x:xf>
    <x:xf numFmtId="0" fontId="0" fillId="0" borderId="4" xfId="0" applyBorder="1" applyAlignment="1">
      <x:alignment vertical="top" wrapText="1"/>
    </x:xf>
    <x:xf numFmtId="0" fontId="0" fillId="0" borderId="5" xfId="0" applyBorder="1" applyAlignment="1">
      <x:alignment vertical="top" wrapText="1"/>
    </x:xf>
    <x:xf numFmtId="0" fontId="0" fillId="0" borderId="6" xfId="0" applyBorder="1" applyAlignment="1">
      <x:alignment vertical="top" wrapText="1"/>
    </x:xf>
    <x:xf numFmtId="0" fontId="0" fillId="0" borderId="7" xfId="0" applyBorder="1" applyAlignment="1">
      <x:alignment vertical="top" wrapText="1"/>
    </x:xf>
    <x:xf numFmtId="0" fontId="0" fillId="0" borderId="8" xfId="0" applyBorder="1" applyAlignment="1">
      <x:alignment vertical="top" wrapText="1"/>
    </x:xf>
    <x:xf numFmtId="0" fontId="0" fillId="0" borderId="9" xfId="0" applyBorder="1" applyAlignment="1">
      <x:alignment vertical="top" wrapText="1"/>
    </x:xf>
    <x:xf numFmtId="0" fontId="0" fillId="0" borderId="10" xfId="0" applyBorder="1" applyAlignment="1">
      <x:alignment vertical="top" wrapText="1"/>
    </x:xf>
    <x:xf numFmtId="0" fontId="1" fillId="0" borderId="15" xfId="0" applyFont="1" applyBorder="1" applyAlignment="1">
      <x:alignment vertical="top" wrapText="1"/>
    </x:xf>
    <x:xf numFmtId="0" fontId="0" fillId="0" borderId="6" xfId="0" applyBorder="1"/>
    <x:xf numFmtId="0" fontId="0" fillId="0" borderId="7" xfId="0" applyBorder="1"/>
    <x:xf numFmtId="0" fontId="0" fillId="0" borderId="8" xfId="0" applyBorder="1"/>
    <x:xf numFmtId="0" fontId="0" fillId="0" borderId="10" xfId="0" applyBorder="1"/>
    <x:xf numFmtId="0" fontId="0" fillId="0" borderId="0" xfId="0" applyAlignment="1">
      <x:alignment vertical="top"/>
    </x:xf>
    <x:xf numFmtId="0" fontId="2" fillId="0" borderId="16" xfId="0" applyFont="1" applyBorder="1" applyAlignment="1">
      <x:alignment horizontal="center" vertical="center" wrapText="1"/>
    </x:xf>
    <x:xf numFmtId="0" fontId="0" fillId="0" borderId="17" xfId="0" applyBorder="1" applyAlignment="1">
      <x:alignment horizontal="center" vertical="center" wrapText="1"/>
    </x:xf>
    <x:xf numFmtId="0" fontId="5" fillId="0" borderId="18" xfId="0" applyFont="1" applyBorder="1" applyAlignment="1">
      <x:alignment horizontal="center" vertical="center" wrapText="1"/>
    </x:xf>
    <x:xf numFmtId="0" fontId="0" fillId="0" borderId="19" xfId="0" applyBorder="1" applyAlignment="1">
      <x:alignment horizontal="center" vertical="center" wrapText="1"/>
    </x:xf>
    <x:xf numFmtId="0" fontId="5" fillId="0" borderId="20" xfId="0" applyFont="1" applyBorder="1" applyAlignment="1">
      <x:alignment horizontal="center" vertical="center" wrapText="1"/>
    </x:xf>
    <x:xf numFmtId="164" fontId="0" fillId="0" borderId="21" xfId="0" applyNumberFormat="1" applyBorder="1" applyAlignment="1">
      <x:alignment horizontal="center" vertical="center" wrapText="1"/>
    </x:xf>
    <x:xf numFmtId="0" fontId="3" fillId="3" borderId="14" xfId="0" applyFont="1" applyFill="1" applyBorder="1" applyAlignment="1">
      <x:alignment vertical="top" wrapText="1"/>
    </x:xf>
    <x:xf numFmtId="0" fontId="3" fillId="4" borderId="14" xfId="0" applyFont="1" applyFill="1" applyBorder="1" applyAlignment="1">
      <x:alignment vertical="top" wrapText="1"/>
    </x:xf>
    <x:xf numFmtId="0" fontId="3" fillId="5" borderId="14" xfId="0" applyFont="1" applyFill="1" applyBorder="1" applyAlignment="1">
      <x:alignment vertical="top" wrapText="1"/>
    </x:xf>
    <x:xf numFmtId="0" fontId="3" fillId="6" borderId="14" xfId="0" applyFont="1" applyFill="1" applyBorder="1" applyAlignment="1">
      <x:alignment vertical="top" wrapText="1"/>
    </x:xf>
    <x:xf numFmtId="0" fontId="3" fillId="0" borderId="9" xfId="0" applyFont="1" applyBorder="1" applyAlignment="1">
      <x:alignment wrapText="1"/>
    </x:xf>
    <x:xf numFmtId="0" fontId="9" fillId="10" borderId="3" xfId="0" applyFont="1" applyFill="1" applyBorder="1" applyAlignment="1">
      <x:alignment horizontal="center" vertical="top" wrapText="1"/>
    </x:xf>
    <x:xf numFmtId="0" fontId="8" fillId="10" borderId="5" xfId="0" applyFont="1" applyFill="1" applyBorder="1" applyAlignment="1">
      <x:alignment horizontal="center" vertical="top" wrapText="1"/>
    </x:xf>
    <x:xf numFmtId="0" fontId="2" fillId="0" borderId="6" xfId="0" applyFont="1" applyBorder="1" applyAlignment="1">
      <x:alignment vertical="top" wrapText="1"/>
    </x:xf>
    <x:xf numFmtId="0" fontId="1" fillId="0" borderId="7" xfId="0" applyFont="1" applyBorder="1" applyAlignment="1">
      <x:alignment vertical="top" wrapText="1"/>
    </x:xf>
    <x:xf numFmtId="0" fontId="5" fillId="0" borderId="6" xfId="0" applyFont="1" applyBorder="1" applyAlignment="1">
      <x:alignment vertical="top" wrapText="1"/>
    </x:xf>
    <x:xf numFmtId="0" fontId="8" fillId="10" borderId="3" xfId="0" applyFont="1" applyFill="1" applyBorder="1" applyAlignment="1">
      <x:alignment horizontal="center" vertical="center"/>
    </x:xf>
    <x:xf numFmtId="0" fontId="8" fillId="10" borderId="5" xfId="0" applyFont="1" applyFill="1" applyBorder="1" applyAlignment="1">
      <x:alignment horizontal="center" vertical="center"/>
    </x:xf>
    <x:xf numFmtId="0" fontId="0" fillId="0" borderId="9" xfId="0" applyBorder="1" applyAlignment="1">
      <x:alignment wrapText="1"/>
    </x:xf>
    <x:xf numFmtId="0" fontId="8" fillId="10" borderId="3" xfId="0" applyFont="1" applyFill="1" applyBorder="1" applyAlignment="1">
      <x:alignment horizontal="center" vertical="top"/>
    </x:xf>
    <x:xf numFmtId="0" fontId="8" fillId="10" borderId="4" xfId="0" applyFont="1" applyFill="1" applyBorder="1" applyAlignment="1">
      <x:alignment horizontal="center" vertical="top"/>
    </x:xf>
    <x:xf numFmtId="0" fontId="8" fillId="10" borderId="5" xfId="0" applyFont="1" applyFill="1" applyBorder="1" applyAlignment="1">
      <x:alignment horizontal="center" vertical="top"/>
    </x:xf>
    <x:xf numFmtId="0" fontId="0" fillId="0" borderId="6" xfId="0" applyBorder="1" applyAlignment="1">
      <x:alignment wrapText="1"/>
    </x:xf>
    <x:xf numFmtId="0" fontId="0" fillId="0" borderId="7" xfId="0" applyBorder="1" applyAlignment="1">
      <x:alignment wrapText="1"/>
    </x:xf>
    <x:xf numFmtId="0" fontId="0" fillId="0" borderId="8" xfId="0" applyBorder="1" applyAlignment="1">
      <x:alignment wrapText="1"/>
    </x:xf>
    <x:xf numFmtId="0" fontId="0" fillId="0" borderId="10" xfId="0" applyBorder="1" applyAlignment="1">
      <x:alignment wrapText="1"/>
    </x:xf>
    <x:xf numFmtId="0" fontId="8" fillId="10" borderId="3" xfId="0" applyFont="1" applyFill="1" applyBorder="1" applyAlignment="1">
      <x:alignment horizontal="center" vertical="center" wrapText="1"/>
    </x:xf>
    <x:xf numFmtId="0" fontId="8" fillId="10" borderId="4" xfId="0" applyFont="1" applyFill="1" applyBorder="1" applyAlignment="1">
      <x:alignment horizontal="center" vertical="center" wrapText="1"/>
    </x:xf>
    <x:xf numFmtId="0" fontId="8" fillId="10" borderId="5" xfId="0" applyFont="1" applyFill="1" applyBorder="1" applyAlignment="1">
      <x:alignment horizontal="center" vertical="center" wrapText="1"/>
    </x:xf>
    <x:xf numFmtId="0" fontId="14" fillId="0" borderId="14" xfId="0" applyFont="1" applyBorder="1" applyAlignment="1">
      <x:alignment vertical="top" wrapText="1"/>
    </x:xf>
    <x:xf numFmtId="0" fontId="14" fillId="0" borderId="1" xfId="0" applyFont="1" applyBorder="1" applyAlignment="1">
      <x:alignment vertical="top" wrapText="1"/>
    </x:xf>
    <x:xf numFmtId="0" fontId="14" fillId="0" borderId="15" xfId="0" applyFont="1" applyBorder="1" applyAlignment="1">
      <x:alignment vertical="top" wrapText="1"/>
    </x:xf>
    <x:xf numFmtId="0" fontId="16" fillId="11" borderId="1" xfId="0" applyFont="1" applyFill="1" applyBorder="1" applyAlignment="1">
      <x:alignment vertical="top" wrapText="1"/>
    </x:xf>
    <x:xf numFmtId="0" fontId="16" fillId="12" borderId="1" xfId="0" applyFont="1" applyFill="1" applyBorder="1" applyAlignment="1">
      <x:alignment vertical="top" wrapText="1"/>
    </x:xf>
    <x:xf numFmtId="0" fontId="16" fillId="13" borderId="1" xfId="0" applyFont="1" applyFill="1" applyBorder="1" applyAlignment="1">
      <x:alignment vertical="top" wrapText="1"/>
    </x:xf>
    <x:xf numFmtId="0" fontId="14" fillId="0" borderId="22" xfId="0" applyFont="1" applyBorder="1" applyAlignment="1">
      <x:alignment vertical="top" wrapText="1"/>
    </x:xf>
    <x:xf numFmtId="0" fontId="16" fillId="13" borderId="23" xfId="0" applyFont="1" applyFill="1" applyBorder="1" applyAlignment="1">
      <x:alignment vertical="top" wrapText="1"/>
    </x:xf>
    <x:xf numFmtId="0" fontId="14" fillId="0" borderId="23" xfId="0" applyFont="1" applyBorder="1" applyAlignment="1">
      <x:alignment vertical="top" wrapText="1"/>
    </x:xf>
    <x:xf numFmtId="0" fontId="14" fillId="0" borderId="24" xfId="0" applyFont="1" applyBorder="1" applyAlignment="1">
      <x:alignment vertical="top" wrapText="1"/>
    </x:xf>
    <x:xf numFmtId="0" fontId="0" fillId="0" borderId="0" xfId="0" applyAlignment="1">
      <x:alignment horizontal="center" vertical="center"/>
    </x:xf>
    <x:xf numFmtId="0" fontId="8" fillId="19" borderId="0" xfId="0" applyFont="1" applyFill="1" applyAlignment="1">
      <x:alignment horizontal="center" vertical="center"/>
    </x:xf>
    <x:xf numFmtId="0" fontId="9" fillId="19" borderId="2" xfId="0" applyFont="1" applyFill="1" applyBorder="1" applyAlignment="1">
      <x:alignment horizontal="center" vertical="center" wrapText="1"/>
    </x:xf>
    <x:xf numFmtId="0" fontId="8" fillId="19" borderId="0" xfId="0" applyFont="1" applyFill="1" applyAlignment="1">
      <x:alignment horizontal="center" vertical="center" wrapText="1"/>
    </x:xf>
    <x:xf numFmtId="0" fontId="0" fillId="7" borderId="2" xfId="0" applyFill="1" applyBorder="1" applyAlignment="1">
      <x:alignment vertical="top" wrapText="1"/>
    </x:xf>
    <x:xf numFmtId="0" fontId="0" fillId="0" borderId="2" xfId="0" applyBorder="1" applyAlignment="1">
      <x:alignment vertical="top" wrapText="1"/>
    </x:xf>
    <x:xf numFmtId="0" fontId="0" fillId="7" borderId="2" xfId="0" applyFill="1" applyBorder="1" applyAlignment="1">
      <x:alignment horizontal="center" vertical="top" wrapText="1"/>
    </x:xf>
    <x:xf numFmtId="0" fontId="0" fillId="7" borderId="2" xfId="0" applyFill="1" applyBorder="1" applyAlignment="1">
      <x:alignment horizontal="left" vertical="top" wrapText="1"/>
    </x:xf>
    <x:xf numFmtId="0" fontId="0" fillId="0" borderId="2" xfId="0" applyBorder="1" applyAlignment="1">
      <x:alignment horizontal="center" vertical="top" wrapText="1"/>
    </x:xf>
    <x:xf numFmtId="0" fontId="0" fillId="0" borderId="2" xfId="0" applyBorder="1" applyAlignment="1">
      <x:alignment horizontal="left" vertical="top" wrapText="1"/>
    </x:xf>
    <x:xf numFmtId="0" fontId="0" fillId="20" borderId="0" xfId="0" applyFill="1" applyAlignment="1">
      <x:alignment vertical="top" wrapText="1"/>
    </x:xf>
    <x:xf numFmtId="0" fontId="8" fillId="21" borderId="0" xfId="0" applyFont="1" applyFill="1" applyAlignment="1">
      <x:alignment horizontal="center" vertical="center" wrapText="1"/>
    </x:xf>
    <x:xf numFmtId="0" fontId="0" fillId="22" borderId="2" xfId="0" applyFill="1" applyBorder="1" applyAlignment="1">
      <x:alignment horizontal="center" vertical="top" wrapText="1"/>
    </x:xf>
    <x:xf numFmtId="0" fontId="0" fillId="23" borderId="0" xfId="0" applyFill="1" applyAlignment="1">
      <x:alignment vertical="top" wrapText="1"/>
    </x:xf>
    <x:xf numFmtId="0" fontId="0" fillId="24" borderId="0" xfId="0" applyFill="1" applyAlignment="1">
      <x:alignment vertical="top" wrapText="1"/>
    </x:xf>
    <x:xf numFmtId="0" fontId="19" fillId="24" borderId="0" xfId="0" applyFont="1" applyFill="1" applyAlignment="1">
      <x:alignment vertical="top" wrapText="1"/>
    </x:xf>
    <x:xf numFmtId="0" fontId="7" fillId="19" borderId="0" xfId="0" applyFont="1" applyFill="1" applyAlignment="1">
      <x:alignment wrapText="1"/>
    </x:xf>
    <x:xf numFmtId="0" fontId="5" fillId="24" borderId="0" xfId="0" applyFont="1" applyFill="1" applyAlignment="1">
      <x:alignment vertical="top" wrapText="1"/>
    </x:xf>
    <x:xf numFmtId="0" fontId="5" fillId="23" borderId="0" xfId="0" applyFont="1" applyFill="1" applyAlignment="1">
      <x:alignment vertical="top" wrapText="1"/>
    </x:xf>
    <x:xf numFmtId="0" fontId="7" fillId="21" borderId="0" xfId="0" applyFont="1" applyFill="1"/>
    <x:xf numFmtId="0" fontId="7" fillId="21" borderId="0" xfId="0" applyFont="1" applyFill="1" applyAlignment="1">
      <x:alignment wrapText="1"/>
    </x:xf>
    <x:xf numFmtId="0" fontId="15" fillId="0" borderId="2" xfId="0" applyFont="1" applyBorder="1" applyAlignment="1">
      <x:alignment vertical="top" wrapText="1"/>
    </x:xf>
    <x:xf numFmtId="0" fontId="17" fillId="13" borderId="2" xfId="0" applyFont="1" applyFill="1" applyBorder="1" applyAlignment="1">
      <x:alignment vertical="top" wrapText="1"/>
    </x:xf>
    <x:xf numFmtId="0" fontId="14" fillId="0" borderId="2" xfId="0" applyFont="1" applyBorder="1" applyAlignment="1">
      <x:alignment vertical="top" wrapText="1"/>
    </x:xf>
    <x:xf numFmtId="0" fontId="17" fillId="6" borderId="2" xfId="0" applyFont="1" applyFill="1" applyBorder="1" applyAlignment="1">
      <x:alignment vertical="top" wrapText="1"/>
    </x:xf>
    <x:xf numFmtId="0" fontId="18" fillId="0" borderId="2" xfId="0" applyFont="1" applyBorder="1" applyAlignment="1">
      <x:alignment vertical="top" wrapText="1"/>
    </x:xf>
    <x:xf numFmtId="0" fontId="9" fillId="19" borderId="11" xfId="0" applyFont="1" applyFill="1" applyBorder="1" applyAlignment="1">
      <x:alignment horizontal="center" vertical="top" wrapText="1"/>
    </x:xf>
    <x:xf numFmtId="0" fontId="9" fillId="19" borderId="12" xfId="0" applyFont="1" applyFill="1" applyBorder="1" applyAlignment="1">
      <x:alignment horizontal="center" vertical="top" wrapText="1"/>
    </x:xf>
    <x:xf numFmtId="0" fontId="9" fillId="19" borderId="13" xfId="0" applyFont="1" applyFill="1" applyBorder="1" applyAlignment="1">
      <x:alignment horizontal="center" vertical="top" wrapText="1"/>
    </x:xf>
    <x:xf numFmtId="0" fontId="9" fillId="2" borderId="11" xfId="0" applyFont="1" applyFill="1" applyBorder="1" applyAlignment="1">
      <x:alignment horizontal="center" vertical="center" wrapText="1"/>
    </x:xf>
    <x:xf numFmtId="0" fontId="9" fillId="2" borderId="12" xfId="0" applyFont="1" applyFill="1" applyBorder="1" applyAlignment="1">
      <x:alignment horizontal="center" vertical="center" wrapText="1"/>
    </x:xf>
    <x:xf numFmtId="0" fontId="9" fillId="2" borderId="13" xfId="0" applyFont="1" applyFill="1" applyBorder="1" applyAlignment="1">
      <x:alignment horizontal="center" vertical="center" wrapText="1"/>
    </x:xf>
    <x:xf numFmtId="0" fontId="4" fillId="0" borderId="9" xfId="0" applyFont="1" applyBorder="1" applyAlignment="1">
      <x:alignment wrapText="1"/>
    </x:xf>
    <x:xf numFmtId="0" fontId="8" fillId="2" borderId="3" xfId="0" applyFont="1" applyFill="1" applyBorder="1" applyAlignment="1">
      <x:alignment horizontal="center" vertical="center" wrapText="1"/>
    </x:xf>
    <x:xf numFmtId="0" fontId="8" fillId="2" borderId="5" xfId="0" applyFont="1" applyFill="1" applyBorder="1" applyAlignment="1">
      <x:alignment horizontal="center" vertical="center" wrapText="1"/>
    </x:xf>
    <x:xf numFmtId="0" fontId="8" fillId="19" borderId="3" xfId="0" applyFont="1" applyFill="1" applyBorder="1" applyAlignment="1">
      <x:alignment horizontal="center" vertical="top" wrapText="1"/>
    </x:xf>
    <x:xf numFmtId="0" fontId="8" fillId="19" borderId="4" xfId="0" applyFont="1" applyFill="1" applyBorder="1" applyAlignment="1">
      <x:alignment horizontal="center" vertical="top" wrapText="1"/>
    </x:xf>
    <x:xf numFmtId="0" fontId="8" fillId="19" borderId="5" xfId="0" applyFont="1" applyFill="1" applyBorder="1" applyAlignment="1">
      <x:alignment horizontal="center" vertical="top" wrapText="1"/>
    </x:xf>
    <x:xf numFmtId="0" fontId="0" fillId="22" borderId="7" xfId="0" applyFill="1" applyBorder="1" applyAlignment="1">
      <x:alignment vertical="top" wrapText="1"/>
    </x:xf>
    <x:xf numFmtId="0" fontId="8" fillId="2" borderId="4" xfId="0" applyFont="1" applyFill="1" applyBorder="1" applyAlignment="1">
      <x:alignment horizontal="center" vertical="center" wrapText="1"/>
    </x:xf>
    <x:xf numFmtId="0" fontId="0" fillId="25" borderId="0" xfId="0" applyFill="1" applyAlignment="1">
      <x:alignment wrapText="1"/>
    </x:xf>
    <x:xf numFmtId="0" fontId="0" fillId="25" borderId="0" xfId="0" applyFill="1" applyAlignment="1">
      <x:alignment vertical="top" wrapText="1"/>
    </x:xf>
    <x:xf numFmtId="0" fontId="8" fillId="19" borderId="3" xfId="0" applyFont="1" applyFill="1" applyBorder="1" applyAlignment="1">
      <x:alignment horizontal="center" vertical="center" wrapText="1"/>
    </x:xf>
    <x:xf numFmtId="0" fontId="8" fillId="19" borderId="5" xfId="0" applyFont="1" applyFill="1" applyBorder="1" applyAlignment="1">
      <x:alignment horizontal="center" vertical="center" wrapText="1"/>
    </x:xf>
    <x:xf numFmtId="0" fontId="5" fillId="9" borderId="6" xfId="0" applyFont="1" applyFill="1" applyBorder="1" applyAlignment="1">
      <x:alignment wrapText="1"/>
    </x:xf>
    <x:xf numFmtId="0" fontId="5" fillId="7" borderId="7" xfId="0" applyFont="1" applyFill="1" applyBorder="1" applyAlignment="1">
      <x:alignment horizontal="center" wrapText="1"/>
    </x:xf>
    <x:xf numFmtId="0" fontId="7" fillId="26" borderId="0" xfId="0" applyFont="1" applyFill="1" applyAlignment="1">
      <x:alignment horizontal="center" vertical="center" wrapText="1"/>
    </x:xf>
    <x:xf numFmtId="0" fontId="7" fillId="26" borderId="0" xfId="0" applyFont="1" applyFill="1" applyAlignment="1">
      <x:alignment horizontal="center" vertical="top" wrapText="1"/>
    </x:xf>
    <x:xf numFmtId="0" fontId="7" fillId="28" borderId="0" xfId="0" applyFont="1" applyFill="1" applyAlignment="1">
      <x:alignment horizontal="center" wrapText="1"/>
    </x:xf>
    <x:xf numFmtId="0" fontId="7" fillId="28" borderId="0" xfId="0" applyFont="1" applyFill="1" applyAlignment="1">
      <x:alignment horizontal="center" vertical="center" wrapText="1"/>
    </x:xf>
    <x:xf numFmtId="2" fontId="0" fillId="0" borderId="0" xfId="0" applyNumberFormat="1" applyAlignment="1">
      <x:alignment wrapText="1"/>
    </x:xf>
    <x:xf numFmtId="0" fontId="7" fillId="29" borderId="0" xfId="0" applyFont="1" applyFill="1" applyAlignment="1">
      <x:alignment wrapText="1"/>
    </x:xf>
    <x:xf numFmtId="0" fontId="7" fillId="29" borderId="0" xfId="0" applyFont="1" applyFill="1" applyAlignment="1">
      <x:alignment horizontal="center" wrapText="1"/>
    </x:xf>
    <x:xf numFmtId="0" fontId="5" fillId="30" borderId="0" xfId="0" applyFont="1" applyFill="1" applyAlignment="1">
      <x:alignment wrapText="1"/>
    </x:xf>
    <x:xf numFmtId="165" fontId="0" fillId="0" borderId="0" xfId="0" applyNumberFormat="1" applyAlignment="1">
      <x:alignment wrapText="1"/>
    </x:xf>
    <x:xf numFmtId="0" fontId="7" fillId="29" borderId="0" xfId="0" applyFont="1" applyFill="1" applyAlignment="1">
      <x:alignment horizontal="center" vertical="top" wrapText="1"/>
    </x:xf>
    <x:xf numFmtId="165" fontId="0" fillId="0" borderId="0" xfId="0" applyNumberFormat="1" applyAlignment="1">
      <x:alignment vertical="top" wrapText="1"/>
    </x:xf>
    <x:xf numFmtId="0" fontId="7" fillId="30" borderId="0" xfId="0" applyFont="1" applyFill="1" applyAlignment="1">
      <x:alignment horizontal="center" vertical="top" wrapText="1"/>
    </x:xf>
    <x:xf numFmtId="0" fontId="5" fillId="30" borderId="0" xfId="0" applyFont="1" applyFill="1" applyAlignment="1">
      <x:alignment vertical="top" wrapText="1"/>
    </x:xf>
    <x:xf numFmtId="0" fontId="8" fillId="19" borderId="0" xfId="0" applyFont="1" applyFill="1" applyAlignment="1">
      <x:alignment horizontal="center" vertical="center"/>
    </x:xf>
    <x:xf numFmtId="0" fontId="6" fillId="9" borderId="0" xfId="0" applyFont="1" applyFill="1" applyAlignment="1">
      <x:alignment wrapText="1"/>
    </x:xf>
    <x:xf numFmtId="0" fontId="12" fillId="16" borderId="0" xfId="0" applyFont="1" applyFill="1" applyAlignment="1">
      <x:alignment wrapText="1"/>
    </x:xf>
    <x:xf numFmtId="0" fontId="10" fillId="2" borderId="0" xfId="0" applyFont="1" applyFill="1" applyAlignment="1">
      <x:alignment horizontal="center" vertical="center" wrapText="1"/>
    </x:xf>
    <x:xf numFmtId="0" fontId="11" fillId="14" borderId="0" xfId="0" applyFont="1" applyFill="1" applyAlignment="1">
      <x:alignment wrapText="1"/>
    </x:xf>
    <x:xf numFmtId="0" fontId="7" fillId="15" borderId="0" xfId="0" applyFont="1" applyFill="1" applyAlignment="1">
      <x:alignment horizontal="center" wrapText="1"/>
    </x:xf>
    <x:xf numFmtId="0" fontId="10" fillId="19" borderId="0" xfId="0" applyFont="1" applyFill="1" applyAlignment="1">
      <x:alignment horizontal="center"/>
    </x:xf>
    <x:xf numFmtId="0" fontId="22" fillId="19" borderId="0" xfId="0" applyFont="1" applyFill="1" applyAlignment="1">
      <x:alignment horizontal="center"/>
    </x:xf>
    <x:xf numFmtId="0" fontId="7" fillId="17" borderId="0" xfId="0" applyFont="1" applyFill="1" applyAlignment="1">
      <x:alignment horizontal="center"/>
    </x:xf>
    <x:xf numFmtId="0" fontId="13" fillId="18" borderId="0" xfId="0" applyFont="1" applyFill="1" applyAlignment="1">
      <x:alignment vertical="top" wrapText="1"/>
    </x:xf>
    <x:xf numFmtId="0" fontId="20" fillId="19" borderId="0" xfId="0" applyFont="1" applyFill="1" applyAlignment="1">
      <x:alignment horizontal="center" vertical="center"/>
    </x:xf>
    <x:xf numFmtId="0" fontId="21" fillId="19" borderId="0" xfId="0" applyFont="1" applyFill="1"/>
    <x:xf numFmtId="0" fontId="7" fillId="28" borderId="0" xfId="0" applyFont="1" applyFill="1" applyAlignment="1">
      <x:alignment horizontal="center"/>
    </x:xf>
    <x:xf numFmtId="0" fontId="20" fillId="27" borderId="0" xfId="0" applyFont="1" applyFill="1" applyAlignment="1">
      <x:alignment horizontal="center" vertical="top"/>
    </x:xf>
    <x:xf numFmtId="0" fontId="23" fillId="27" borderId="0" xfId="0" applyFont="1" applyFill="1" applyAlignment="1">
      <x:alignment horizontal="center" vertical="top"/>
    </x:xf>
    <x:xf numFmtId="0" fontId="23" fillId="28" borderId="0" xfId="0" applyFont="1" applyFill="1" applyAlignment="1">
      <x:alignment horizontal="center" vertical="top"/>
    </x:xf>
    <x:xf numFmtId="0" fontId="7" fillId="28" borderId="0" xfId="0" applyFont="1" applyFill="1" applyAlignment="1">
      <x:alignment horizontal="center" vertical="top"/>
    </x:xf>
    <x:xf numFmtId="0" fontId="20" fillId="28" borderId="0" xfId="0" applyFont="1" applyFill="1" applyAlignment="1">
      <x:alignment horizontal="center" vertical="center"/>
    </x:xf>
    <x:xf numFmtId="0" fontId="23" fillId="28" borderId="0" xfId="0" applyFont="1" applyFill="1" applyAlignment="1">
      <x:alignment horizontal="center"/>
    </x:xf>
    <x:xf numFmtId="0" fontId="24" fillId="31" borderId="0" xfId="0" applyFont="1" applyFill="1"/>
    <x:xf numFmtId="0" fontId="24" fillId="30" borderId="0" xfId="0" applyFont="1" applyFill="1"/>
    <x:xf numFmtId="0" fontId="24" fillId="32" borderId="0" xfId="0" applyFont="1" applyFill="1"/>
    <x:xf numFmtId="0" fontId="0" fillId="33" borderId="2" xfId="0" applyFill="1" applyBorder="1" applyAlignment="1">
      <x:alignment horizontal="center" vertical="top" wrapText="1"/>
    </x:xf>
    <x:xf numFmtId="0" fontId="0" fillId="33" borderId="2" xfId="0" applyFill="1" applyBorder="1" applyAlignment="1">
      <x:alignment horizontal="left" vertical="top" wrapText="1"/>
    </x:xf>
    <x:xf numFmtId="0" fontId="0" fillId="34" borderId="2" xfId="0" applyFill="1" applyBorder="1" applyAlignment="1">
      <x:alignment horizontal="center" vertical="top" wrapText="1"/>
    </x:xf>
    <x:xf numFmtId="0" fontId="0" fillId="34" borderId="2" xfId="0" applyFill="1" applyBorder="1" applyAlignment="1">
      <x:alignment horizontal="left" vertical="top" wrapText="1"/>
    </x:xf>
    <x:xf numFmtId="0" fontId="0" fillId="0" borderId="4" xfId="0" applyBorder="1" applyAlignment="1">
      <x:alignment horizontal="center" vertical="center" wrapText="1"/>
    </x:xf>
    <x:xf numFmtId="0" fontId="0" fillId="0" borderId="25" xfId="0" applyNumberFormat="1" applyFont="1" applyFill="1" applyBorder="1"/>
    <x:xf numFmtId="0" fontId="1" fillId="0" borderId="26" xfId="0" applyNumberFormat="1" applyFont="1" applyFill="1" applyBorder="1" applyAlignment="1">
      <x:alignment vertical="top" wrapText="1"/>
    </x:xf>
    <x:xf numFmtId="0" fontId="0" fillId="0" borderId="25" xfId="0" applyNumberFormat="1" applyFont="1" applyFill="1" applyBorder="1" applyAlignment="1">
      <x:alignment wrapText="1"/>
    </x:xf>
    <x:xf numFmtId="0" fontId="7" fillId="8" borderId="25" xfId="0" applyNumberFormat="1" applyFont="1" applyFill="1" applyBorder="1" applyAlignment="1">
      <x:alignment horizontal="center" vertical="center"/>
    </x:xf>
    <x:xf numFmtId="0" fontId="0" fillId="0" borderId="25" xfId="0" applyNumberFormat="1" applyFont="1" applyFill="1" applyBorder="1" applyAlignment="1">
      <x:alignment vertical="center"/>
    </x:xf>
    <x:xf numFmtId="0" fontId="0" fillId="0" borderId="25" xfId="0" applyNumberFormat="1" applyFont="1" applyFill="1" applyBorder="1" applyAlignment="1">
      <x:alignment horizontal="left" vertical="center"/>
    </x:xf>
    <x:xf numFmtId="0" fontId="0" fillId="0" borderId="25" xfId="0" applyNumberFormat="1" applyFont="1" applyFill="1" applyBorder="1" applyAlignment="1">
      <x:alignment horizontal="left" vertical="center" wrapText="1"/>
    </x:xf>
    <x:xf numFmtId="0" fontId="0" fillId="0" borderId="25"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1" fillId="0" borderId="35" xfId="0" applyNumberFormat="1" applyFont="1" applyFill="1" applyBorder="1" applyAlignment="1">
      <x:alignment vertical="top" wrapText="1"/>
    </x:xf>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4" xfId="0" applyNumberFormat="1" applyFont="1" applyFill="1" applyBorder="1"/>
    <x:xf numFmtId="0" fontId="0" fillId="0" borderId="25" xfId="0" applyNumberFormat="1" applyFont="1" applyFill="1" applyBorder="1" applyAlignment="1">
      <x:alignment vertical="top"/>
    </x:xf>
    <x:xf numFmtId="0" fontId="2" fillId="0" borderId="36" xfId="0" applyNumberFormat="1" applyFont="1" applyFill="1" applyBorder="1" applyAlignment="1">
      <x:alignment horizontal="center" vertical="center" wrapText="1"/>
    </x:xf>
    <x:xf numFmtId="0" fontId="0" fillId="0" borderId="37" xfId="0" applyNumberFormat="1" applyFont="1" applyFill="1" applyBorder="1" applyAlignment="1">
      <x:alignment horizontal="center" vertical="center" wrapText="1"/>
    </x:xf>
    <x:xf numFmtId="0" fontId="5" fillId="0" borderId="38" xfId="0" applyNumberFormat="1" applyFont="1" applyFill="1" applyBorder="1" applyAlignment="1">
      <x:alignment horizontal="center" vertical="center" wrapText="1"/>
    </x:xf>
    <x:xf numFmtId="0" fontId="0" fillId="0" borderId="39" xfId="0" applyNumberFormat="1" applyFont="1" applyFill="1" applyBorder="1" applyAlignment="1">
      <x:alignment horizontal="center" vertical="center" wrapText="1"/>
    </x:xf>
    <x:xf numFmtId="0" fontId="5" fillId="0" borderId="40" xfId="0" applyNumberFormat="1" applyFont="1" applyFill="1" applyBorder="1" applyAlignment="1">
      <x:alignment horizontal="center" vertical="center" wrapText="1"/>
    </x:xf>
    <x:xf numFmtId="164" fontId="0" fillId="0" borderId="41" xfId="0" applyNumberFormat="1" applyFont="1" applyFill="1" applyBorder="1" applyAlignment="1">
      <x:alignment horizontal="center" vertical="center" wrapText="1"/>
    </x:xf>
    <x:xf numFmtId="0" fontId="3" fillId="3" borderId="42" xfId="0" applyNumberFormat="1" applyFont="1" applyFill="1" applyBorder="1" applyAlignment="1">
      <x:alignment vertical="top" wrapText="1"/>
    </x:xf>
    <x:xf numFmtId="0" fontId="3" fillId="4" borderId="42" xfId="0" applyNumberFormat="1" applyFont="1" applyFill="1" applyBorder="1" applyAlignment="1">
      <x:alignment vertical="top" wrapText="1"/>
    </x:xf>
    <x:xf numFmtId="0" fontId="3" fillId="5" borderId="42" xfId="0" applyNumberFormat="1" applyFont="1" applyFill="1" applyBorder="1" applyAlignment="1">
      <x:alignment vertical="top" wrapText="1"/>
    </x:xf>
    <x:xf numFmtId="0" fontId="3" fillId="6" borderId="42" xfId="0" applyNumberFormat="1" applyFont="1" applyFill="1" applyBorder="1" applyAlignment="1">
      <x:alignment vertical="top" wrapText="1"/>
    </x:xf>
    <x:xf numFmtId="0" fontId="3" fillId="0" borderId="33" xfId="0" applyNumberFormat="1" applyFont="1" applyFill="1" applyBorder="1" applyAlignment="1">
      <x:alignment wrapText="1"/>
    </x:xf>
    <x:xf numFmtId="0" fontId="9" fillId="2" borderId="27" xfId="0" applyNumberFormat="1" applyFont="1" applyFill="1" applyBorder="1" applyAlignment="1">
      <x:alignment horizontal="center" vertical="top" wrapText="1"/>
    </x:xf>
    <x:xf numFmtId="0" fontId="8" fillId="2" borderId="29" xfId="0" applyNumberFormat="1" applyFont="1" applyFill="1" applyBorder="1" applyAlignment="1">
      <x:alignment horizontal="center" vertical="top" wrapText="1"/>
    </x:xf>
    <x:xf numFmtId="0" fontId="2" fillId="0" borderId="30" xfId="0" applyNumberFormat="1" applyFont="1" applyFill="1" applyBorder="1" applyAlignment="1">
      <x:alignment vertical="top" wrapText="1"/>
    </x:xf>
    <x:xf numFmtId="0" fontId="1" fillId="0" borderId="31" xfId="0" applyNumberFormat="1" applyFont="1" applyFill="1" applyBorder="1" applyAlignment="1">
      <x:alignment vertical="top" wrapText="1"/>
    </x:xf>
    <x:xf numFmtId="0" fontId="5" fillId="0" borderId="30" xfId="0" applyNumberFormat="1" applyFont="1" applyFill="1" applyBorder="1" applyAlignment="1">
      <x:alignment vertical="top" wrapText="1"/>
    </x:xf>
    <x:xf numFmtId="0" fontId="8" fillId="2" borderId="27" xfId="0" applyNumberFormat="1" applyFont="1" applyFill="1" applyBorder="1" applyAlignment="1">
      <x:alignment horizontal="center" vertical="center"/>
    </x:xf>
    <x:xf numFmtId="0" fontId="8" fillId="2" borderId="29" xfId="0" applyNumberFormat="1" applyFont="1" applyFill="1" applyBorder="1" applyAlignment="1">
      <x:alignment horizontal="center" vertical="center"/>
    </x:xf>
    <x:xf numFmtId="0" fontId="0" fillId="0" borderId="33" xfId="0" applyNumberFormat="1" applyFont="1" applyFill="1" applyBorder="1" applyAlignment="1">
      <x:alignment wrapText="1"/>
    </x:xf>
    <x:xf numFmtId="0" fontId="8" fillId="2" borderId="27" xfId="0" applyNumberFormat="1" applyFont="1" applyFill="1" applyBorder="1" applyAlignment="1">
      <x:alignment horizontal="center" vertical="top"/>
    </x:xf>
    <x:xf numFmtId="0" fontId="8" fillId="2" borderId="28" xfId="0" applyNumberFormat="1" applyFont="1" applyFill="1" applyBorder="1" applyAlignment="1">
      <x:alignment horizontal="center" vertical="top"/>
    </x:xf>
    <x:xf numFmtId="0" fontId="8" fillId="2" borderId="29" xfId="0" applyNumberFormat="1" applyFont="1" applyFill="1" applyBorder="1" applyAlignment="1">
      <x:alignment horizontal="center" vertical="top"/>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2" xfId="0" applyNumberFormat="1" applyFont="1" applyFill="1" applyBorder="1" applyAlignment="1">
      <x:alignment wrapText="1"/>
    </x:xf>
    <x:xf numFmtId="0" fontId="0" fillId="0" borderId="34" xfId="0" applyNumberFormat="1" applyFont="1" applyFill="1" applyBorder="1" applyAlignment="1">
      <x:alignment wrapText="1"/>
    </x:xf>
    <x:xf numFmtId="0" fontId="8" fillId="2" borderId="27" xfId="0" applyNumberFormat="1" applyFont="1" applyFill="1" applyBorder="1" applyAlignment="1">
      <x:alignment horizontal="center" vertical="center" wrapText="1"/>
    </x:xf>
    <x:xf numFmtId="0" fontId="8" fillId="2" borderId="28" xfId="0" applyNumberFormat="1" applyFont="1" applyFill="1" applyBorder="1" applyAlignment="1">
      <x:alignment horizontal="center" vertical="center" wrapText="1"/>
    </x:xf>
    <x:xf numFmtId="0" fontId="8" fillId="2" borderId="29" xfId="0" applyNumberFormat="1" applyFont="1" applyFill="1" applyBorder="1" applyAlignment="1">
      <x:alignment horizontal="center" vertical="center" wrapText="1"/>
    </x:xf>
    <x:xf numFmtId="0" fontId="14" fillId="0" borderId="42" xfId="0" applyNumberFormat="1" applyFont="1" applyFill="1" applyBorder="1" applyAlignment="1">
      <x:alignment vertical="top" wrapText="1"/>
    </x:xf>
    <x:xf numFmtId="0" fontId="14" fillId="0" borderId="26" xfId="0" applyNumberFormat="1" applyFont="1" applyFill="1" applyBorder="1" applyAlignment="1">
      <x:alignment vertical="top" wrapText="1"/>
    </x:xf>
    <x:xf numFmtId="0" fontId="14" fillId="0" borderId="35" xfId="0" applyNumberFormat="1" applyFont="1" applyFill="1" applyBorder="1" applyAlignment="1">
      <x:alignment vertical="top" wrapText="1"/>
    </x:xf>
    <x:xf numFmtId="0" fontId="16" fillId="11" borderId="26" xfId="0" applyNumberFormat="1" applyFont="1" applyFill="1" applyBorder="1" applyAlignment="1">
      <x:alignment vertical="top" wrapText="1"/>
    </x:xf>
    <x:xf numFmtId="0" fontId="16" fillId="12" borderId="26" xfId="0" applyNumberFormat="1" applyFont="1" applyFill="1" applyBorder="1" applyAlignment="1">
      <x:alignment vertical="top" wrapText="1"/>
    </x:xf>
    <x:xf numFmtId="0" fontId="16" fillId="13" borderId="26" xfId="0" applyNumberFormat="1" applyFont="1" applyFill="1" applyBorder="1" applyAlignment="1">
      <x:alignment vertical="top" wrapText="1"/>
    </x:xf>
    <x:xf numFmtId="0" fontId="14" fillId="0" borderId="43" xfId="0" applyNumberFormat="1" applyFont="1" applyFill="1" applyBorder="1" applyAlignment="1">
      <x:alignment vertical="top" wrapText="1"/>
    </x:xf>
    <x:xf numFmtId="0" fontId="16" fillId="13" borderId="44" xfId="0" applyNumberFormat="1" applyFont="1" applyFill="1" applyBorder="1" applyAlignment="1">
      <x:alignment vertical="top" wrapText="1"/>
    </x:xf>
    <x:xf numFmtId="0" fontId="14" fillId="0" borderId="44" xfId="0" applyNumberFormat="1" applyFont="1" applyFill="1" applyBorder="1" applyAlignment="1">
      <x:alignment vertical="top" wrapText="1"/>
    </x:xf>
    <x:xf numFmtId="0" fontId="14" fillId="0" borderId="45" xfId="0" applyNumberFormat="1" applyFont="1" applyFill="1" applyBorder="1" applyAlignment="1">
      <x:alignment vertical="top" wrapText="1"/>
    </x:xf>
    <x:xf numFmtId="0" fontId="0" fillId="0" borderId="25" xfId="0" applyNumberFormat="1" applyFont="1" applyFill="1" applyBorder="1" applyAlignment="1">
      <x:alignment horizontal="center" vertical="center"/>
    </x:xf>
    <x:xf numFmtId="0" fontId="8" fillId="19" borderId="25" xfId="0" applyNumberFormat="1" applyFont="1" applyFill="1" applyBorder="1" applyAlignment="1">
      <x:alignment horizontal="center" vertical="center"/>
    </x:xf>
    <x:xf numFmtId="0" fontId="9" fillId="19" borderId="46" xfId="0" applyNumberFormat="1" applyFont="1" applyFill="1" applyBorder="1" applyAlignment="1">
      <x:alignment horizontal="center" vertical="center" wrapText="1"/>
    </x:xf>
    <x:xf numFmtId="0" fontId="8" fillId="19" borderId="25" xfId="0" applyNumberFormat="1" applyFont="1" applyFill="1" applyBorder="1" applyAlignment="1">
      <x:alignment horizontal="center" vertical="center" wrapText="1"/>
    </x:xf>
    <x:xf numFmtId="0" fontId="0" fillId="7" borderId="46" xfId="0" applyNumberFormat="1" applyFont="1" applyFill="1" applyBorder="1" applyAlignment="1">
      <x:alignment vertical="top" wrapText="1"/>
    </x:xf>
    <x:xf numFmtId="0" fontId="0" fillId="0" borderId="46" xfId="0" applyNumberFormat="1" applyFont="1" applyFill="1" applyBorder="1" applyAlignment="1">
      <x:alignment vertical="top" wrapText="1"/>
    </x:xf>
    <x:xf numFmtId="0" fontId="0" fillId="7" borderId="46" xfId="0" applyNumberFormat="1" applyFont="1" applyFill="1" applyBorder="1" applyAlignment="1">
      <x:alignment horizontal="center" vertical="top" wrapText="1"/>
    </x:xf>
    <x:xf numFmtId="0" fontId="0" fillId="7" borderId="46" xfId="0" applyNumberFormat="1" applyFont="1" applyFill="1" applyBorder="1" applyAlignment="1">
      <x:alignment horizontal="left" vertical="top" wrapText="1"/>
    </x:xf>
    <x:xf numFmtId="0" fontId="0" fillId="0" borderId="46" xfId="0" applyNumberFormat="1" applyFont="1" applyFill="1" applyBorder="1" applyAlignment="1">
      <x:alignment horizontal="center" vertical="top" wrapText="1"/>
    </x:xf>
    <x:xf numFmtId="0" fontId="0" fillId="0" borderId="46" xfId="0" applyNumberFormat="1" applyFont="1" applyFill="1" applyBorder="1" applyAlignment="1">
      <x:alignment horizontal="left" vertical="top" wrapText="1"/>
    </x:xf>
    <x:xf numFmtId="0" fontId="0" fillId="20" borderId="25" xfId="0" applyNumberFormat="1" applyFont="1" applyFill="1" applyBorder="1" applyAlignment="1">
      <x:alignment vertical="top" wrapText="1"/>
    </x:xf>
    <x:xf numFmtId="0" fontId="8" fillId="21" borderId="25" xfId="0" applyNumberFormat="1" applyFont="1" applyFill="1" applyBorder="1" applyAlignment="1">
      <x:alignment horizontal="center" vertical="center" wrapText="1"/>
    </x:xf>
    <x:xf numFmtId="0" fontId="0" fillId="22" borderId="46" xfId="0" applyNumberFormat="1" applyFont="1" applyFill="1" applyBorder="1" applyAlignment="1">
      <x:alignment horizontal="center" vertical="top" wrapText="1"/>
    </x:xf>
    <x:xf numFmtId="0" fontId="0" fillId="23" borderId="25" xfId="0" applyNumberFormat="1" applyFont="1" applyFill="1" applyBorder="1" applyAlignment="1">
      <x:alignment vertical="top" wrapText="1"/>
    </x:xf>
    <x:xf numFmtId="0" fontId="0" fillId="24" borderId="25" xfId="0" applyNumberFormat="1" applyFont="1" applyFill="1" applyBorder="1" applyAlignment="1">
      <x:alignment vertical="top" wrapText="1"/>
    </x:xf>
    <x:xf numFmtId="0" fontId="19" fillId="24" borderId="25" xfId="0" applyNumberFormat="1" applyFont="1" applyFill="1" applyBorder="1" applyAlignment="1">
      <x:alignment vertical="top" wrapText="1"/>
    </x:xf>
    <x:xf numFmtId="0" fontId="7" fillId="19" borderId="25" xfId="0" applyNumberFormat="1" applyFont="1" applyFill="1" applyBorder="1" applyAlignment="1">
      <x:alignment wrapText="1"/>
    </x:xf>
    <x:xf numFmtId="0" fontId="5" fillId="24" borderId="25" xfId="0" applyNumberFormat="1" applyFont="1" applyFill="1" applyBorder="1" applyAlignment="1">
      <x:alignment vertical="top" wrapText="1"/>
    </x:xf>
    <x:xf numFmtId="0" fontId="5" fillId="23" borderId="25" xfId="0" applyNumberFormat="1" applyFont="1" applyFill="1" applyBorder="1" applyAlignment="1">
      <x:alignment vertical="top" wrapText="1"/>
    </x:xf>
    <x:xf numFmtId="0" fontId="7" fillId="21" borderId="25" xfId="0" applyNumberFormat="1" applyFont="1" applyFill="1" applyBorder="1"/>
    <x:xf numFmtId="0" fontId="7" fillId="21" borderId="25" xfId="0" applyNumberFormat="1" applyFont="1" applyFill="1" applyBorder="1" applyAlignment="1">
      <x:alignment wrapText="1"/>
    </x:xf>
    <x:xf numFmtId="0" fontId="15" fillId="0" borderId="46" xfId="0" applyNumberFormat="1" applyFont="1" applyFill="1" applyBorder="1" applyAlignment="1">
      <x:alignment vertical="top" wrapText="1"/>
    </x:xf>
    <x:xf numFmtId="0" fontId="17" fillId="13" borderId="46" xfId="0" applyNumberFormat="1" applyFont="1" applyFill="1" applyBorder="1" applyAlignment="1">
      <x:alignment vertical="top" wrapText="1"/>
    </x:xf>
    <x:xf numFmtId="0" fontId="14" fillId="0" borderId="46" xfId="0" applyNumberFormat="1" applyFont="1" applyFill="1" applyBorder="1" applyAlignment="1">
      <x:alignment vertical="top" wrapText="1"/>
    </x:xf>
    <x:xf numFmtId="0" fontId="17" fillId="6" borderId="46" xfId="0" applyNumberFormat="1" applyFont="1" applyFill="1" applyBorder="1" applyAlignment="1">
      <x:alignment vertical="top" wrapText="1"/>
    </x:xf>
    <x:xf numFmtId="0" fontId="18" fillId="0" borderId="46" xfId="0" applyNumberFormat="1" applyFont="1" applyFill="1" applyBorder="1" applyAlignment="1">
      <x:alignment vertical="top" wrapText="1"/>
    </x:xf>
    <x:xf numFmtId="0" fontId="9" fillId="19" borderId="47" xfId="0" applyNumberFormat="1" applyFont="1" applyFill="1" applyBorder="1" applyAlignment="1">
      <x:alignment horizontal="center" vertical="top" wrapText="1"/>
    </x:xf>
    <x:xf numFmtId="0" fontId="9" fillId="19" borderId="48" xfId="0" applyNumberFormat="1" applyFont="1" applyFill="1" applyBorder="1" applyAlignment="1">
      <x:alignment horizontal="center" vertical="top" wrapText="1"/>
    </x:xf>
    <x:xf numFmtId="0" fontId="9" fillId="19" borderId="49" xfId="0" applyNumberFormat="1" applyFont="1" applyFill="1" applyBorder="1" applyAlignment="1">
      <x:alignment horizontal="center" vertical="top" wrapText="1"/>
    </x:xf>
    <x:xf numFmtId="0" fontId="9" fillId="2" borderId="47" xfId="0" applyNumberFormat="1" applyFont="1" applyFill="1" applyBorder="1" applyAlignment="1">
      <x:alignment horizontal="center" vertical="center" wrapText="1"/>
    </x:xf>
    <x:xf numFmtId="0" fontId="9" fillId="2" borderId="48" xfId="0" applyNumberFormat="1" applyFont="1" applyFill="1" applyBorder="1" applyAlignment="1">
      <x:alignment horizontal="center" vertical="center" wrapText="1"/>
    </x:xf>
    <x:xf numFmtId="0" fontId="9" fillId="2" borderId="49" xfId="0" applyNumberFormat="1" applyFont="1" applyFill="1" applyBorder="1" applyAlignment="1">
      <x:alignment horizontal="center" vertical="center" wrapText="1"/>
    </x:xf>
    <x:xf numFmtId="0" fontId="4" fillId="0" borderId="33" xfId="0" applyNumberFormat="1" applyFont="1" applyFill="1" applyBorder="1" applyAlignment="1">
      <x:alignment wrapText="1"/>
    </x:xf>
    <x:xf numFmtId="0" fontId="8" fillId="19" borderId="27" xfId="0" applyNumberFormat="1" applyFont="1" applyFill="1" applyBorder="1" applyAlignment="1">
      <x:alignment horizontal="center" vertical="top" wrapText="1"/>
    </x:xf>
    <x:xf numFmtId="0" fontId="8" fillId="19" borderId="28" xfId="0" applyNumberFormat="1" applyFont="1" applyFill="1" applyBorder="1" applyAlignment="1">
      <x:alignment horizontal="center" vertical="top" wrapText="1"/>
    </x:xf>
    <x:xf numFmtId="0" fontId="8" fillId="19" borderId="29" xfId="0" applyNumberFormat="1" applyFont="1" applyFill="1" applyBorder="1" applyAlignment="1">
      <x:alignment horizontal="center" vertical="top" wrapText="1"/>
    </x:xf>
    <x:xf numFmtId="0" fontId="0" fillId="22" borderId="31" xfId="0" applyNumberFormat="1" applyFont="1" applyFill="1" applyBorder="1" applyAlignment="1">
      <x:alignment vertical="top" wrapText="1"/>
    </x:xf>
    <x:xf numFmtId="0" fontId="0" fillId="25" borderId="25" xfId="0" applyNumberFormat="1" applyFont="1" applyFill="1" applyBorder="1" applyAlignment="1">
      <x:alignment wrapText="1"/>
    </x:xf>
    <x:xf numFmtId="0" fontId="0" fillId="25" borderId="25" xfId="0" applyNumberFormat="1" applyFont="1" applyFill="1" applyBorder="1" applyAlignment="1">
      <x:alignment vertical="top" wrapText="1"/>
    </x:xf>
    <x:xf numFmtId="0" fontId="8" fillId="19" borderId="27" xfId="0" applyNumberFormat="1" applyFont="1" applyFill="1" applyBorder="1" applyAlignment="1">
      <x:alignment horizontal="center" vertical="center" wrapText="1"/>
    </x:xf>
    <x:xf numFmtId="0" fontId="8" fillId="19" borderId="29" xfId="0" applyNumberFormat="1" applyFont="1" applyFill="1" applyBorder="1" applyAlignment="1">
      <x:alignment horizontal="center" vertical="center" wrapText="1"/>
    </x:xf>
    <x:xf numFmtId="0" fontId="5" fillId="9" borderId="30" xfId="0" applyNumberFormat="1" applyFont="1" applyFill="1" applyBorder="1" applyAlignment="1">
      <x:alignment wrapText="1"/>
    </x:xf>
    <x:xf numFmtId="0" fontId="5" fillId="7" borderId="31" xfId="0" applyNumberFormat="1" applyFont="1" applyFill="1" applyBorder="1" applyAlignment="1">
      <x:alignment horizontal="center" wrapText="1"/>
    </x:xf>
    <x:xf numFmtId="0" fontId="7" fillId="26" borderId="25" xfId="0" applyNumberFormat="1" applyFont="1" applyFill="1" applyBorder="1" applyAlignment="1">
      <x:alignment horizontal="center" vertical="center" wrapText="1"/>
    </x:xf>
    <x:xf numFmtId="0" fontId="7" fillId="26" borderId="25" xfId="0" applyNumberFormat="1" applyFont="1" applyFill="1" applyBorder="1" applyAlignment="1">
      <x:alignment horizontal="center" vertical="top" wrapText="1"/>
    </x:xf>
    <x:xf numFmtId="0" fontId="7" fillId="28" borderId="25" xfId="0" applyNumberFormat="1" applyFont="1" applyFill="1" applyBorder="1" applyAlignment="1">
      <x:alignment horizontal="center" wrapText="1"/>
    </x:xf>
    <x:xf numFmtId="0" fontId="7" fillId="28" borderId="25" xfId="0" applyNumberFormat="1" applyFont="1" applyFill="1" applyBorder="1" applyAlignment="1">
      <x:alignment horizontal="center" vertical="center" wrapText="1"/>
    </x:xf>
    <x:xf numFmtId="2" fontId="0" fillId="0" borderId="25" xfId="0" applyNumberFormat="1" applyFont="1" applyFill="1" applyBorder="1" applyAlignment="1">
      <x:alignment wrapText="1"/>
    </x:xf>
    <x:xf numFmtId="0" fontId="7" fillId="29" borderId="25" xfId="0" applyNumberFormat="1" applyFont="1" applyFill="1" applyBorder="1" applyAlignment="1">
      <x:alignment wrapText="1"/>
    </x:xf>
    <x:xf numFmtId="0" fontId="7" fillId="29" borderId="25" xfId="0" applyNumberFormat="1" applyFont="1" applyFill="1" applyBorder="1" applyAlignment="1">
      <x:alignment horizontal="center" wrapText="1"/>
    </x:xf>
    <x:xf numFmtId="0" fontId="5" fillId="9" borderId="25" xfId="0" applyNumberFormat="1" applyFont="1" applyFill="1" applyBorder="1" applyAlignment="1">
      <x:alignment wrapText="1"/>
    </x:xf>
    <x:xf numFmtId="165" fontId="0" fillId="0" borderId="25" xfId="0" applyNumberFormat="1" applyFont="1" applyFill="1" applyBorder="1" applyAlignment="1">
      <x:alignment wrapText="1"/>
    </x:xf>
    <x:xf numFmtId="0" fontId="7" fillId="29" borderId="25" xfId="0" applyNumberFormat="1" applyFont="1" applyFill="1" applyBorder="1" applyAlignment="1">
      <x:alignment horizontal="center" vertical="top" wrapText="1"/>
    </x:xf>
    <x:xf numFmtId="165" fontId="0" fillId="0" borderId="25" xfId="0" applyNumberFormat="1" applyFont="1" applyFill="1" applyBorder="1" applyAlignment="1">
      <x:alignment vertical="top" wrapText="1"/>
    </x:xf>
    <x:xf numFmtId="0" fontId="7" fillId="9" borderId="25" xfId="0" applyNumberFormat="1" applyFont="1" applyFill="1" applyBorder="1" applyAlignment="1">
      <x:alignment horizontal="center" vertical="top" wrapText="1"/>
    </x:xf>
    <x:xf numFmtId="0" fontId="5" fillId="9" borderId="25" xfId="0" applyNumberFormat="1" applyFont="1" applyFill="1" applyBorder="1" applyAlignment="1">
      <x:alignment vertical="top" wrapText="1"/>
    </x:xf>
    <x:xf numFmtId="0" fontId="6" fillId="9" borderId="25" xfId="0" applyNumberFormat="1" applyFont="1" applyFill="1" applyBorder="1" applyAlignment="1">
      <x:alignment wrapText="1"/>
    </x:xf>
    <x:xf numFmtId="0" fontId="12" fillId="16" borderId="25" xfId="0" applyNumberFormat="1" applyFont="1" applyFill="1" applyBorder="1" applyAlignment="1">
      <x:alignment wrapText="1"/>
    </x:xf>
    <x:xf numFmtId="0" fontId="10" fillId="2" borderId="25" xfId="0" applyNumberFormat="1" applyFont="1" applyFill="1" applyBorder="1" applyAlignment="1">
      <x:alignment horizontal="center" vertical="center" wrapText="1"/>
    </x:xf>
    <x:xf numFmtId="0" fontId="11" fillId="14" borderId="25" xfId="0" applyNumberFormat="1" applyFont="1" applyFill="1" applyBorder="1" applyAlignment="1">
      <x:alignment wrapText="1"/>
    </x:xf>
    <x:xf numFmtId="0" fontId="7" fillId="15" borderId="25" xfId="0" applyNumberFormat="1" applyFont="1" applyFill="1" applyBorder="1" applyAlignment="1">
      <x:alignment horizontal="center" wrapText="1"/>
    </x:xf>
    <x:xf numFmtId="0" fontId="10" fillId="19" borderId="25" xfId="0" applyNumberFormat="1" applyFont="1" applyFill="1" applyBorder="1" applyAlignment="1">
      <x:alignment horizontal="center"/>
    </x:xf>
    <x:xf numFmtId="0" fontId="22" fillId="19" borderId="25" xfId="0" applyNumberFormat="1" applyFont="1" applyFill="1" applyBorder="1" applyAlignment="1">
      <x:alignment horizontal="center"/>
    </x:xf>
    <x:xf numFmtId="0" fontId="7" fillId="17" borderId="25" xfId="0" applyNumberFormat="1" applyFont="1" applyFill="1" applyBorder="1" applyAlignment="1">
      <x:alignment horizontal="center"/>
    </x:xf>
    <x:xf numFmtId="0" fontId="13" fillId="18" borderId="25" xfId="0" applyNumberFormat="1" applyFont="1" applyFill="1" applyBorder="1" applyAlignment="1">
      <x:alignment vertical="top" wrapText="1"/>
    </x:xf>
    <x:xf numFmtId="0" fontId="20" fillId="19" borderId="25" xfId="0" applyNumberFormat="1" applyFont="1" applyFill="1" applyBorder="1" applyAlignment="1">
      <x:alignment horizontal="center" vertical="center"/>
    </x:xf>
    <x:xf numFmtId="0" fontId="21" fillId="19" borderId="25" xfId="0" applyNumberFormat="1" applyFont="1" applyFill="1" applyBorder="1"/>
    <x:xf numFmtId="0" fontId="7" fillId="28" borderId="25" xfId="0" applyNumberFormat="1" applyFont="1" applyFill="1" applyBorder="1" applyAlignment="1">
      <x:alignment horizontal="center"/>
    </x:xf>
    <x:xf numFmtId="0" fontId="20" fillId="27" borderId="25" xfId="0" applyNumberFormat="1" applyFont="1" applyFill="1" applyBorder="1" applyAlignment="1">
      <x:alignment horizontal="center" vertical="top"/>
    </x:xf>
    <x:xf numFmtId="0" fontId="23" fillId="27" borderId="25" xfId="0" applyNumberFormat="1" applyFont="1" applyFill="1" applyBorder="1" applyAlignment="1">
      <x:alignment horizontal="center" vertical="top"/>
    </x:xf>
    <x:xf numFmtId="0" fontId="23" fillId="28" borderId="25" xfId="0" applyNumberFormat="1" applyFont="1" applyFill="1" applyBorder="1" applyAlignment="1">
      <x:alignment horizontal="center" vertical="top"/>
    </x:xf>
    <x:xf numFmtId="0" fontId="7" fillId="28" borderId="25" xfId="0" applyNumberFormat="1" applyFont="1" applyFill="1" applyBorder="1" applyAlignment="1">
      <x:alignment horizontal="center" vertical="top"/>
    </x:xf>
    <x:xf numFmtId="0" fontId="20" fillId="28" borderId="25" xfId="0" applyNumberFormat="1" applyFont="1" applyFill="1" applyBorder="1" applyAlignment="1">
      <x:alignment horizontal="center" vertical="center"/>
    </x:xf>
    <x:xf numFmtId="0" fontId="23" fillId="28" borderId="25" xfId="0" applyNumberFormat="1" applyFont="1" applyFill="1" applyBorder="1" applyAlignment="1">
      <x:alignment horizontal="center"/>
    </x:xf>
    <x:xf numFmtId="0" fontId="24" fillId="31" borderId="25" xfId="0" applyNumberFormat="1" applyFont="1" applyFill="1" applyBorder="1"/>
    <x:xf numFmtId="0" fontId="24" fillId="9" borderId="25" xfId="0" applyNumberFormat="1" applyFont="1" applyFill="1" applyBorder="1"/>
    <x:xf numFmtId="0" fontId="24" fillId="32" borderId="25" xfId="0" applyNumberFormat="1" applyFont="1" applyFill="1" applyBorder="1"/>
    <x:xf numFmtId="0" fontId="0" fillId="33" borderId="46" xfId="0" applyNumberFormat="1" applyFont="1" applyFill="1" applyBorder="1" applyAlignment="1">
      <x:alignment horizontal="center" vertical="top" wrapText="1"/>
    </x:xf>
    <x:xf numFmtId="0" fontId="0" fillId="33" borderId="46" xfId="0" applyNumberFormat="1" applyFont="1" applyFill="1" applyBorder="1" applyAlignment="1">
      <x:alignment horizontal="left" vertical="top" wrapText="1"/>
    </x:xf>
    <x:xf numFmtId="0" fontId="0" fillId="0" borderId="28" xfId="0" applyNumberFormat="1" applyFont="1" applyFill="1" applyBorder="1" applyAlignment="1">
      <x:alignment horizontal="center" vertical="center" wrapText="1"/>
    </x:xf>
    <x:xf numFmtId="0" fontId="9" fillId="19" borderId="2" xfId="0" applyNumberFormat="1" applyFont="1" applyFill="1" applyBorder="1" applyAlignment="1">
      <x:alignment horizontal="center" vertical="center" wrapText="1"/>
    </x:xf>
    <x:xf numFmtId="0" fontId="8" fillId="19" borderId="0" xfId="0" applyNumberFormat="1" applyFont="1" applyFill="1" applyBorder="1" applyAlignment="1">
      <x:alignment horizontal="center" vertical="center" wrapText="1"/>
    </x:xf>
    <x:xf numFmtId="0" fontId="8" fillId="21" borderId="0" xfId="0" applyNumberFormat="1" applyFont="1" applyFill="1" applyBorder="1" applyAlignment="1">
      <x:alignment horizontal="center" vertical="center" wrapText="1"/>
    </x:xf>
    <x:xf numFmtId="0" fontId="7" fillId="26" borderId="0" xfId="0" applyNumberFormat="1" applyFont="1" applyFill="1" applyBorder="1" applyAlignment="1">
      <x:alignment horizontal="center" vertical="center" wrapText="1"/>
    </x:xf>
    <x:xf numFmtId="0" fontId="7" fillId="28" borderId="0" xfId="0" applyNumberFormat="1" applyFont="1" applyFill="1" applyBorder="1" applyAlignment="1">
      <x:alignment horizontal="center" vertical="center" wrapText="1"/>
    </x:xf>
    <x:xf numFmtId="0" fontId="0" fillId="7" borderId="2" xfId="0" applyNumberFormat="1" applyFont="1" applyFill="1" applyBorder="1" applyAlignment="1">
      <x:alignment horizontal="center" vertical="top" wrapText="1"/>
    </x:xf>
    <x:xf numFmtId="0" fontId="0" fillId="7" borderId="2" xfId="0" applyNumberFormat="1" applyFont="1" applyFill="1" applyBorder="1" applyAlignment="1">
      <x:alignment horizontal="left" vertical="top" wrapText="1"/>
    </x:xf>
    <x:xf numFmtId="0" fontId="0" fillId="22" borderId="2" xfId="0" applyNumberFormat="1" applyFont="1" applyFill="1" applyBorder="1" applyAlignment="1">
      <x:alignment horizontal="center"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horizontal="center" vertical="center"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20" borderId="0" xfId="0" applyNumberFormat="1" applyFont="1" applyFill="1" applyBorder="1" applyAlignment="1">
      <x:alignment vertical="top" wrapText="1"/>
    </x:xf>
    <x:xf numFmtId="0" fontId="0" fillId="0" borderId="0" xfId="0" applyNumberFormat="1" applyFont="1" applyFill="1" applyBorder="1" applyAlignment="1">
      <x:alignment wrapText="1"/>
    </x:xf>
    <x:xf numFmtId="2" fontId="0" fillId="0" borderId="0" xfId="0" applyNumberFormat="1" applyFont="1" applyFill="1" applyBorder="1" applyAlignment="1">
      <x:alignment wrapText="1"/>
    </x:xf>
    <x:xf numFmtId="0" fontId="0" fillId="0" borderId="6"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23" borderId="0"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2" xfId="0" applyNumberFormat="1" applyFont="1" applyFill="1" applyBorder="1" applyAlignment="1">
      <x:alignment horizontal="left" vertical="top" wrapText="1"/>
    </x:xf>
    <x:xf numFmtId="0" fontId="0" fillId="24" borderId="0" xfId="0" applyNumberFormat="1" applyFont="1" applyFill="1" applyBorder="1" applyAlignment="1">
      <x:alignment vertical="top" wrapText="1"/>
    </x:xf>
    <x:xf numFmtId="0" fontId="19" fillId="24" borderId="0" xfId="0" applyNumberFormat="1" applyFont="1" applyFill="1" applyBorder="1" applyAlignment="1">
      <x:alignment vertical="top" wrapText="1"/>
    </x:xf>
    <x:xf numFmtId="0" fontId="0" fillId="33" borderId="2" xfId="0" applyNumberFormat="1" applyFont="1" applyFill="1" applyBorder="1" applyAlignment="1">
      <x:alignment horizontal="center" vertical="top" wrapText="1"/>
    </x:xf>
    <x:xf numFmtId="0" fontId="0" fillId="33" borderId="2" xfId="0" applyNumberFormat="1" applyFont="1" applyFill="1" applyBorder="1" applyAlignment="1">
      <x:alignment horizontal="left" vertical="top" wrapText="1"/>
    </x:xf>
    <x:xf numFmtId="0" fontId="0" fillId="7"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25" borderId="0" xfId="0" applyNumberFormat="1" applyFont="1" applyFill="1" applyBorder="1" applyAlignment="1">
      <x:alignment vertical="top" wrapText="1"/>
    </x:xf>
    <x:xf numFmtId="0" fontId="9" fillId="19" borderId="11" xfId="0" applyNumberFormat="1" applyFont="1" applyFill="1" applyBorder="1" applyAlignment="1">
      <x:alignment horizontal="center" vertical="top" wrapText="1"/>
    </x:xf>
    <x:xf numFmtId="0" fontId="9" fillId="19" borderId="12" xfId="0" applyNumberFormat="1" applyFont="1" applyFill="1" applyBorder="1" applyAlignment="1">
      <x:alignment horizontal="center" vertical="top" wrapText="1"/>
    </x:xf>
    <x:xf numFmtId="0" fontId="9" fillId="19" borderId="13" xfId="0" applyNumberFormat="1" applyFont="1" applyFill="1" applyBorder="1" applyAlignment="1">
      <x:alignment horizontal="center" vertical="top" wrapText="1"/>
    </x:xf>
    <x:xf numFmtId="0" fontId="14" fillId="0" borderId="14" xfId="0" applyNumberFormat="1" applyFont="1" applyFill="1" applyBorder="1" applyAlignment="1">
      <x:alignment vertical="top" wrapText="1"/>
    </x:xf>
    <x:xf numFmtId="0" fontId="16" fillId="11" borderId="1"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0" fontId="14" fillId="0" borderId="15" xfId="0" applyNumberFormat="1" applyFont="1" applyFill="1" applyBorder="1" applyAlignment="1">
      <x:alignment vertical="top" wrapText="1"/>
    </x:xf>
    <x:xf numFmtId="0" fontId="16" fillId="12" borderId="1" xfId="0" applyNumberFormat="1" applyFont="1" applyFill="1" applyBorder="1" applyAlignment="1">
      <x:alignment vertical="top" wrapText="1"/>
    </x:xf>
    <x:xf numFmtId="0" fontId="16" fillId="13" borderId="1" xfId="0" applyNumberFormat="1" applyFont="1" applyFill="1" applyBorder="1" applyAlignment="1">
      <x:alignment vertical="top" wrapText="1"/>
    </x:xf>
    <x:xf numFmtId="0" fontId="14" fillId="0" borderId="22" xfId="0" applyNumberFormat="1" applyFont="1" applyFill="1" applyBorder="1" applyAlignment="1">
      <x:alignment vertical="top" wrapText="1"/>
    </x:xf>
    <x:xf numFmtId="0" fontId="16" fillId="13" borderId="23" xfId="0" applyNumberFormat="1" applyFont="1" applyFill="1" applyBorder="1" applyAlignment="1">
      <x:alignment vertical="top" wrapText="1"/>
    </x:xf>
    <x:xf numFmtId="0" fontId="14" fillId="0" borderId="23" xfId="0" applyNumberFormat="1" applyFont="1" applyFill="1" applyBorder="1" applyAlignment="1">
      <x:alignment vertical="top" wrapText="1"/>
    </x:xf>
    <x:xf numFmtId="0" fontId="14" fillId="0" borderId="24" xfId="0" applyNumberFormat="1" applyFont="1" applyFill="1" applyBorder="1" applyAlignment="1">
      <x:alignment vertical="top" wrapText="1"/>
    </x:xf>
    <x:xf numFmtId="0" fontId="15" fillId="0" borderId="2" xfId="0" applyNumberFormat="1" applyFont="1" applyFill="1" applyBorder="1" applyAlignment="1">
      <x:alignment vertical="top" wrapText="1"/>
    </x:xf>
    <x:xf numFmtId="0" fontId="17" fillId="13" borderId="2" xfId="0" applyNumberFormat="1" applyFont="1" applyFill="1" applyBorder="1" applyAlignment="1">
      <x:alignment vertical="top" wrapText="1"/>
    </x:xf>
    <x:xf numFmtId="0" fontId="14" fillId="0" borderId="2" xfId="0" applyNumberFormat="1" applyFont="1" applyFill="1" applyBorder="1" applyAlignment="1">
      <x:alignment vertical="top" wrapText="1"/>
    </x:xf>
    <x:xf numFmtId="0" fontId="17" fillId="6" borderId="2" xfId="0" applyNumberFormat="1" applyFont="1" applyFill="1" applyBorder="1" applyAlignment="1">
      <x:alignment vertical="top" wrapText="1"/>
    </x:xf>
    <x:xf numFmtId="0" fontId="18" fillId="0" borderId="2" xfId="0" applyNumberFormat="1" applyFont="1" applyFill="1" applyBorder="1" applyAlignment="1">
      <x:alignment vertical="top" wrapText="1"/>
    </x:xf>
    <x:xf numFmtId="0" fontId="9" fillId="2" borderId="11" xfId="0" applyNumberFormat="1" applyFont="1" applyFill="1" applyBorder="1" applyAlignment="1">
      <x:alignment horizontal="center" vertical="center" wrapText="1"/>
    </x:xf>
    <x:xf numFmtId="0" fontId="9" fillId="2" borderId="12" xfId="0" applyNumberFormat="1" applyFont="1" applyFill="1" applyBorder="1" applyAlignment="1">
      <x:alignment horizontal="center" vertical="center" wrapText="1"/>
    </x:xf>
    <x:xf numFmtId="0" fontId="9" fillId="2" borderId="13" xfId="0" applyNumberFormat="1" applyFont="1" applyFill="1" applyBorder="1" applyAlignment="1">
      <x:alignment horizontal="center" vertical="center" wrapText="1"/>
    </x:xf>
    <x:xf numFmtId="0" fontId="7" fillId="29" borderId="0" xfId="0" applyNumberFormat="1" applyFont="1" applyFill="1" applyBorder="1" applyAlignment="1">
      <x:alignment wrapText="1"/>
    </x:xf>
    <x:xf numFmtId="0" fontId="3" fillId="3" borderId="14"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165" fontId="0" fillId="0" borderId="0" xfId="0" applyNumberFormat="1" applyFont="1" applyFill="1" applyBorder="1" applyAlignment="1">
      <x:alignment wrapText="1"/>
    </x:xf>
    <x:xf numFmtId="0" fontId="3" fillId="4" borderId="14" xfId="0" applyNumberFormat="1" applyFont="1" applyFill="1" applyBorder="1" applyAlignment="1">
      <x:alignment vertical="top" wrapText="1"/>
    </x:xf>
    <x:xf numFmtId="0" fontId="3" fillId="5" borderId="14" xfId="0" applyNumberFormat="1" applyFont="1" applyFill="1" applyBorder="1" applyAlignment="1">
      <x:alignment vertical="top" wrapText="1"/>
    </x:xf>
    <x:xf numFmtId="0" fontId="3" fillId="6" borderId="14" xfId="0" applyNumberFormat="1" applyFont="1" applyFill="1" applyBorder="1" applyAlignment="1">
      <x:alignment vertical="top" wrapText="1"/>
    </x:xf>
    <x:xf numFmtId="0" fontId="0"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4" fillId="0" borderId="9"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20" fillId="19" borderId="0" xfId="0" applyNumberFormat="1" applyFont="1" applyFill="1" applyBorder="1" applyAlignment="1">
      <x:alignment horizontal="center" vertical="center" wrapText="1"/>
    </x:xf>
    <x:xf numFmtId="0" fontId="7" fillId="21" borderId="0" xfId="0" applyNumberFormat="1" applyFont="1" applyFill="1" applyBorder="1" applyAlignment="1">
      <x:alignment wrapText="1"/>
    </x:xf>
    <x:xf numFmtId="0" fontId="21" fillId="19" borderId="0" xfId="0" applyNumberFormat="1" applyFont="1" applyFill="1" applyBorder="1" applyAlignment="1">
      <x:alignment wrapText="1"/>
    </x:xf>
    <x:xf numFmtId="0" fontId="20" fillId="19" borderId="25" xfId="0" applyNumberFormat="1" applyFont="1" applyFill="1" applyBorder="1" applyAlignment="1">
      <x:alignment horizontal="center" vertical="center" wrapText="1"/>
    </x:xf>
    <x:xf numFmtId="0" fontId="21" fillId="19" borderId="25" xfId="0" applyNumberFormat="1" applyFont="1" applyFill="1" applyBorder="1" applyAlignment="1">
      <x:alignment wrapText="1"/>
    </x:xf>
    <x:xf numFmtId="0" fontId="20" fillId="35" borderId="0" xfId="0" applyNumberFormat="1" applyFont="1" applyFill="1" applyBorder="1" applyAlignment="1">
      <x:alignment horizontal="center" vertical="center" wrapText="1"/>
    </x:xf>
    <x:xf numFmtId="0" fontId="23" fillId="35" borderId="0" xfId="0" applyNumberFormat="1" applyFont="1" applyFill="1" applyBorder="1" applyAlignment="1">
      <x:alignment horizontal="center" vertical="center" wrapText="1"/>
    </x:xf>
    <x:xf numFmtId="0" fontId="20" fillId="35" borderId="25" xfId="0" applyNumberFormat="1" applyFont="1" applyFill="1" applyBorder="1" applyAlignment="1">
      <x:alignment horizontal="center" vertical="center" wrapText="1"/>
    </x:xf>
    <x:xf numFmtId="0" fontId="23" fillId="35" borderId="25" xfId="0" applyNumberFormat="1" applyFont="1" applyFill="1" applyBorder="1" applyAlignment="1">
      <x:alignment horizontal="center" vertical="center" wrapText="1"/>
    </x:xf>
    <x:xf numFmtId="0" fontId="7" fillId="36" borderId="0" xfId="0" applyNumberFormat="1" applyFont="1" applyFill="1" applyBorder="1" applyAlignment="1">
      <x:alignment wrapText="1"/>
    </x:xf>
    <x:xf numFmtId="0" fontId="25" fillId="36" borderId="0" xfId="0" applyNumberFormat="1" applyFont="1" applyFill="1" applyBorder="1" applyAlignment="1">
      <x:alignment wrapText="1"/>
    </x:xf>
    <x:xf numFmtId="0" fontId="7" fillId="36" borderId="25" xfId="0" applyNumberFormat="1" applyFont="1" applyFill="1" applyBorder="1" applyAlignment="1">
      <x:alignment wrapText="1"/>
    </x:xf>
    <x:xf numFmtId="0" fontId="25" fillId="36" borderId="25" xfId="0" applyNumberFormat="1" applyFont="1" applyFill="1" applyBorder="1" applyAlignment="1">
      <x:alignment wrapText="1"/>
    </x:xf>
    <x:xf numFmtId="0" fontId="0" fillId="35" borderId="0" xfId="0" applyNumberFormat="1" applyFont="1" applyFill="1" applyBorder="1" applyAlignment="1">
      <x:alignment wrapText="1"/>
    </x:xf>
    <x:xf numFmtId="0" fontId="7" fillId="35" borderId="0" xfId="0" applyNumberFormat="1" applyFont="1" applyFill="1" applyBorder="1" applyAlignment="1">
      <x:alignment wrapText="1"/>
    </x:xf>
    <x:xf numFmtId="0" fontId="0" fillId="35" borderId="25" xfId="0" applyNumberFormat="1" applyFont="1" applyFill="1" applyBorder="1" applyAlignment="1">
      <x:alignment wrapText="1"/>
    </x:xf>
    <x:xf numFmtId="0" fontId="7" fillId="35" borderId="25" xfId="0" applyNumberFormat="1" applyFont="1" applyFill="1" applyBorder="1" applyAlignment="1">
      <x:alignment wrapText="1"/>
    </x:xf>
    <x:xf numFmtId="0" fontId="0" fillId="36" borderId="0" xfId="0" applyNumberFormat="1" applyFont="1" applyFill="1" applyBorder="1" applyAlignment="1">
      <x:alignment wrapText="1"/>
    </x:xf>
    <x:xf numFmtId="0" fontId="5" fillId="36" borderId="0" xfId="0" applyNumberFormat="1" applyFont="1" applyFill="1" applyBorder="1" applyAlignment="1">
      <x:alignment wrapText="1"/>
    </x:xf>
    <x:xf numFmtId="0" fontId="0" fillId="36" borderId="25" xfId="0" applyNumberFormat="1" applyFont="1" applyFill="1" applyBorder="1" applyAlignment="1">
      <x:alignment wrapText="1"/>
    </x:xf>
    <x:xf numFmtId="0" fontId="5" fillId="36" borderId="25" xfId="0" applyNumberFormat="1" applyFont="1" applyFill="1" applyBorder="1" applyAlignment="1">
      <x:alignment wrapText="1"/>
    </x:xf>
    <x:xf numFmtId="0" fontId="7" fillId="36" borderId="0" xfId="0" applyNumberFormat="1" applyFont="1" applyFill="1" applyBorder="1" applyAlignment="1">
      <x:alignment horizontal="center" vertical="center" wrapText="1"/>
    </x:xf>
    <x:xf numFmtId="0" fontId="7" fillId="36" borderId="25" xfId="0" applyNumberFormat="1" applyFont="1" applyFill="1" applyBorder="1" applyAlignment="1">
      <x:alignment horizontal="center" vertical="center" wrapText="1"/>
    </x:xf>
    <x:xf numFmtId="0" fontId="7" fillId="28" borderId="0" xfId="0" applyNumberFormat="1" applyFont="1" applyFill="1" applyBorder="1" applyAlignment="1">
      <x:alignment horizontal="center" wrapText="1"/>
    </x:xf>
    <x:xf numFmtId="0" fontId="23" fillId="28" borderId="0" xfId="0" applyNumberFormat="1" applyFont="1" applyFill="1" applyBorder="1" applyAlignment="1">
      <x:alignment horizontal="center" vertical="top" wrapText="1"/>
    </x:xf>
    <x:xf numFmtId="0" fontId="7" fillId="29" borderId="0" xfId="0" applyNumberFormat="1" applyFont="1" applyFill="1" applyBorder="1" applyAlignment="1">
      <x:alignment horizontal="center" vertical="top" wrapText="1"/>
    </x:xf>
    <x:xf numFmtId="165" fontId="0" fillId="0" borderId="0" xfId="0" applyNumberFormat="1" applyFont="1" applyFill="1" applyBorder="1" applyAlignment="1">
      <x:alignment vertical="top" wrapText="1"/>
    </x:xf>
    <x:xf numFmtId="0" fontId="7" fillId="28" borderId="0" xfId="0" applyNumberFormat="1" applyFont="1" applyFill="1" applyBorder="1" applyAlignment="1">
      <x:alignment horizontal="center" vertical="top" wrapText="1"/>
    </x:xf>
    <x:xf numFmtId="0" fontId="7" fillId="9" borderId="0" xfId="0" applyNumberFormat="1" applyFont="1" applyFill="1" applyBorder="1" applyAlignment="1">
      <x:alignment horizontal="center" vertical="top" wrapText="1"/>
    </x:xf>
    <x:xf numFmtId="0" fontId="5" fillId="9" borderId="0" xfId="0" applyNumberFormat="1" applyFont="1" applyFill="1" applyBorder="1" applyAlignment="1">
      <x:alignment vertical="top" wrapText="1"/>
    </x:xf>
    <x:xf numFmtId="0" fontId="23" fillId="28" borderId="25" xfId="0" applyNumberFormat="1" applyFont="1" applyFill="1" applyBorder="1" applyAlignment="1">
      <x:alignment horizontal="center" vertical="top" wrapText="1"/>
    </x:xf>
    <x:xf numFmtId="0" fontId="7" fillId="28" borderId="25" xfId="0" applyNumberFormat="1" applyFont="1" applyFill="1" applyBorder="1" applyAlignment="1">
      <x:alignment horizontal="center" vertical="top" wrapText="1"/>
    </x:xf>
    <x:xf numFmtId="0" fontId="23" fillId="35" borderId="0" xfId="0" applyNumberFormat="1" applyFont="1" applyFill="1" applyBorder="1" applyAlignment="1">
      <x:alignment horizontal="center" vertical="top" wrapText="1"/>
    </x:xf>
    <x:xf numFmtId="0" fontId="23" fillId="35" borderId="25" xfId="0" applyNumberFormat="1" applyFont="1" applyFill="1" applyBorder="1" applyAlignment="1">
      <x:alignment horizontal="center" vertical="top" wrapText="1"/>
    </x:xf>
    <x:xf numFmtId="0" fontId="7" fillId="36" borderId="0" xfId="0" applyNumberFormat="1" applyFont="1" applyFill="1" applyBorder="1" applyAlignment="1">
      <x:alignment horizontal="center" vertical="top" wrapText="1"/>
    </x:xf>
    <x:xf numFmtId="0" fontId="25" fillId="36" borderId="0" xfId="0" applyNumberFormat="1" applyFont="1" applyFill="1" applyBorder="1" applyAlignment="1">
      <x:alignment horizontal="center" vertical="top" wrapText="1"/>
    </x:xf>
    <x:xf numFmtId="0" fontId="7" fillId="36" borderId="25" xfId="0" applyNumberFormat="1" applyFont="1" applyFill="1" applyBorder="1" applyAlignment="1">
      <x:alignment horizontal="center" vertical="top" wrapText="1"/>
    </x:xf>
    <x:xf numFmtId="0" fontId="25" fillId="36" borderId="25" xfId="0" applyNumberFormat="1" applyFont="1" applyFill="1" applyBorder="1" applyAlignment="1">
      <x:alignment horizontal="center" vertical="top" wrapText="1"/>
    </x:xf>
    <x:xf numFmtId="0" fontId="0" fillId="36" borderId="0" xfId="0" applyNumberFormat="1" applyFont="1" applyFill="1" applyBorder="1" applyAlignment="1">
      <x:alignment vertical="top" wrapText="1"/>
    </x:xf>
    <x:xf numFmtId="165" fontId="0" fillId="36" borderId="0" xfId="0" applyNumberFormat="1" applyFont="1" applyFill="1" applyBorder="1" applyAlignment="1">
      <x:alignment vertical="top" wrapText="1"/>
    </x:xf>
    <x:xf numFmtId="0" fontId="25" fillId="36" borderId="0" xfId="0" applyNumberFormat="1" applyFont="1" applyFill="1" applyBorder="1" applyAlignment="1">
      <x:alignment vertical="top" wrapText="1"/>
    </x:xf>
    <x:xf numFmtId="165" fontId="25" fillId="36" borderId="0" xfId="0" applyNumberFormat="1" applyFont="1" applyFill="1" applyBorder="1" applyAlignment="1">
      <x:alignment vertical="top" wrapText="1"/>
    </x:xf>
    <x:xf numFmtId="0" fontId="0" fillId="36" borderId="25" xfId="0" applyNumberFormat="1" applyFont="1" applyFill="1" applyBorder="1" applyAlignment="1">
      <x:alignment vertical="top" wrapText="1"/>
    </x:xf>
    <x:xf numFmtId="165" fontId="0" fillId="36" borderId="25" xfId="0" applyNumberFormat="1" applyFont="1" applyFill="1" applyBorder="1" applyAlignment="1">
      <x:alignment vertical="top" wrapText="1"/>
    </x:xf>
    <x:xf numFmtId="0" fontId="25" fillId="36" borderId="25" xfId="0" applyNumberFormat="1" applyFont="1" applyFill="1" applyBorder="1" applyAlignment="1">
      <x:alignment vertical="top" wrapText="1"/>
    </x:xf>
    <x:xf numFmtId="165" fontId="25" fillId="36" borderId="25" xfId="0" applyNumberFormat="1" applyFont="1" applyFill="1" applyBorder="1" applyAlignment="1">
      <x:alignment vertical="top" wrapText="1"/>
    </x:xf>
    <x:xf numFmtId="0" fontId="23" fillId="28" borderId="0" xfId="0" applyNumberFormat="1" applyFont="1" applyFill="1" applyBorder="1" applyAlignment="1">
      <x:alignment horizontal="center" wrapText="1"/>
    </x:xf>
    <x:xf numFmtId="0" fontId="7" fillId="29" borderId="0" xfId="0" applyNumberFormat="1" applyFont="1" applyFill="1" applyBorder="1" applyAlignment="1">
      <x:alignment horizontal="center" wrapText="1"/>
    </x:xf>
    <x:xf numFmtId="0" fontId="23" fillId="28" borderId="25" xfId="0" applyNumberFormat="1" applyFont="1" applyFill="1" applyBorder="1" applyAlignment="1">
      <x:alignment horizontal="center" wrapText="1"/>
    </x:xf>
    <x:xf numFmtId="0" fontId="23" fillId="35" borderId="0" xfId="0" applyNumberFormat="1" applyFont="1" applyFill="1" applyBorder="1" applyAlignment="1">
      <x:alignment horizontal="center" wrapText="1"/>
    </x:xf>
    <x:xf numFmtId="0" fontId="23" fillId="35" borderId="0" xfId="0" applyNumberFormat="1" applyFont="1" applyFill="1" applyBorder="1" applyAlignment="1">
      <x:alignment wrapText="1"/>
    </x:xf>
    <x:xf numFmtId="0" fontId="23" fillId="35" borderId="25" xfId="0" applyNumberFormat="1" applyFont="1" applyFill="1" applyBorder="1" applyAlignment="1">
      <x:alignment horizontal="center" wrapText="1"/>
    </x:xf>
    <x:xf numFmtId="0" fontId="23" fillId="35" borderId="25" xfId="0" applyNumberFormat="1" applyFont="1" applyFill="1" applyBorder="1" applyAlignment="1">
      <x:alignment wrapText="1"/>
    </x:xf>
    <x:xf numFmtId="0" fontId="7" fillId="36" borderId="0" xfId="0" applyNumberFormat="1" applyFont="1" applyFill="1" applyBorder="1" applyAlignment="1">
      <x:alignment horizontal="center" wrapText="1"/>
    </x:xf>
    <x:xf numFmtId="0" fontId="25" fillId="36" borderId="0" xfId="0" applyNumberFormat="1" applyFont="1" applyFill="1" applyBorder="1" applyAlignment="1">
      <x:alignment horizontal="center" wrapText="1"/>
    </x:xf>
    <x:xf numFmtId="0" fontId="7" fillId="36" borderId="25" xfId="0" applyNumberFormat="1" applyFont="1" applyFill="1" applyBorder="1" applyAlignment="1">
      <x:alignment horizontal="center" wrapText="1"/>
    </x:xf>
    <x:xf numFmtId="0" fontId="25" fillId="36" borderId="25" xfId="0" applyNumberFormat="1" applyFont="1" applyFill="1" applyBorder="1" applyAlignment="1">
      <x:alignment horizontal="center" wrapText="1"/>
    </x:xf>
    <x:xf numFmtId="0" fontId="9" fillId="2" borderId="3" xfId="0" applyNumberFormat="1" applyFont="1" applyFill="1" applyBorder="1" applyAlignment="1">
      <x:alignment horizontal="center" vertical="top" wrapText="1"/>
    </x:xf>
    <x:xf numFmtId="0" fontId="8" fillId="2" borderId="5" xfId="0" applyNumberFormat="1" applyFont="1" applyFill="1" applyBorder="1" applyAlignment="1">
      <x:alignment horizontal="center" vertical="top" wrapText="1"/>
    </x:xf>
    <x:xf numFmtId="0" fontId="2"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7" fillId="19" borderId="0" xfId="0" applyNumberFormat="1" applyFont="1" applyFill="1" applyBorder="1" applyAlignment="1">
      <x:alignment wrapText="1"/>
    </x:xf>
    <x:xf numFmtId="0" fontId="9" fillId="35" borderId="3" xfId="0" applyNumberFormat="1" applyFont="1" applyFill="1" applyBorder="1" applyAlignment="1">
      <x:alignment horizontal="center" vertical="top" wrapText="1"/>
    </x:xf>
    <x:xf numFmtId="0" fontId="26" fillId="35" borderId="3" xfId="0" applyNumberFormat="1" applyFont="1" applyFill="1" applyBorder="1" applyAlignment="1">
      <x:alignment horizontal="center" vertical="top" wrapText="1"/>
    </x:xf>
    <x:xf numFmtId="0" fontId="9" fillId="35" borderId="27" xfId="0" applyNumberFormat="1" applyFont="1" applyFill="1" applyBorder="1" applyAlignment="1">
      <x:alignment horizontal="center" vertical="top" wrapText="1"/>
    </x:xf>
    <x:xf numFmtId="0" fontId="26" fillId="35" borderId="27" xfId="0" applyNumberFormat="1" applyFont="1" applyFill="1" applyBorder="1" applyAlignment="1">
      <x:alignment horizontal="center" vertical="top" wrapText="1"/>
    </x:xf>
    <x:xf numFmtId="0" fontId="5" fillId="24" borderId="0" xfId="0" applyNumberFormat="1" applyFont="1" applyFill="1" applyBorder="1" applyAlignment="1">
      <x:alignment vertical="top" wrapText="1"/>
    </x:xf>
    <x:xf numFmtId="0" fontId="5" fillId="23" borderId="0" xfId="0" applyNumberFormat="1" applyFont="1" applyFill="1" applyBorder="1" applyAlignment="1">
      <x:alignment vertical="top" wrapText="1"/>
    </x:xf>
    <x:xf numFmtId="0" fontId="0" fillId="35" borderId="0" xfId="0" applyNumberFormat="1" applyFont="1" applyFill="1" applyBorder="1"/>
    <x:xf numFmtId="0" fontId="20" fillId="35" borderId="0" xfId="0" applyNumberFormat="1" applyFont="1" applyFill="1" applyBorder="1"/>
    <x:xf numFmtId="0" fontId="20" fillId="35" borderId="0" xfId="0" applyNumberFormat="1" applyFont="1" applyFill="1" applyBorder="1" applyAlignment="1">
      <x:alignment horizontal="center"/>
    </x:xf>
    <x:xf numFmtId="0" fontId="0" fillId="35" borderId="25" xfId="0" applyNumberFormat="1" applyFont="1" applyFill="1" applyBorder="1"/>
    <x:xf numFmtId="0" fontId="20" fillId="35" borderId="25" xfId="0" applyNumberFormat="1" applyFont="1" applyFill="1" applyBorder="1"/>
    <x:xf numFmtId="0" fontId="20" fillId="35" borderId="25" xfId="0" applyNumberFormat="1" applyFont="1" applyFill="1" applyBorder="1" applyAlignment="1">
      <x:alignment horizontal="center"/>
    </x:xf>
    <x:xf numFmtId="0" fontId="7" fillId="35" borderId="0" xfId="0" applyNumberFormat="1" applyFont="1" applyFill="1" applyBorder="1"/>
    <x:xf numFmtId="0" fontId="7" fillId="35" borderId="25" xfId="0" applyNumberFormat="1" applyFont="1" applyFill="1" applyBorder="1"/>
    <x:xf numFmtId="0" fontId="23" fillId="35" borderId="0" xfId="0" applyNumberFormat="1" applyFont="1" applyFill="1" applyBorder="1" applyAlignment="1">
      <x:alignment horizontal="center"/>
    </x:xf>
    <x:xf numFmtId="0" fontId="23" fillId="35" borderId="25" xfId="0" applyNumberFormat="1" applyFont="1" applyFill="1" applyBorder="1" applyAlignment="1">
      <x:alignment horizontal="center"/>
    </x:xf>
    <x:xf numFmtId="0" fontId="0" fillId="37" borderId="0" xfId="0" applyNumberFormat="1" applyFont="1" applyFill="1" applyBorder="1" applyAlignment="1">
      <x:alignment wrapText="1"/>
    </x:xf>
    <x:xf numFmtId="2" fontId="0" fillId="37" borderId="0" xfId="0" applyNumberFormat="1" applyFont="1" applyFill="1" applyBorder="1" applyAlignment="1">
      <x:alignment wrapText="1"/>
    </x:xf>
    <x:xf numFmtId="0" fontId="5" fillId="37" borderId="0" xfId="0" applyNumberFormat="1" applyFont="1" applyFill="1" applyBorder="1" applyAlignment="1">
      <x:alignment wrapText="1"/>
    </x:xf>
    <x:xf numFmtId="2" fontId="5" fillId="37" borderId="0" xfId="0" applyNumberFormat="1" applyFont="1" applyFill="1" applyBorder="1" applyAlignment="1">
      <x:alignment wrapText="1"/>
    </x:xf>
    <x:xf numFmtId="0" fontId="0" fillId="37" borderId="25" xfId="0" applyNumberFormat="1" applyFont="1" applyFill="1" applyBorder="1" applyAlignment="1">
      <x:alignment wrapText="1"/>
    </x:xf>
    <x:xf numFmtId="2" fontId="0" fillId="37" borderId="25" xfId="0" applyNumberFormat="1" applyFont="1" applyFill="1" applyBorder="1" applyAlignment="1">
      <x:alignment wrapText="1"/>
    </x:xf>
    <x:xf numFmtId="0" fontId="5" fillId="37" borderId="25" xfId="0" applyNumberFormat="1" applyFont="1" applyFill="1" applyBorder="1" applyAlignment="1">
      <x:alignment wrapText="1"/>
    </x:xf>
    <x:xf numFmtId="2" fontId="5" fillId="37" borderId="25" xfId="0" applyNumberFormat="1" applyFont="1" applyFill="1" applyBorder="1" applyAlignment="1">
      <x:alignment wrapText="1"/>
    </x:xf>
    <x:xf numFmtId="2" fontId="0" fillId="36" borderId="0" xfId="0" applyNumberFormat="1" applyFont="1" applyFill="1" applyBorder="1" applyAlignment="1">
      <x:alignment wrapText="1"/>
    </x:xf>
    <x:xf numFmtId="2" fontId="25" fillId="36" borderId="0" xfId="0" applyNumberFormat="1" applyFont="1" applyFill="1" applyBorder="1" applyAlignment="1">
      <x:alignment wrapText="1"/>
    </x:xf>
    <x:xf numFmtId="2" fontId="0" fillId="36" borderId="25" xfId="0" applyNumberFormat="1" applyFont="1" applyFill="1" applyBorder="1" applyAlignment="1">
      <x:alignment wrapText="1"/>
    </x:xf>
    <x:xf numFmtId="2" fontId="25" fillId="36" borderId="25" xfId="0" applyNumberFormat="1" applyFont="1" applyFill="1" applyBorder="1" applyAlignment="1">
      <x:alignment wrapText="1"/>
    </x:xf>
    <x:xf numFmtId="0" fontId="24" fillId="31" borderId="0" xfId="0" applyNumberFormat="1" applyFont="1" applyFill="1" applyBorder="1" applyAlignment="1">
      <x:alignment wrapText="1"/>
    </x:xf>
    <x:xf numFmtId="0" fontId="24" fillId="31" borderId="25" xfId="0" applyNumberFormat="1" applyFont="1" applyFill="1" applyBorder="1" applyAlignment="1">
      <x:alignment wrapText="1"/>
    </x:xf>
    <x:xf numFmtId="0" fontId="0" fillId="0" borderId="0" xfId="0" applyNumberFormat="1" applyFont="1" applyFill="1" applyBorder="1"/>
    <x:xf numFmtId="0" fontId="7" fillId="8" borderId="0"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0" fillId="0" borderId="0" xfId="0" applyNumberFormat="1" applyFont="1" applyFill="1" applyBorder="1" applyAlignment="1">
      <x:alignment horizontal="left" vertical="center"/>
    </x:xf>
    <x:xf numFmtId="0" fontId="0" fillId="0" borderId="0" xfId="0" applyNumberFormat="1" applyFont="1" applyFill="1" applyBorder="1" applyAlignment="1">
      <x:alignment horizontal="left" vertical="center" wrapText="1"/>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10" xfId="0" applyNumberFormat="1" applyFont="1" applyFill="1" applyBorder="1"/>
    <x:xf numFmtId="0" fontId="0" fillId="0" borderId="0" xfId="0" applyNumberFormat="1" applyFont="1" applyFill="1" applyBorder="1" applyAlignment="1">
      <x:alignment vertical="top"/>
    </x:xf>
    <x:xf numFmtId="0" fontId="2" fillId="0" borderId="16" xfId="0" applyNumberFormat="1" applyFont="1" applyFill="1" applyBorder="1" applyAlignment="1">
      <x:alignment horizontal="center" vertical="center" wrapText="1"/>
    </x:xf>
    <x:xf numFmtId="0" fontId="0" fillId="0" borderId="17" xfId="0" applyNumberFormat="1" applyFont="1" applyFill="1" applyBorder="1" applyAlignment="1">
      <x:alignment horizontal="center" vertical="center" wrapText="1"/>
    </x:xf>
    <x:xf numFmtId="0" fontId="5" fillId="0" borderId="18" xfId="0" applyNumberFormat="1" applyFont="1" applyFill="1" applyBorder="1" applyAlignment="1">
      <x:alignment horizontal="center" vertical="center" wrapText="1"/>
    </x:xf>
    <x:xf numFmtId="0" fontId="0" fillId="0" borderId="19" xfId="0" applyNumberFormat="1" applyFont="1" applyFill="1" applyBorder="1" applyAlignment="1">
      <x:alignment horizontal="center" vertical="center" wrapText="1"/>
    </x:xf>
    <x:xf numFmtId="0" fontId="5" fillId="0" borderId="20" xfId="0" applyNumberFormat="1" applyFont="1" applyFill="1" applyBorder="1" applyAlignment="1">
      <x:alignment horizontal="center" vertical="center" wrapText="1"/>
    </x:xf>
    <x:xf numFmtId="164" fontId="0" fillId="0" borderId="21" xfId="0" applyNumberFormat="1" applyFont="1" applyFill="1" applyBorder="1" applyAlignment="1">
      <x:alignment horizontal="center" vertical="center" wrapText="1"/>
    </x:xf>
    <x:xf numFmtId="0" fontId="8" fillId="2" borderId="3" xfId="0" applyNumberFormat="1" applyFont="1" applyFill="1" applyBorder="1" applyAlignment="1">
      <x:alignment horizontal="center" vertical="center"/>
    </x:xf>
    <x:xf numFmtId="0" fontId="8" fillId="2" borderId="5" xfId="0" applyNumberFormat="1" applyFont="1" applyFill="1" applyBorder="1" applyAlignment="1">
      <x:alignment horizontal="center" vertical="center"/>
    </x:xf>
    <x:xf numFmtId="0" fontId="8" fillId="2" borderId="3" xfId="0" applyNumberFormat="1" applyFont="1" applyFill="1" applyBorder="1" applyAlignment="1">
      <x:alignment horizontal="center" vertical="top"/>
    </x:xf>
    <x:xf numFmtId="0" fontId="8" fillId="2" borderId="4" xfId="0" applyNumberFormat="1" applyFont="1" applyFill="1" applyBorder="1" applyAlignment="1">
      <x:alignment horizontal="center" vertical="top"/>
    </x:xf>
    <x:xf numFmtId="0" fontId="8" fillId="2" borderId="5" xfId="0" applyNumberFormat="1" applyFont="1" applyFill="1" applyBorder="1" applyAlignment="1">
      <x:alignment horizontal="center" vertical="top"/>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8" fillId="2" borderId="3" xfId="0" applyNumberFormat="1" applyFont="1" applyFill="1" applyBorder="1" applyAlignment="1">
      <x:alignment horizontal="center" vertical="center" wrapText="1"/>
    </x:xf>
    <x:xf numFmtId="0" fontId="8" fillId="2" borderId="4" xfId="0" applyNumberFormat="1" applyFont="1" applyFill="1" applyBorder="1" applyAlignment="1">
      <x:alignment horizontal="center" vertical="center" wrapText="1"/>
    </x:xf>
    <x:xf numFmtId="0" fontId="8" fillId="2" borderId="5"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x:xf>
    <x:xf numFmtId="0" fontId="8" fillId="19" borderId="0" xfId="0" applyNumberFormat="1" applyFont="1" applyFill="1" applyBorder="1" applyAlignment="1">
      <x:alignment horizontal="center" vertical="center"/>
    </x:xf>
    <x:xf numFmtId="0" fontId="7" fillId="21" borderId="0" xfId="0" applyNumberFormat="1" applyFont="1" applyFill="1" applyBorder="1"/>
    <x:xf numFmtId="0" fontId="8" fillId="19" borderId="3" xfId="0" applyNumberFormat="1" applyFont="1" applyFill="1" applyBorder="1" applyAlignment="1">
      <x:alignment horizontal="center" vertical="top" wrapText="1"/>
    </x:xf>
    <x:xf numFmtId="0" fontId="8" fillId="19" borderId="4" xfId="0" applyNumberFormat="1" applyFont="1" applyFill="1" applyBorder="1" applyAlignment="1">
      <x:alignment horizontal="center" vertical="top" wrapText="1"/>
    </x:xf>
    <x:xf numFmtId="0" fontId="8" fillId="19" borderId="5" xfId="0" applyNumberFormat="1" applyFont="1" applyFill="1" applyBorder="1" applyAlignment="1">
      <x:alignment horizontal="center" vertical="top" wrapText="1"/>
    </x:xf>
    <x:xf numFmtId="0" fontId="0" fillId="22" borderId="7" xfId="0" applyNumberFormat="1" applyFont="1" applyFill="1" applyBorder="1" applyAlignment="1">
      <x:alignment vertical="top" wrapText="1"/>
    </x:xf>
    <x:xf numFmtId="0" fontId="0" fillId="25" borderId="0" xfId="0" applyNumberFormat="1" applyFont="1" applyFill="1" applyBorder="1" applyAlignment="1">
      <x:alignment wrapText="1"/>
    </x:xf>
    <x:xf numFmtId="0" fontId="8" fillId="19" borderId="3" xfId="0" applyNumberFormat="1" applyFont="1" applyFill="1" applyBorder="1" applyAlignment="1">
      <x:alignment horizontal="center" vertical="center" wrapText="1"/>
    </x:xf>
    <x:xf numFmtId="0" fontId="8" fillId="19" borderId="5" xfId="0" applyNumberFormat="1" applyFont="1" applyFill="1" applyBorder="1" applyAlignment="1">
      <x:alignment horizontal="center" vertical="center" wrapText="1"/>
    </x:xf>
    <x:xf numFmtId="0" fontId="5" fillId="9" borderId="6" xfId="0" applyNumberFormat="1" applyFont="1" applyFill="1" applyBorder="1" applyAlignment="1">
      <x:alignment wrapText="1"/>
    </x:xf>
    <x:xf numFmtId="0" fontId="5" fillId="7" borderId="7" xfId="0" applyNumberFormat="1" applyFont="1" applyFill="1" applyBorder="1" applyAlignment="1">
      <x:alignment horizontal="center" wrapText="1"/>
    </x:xf>
    <x:xf numFmtId="0" fontId="7" fillId="26" borderId="0" xfId="0" applyNumberFormat="1" applyFont="1" applyFill="1" applyBorder="1" applyAlignment="1">
      <x:alignment horizontal="center" vertical="top" wrapText="1"/>
    </x:xf>
    <x:xf numFmtId="0" fontId="5" fillId="9" borderId="0" xfId="0" applyNumberFormat="1" applyFont="1" applyFill="1" applyBorder="1" applyAlignment="1">
      <x:alignment wrapText="1"/>
    </x:xf>
    <x:xf numFmtId="0" fontId="6" fillId="9" borderId="0" xfId="0" applyNumberFormat="1" applyFont="1" applyFill="1" applyBorder="1" applyAlignment="1">
      <x:alignment wrapText="1"/>
    </x:xf>
    <x:xf numFmtId="0" fontId="12" fillId="16" borderId="0" xfId="0" applyNumberFormat="1" applyFont="1" applyFill="1" applyBorder="1" applyAlignment="1">
      <x:alignment wrapText="1"/>
    </x:xf>
    <x:xf numFmtId="0" fontId="10" fillId="2" borderId="0" xfId="0" applyNumberFormat="1" applyFont="1" applyFill="1" applyBorder="1" applyAlignment="1">
      <x:alignment horizontal="center" vertical="center" wrapText="1"/>
    </x:xf>
    <x:xf numFmtId="0" fontId="11" fillId="14" borderId="0" xfId="0" applyNumberFormat="1" applyFont="1" applyFill="1" applyBorder="1" applyAlignment="1">
      <x:alignment wrapText="1"/>
    </x:xf>
    <x:xf numFmtId="0" fontId="7" fillId="15" borderId="0" xfId="0" applyNumberFormat="1" applyFont="1" applyFill="1" applyBorder="1" applyAlignment="1">
      <x:alignment horizontal="center" wrapText="1"/>
    </x:xf>
    <x:xf numFmtId="0" fontId="10" fillId="19" borderId="0" xfId="0" applyNumberFormat="1" applyFont="1" applyFill="1" applyBorder="1" applyAlignment="1">
      <x:alignment horizontal="center"/>
    </x:xf>
    <x:xf numFmtId="0" fontId="22" fillId="19" borderId="0" xfId="0" applyNumberFormat="1" applyFont="1" applyFill="1" applyBorder="1" applyAlignment="1">
      <x:alignment horizontal="center"/>
    </x:xf>
    <x:xf numFmtId="0" fontId="7" fillId="17" borderId="0" xfId="0" applyNumberFormat="1" applyFont="1" applyFill="1" applyBorder="1" applyAlignment="1">
      <x:alignment horizontal="center"/>
    </x:xf>
    <x:xf numFmtId="0" fontId="13" fillId="18" borderId="0" xfId="0" applyNumberFormat="1" applyFont="1" applyFill="1" applyBorder="1" applyAlignment="1">
      <x:alignment vertical="top" wrapText="1"/>
    </x:xf>
    <x:xf numFmtId="0" fontId="20" fillId="19" borderId="0" xfId="0" applyNumberFormat="1" applyFont="1" applyFill="1" applyBorder="1" applyAlignment="1">
      <x:alignment horizontal="center" vertical="center"/>
    </x:xf>
    <x:xf numFmtId="0" fontId="21" fillId="19" borderId="0" xfId="0" applyNumberFormat="1" applyFont="1" applyFill="1" applyBorder="1"/>
    <x:xf numFmtId="0" fontId="7" fillId="28" borderId="0" xfId="0" applyNumberFormat="1" applyFont="1" applyFill="1" applyBorder="1" applyAlignment="1">
      <x:alignment horizontal="center"/>
    </x:xf>
    <x:xf numFmtId="0" fontId="20" fillId="27" borderId="0" xfId="0" applyNumberFormat="1" applyFont="1" applyFill="1" applyBorder="1" applyAlignment="1">
      <x:alignment horizontal="center" vertical="top"/>
    </x:xf>
    <x:xf numFmtId="0" fontId="23" fillId="27" borderId="0" xfId="0" applyNumberFormat="1" applyFont="1" applyFill="1" applyBorder="1" applyAlignment="1">
      <x:alignment horizontal="center" vertical="top"/>
    </x:xf>
    <x:xf numFmtId="0" fontId="23" fillId="28" borderId="0" xfId="0" applyNumberFormat="1" applyFont="1" applyFill="1" applyBorder="1" applyAlignment="1">
      <x:alignment horizontal="center" vertical="top"/>
    </x:xf>
    <x:xf numFmtId="0" fontId="7" fillId="28" borderId="0" xfId="0" applyNumberFormat="1" applyFont="1" applyFill="1" applyBorder="1" applyAlignment="1">
      <x:alignment horizontal="center" vertical="top"/>
    </x:xf>
    <x:xf numFmtId="0" fontId="20" fillId="28" borderId="0" xfId="0" applyNumberFormat="1" applyFont="1" applyFill="1" applyBorder="1" applyAlignment="1">
      <x:alignment horizontal="center" vertical="center"/>
    </x:xf>
    <x:xf numFmtId="0" fontId="23" fillId="28" borderId="0" xfId="0" applyNumberFormat="1" applyFont="1" applyFill="1" applyBorder="1" applyAlignment="1">
      <x:alignment horizontal="center"/>
    </x:xf>
    <x:xf numFmtId="0" fontId="24" fillId="31" borderId="0" xfId="0" applyNumberFormat="1" applyFont="1" applyFill="1" applyBorder="1"/>
    <x:xf numFmtId="0" fontId="24" fillId="9" borderId="0" xfId="0" applyNumberFormat="1" applyFont="1" applyFill="1" applyBorder="1"/>
    <x:xf numFmtId="0" fontId="24" fillId="32" borderId="0" xfId="0" applyNumberFormat="1" applyFont="1" applyFill="1" applyBorder="1"/>
    <x:xf numFmtId="0" fontId="7" fillId="9" borderId="0" xfId="0" applyNumberFormat="1" applyFont="1" applyFill="1" applyBorder="1" applyAlignment="1">
      <x:alignment wrapText="1"/>
    </x:xf>
    <x:xf numFmtId="0" fontId="25" fillId="9" borderId="0" xfId="0" applyNumberFormat="1" applyFont="1" applyFill="1" applyBorder="1" applyAlignment="1">
      <x:alignment wrapText="1"/>
    </x:xf>
    <x:xf numFmtId="0" fontId="0" fillId="9" borderId="0" xfId="0" applyNumberFormat="1" applyFont="1" applyFill="1" applyBorder="1" applyAlignment="1">
      <x:alignment wrapText="1"/>
    </x:xf>
    <x:xf numFmtId="0" fontId="7" fillId="9" borderId="0" xfId="0" applyNumberFormat="1" applyFont="1" applyFill="1" applyBorder="1" applyAlignment="1">
      <x:alignment horizontal="center" vertical="center" wrapText="1"/>
    </x:xf>
    <x:xf numFmtId="0" fontId="25" fillId="9" borderId="0" xfId="0" applyNumberFormat="1" applyFont="1" applyFill="1" applyBorder="1" applyAlignment="1">
      <x:alignment horizontal="center" vertical="top" wrapText="1"/>
    </x:xf>
    <x:xf numFmtId="0" fontId="0" fillId="9" borderId="0" xfId="0" applyNumberFormat="1" applyFont="1" applyFill="1" applyBorder="1" applyAlignment="1">
      <x:alignment vertical="top" wrapText="1"/>
    </x:xf>
    <x:xf numFmtId="165" fontId="0" fillId="9" borderId="0" xfId="0" applyNumberFormat="1" applyFont="1" applyFill="1" applyBorder="1" applyAlignment="1">
      <x:alignment vertical="top" wrapText="1"/>
    </x:xf>
    <x:xf numFmtId="0" fontId="25" fillId="9" borderId="0" xfId="0" applyNumberFormat="1" applyFont="1" applyFill="1" applyBorder="1" applyAlignment="1">
      <x:alignment vertical="top" wrapText="1"/>
    </x:xf>
    <x:xf numFmtId="165" fontId="25" fillId="9" borderId="0" xfId="0" applyNumberFormat="1" applyFont="1" applyFill="1" applyBorder="1" applyAlignment="1">
      <x:alignment vertical="top" wrapText="1"/>
    </x:xf>
    <x:xf numFmtId="0" fontId="7" fillId="9" borderId="0" xfId="0" applyNumberFormat="1" applyFont="1" applyFill="1" applyBorder="1" applyAlignment="1">
      <x:alignment horizontal="center" wrapText="1"/>
    </x:xf>
    <x:xf numFmtId="0" fontId="25" fillId="9" borderId="0" xfId="0" applyNumberFormat="1" applyFont="1" applyFill="1" applyBorder="1" applyAlignment="1">
      <x:alignment horizontal="center" wrapText="1"/>
    </x:xf>
    <x:xf numFmtId="2" fontId="0" fillId="9" borderId="0" xfId="0" applyNumberFormat="1" applyFont="1" applyFill="1" applyBorder="1" applyAlignment="1">
      <x:alignment wrapText="1"/>
    </x:xf>
    <x:xf numFmtId="2" fontId="25" fillId="9" borderId="0" xfId="0" applyNumberFormat="1" applyFont="1" applyFill="1" applyBorder="1" applyAlignment="1">
      <x:alignment wrapText="1"/>
    </x:xf>
    <x:xf numFmtId="0" fontId="0" fillId="38" borderId="0" xfId="0" applyNumberFormat="1" applyFont="1" applyFill="1" applyBorder="1"/>
    <x:xf numFmtId="0" fontId="7" fillId="38" borderId="0" xfId="0" applyNumberFormat="1" applyFont="1" applyFill="1" applyBorder="1"/>
    <x:xf numFmtId="0" fontId="7" fillId="38" borderId="0" xfId="0" applyNumberFormat="1" applyFont="1" applyFill="1" applyBorder="1" applyAlignment="1">
      <x:alignment wrapText="1"/>
    </x:xf>
    <x:xf numFmtId="0" fontId="0" fillId="28" borderId="0" xfId="0" applyNumberFormat="1" applyFont="1" applyFill="1" applyBorder="1"/>
    <x:xf numFmtId="0" fontId="7" fillId="28" borderId="0" xfId="0" applyNumberFormat="1" applyFont="1" applyFill="1" applyBorder="1"/>
    <x:xf numFmtId="0" fontId="7" fillId="28" borderId="0" xfId="0" applyNumberFormat="1" applyFont="1" applyFill="1" applyBorder="1" applyAlignment="1">
      <x:alignment wrapText="1"/>
    </x:xf>
    <x:xf numFmtId="0" fontId="0" fillId="39" borderId="0" xfId="0" applyNumberFormat="1" applyFont="1" applyFill="1" applyBorder="1"/>
    <x:xf numFmtId="0" fontId="7" fillId="39" borderId="0" xfId="0" applyNumberFormat="1" applyFont="1" applyFill="1" applyBorder="1"/>
    <x:xf numFmtId="0" fontId="7" fillId="39" borderId="0" xfId="0" applyNumberFormat="1" applyFont="1" applyFill="1" applyBorder="1" applyAlignment="1">
      <x:alignment wrapText="1"/>
    </x:xf>
  </x:cellXfs>
  <x:cellStyles count="1">
    <x:cellStyle name="Normal" xfId="0"/>
  </x:cellStyles>
  <x:dxfs count="36">
    <x:dxf>
      <x:font>
        <x:color rgb="FF4B5563"/>
      </x:font>
      <x:fill>
        <x:patternFill>
          <x:bgColor rgb="FFE5E7EB"/>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065F46"/>
      </x:font>
      <x:fill>
        <x:patternFill>
          <x:bgColor rgb="FFD1FAE5"/>
        </x:patternFill>
      </x:fill>
    </x:dxf>
    <x:dxf>
      <x:fill>
        <x:patternFill>
          <x:bgColor rgb="FFFFF2CC"/>
        </x:patternFill>
      </x:fill>
    </x:dxf>
    <x:dxf>
      <x:fill>
        <x:patternFill>
          <x:bgColor rgb="FFD9EAD3"/>
        </x:patternFill>
      </x:fill>
    </x:dxf>
    <x:dxf>
      <x:fill>
        <x:patternFill>
          <x:bgColor rgb="FFE7E6E6"/>
        </x:patternFill>
      </x:fill>
    </x:dxf>
    <x:dxf>
      <x:fill>
        <x:patternFill>
          <x:bgColor rgb="FFEADCF8"/>
        </x:patternFill>
      </x:fill>
    </x:dxf>
    <x:dxf>
      <x:fill>
        <x:patternFill>
          <x:bgColor rgb="FFD9EAF7"/>
        </x:patternFill>
      </x:fill>
    </x:dxf>
    <x:dxf>
      <x:fill>
        <x:patternFill>
          <x:bgColor rgb="FFD9EAD3"/>
        </x:patternFill>
      </x:fill>
    </x:dxf>
    <x:dxf>
      <x:font>
        <x:b/>
        <x:color rgb="FFB42318"/>
      </x:font>
      <x:fill>
        <x:patternFill>
          <x:bgColor rgb="FFFDE2E2"/>
        </x:patternFill>
      </x:fill>
    </x:dxf>
    <x:dxf>
      <x:font>
        <x:b/>
        <x:color rgb="FF166534"/>
      </x:font>
      <x:fill>
        <x:patternFill>
          <x:bgColor rgb="FFDCFCE7"/>
        </x:patternFill>
      </x:fill>
    </x:dxf>
    <x:dxf>
      <x:font>
        <x:b/>
        <x:color rgb="FFB42318"/>
      </x:font>
      <x:fill>
        <x:patternFill>
          <x:bgColor rgb="FFFDE2E2"/>
        </x:patternFill>
      </x:fill>
    </x:dxf>
    <x:dxf>
      <x:font>
        <x:b/>
        <x:color rgb="FFB42318"/>
      </x:font>
      <x:fill>
        <x:patternFill>
          <x:bgColor rgb="FFFDE2E2"/>
        </x:patternFill>
      </x:fill>
    </x:dxf>
    <x:dxf>
      <x:fill>
        <x:patternFill>
          <x:bgColor rgb="FFDCFCE7"/>
        </x:patternFill>
      </x:fill>
    </x:dxf>
    <x:dxf>
      <x:fill>
        <x:patternFill>
          <x:bgColor rgb="FFFDE2E2"/>
        </x:patternFill>
      </x:fill>
    </x:dxf>
    <x:dxf>
      <x:fill>
        <x:patternFill>
          <x:bgColor rgb="FFFFF4CC"/>
        </x:patternFill>
      </x:fill>
    </x:dxf>
    <x:dxf>
      <x:fill>
        <x:patternFill>
          <x:bgColor rgb="FFFDE2E2"/>
        </x:patternFill>
      </x:fill>
    </x:dxf>
    <x:dxf>
      <x:font>
        <x:b/>
        <x:color rgb="FF065F46"/>
      </x:font>
      <x:fill>
        <x:patternFill>
          <x:bgColor rgb="FFD1FAE5"/>
        </x:patternFill>
      </x:fill>
    </x:dxf>
    <x:dxf>
      <x:font>
        <x:b/>
        <x:color rgb="FF065F46"/>
      </x:font>
      <x:fill>
        <x:patternFill>
          <x:bgColor rgb="FFD1FAE5"/>
        </x:patternFill>
      </x:fill>
    </x:dxf>
    <x:dxf>
      <x:font>
        <x:b/>
        <x:color rgb="FF9C0006"/>
      </x:font>
      <x:fill>
        <x:patternFill>
          <x:bgColor rgb="FFFFC7CE"/>
        </x:patternFill>
      </x:fill>
    </x:dxf>
    <x:dxf>
      <x:font>
        <x:b/>
        <x:color rgb="FF006100"/>
      </x:font>
      <x:fill>
        <x:patternFill>
          <x:bgColor rgb="FFC6EFCE"/>
        </x:patternFill>
      </x:fill>
    </x:dxf>
    <x:dxf>
      <x:fill>
        <x:patternFill>
          <x:bgColor rgb="FFE2F0D9"/>
        </x:patternFill>
      </x:fill>
    </x:dxf>
    <x:dxf>
      <x:font>
        <x:b/>
      </x:font>
      <x:fill>
        <x:patternFill>
          <x:bgColor rgb="FFDDEBF7"/>
        </x:patternFill>
      </x:fill>
    </x:dxf>
    <x:dxf>
      <x:font>
        <x:b/>
      </x:font>
      <x:fill>
        <x:patternFill>
          <x:bgColor rgb="FFFFF2CC"/>
        </x:patternFill>
      </x:fill>
    </x:dxf>
    <x:dxf>
      <x:fill>
        <x:patternFill>
          <x:bgColor rgb="FFE7E6E6"/>
        </x:patternFill>
      </x:fill>
    </x:dxf>
    <x:dxf>
      <x:fill>
        <x:patternFill>
          <x:bgColor rgb="FFEADCF8"/>
        </x:patternFill>
      </x:fill>
    </x:dxf>
    <x:dxf>
      <x:fill>
        <x:patternFill>
          <x:bgColor rgb="FFD9EAF7"/>
        </x:patternFill>
      </x:fill>
    </x:dxf>
    <x:dxf>
      <x:fill>
        <x:patternFill>
          <x:bgColor rgb="FFD9EAD3"/>
        </x:patternFill>
      </x:fill>
    </x:dxf>
    <x:dxf>
      <x:font>
        <x:b/>
        <x:color rgb="FF166534"/>
      </x:font>
      <x:fill>
        <x:patternFill>
          <x:bgColor rgb="FFDCFCE7"/>
        </x:patternFill>
      </x:fill>
    </x:dxf>
    <x:dxf>
      <x:font>
        <x:b/>
        <x:color rgb="FFB42318"/>
      </x:font>
      <x:fill>
        <x:patternFill>
          <x:bgColor rgb="FFFDE2E2"/>
        </x:patternFill>
      </x:fill>
    </x:dxf>
    <x:dxf>
      <x:fill>
        <x:patternFill>
          <x:bgColor rgb="FFE8F1FF"/>
        </x:patternFill>
      </x:fill>
    </x:dxf>
    <x:dxf>
      <x:fill>
        <x:patternFill>
          <x:bgColor rgb="FFFFF4CC"/>
        </x:patternFill>
      </x:fill>
    </x:dxf>
    <x:dxf>
      <x:font>
        <x:b/>
        <x:color rgb="FF6B21A8"/>
      </x:font>
      <x:fill>
        <x:patternFill>
          <x:bgColor rgb="FFF3E8FF"/>
        </x:patternFill>
      </x:fill>
    </x:dxf>
    <x:dxf>
      <x:font>
        <x:b/>
        <x:color rgb="FF075985"/>
      </x:font>
      <x:fill>
        <x:patternFill>
          <x:bgColor rgb="FFE0F2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2570055e0c4219" /><Relationship Type="http://schemas.openxmlformats.org/officeDocument/2006/relationships/theme" Target="/xl/theme/theme1.xml" Id="Rcbbee0fcd4ba468e" /><Relationship Type="http://schemas.openxmlformats.org/officeDocument/2006/relationships/sharedStrings" Target="/xl/sharedStrings.xml" Id="R2e6d673b11d643e0" /><Relationship Type="http://schemas.openxmlformats.org/officeDocument/2006/relationships/worksheet" Target="/xl/worksheets/sheet1.xml" Id="R59d1da2c31b54eb1" /><Relationship Type="http://schemas.openxmlformats.org/officeDocument/2006/relationships/worksheet" Target="/xl/worksheets/sheet2.xml" Id="R1085e7dc26ba49dc" /><Relationship Type="http://schemas.openxmlformats.org/officeDocument/2006/relationships/worksheet" Target="/xl/worksheets/sheet3.xml" Id="R082ad704b88a4175" /><Relationship Type="http://schemas.openxmlformats.org/officeDocument/2006/relationships/worksheet" Target="/xl/worksheets/sheet4.xml" Id="Ra60e402bddcc447f" /><Relationship Type="http://schemas.openxmlformats.org/officeDocument/2006/relationships/worksheet" Target="/xl/worksheets/sheet5.xml" Id="Ra9f02be0961f4163" /><Relationship Type="http://schemas.openxmlformats.org/officeDocument/2006/relationships/worksheet" Target="/xl/worksheets/sheet6.xml" Id="R46a92c01c2a84327" /><Relationship Type="http://schemas.openxmlformats.org/officeDocument/2006/relationships/worksheet" Target="/xl/worksheets/sheet7.xml" Id="Rfee41c8f88d84584" /><Relationship Type="http://schemas.openxmlformats.org/officeDocument/2006/relationships/worksheet" Target="/xl/worksheets/sheet8.xml" Id="Rbed8ac7baad845ef" /><Relationship Type="http://schemas.openxmlformats.org/officeDocument/2006/relationships/worksheet" Target="/xl/worksheets/sheet9.xml" Id="R231ddb9504ef4890" /><Relationship Type="http://schemas.openxmlformats.org/officeDocument/2006/relationships/worksheet" Target="/xl/worksheets/sheet10.xml" Id="Rea894ecd13a64160" /><Relationship Type="http://schemas.openxmlformats.org/officeDocument/2006/relationships/worksheet" Target="/xl/worksheets/sheet11.xml" Id="Rf7b1f2f4649e4f3a" /><Relationship Type="http://schemas.openxmlformats.org/officeDocument/2006/relationships/worksheet" Target="/xl/worksheets/sheet12.xml" Id="R19e7ff7521c1469e" /><Relationship Type="http://schemas.openxmlformats.org/officeDocument/2006/relationships/worksheet" Target="/xl/worksheets/sheet13.xml" Id="R2baa0042a065461f" /><Relationship Type="http://schemas.openxmlformats.org/officeDocument/2006/relationships/worksheet" Target="/xl/worksheets/sheet14.xml" Id="Rf6ba7c91749a45f3" /><Relationship Type="http://schemas.openxmlformats.org/officeDocument/2006/relationships/worksheet" Target="/xl/worksheets/sheet15.xml" Id="R9013d0eef61e4126" /><Relationship Type="http://schemas.openxmlformats.org/officeDocument/2006/relationships/worksheet" Target="/xl/worksheets/sheet16.xml" Id="Red8ecc7968ee4fef" /><Relationship Type="http://schemas.openxmlformats.org/officeDocument/2006/relationships/worksheet" Target="/xl/worksheets/sheet17.xml" Id="Rea9a30d33753473f" /><Relationship Type="http://schemas.openxmlformats.org/officeDocument/2006/relationships/worksheet" Target="/xl/worksheets/sheet18.xml" Id="Rf2b28bdc0bbd4e41" /><Relationship Type="http://schemas.openxmlformats.org/officeDocument/2006/relationships/worksheet" Target="/xl/worksheets/sheet19.xml" Id="R743dc599f4fe4257" /><Relationship Type="http://schemas.openxmlformats.org/officeDocument/2006/relationships/worksheet" Target="/xl/worksheets/sheet20.xml" Id="R6b8e12cf071143c8" /><Relationship Type="http://schemas.openxmlformats.org/officeDocument/2006/relationships/worksheet" Target="/xl/worksheets/sheet21.xml" Id="Rdf6d14f5e7114777" /><Relationship Type="http://schemas.openxmlformats.org/officeDocument/2006/relationships/worksheet" Target="/xl/worksheets/sheet22.xml" Id="Rc06cee78e8794124" /><Relationship Type="http://schemas.openxmlformats.org/officeDocument/2006/relationships/worksheet" Target="/xl/worksheets/sheet23.xml" Id="R44e0029a3c7c49f8" /><Relationship Type="http://schemas.openxmlformats.org/officeDocument/2006/relationships/worksheet" Target="/xl/worksheets/sheet24.xml" Id="Rd723909e34e74428" /><Relationship Type="http://schemas.openxmlformats.org/officeDocument/2006/relationships/worksheet" Target="/xl/worksheets/sheet25.xml" Id="R05fc8ff114b44b54" /><Relationship Type="http://schemas.openxmlformats.org/officeDocument/2006/relationships/worksheet" Target="/xl/worksheets/sheet26.xml" Id="Rb1f420d77a184933" /><Relationship Type="http://schemas.openxmlformats.org/officeDocument/2006/relationships/worksheet" Target="/xl/worksheets/sheet27.xml" Id="R38b436a7b6644187" /><Relationship Type="http://schemas.openxmlformats.org/officeDocument/2006/relationships/worksheet" Target="/xl/worksheets/sheet28.xml" Id="R4924b4c21ce04f4a" /><Relationship Type="http://schemas.openxmlformats.org/officeDocument/2006/relationships/worksheet" Target="/xl/worksheets/sheet29.xml" Id="Rcf520c1cc1ba4dff" /><Relationship Type="http://schemas.openxmlformats.org/officeDocument/2006/relationships/worksheet" Target="/xl/worksheets/sheet30.xml" Id="Reb676296f94d43ee" /></Relationships>
</file>

<file path=xl/drawings/_rels/drawing1.xml.rels>&#65279;<?xml version="1.0" encoding="utf-8"?><Relationships xmlns="http://schemas.openxmlformats.org/package/2006/relationships"><Relationship Type="http://schemas.openxmlformats.org/officeDocument/2006/relationships/chart" Target="/xl/drawings/charts/chart1.xml" Id="Rcff48c778ede4436" /></Relationships>
</file>

<file path=xl/drawings/_rels/drawing2.xml.rels>&#65279;<?xml version="1.0" encoding="utf-8"?><Relationships xmlns="http://schemas.openxmlformats.org/package/2006/relationships"><Relationship Type="http://schemas.openxmlformats.org/officeDocument/2006/relationships/chart" Target="/xl/drawings/charts/chart2.xml" Id="R94f1af5d6a904799" /></Relationships>
</file>

<file path=xl/drawings/_rels/drawing3.xml.rels>&#65279;<?xml version="1.0" encoding="utf-8"?><Relationships xmlns="http://schemas.openxmlformats.org/package/2006/relationships"><Relationship Type="http://schemas.openxmlformats.org/officeDocument/2006/relationships/chart" Target="/xl/drawings/charts/chart3.xml" Id="R44c55352902f4105"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Milestone Hours — Original vs Revised</a:t>
            </a:r>
          </a:p>
        </c:rich>
      </c:tx>
    </c:title>
    <c:autoTitleDeleted val="0"/>
    <c:plotArea>
      <c:barChart>
        <c:barDir val="col"/>
        <c:grouping val="clustered"/>
        <c:varyColors val="0"/>
        <c:ser>
          <c:idx val="0"/>
          <c:order val="0"/>
          <c:tx>
            <c:v>Original Hours</c:v>
          </c:tx>
          <c:cat>
            <c:strRef>
              <c:f>'Revision Summary'!$A$15:$A$18</c:f>
              <c:strCache>
                <c:ptCount val="4"/>
                <c:pt idx="0">
                  <c:v>M1</c:v>
                </c:pt>
                <c:pt idx="1">
                  <c:v>M2a</c:v>
                </c:pt>
                <c:pt idx="2">
                  <c:v>M2b</c:v>
                </c:pt>
                <c:pt idx="3">
                  <c:v>M3</c:v>
                </c:pt>
              </c:strCache>
            </c:strRef>
          </c:cat>
          <c:val>
            <c:numRef>
              <c:f>'Revision Summary'!$B$15:$B$18</c:f>
              <c:numCache>
                <c:formatCode>General</c:formatCode>
                <c:ptCount val="4"/>
                <c:pt idx="0">
                  <c:v>574</c:v>
                </c:pt>
                <c:pt idx="1">
                  <c:v>432</c:v>
                </c:pt>
                <c:pt idx="2">
                  <c:v>528</c:v>
                </c:pt>
                <c:pt idx="3">
                  <c:v>204</c:v>
                </c:pt>
              </c:numCache>
            </c:numRef>
          </c:val>
        </c:ser>
        <c:ser>
          <c:idx val="1"/>
          <c:order val="1"/>
          <c:tx>
            <c:v>Revised Hours</c:v>
          </c:tx>
          <c:cat>
            <c:strRef>
              <c:f>'Revision Summary'!$A$15:$A$18</c:f>
              <c:strCache>
                <c:ptCount val="4"/>
                <c:pt idx="0">
                  <c:v>M1</c:v>
                </c:pt>
                <c:pt idx="1">
                  <c:v>M2a</c:v>
                </c:pt>
                <c:pt idx="2">
                  <c:v>M2b</c:v>
                </c:pt>
                <c:pt idx="3">
                  <c:v>M3</c:v>
                </c:pt>
              </c:strCache>
            </c:strRef>
          </c:cat>
          <c:val>
            <c:numRef>
              <c:f>'Revision Summary'!$C$15:$C$18</c:f>
              <c:numCache>
                <c:formatCode>General</c:formatCode>
                <c:ptCount val="4"/>
                <c:pt idx="0">
                  <c:v>574</c:v>
                </c:pt>
                <c:pt idx="1">
                  <c:v>490</c:v>
                </c:pt>
                <c:pt idx="2">
                  <c:v>538</c:v>
                </c:pt>
                <c:pt idx="3">
                  <c:v>204</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Backlog Hours by Milestone</a:t>
            </a:r>
          </a:p>
        </c:rich>
      </c:tx>
    </c:title>
    <c:autoTitleDeleted val="0"/>
    <c:plotArea>
      <c:barChart>
        <c:barDir val="col"/>
        <c:grouping val="clustered"/>
        <c:varyColors val="0"/>
        <c:ser>
          <c:idx val="0"/>
          <c:order val="0"/>
          <c:tx>
            <c:v>Total Hours</c:v>
          </c:tx>
          <c:cat>
            <c:strRef>
              <c:f>'Delivery Feasibility'!$A$9:$A$12</c:f>
              <c:strCache>
                <c:ptCount val="4"/>
                <c:pt idx="0">
                  <c:v>M1</c:v>
                </c:pt>
                <c:pt idx="1">
                  <c:v>M2a</c:v>
                </c:pt>
                <c:pt idx="2">
                  <c:v>M2b</c:v>
                </c:pt>
                <c:pt idx="3">
                  <c:v>M3</c:v>
                </c:pt>
              </c:strCache>
            </c:strRef>
          </c:cat>
          <c:val>
            <c:numRef>
              <c:f>'Delivery Feasibility'!$B$9:$B$12</c:f>
              <c:numCache>
                <c:formatCode>0.0</c:formatCode>
                <c:ptCount val="4"/>
                <c:pt idx="0">
                  <c:v>163</c:v>
                </c:pt>
                <c:pt idx="1">
                  <c:v>490</c:v>
                </c:pt>
                <c:pt idx="2">
                  <c:v>366</c:v>
                </c:pt>
                <c:pt idx="3">
                  <c:v>204</c:v>
                </c:pt>
              </c:numCache>
            </c:numRef>
          </c:val>
        </c:ser>
        <c:ser>
          <c:idx val="1"/>
          <c:order val="1"/>
          <c:tx>
            <c:v>Done Hours</c:v>
          </c:tx>
          <c:cat>
            <c:strRef>
              <c:f>'Delivery Feasibility'!$A$9:$A$12</c:f>
              <c:strCache>
                <c:ptCount val="4"/>
                <c:pt idx="0">
                  <c:v>M1</c:v>
                </c:pt>
                <c:pt idx="1">
                  <c:v>M2a</c:v>
                </c:pt>
                <c:pt idx="2">
                  <c:v>M2b</c:v>
                </c:pt>
                <c:pt idx="3">
                  <c:v>M3</c:v>
                </c:pt>
              </c:strCache>
            </c:strRef>
          </c:cat>
          <c:val>
            <c:numRef>
              <c:f>'Delivery Feasibility'!$C$9:$C$12</c:f>
              <c:numCache>
                <c:formatCode>0.0</c:formatCode>
                <c:ptCount val="4"/>
                <c:pt idx="0">
                  <c:v>6.155555555555555</c:v>
                </c:pt>
                <c:pt idx="1">
                  <c:v>42.483333333333334</c:v>
                </c:pt>
                <c:pt idx="2">
                  <c:v>2.4</c:v>
                </c:pt>
                <c:pt idx="3">
                  <c:v>40</c:v>
                </c:pt>
              </c:numCache>
            </c:numRef>
          </c:val>
        </c:ser>
        <c:ser>
          <c:idx val="2"/>
          <c:order val="2"/>
          <c:tx>
            <c:v>Open Hours</c:v>
          </c:tx>
          <c:cat>
            <c:strRef>
              <c:f>'Delivery Feasibility'!$A$9:$A$12</c:f>
              <c:strCache>
                <c:ptCount val="4"/>
                <c:pt idx="0">
                  <c:v>M1</c:v>
                </c:pt>
                <c:pt idx="1">
                  <c:v>M2a</c:v>
                </c:pt>
                <c:pt idx="2">
                  <c:v>M2b</c:v>
                </c:pt>
                <c:pt idx="3">
                  <c:v>M3</c:v>
                </c:pt>
              </c:strCache>
            </c:strRef>
          </c:cat>
          <c:val>
            <c:numRef>
              <c:f>'Delivery Feasibility'!$D$9:$D$12</c:f>
              <c:numCache>
                <c:formatCode>0.0</c:formatCode>
                <c:ptCount val="4"/>
                <c:pt idx="0">
                  <c:v>9.233333333333333</c:v>
                </c:pt>
                <c:pt idx="1">
                  <c:v>65.49916666666667</c:v>
                </c:pt>
                <c:pt idx="2">
                  <c:v>4.08</c:v>
                </c:pt>
                <c:pt idx="3">
                  <c:v>72</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v2.11 New Scope by Phase</a:t>
            </a:r>
          </a:p>
        </c:rich>
      </c:tx>
    </c:title>
    <c:plotArea>
      <c:barChart>
        <c:barDir val="col"/>
        <c:varyColors val="0"/>
        <c:ser>
          <c:idx val="0"/>
          <c:order val="0"/>
          <c:tx>
            <c:v>Tasks</c:v>
          </c:tx>
          <c:cat>
            <c:strRef>
              <c:f>'v2.11 Pilot Rebaseline'!$F$4:$F$7</c:f>
              <c:strCache>
                <c:ptCount val="0"/>
              </c:strCache>
            </c:strRef>
          </c:cat>
          <c:val>
            <c:numRef>
              <c:f>'v2.11 Pilot Rebaseline'!$G$4:$G$7</c:f>
              <c:numCache>
                <c:formatCode>General</c:formatCode>
                <c:ptCount val="0"/>
              </c:numCache>
            </c:numRef>
          </c:val>
        </c:ser>
        <c:ser>
          <c:idx val="1"/>
          <c:order val="1"/>
          <c:tx>
            <c:v>Hours</c:v>
          </c:tx>
          <c:cat>
            <c:strRef>
              <c:f>'v2.11 Pilot Rebaseline'!$F$4:$F$7</c:f>
              <c:strCache>
                <c:ptCount val="0"/>
              </c:strCache>
            </c:strRef>
          </c:cat>
          <c:val>
            <c:numRef>
              <c:f>'v2.11 Pilot Rebaseline'!$H$4:$H$7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ff48c778ede4436"/>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2</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f1af5d6a904799"/>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2</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4c55352902f4105"/>
        </a:graphicData>
      </a:graphic>
    </xdr:graphicFrame>
    <xdr:clientData/>
  </xdr:twoCellAnchor>
</xdr:wsDr>
</file>

<file path=xl/tables/table1.xml><?xml version="1.0" encoding="utf-8"?>
<x:table xmlns:x="http://schemas.openxmlformats.org/spreadsheetml/2006/main" id="1" name="AuditTraceabilityTable" displayName="AuditTraceabilityTable" ref="A7:F38" totalsRowShown="0">
  <x:tableColumns count="6">
    <x:tableColumn id="1" name="Column1"/>
    <x:tableColumn id="2" name="Column2"/>
    <x:tableColumn id="3" name="Column3"/>
    <x:tableColumn id="4" name="Column4"/>
    <x:tableColumn id="5" name="Column5"/>
    <x:tableColumn id="6" name="Column6"/>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a94864c857f44bb3" /></Relationships>
</file>

<file path=xl/worksheets/_rels/sheet11.xml.rels>&#65279;<?xml version="1.0" encoding="utf-8"?><Relationships xmlns="http://schemas.openxmlformats.org/package/2006/relationships"><Relationship Type="http://schemas.openxmlformats.org/officeDocument/2006/relationships/drawing" Target="/xl/drawings/drawing1.xml" Id="R5a01c9d4573e4f3b" /></Relationships>
</file>

<file path=xl/worksheets/_rels/sheet14.xml.rels>&#65279;<?xml version="1.0" encoding="utf-8"?><Relationships xmlns="http://schemas.openxmlformats.org/package/2006/relationships"><Relationship Type="http://schemas.openxmlformats.org/officeDocument/2006/relationships/drawing" Target="/xl/drawings/drawing2.xml" Id="R0b899d94065b494c" /></Relationships>
</file>

<file path=xl/worksheets/_rels/sheet20.xml.rels>&#65279;<?xml version="1.0" encoding="utf-8"?><Relationships xmlns="http://schemas.openxmlformats.org/package/2006/relationships"><Relationship Type="http://schemas.openxmlformats.org/officeDocument/2006/relationships/drawing" Target="/xl/drawings/drawing3.xml" Id="Rc6f0d472d4344270" /></Relationships>
</file>

<file path=xl/worksheets/sheet1.xml><?xml version="1.0" encoding="utf-8"?>
<x:worksheet xmlns:x="http://schemas.openxmlformats.org/spreadsheetml/2006/main">
  <x:sheetFormatPr defaultRowHeight="15"/>
  <x:cols>
    <x:col min="1" max="1" width="11" style="4" customWidth="1"/>
    <x:col min="2" max="2" width="10" style="4" customWidth="1"/>
    <x:col min="3" max="3" width="11" style="4" customWidth="1"/>
    <x:col min="4" max="4" width="30" style="5" customWidth="1"/>
    <x:col min="5" max="5" width="16" style="4" customWidth="1"/>
    <x:col min="6" max="6" width="18" style="4" customWidth="1"/>
    <x:col min="7" max="7" width="13" style="4" customWidth="1"/>
    <x:col min="8" max="8" width="42" style="5" customWidth="1"/>
    <x:col min="9" max="9" width="42" style="6" customWidth="1"/>
    <x:col min="10" max="10" width="8" style="61" customWidth="1"/>
    <x:col min="11" max="11" width="13" style="4" customWidth="1"/>
    <x:col min="12" max="12" width="24" customWidth="1"/>
    <x:col min="13" max="13" width="20" customWidth="1"/>
    <x:col min="14" max="14" width="38" customWidth="1"/>
    <x:col min="15" max="15" width="34" customWidth="1"/>
    <x:col min="16" max="16" width="30" customWidth="1"/>
    <x:col min="17" max="17" width="28" customWidth="1"/>
    <x:col min="18" max="18" width="32" customWidth="1"/>
    <x:col min="19" max="19" width="28" customWidth="1"/>
    <x:col min="20" max="21" width="46" customWidth="1"/>
    <x:col min="22" max="23" width="34" customWidth="1"/>
    <x:col min="24" max="24" width="14" customWidth="1"/>
    <x:col min="25" max="25" width="32" customWidth="1"/>
    <x:col min="26" max="27" width="24" customWidth="1"/>
    <x:col min="28" max="28" width="22" customWidth="1"/>
    <x:col min="29" max="29" width="46" customWidth="1"/>
    <x:col min="30" max="30" width="24" customWidth="1"/>
    <x:col min="31" max="31" width="14" customWidth="1"/>
    <x:col min="32" max="32" width="34" customWidth="1"/>
    <x:col min="33" max="33" width="25" customWidth="1"/>
    <x:col min="34" max="35" width="12" customWidth="1"/>
    <x:col min="36" max="36" width="13" customWidth="1"/>
    <x:col min="37" max="37" width="14" customWidth="1"/>
    <x:col min="38" max="38" width="26" customWidth="1"/>
    <x:col min="39" max="41" width="46" customWidth="1"/>
    <x:col min="42" max="16384" width="9.140625" style="4" customWidth="0"/>
    <x:col min="42" max="42" width="28" hidden="0" customWidth="1"/>
    <x:col min="43" max="43" width="28" hidden="0" customWidth="1"/>
  </x:cols>
  <x:sheetData>
    <x:row r="1" ht="33.95000076293945" customHeight="1">
      <x:c r="A1" s="288" t="s">
        <x:v>0</x:v>
      </x:c>
      <x:c r="B1" s="288" t="s">
        <x:v>1</x:v>
      </x:c>
      <x:c r="C1" s="288" t="s">
        <x:v>2</x:v>
      </x:c>
      <x:c r="D1" s="288" t="s">
        <x:v>3</x:v>
      </x:c>
      <x:c r="E1" s="288" t="s">
        <x:v>4</x:v>
      </x:c>
      <x:c r="F1" s="288" t="s">
        <x:v>5</x:v>
      </x:c>
      <x:c r="G1" s="288" t="s">
        <x:v>6</x:v>
      </x:c>
      <x:c r="H1" s="288" t="s">
        <x:v>7</x:v>
      </x:c>
      <x:c r="I1" s="288" t="s">
        <x:v>8</x:v>
      </x:c>
      <x:c r="J1" s="288" t="s">
        <x:v>9</x:v>
      </x:c>
      <x:c r="K1" s="288" t="s">
        <x:v>10</x:v>
      </x:c>
      <x:c r="L1" s="289" t="s">
        <x:v>11</x:v>
      </x:c>
      <x:c r="M1" s="289" t="s">
        <x:v>12</x:v>
      </x:c>
      <x:c r="N1" s="289" t="s">
        <x:v>13</x:v>
      </x:c>
      <x:c r="O1" s="289" t="str">
        <x:v>Depends On / Release Gate</x:v>
      </x:c>
      <x:c r="P1" s="289" t="s">
        <x:v>14</x:v>
      </x:c>
      <x:c r="Q1" s="290" t="s">
        <x:v>15</x:v>
      </x:c>
      <x:c r="R1" s="290" t="s">
        <x:v>16</x:v>
      </x:c>
      <x:c r="S1" s="290" t="s">
        <x:v>17</x:v>
      </x:c>
      <x:c r="T1" s="290" t="s">
        <x:v>18</x:v>
      </x:c>
      <x:c r="U1" s="290" t="s">
        <x:v>19</x:v>
      </x:c>
      <x:c r="V1" s="290" t="s">
        <x:v>20</x:v>
      </x:c>
      <x:c r="W1" s="290" t="s">
        <x:v>21</x:v>
      </x:c>
      <x:c r="X1" s="290" t="s">
        <x:v>22</x:v>
      </x:c>
      <x:c r="Y1" s="290" t="s">
        <x:v>23</x:v>
      </x:c>
      <x:c r="Z1" s="291" t="s">
        <x:v>24</x:v>
      </x:c>
      <x:c r="AA1" s="291" t="s">
        <x:v>25</x:v>
      </x:c>
      <x:c r="AB1" s="291" t="s">
        <x:v>26</x:v>
      </x:c>
      <x:c r="AC1" s="291" t="s">
        <x:v>27</x:v>
      </x:c>
      <x:c r="AD1" s="291" t="s">
        <x:v>28</x:v>
      </x:c>
      <x:c r="AE1" s="292" t="s">
        <x:v>29</x:v>
      </x:c>
      <x:c r="AF1" s="292" t="s">
        <x:v>30</x:v>
      </x:c>
      <x:c r="AG1" s="292" t="s">
        <x:v>31</x:v>
      </x:c>
      <x:c r="AH1" s="292" t="s">
        <x:v>32</x:v>
      </x:c>
      <x:c r="AI1" s="292" t="s">
        <x:v>33</x:v>
      </x:c>
      <x:c r="AJ1" s="292" t="s">
        <x:v>34</x:v>
      </x:c>
      <x:c r="AK1" s="292" t="s">
        <x:v>35</x:v>
      </x:c>
      <x:c r="AL1" s="292" t="s">
        <x:v>36</x:v>
      </x:c>
      <x:c r="AM1" s="292" t="s">
        <x:v>37</x:v>
      </x:c>
      <x:c r="AN1" s="292" t="s">
        <x:v>38</x:v>
      </x:c>
      <x:c r="AO1" s="292" t="s">
        <x:v>39</x:v>
      </x:c>
      <x:c r="AP1" s="301" t="str">
        <x:v>Depends On (IDs only)</x:v>
      </x:c>
      <x:c r="AQ1" s="301" t="str">
        <x:v>Must Precede (IDs only)</x:v>
      </x:c>
    </x:row>
    <x:row r="2" ht="45.95000076293945" customHeight="1">
      <x:c r="A2" s="293" t="s">
        <x:v>40</x:v>
      </x:c>
      <x:c r="B2" s="293" t="s">
        <x:v>41</x:v>
      </x:c>
      <x:c r="C2" s="293" t="s">
        <x:v>42</x:v>
      </x:c>
      <x:c r="D2" s="294" t="s">
        <x:v>43</x:v>
      </x:c>
      <x:c r="E2" s="293" t="s">
        <x:v>44</x:v>
      </x:c>
      <x:c r="F2" s="293" t="s">
        <x:v>45</x:v>
      </x:c>
      <x:c r="G2" s="293" t="s">
        <x:v>46</x:v>
      </x:c>
      <x:c r="H2" s="294" t="s">
        <x:v>47</x:v>
      </x:c>
      <x:c r="I2" s="294" t="s">
        <x:v>48</x:v>
      </x:c>
      <x:c r="J2" s="293">
        <x:v>8</x:v>
      </x:c>
      <x:c r="K2" s="295" t="s">
        <x:v>49</x:v>
      </x:c>
      <x:c r="L2" s="296" t="s">
        <x:v>50</x:v>
      </x:c>
      <x:c r="M2" s="297" t="s">
        <x:v>51</x:v>
      </x:c>
      <x:c r="N2" s="298" t="s">
        <x:v>52</x:v>
      </x:c>
      <x:c r="O2" s="298" t="s">
        <x:v>53</x:v>
      </x:c>
      <x:c r="P2" s="299" t="s">
        <x:v>54</x:v>
      </x:c>
      <x:c r="Q2" s="300" t="str">
        <x:v>Done — backlog-claimed; closure evidence not reloaded in this pass</x:v>
      </x:c>
      <x:c r="R2" s="300"/>
      <x:c r="S2" s="300" t="s">
        <x:v>55</x:v>
      </x:c>
      <x:c r="T2" s="300"/>
      <x:c r="U2" s="300"/>
      <x:c r="V2" s="300" t="s">
        <x:v>53</x:v>
      </x:c>
      <x:c r="W2" s="300" t="s">
        <x:v>51</x:v>
      </x:c>
      <x:c r="X2" s="300" t="s">
        <x:v>56</x:v>
      </x:c>
      <x:c r="Y2" s="300" t="str">
        <x:v>Deep design reconciliation 16-Aug-2026; Chapter 3/4 + Layer-B architecture + latest source/audit evidence</x:v>
      </x:c>
      <x:c r="Z2" s="301" t="s">
        <x:v>57</x:v>
      </x:c>
      <x:c r="AA2" s="301" t="s">
        <x:v>58</x:v>
      </x:c>
      <x:c r="AB2" s="301" t="s">
        <x:v>59</x:v>
      </x:c>
      <x:c r="AC2" s="301" t="s">
        <x:v>60</x:v>
      </x:c>
      <x:c r="AD2" s="301" t="s">
        <x:v>61</x:v>
      </x:c>
      <x:c r="AE2" s="301" t="s">
        <x:v>51</x:v>
      </x:c>
      <x:c r="AF2" s="301" t="s">
        <x:v>62</x:v>
      </x:c>
      <x:c r="AG2" s="301" t="s">
        <x:v>61</x:v>
      </x:c>
      <x:c r="AH2" s="302">
        <x:v>0</x:v>
      </x:c>
      <x:c r="AI2" s="302">
        <x:v>0</x:v>
      </x:c>
      <x:c r="AJ2" s="302" t="n">
        <x:f t="shared" ref="AJ2:AJ33" si="0">IF($K2="Done",0,MAX(0.25,$J2/$AH2))</x:f>
        <x:v>0</x:v>
      </x:c>
      <x:c r="AK2" s="302" t="n">
        <x:f t="shared" ref="AK2:AK33" si="1">IF($K2="Done",0,$AJ2*$AI2)</x:f>
        <x:v>0</x:v>
      </x:c>
      <x:c r="AL2" s="301" t="s">
        <x:v>51</x:v>
      </x:c>
      <x:c r="AM2" s="301" t="s">
        <x:v>63</x:v>
      </x:c>
      <x:c r="AN2" s="301" t="s">
        <x:v>64</x:v>
      </x:c>
      <x:c r="AO2" s="301" t="s">
        <x:v>65</x:v>
      </x:c>
      <x:c r="AP2" s="301"/>
      <x:c r="AQ2" s="301"/>
    </x:row>
    <x:row r="3" ht="45.95000076293945" customHeight="1">
      <x:c r="A3" s="293" t="s">
        <x:v>66</x:v>
      </x:c>
      <x:c r="B3" s="293" t="s">
        <x:v>41</x:v>
      </x:c>
      <x:c r="C3" s="293" t="s">
        <x:v>42</x:v>
      </x:c>
      <x:c r="D3" s="294" t="s">
        <x:v>67</x:v>
      </x:c>
      <x:c r="E3" s="293" t="s">
        <x:v>68</x:v>
      </x:c>
      <x:c r="F3" s="293" t="s">
        <x:v>45</x:v>
      </x:c>
      <x:c r="G3" s="293" t="s">
        <x:v>46</x:v>
      </x:c>
      <x:c r="H3" s="294" t="s">
        <x:v>69</x:v>
      </x:c>
      <x:c r="I3" s="294" t="s">
        <x:v>70</x:v>
      </x:c>
      <x:c r="J3" s="293">
        <x:v>8</x:v>
      </x:c>
      <x:c r="K3" s="295" t="s">
        <x:v>49</x:v>
      </x:c>
      <x:c r="L3" s="303" t="s">
        <x:v>50</x:v>
      </x:c>
      <x:c r="M3" s="297" t="s">
        <x:v>51</x:v>
      </x:c>
      <x:c r="N3" s="304" t="s">
        <x:v>52</x:v>
      </x:c>
      <x:c r="O3" s="304" t="s">
        <x:v>53</x:v>
      </x:c>
      <x:c r="P3" s="305" t="s">
        <x:v>54</x:v>
      </x:c>
      <x:c r="Q3" s="300" t="str">
        <x:v>Done — backlog-claimed; closure evidence not reloaded in this pass</x:v>
      </x:c>
      <x:c r="R3" s="300"/>
      <x:c r="S3" s="300" t="s">
        <x:v>55</x:v>
      </x:c>
      <x:c r="T3" s="300"/>
      <x:c r="U3" s="300"/>
      <x:c r="V3" s="300" t="s">
        <x:v>53</x:v>
      </x:c>
      <x:c r="W3" s="300" t="s">
        <x:v>51</x:v>
      </x:c>
      <x:c r="X3" s="300" t="s">
        <x:v>56</x:v>
      </x:c>
      <x:c r="Y3" s="300" t="str">
        <x:v>Deep design reconciliation 16-Aug-2026; Chapter 3/4 + Layer-B architecture + latest source/audit evidence</x:v>
      </x:c>
      <x:c r="Z3" s="301" t="s">
        <x:v>57</x:v>
      </x:c>
      <x:c r="AA3" s="301" t="s">
        <x:v>58</x:v>
      </x:c>
      <x:c r="AB3" s="301" t="s">
        <x:v>59</x:v>
      </x:c>
      <x:c r="AC3" s="301" t="s">
        <x:v>60</x:v>
      </x:c>
      <x:c r="AD3" s="301" t="s">
        <x:v>61</x:v>
      </x:c>
      <x:c r="AE3" s="301" t="s">
        <x:v>51</x:v>
      </x:c>
      <x:c r="AF3" s="301" t="s">
        <x:v>62</x:v>
      </x:c>
      <x:c r="AG3" s="301" t="s">
        <x:v>61</x:v>
      </x:c>
      <x:c r="AH3" s="302">
        <x:v>0</x:v>
      </x:c>
      <x:c r="AI3" s="302">
        <x:v>0</x:v>
      </x:c>
      <x:c r="AJ3" s="302">
        <x:f t="shared" si="0"/>
        <x:v>0</x:v>
      </x:c>
      <x:c r="AK3" s="302">
        <x:f t="shared" si="1"/>
        <x:v>0</x:v>
      </x:c>
      <x:c r="AL3" s="301" t="s">
        <x:v>51</x:v>
      </x:c>
      <x:c r="AM3" s="301" t="s">
        <x:v>63</x:v>
      </x:c>
      <x:c r="AN3" s="301" t="s">
        <x:v>64</x:v>
      </x:c>
      <x:c r="AO3" s="301" t="s">
        <x:v>65</x:v>
      </x:c>
      <x:c r="AP3" s="301"/>
      <x:c r="AQ3" s="301"/>
    </x:row>
    <x:row r="4" ht="45.95000076293945" customHeight="1">
      <x:c r="A4" s="293" t="s">
        <x:v>71</x:v>
      </x:c>
      <x:c r="B4" s="293" t="s">
        <x:v>41</x:v>
      </x:c>
      <x:c r="C4" s="293" t="s">
        <x:v>42</x:v>
      </x:c>
      <x:c r="D4" s="294" t="s">
        <x:v>72</x:v>
      </x:c>
      <x:c r="E4" s="293" t="s">
        <x:v>73</x:v>
      </x:c>
      <x:c r="F4" s="293" t="s">
        <x:v>74</x:v>
      </x:c>
      <x:c r="G4" s="293" t="s">
        <x:v>46</x:v>
      </x:c>
      <x:c r="H4" s="294" t="s">
        <x:v>75</x:v>
      </x:c>
      <x:c r="I4" s="294" t="s">
        <x:v>76</x:v>
      </x:c>
      <x:c r="J4" s="293">
        <x:v>4</x:v>
      </x:c>
      <x:c r="K4" s="295" t="s">
        <x:v>49</x:v>
      </x:c>
      <x:c r="L4" s="303" t="s">
        <x:v>50</x:v>
      </x:c>
      <x:c r="M4" s="297" t="s">
        <x:v>51</x:v>
      </x:c>
      <x:c r="N4" s="304" t="s">
        <x:v>52</x:v>
      </x:c>
      <x:c r="O4" s="304" t="s">
        <x:v>53</x:v>
      </x:c>
      <x:c r="P4" s="305" t="s">
        <x:v>54</x:v>
      </x:c>
      <x:c r="Q4" s="300" t="str">
        <x:v>Done — backlog-claimed; closure evidence not reloaded in this pass</x:v>
      </x:c>
      <x:c r="R4" s="300"/>
      <x:c r="S4" s="300" t="s">
        <x:v>55</x:v>
      </x:c>
      <x:c r="T4" s="300"/>
      <x:c r="U4" s="300"/>
      <x:c r="V4" s="300" t="s">
        <x:v>53</x:v>
      </x:c>
      <x:c r="W4" s="300" t="s">
        <x:v>51</x:v>
      </x:c>
      <x:c r="X4" s="300" t="s">
        <x:v>56</x:v>
      </x:c>
      <x:c r="Y4" s="300" t="str">
        <x:v>Deep design reconciliation 16-Aug-2026; Chapter 3/4 + Layer-B architecture + latest source/audit evidence</x:v>
      </x:c>
      <x:c r="Z4" s="301" t="s">
        <x:v>57</x:v>
      </x:c>
      <x:c r="AA4" s="301" t="s">
        <x:v>58</x:v>
      </x:c>
      <x:c r="AB4" s="301" t="s">
        <x:v>59</x:v>
      </x:c>
      <x:c r="AC4" s="301" t="s">
        <x:v>77</x:v>
      </x:c>
      <x:c r="AD4" s="301" t="s">
        <x:v>61</x:v>
      </x:c>
      <x:c r="AE4" s="301" t="s">
        <x:v>51</x:v>
      </x:c>
      <x:c r="AF4" s="301" t="s">
        <x:v>62</x:v>
      </x:c>
      <x:c r="AG4" s="301" t="s">
        <x:v>61</x:v>
      </x:c>
      <x:c r="AH4" s="302">
        <x:v>0</x:v>
      </x:c>
      <x:c r="AI4" s="302">
        <x:v>0</x:v>
      </x:c>
      <x:c r="AJ4" s="302">
        <x:f t="shared" si="0"/>
        <x:v>0</x:v>
      </x:c>
      <x:c r="AK4" s="302">
        <x:f t="shared" si="1"/>
        <x:v>0</x:v>
      </x:c>
      <x:c r="AL4" s="301" t="s">
        <x:v>51</x:v>
      </x:c>
      <x:c r="AM4" s="301" t="s">
        <x:v>63</x:v>
      </x:c>
      <x:c r="AN4" s="301" t="s">
        <x:v>64</x:v>
      </x:c>
      <x:c r="AO4" s="301" t="s">
        <x:v>65</x:v>
      </x:c>
      <x:c r="AP4" s="301"/>
      <x:c r="AQ4" s="301"/>
    </x:row>
    <x:row r="5" ht="45.95000076293945" customHeight="1">
      <x:c r="A5" s="293" t="s">
        <x:v>78</x:v>
      </x:c>
      <x:c r="B5" s="293" t="s">
        <x:v>41</x:v>
      </x:c>
      <x:c r="C5" s="293" t="s">
        <x:v>42</x:v>
      </x:c>
      <x:c r="D5" s="294" t="s">
        <x:v>79</x:v>
      </x:c>
      <x:c r="E5" s="293" t="s">
        <x:v>44</x:v>
      </x:c>
      <x:c r="F5" s="293" t="s">
        <x:v>80</x:v>
      </x:c>
      <x:c r="G5" s="293" t="s">
        <x:v>81</x:v>
      </x:c>
      <x:c r="H5" s="294" t="s">
        <x:v>82</x:v>
      </x:c>
      <x:c r="I5" s="294" t="s">
        <x:v>83</x:v>
      </x:c>
      <x:c r="J5" s="293">
        <x:v>4</x:v>
      </x:c>
      <x:c r="K5" s="295" t="s">
        <x:v>49</x:v>
      </x:c>
      <x:c r="L5" s="303" t="s">
        <x:v>50</x:v>
      </x:c>
      <x:c r="M5" s="297" t="s">
        <x:v>51</x:v>
      </x:c>
      <x:c r="N5" s="304" t="s">
        <x:v>52</x:v>
      </x:c>
      <x:c r="O5" s="304" t="s">
        <x:v>53</x:v>
      </x:c>
      <x:c r="P5" s="305" t="s">
        <x:v>54</x:v>
      </x:c>
      <x:c r="Q5" s="300" t="str">
        <x:v>Done — backlog-claimed; closure evidence not reloaded in this pass</x:v>
      </x:c>
      <x:c r="R5" s="300"/>
      <x:c r="S5" s="300" t="s">
        <x:v>55</x:v>
      </x:c>
      <x:c r="T5" s="300"/>
      <x:c r="U5" s="300"/>
      <x:c r="V5" s="300" t="s">
        <x:v>53</x:v>
      </x:c>
      <x:c r="W5" s="300" t="s">
        <x:v>51</x:v>
      </x:c>
      <x:c r="X5" s="300" t="s">
        <x:v>56</x:v>
      </x:c>
      <x:c r="Y5" s="300" t="str">
        <x:v>Deep design reconciliation 16-Aug-2026; Chapter 3/4 + Layer-B architecture + latest source/audit evidence</x:v>
      </x:c>
      <x:c r="Z5" s="301" t="s">
        <x:v>57</x:v>
      </x:c>
      <x:c r="AA5" s="301" t="s">
        <x:v>58</x:v>
      </x:c>
      <x:c r="AB5" s="301" t="s">
        <x:v>59</x:v>
      </x:c>
      <x:c r="AC5" s="301" t="s">
        <x:v>60</x:v>
      </x:c>
      <x:c r="AD5" s="301" t="s">
        <x:v>61</x:v>
      </x:c>
      <x:c r="AE5" s="301" t="s">
        <x:v>51</x:v>
      </x:c>
      <x:c r="AF5" s="301" t="s">
        <x:v>62</x:v>
      </x:c>
      <x:c r="AG5" s="301" t="s">
        <x:v>61</x:v>
      </x:c>
      <x:c r="AH5" s="302">
        <x:v>0</x:v>
      </x:c>
      <x:c r="AI5" s="302">
        <x:v>0</x:v>
      </x:c>
      <x:c r="AJ5" s="302">
        <x:f t="shared" si="0"/>
        <x:v>0</x:v>
      </x:c>
      <x:c r="AK5" s="302">
        <x:f t="shared" si="1"/>
        <x:v>0</x:v>
      </x:c>
      <x:c r="AL5" s="301" t="s">
        <x:v>51</x:v>
      </x:c>
      <x:c r="AM5" s="301" t="s">
        <x:v>63</x:v>
      </x:c>
      <x:c r="AN5" s="301" t="s">
        <x:v>64</x:v>
      </x:c>
      <x:c r="AO5" s="301" t="s">
        <x:v>65</x:v>
      </x:c>
      <x:c r="AP5" s="301"/>
      <x:c r="AQ5" s="301"/>
    </x:row>
    <x:row r="6" ht="45.95000076293945" customHeight="1">
      <x:c r="A6" s="293" t="s">
        <x:v>84</x:v>
      </x:c>
      <x:c r="B6" s="293" t="s">
        <x:v>41</x:v>
      </x:c>
      <x:c r="C6" s="293" t="s">
        <x:v>42</x:v>
      </x:c>
      <x:c r="D6" s="294" t="s">
        <x:v>85</x:v>
      </x:c>
      <x:c r="E6" s="293" t="s">
        <x:v>86</x:v>
      </x:c>
      <x:c r="F6" s="293" t="s">
        <x:v>87</x:v>
      </x:c>
      <x:c r="G6" s="293" t="s">
        <x:v>46</x:v>
      </x:c>
      <x:c r="H6" s="294" t="s">
        <x:v>88</x:v>
      </x:c>
      <x:c r="I6" s="294" t="s">
        <x:v>89</x:v>
      </x:c>
      <x:c r="J6" s="293">
        <x:v>6</x:v>
      </x:c>
      <x:c r="K6" s="295" t="s">
        <x:v>49</x:v>
      </x:c>
      <x:c r="L6" s="303" t="s">
        <x:v>50</x:v>
      </x:c>
      <x:c r="M6" s="297" t="s">
        <x:v>51</x:v>
      </x:c>
      <x:c r="N6" s="304" t="s">
        <x:v>52</x:v>
      </x:c>
      <x:c r="O6" s="304" t="s">
        <x:v>53</x:v>
      </x:c>
      <x:c r="P6" s="305" t="s">
        <x:v>54</x:v>
      </x:c>
      <x:c r="Q6" s="300" t="str">
        <x:v>Done — backlog-claimed; closure evidence not reloaded in this pass</x:v>
      </x:c>
      <x:c r="R6" s="300"/>
      <x:c r="S6" s="300" t="s">
        <x:v>55</x:v>
      </x:c>
      <x:c r="T6" s="300"/>
      <x:c r="U6" s="300"/>
      <x:c r="V6" s="300" t="s">
        <x:v>53</x:v>
      </x:c>
      <x:c r="W6" s="300" t="s">
        <x:v>51</x:v>
      </x:c>
      <x:c r="X6" s="300" t="s">
        <x:v>56</x:v>
      </x:c>
      <x:c r="Y6" s="300" t="str">
        <x:v>Deep design reconciliation 16-Aug-2026; Chapter 3/4 + Layer-B architecture + latest source/audit evidence</x:v>
      </x:c>
      <x:c r="Z6" s="301" t="s">
        <x:v>57</x:v>
      </x:c>
      <x:c r="AA6" s="301" t="s">
        <x:v>58</x:v>
      </x:c>
      <x:c r="AB6" s="301" t="s">
        <x:v>59</x:v>
      </x:c>
      <x:c r="AC6" s="301" t="s">
        <x:v>60</x:v>
      </x:c>
      <x:c r="AD6" s="301" t="s">
        <x:v>61</x:v>
      </x:c>
      <x:c r="AE6" s="301" t="s">
        <x:v>51</x:v>
      </x:c>
      <x:c r="AF6" s="301" t="s">
        <x:v>62</x:v>
      </x:c>
      <x:c r="AG6" s="301" t="s">
        <x:v>61</x:v>
      </x:c>
      <x:c r="AH6" s="302">
        <x:v>0</x:v>
      </x:c>
      <x:c r="AI6" s="302">
        <x:v>0</x:v>
      </x:c>
      <x:c r="AJ6" s="302">
        <x:f t="shared" si="0"/>
        <x:v>0</x:v>
      </x:c>
      <x:c r="AK6" s="302">
        <x:f t="shared" si="1"/>
        <x:v>0</x:v>
      </x:c>
      <x:c r="AL6" s="301" t="s">
        <x:v>51</x:v>
      </x:c>
      <x:c r="AM6" s="301" t="s">
        <x:v>63</x:v>
      </x:c>
      <x:c r="AN6" s="301" t="s">
        <x:v>64</x:v>
      </x:c>
      <x:c r="AO6" s="301" t="s">
        <x:v>65</x:v>
      </x:c>
      <x:c r="AP6" s="301"/>
      <x:c r="AQ6" s="301"/>
    </x:row>
    <x:row r="7" ht="45.95000076293945" customHeight="1">
      <x:c r="A7" s="293" t="s">
        <x:v>90</x:v>
      </x:c>
      <x:c r="B7" s="293" t="s">
        <x:v>41</x:v>
      </x:c>
      <x:c r="C7" s="293" t="s">
        <x:v>42</x:v>
      </x:c>
      <x:c r="D7" s="294" t="s">
        <x:v>91</x:v>
      </x:c>
      <x:c r="E7" s="293" t="s">
        <x:v>86</x:v>
      </x:c>
      <x:c r="F7" s="293" t="s">
        <x:v>87</x:v>
      </x:c>
      <x:c r="G7" s="293" t="s">
        <x:v>46</x:v>
      </x:c>
      <x:c r="H7" s="294" t="s">
        <x:v>92</x:v>
      </x:c>
      <x:c r="I7" s="294" t="s">
        <x:v>93</x:v>
      </x:c>
      <x:c r="J7" s="293">
        <x:v>8</x:v>
      </x:c>
      <x:c r="K7" s="295" t="s">
        <x:v>49</x:v>
      </x:c>
      <x:c r="L7" s="303" t="s">
        <x:v>50</x:v>
      </x:c>
      <x:c r="M7" s="297" t="s">
        <x:v>51</x:v>
      </x:c>
      <x:c r="N7" s="304" t="s">
        <x:v>52</x:v>
      </x:c>
      <x:c r="O7" s="304" t="s">
        <x:v>53</x:v>
      </x:c>
      <x:c r="P7" s="305" t="s">
        <x:v>54</x:v>
      </x:c>
      <x:c r="Q7" s="300" t="str">
        <x:v>Done — backlog-claimed; closure evidence not reloaded in this pass</x:v>
      </x:c>
      <x:c r="R7" s="300"/>
      <x:c r="S7" s="300" t="s">
        <x:v>55</x:v>
      </x:c>
      <x:c r="T7" s="300"/>
      <x:c r="U7" s="300"/>
      <x:c r="V7" s="300" t="s">
        <x:v>53</x:v>
      </x:c>
      <x:c r="W7" s="300" t="s">
        <x:v>51</x:v>
      </x:c>
      <x:c r="X7" s="300" t="s">
        <x:v>56</x:v>
      </x:c>
      <x:c r="Y7" s="300" t="str">
        <x:v>Deep design reconciliation 16-Aug-2026; Chapter 3/4 + Layer-B architecture + latest source/audit evidence</x:v>
      </x:c>
      <x:c r="Z7" s="301" t="s">
        <x:v>57</x:v>
      </x:c>
      <x:c r="AA7" s="301" t="s">
        <x:v>58</x:v>
      </x:c>
      <x:c r="AB7" s="301" t="s">
        <x:v>59</x:v>
      </x:c>
      <x:c r="AC7" s="301" t="s">
        <x:v>60</x:v>
      </x:c>
      <x:c r="AD7" s="301" t="s">
        <x:v>61</x:v>
      </x:c>
      <x:c r="AE7" s="301" t="s">
        <x:v>51</x:v>
      </x:c>
      <x:c r="AF7" s="301" t="s">
        <x:v>62</x:v>
      </x:c>
      <x:c r="AG7" s="301" t="s">
        <x:v>61</x:v>
      </x:c>
      <x:c r="AH7" s="302">
        <x:v>0</x:v>
      </x:c>
      <x:c r="AI7" s="302">
        <x:v>0</x:v>
      </x:c>
      <x:c r="AJ7" s="302">
        <x:f t="shared" si="0"/>
        <x:v>0</x:v>
      </x:c>
      <x:c r="AK7" s="302">
        <x:f t="shared" si="1"/>
        <x:v>0</x:v>
      </x:c>
      <x:c r="AL7" s="301" t="s">
        <x:v>51</x:v>
      </x:c>
      <x:c r="AM7" s="301" t="s">
        <x:v>63</x:v>
      </x:c>
      <x:c r="AN7" s="301" t="s">
        <x:v>64</x:v>
      </x:c>
      <x:c r="AO7" s="301" t="s">
        <x:v>65</x:v>
      </x:c>
      <x:c r="AP7" s="301"/>
      <x:c r="AQ7" s="301"/>
    </x:row>
    <x:row r="8" ht="45.95000076293945" customHeight="1">
      <x:c r="A8" s="293" t="s">
        <x:v>94</x:v>
      </x:c>
      <x:c r="B8" s="293" t="s">
        <x:v>41</x:v>
      </x:c>
      <x:c r="C8" s="293" t="s">
        <x:v>42</x:v>
      </x:c>
      <x:c r="D8" s="294" t="s">
        <x:v>95</x:v>
      </x:c>
      <x:c r="E8" s="293" t="s">
        <x:v>44</x:v>
      </x:c>
      <x:c r="F8" s="293" t="s">
        <x:v>87</x:v>
      </x:c>
      <x:c r="G8" s="293" t="s">
        <x:v>46</x:v>
      </x:c>
      <x:c r="H8" s="294" t="s">
        <x:v>96</x:v>
      </x:c>
      <x:c r="I8" s="294" t="s">
        <x:v>97</x:v>
      </x:c>
      <x:c r="J8" s="293">
        <x:v>10</x:v>
      </x:c>
      <x:c r="K8" s="295" t="s">
        <x:v>49</x:v>
      </x:c>
      <x:c r="L8" s="303" t="s">
        <x:v>50</x:v>
      </x:c>
      <x:c r="M8" s="297" t="s">
        <x:v>51</x:v>
      </x:c>
      <x:c r="N8" s="304" t="s">
        <x:v>52</x:v>
      </x:c>
      <x:c r="O8" s="304" t="s">
        <x:v>53</x:v>
      </x:c>
      <x:c r="P8" s="305" t="s">
        <x:v>54</x:v>
      </x:c>
      <x:c r="Q8" s="300" t="str">
        <x:v>Done — backlog-claimed; closure evidence not reloaded in this pass</x:v>
      </x:c>
      <x:c r="R8" s="300"/>
      <x:c r="S8" s="300" t="s">
        <x:v>55</x:v>
      </x:c>
      <x:c r="T8" s="300"/>
      <x:c r="U8" s="300"/>
      <x:c r="V8" s="300" t="s">
        <x:v>53</x:v>
      </x:c>
      <x:c r="W8" s="300" t="s">
        <x:v>51</x:v>
      </x:c>
      <x:c r="X8" s="300" t="s">
        <x:v>56</x:v>
      </x:c>
      <x:c r="Y8" s="300" t="str">
        <x:v>Deep design reconciliation 16-Aug-2026; Chapter 3/4 + Layer-B architecture + latest source/audit evidence</x:v>
      </x:c>
      <x:c r="Z8" s="301" t="s">
        <x:v>57</x:v>
      </x:c>
      <x:c r="AA8" s="301" t="s">
        <x:v>58</x:v>
      </x:c>
      <x:c r="AB8" s="301" t="s">
        <x:v>59</x:v>
      </x:c>
      <x:c r="AC8" s="301" t="s">
        <x:v>60</x:v>
      </x:c>
      <x:c r="AD8" s="301" t="s">
        <x:v>61</x:v>
      </x:c>
      <x:c r="AE8" s="301" t="s">
        <x:v>51</x:v>
      </x:c>
      <x:c r="AF8" s="301" t="s">
        <x:v>62</x:v>
      </x:c>
      <x:c r="AG8" s="301" t="s">
        <x:v>61</x:v>
      </x:c>
      <x:c r="AH8" s="302">
        <x:v>0</x:v>
      </x:c>
      <x:c r="AI8" s="302">
        <x:v>0</x:v>
      </x:c>
      <x:c r="AJ8" s="302">
        <x:f t="shared" si="0"/>
        <x:v>0</x:v>
      </x:c>
      <x:c r="AK8" s="302">
        <x:f t="shared" si="1"/>
        <x:v>0</x:v>
      </x:c>
      <x:c r="AL8" s="301" t="s">
        <x:v>51</x:v>
      </x:c>
      <x:c r="AM8" s="301" t="s">
        <x:v>63</x:v>
      </x:c>
      <x:c r="AN8" s="301" t="s">
        <x:v>64</x:v>
      </x:c>
      <x:c r="AO8" s="301" t="s">
        <x:v>65</x:v>
      </x:c>
      <x:c r="AP8" s="301"/>
      <x:c r="AQ8" s="301"/>
    </x:row>
    <x:row r="9" ht="45.95000076293945" customHeight="1">
      <x:c r="A9" s="293" t="s">
        <x:v>98</x:v>
      </x:c>
      <x:c r="B9" s="293" t="s">
        <x:v>41</x:v>
      </x:c>
      <x:c r="C9" s="293" t="s">
        <x:v>42</x:v>
      </x:c>
      <x:c r="D9" s="294" t="s">
        <x:v>99</x:v>
      </x:c>
      <x:c r="E9" s="293" t="s">
        <x:v>100</x:v>
      </x:c>
      <x:c r="F9" s="293" t="s">
        <x:v>101</x:v>
      </x:c>
      <x:c r="G9" s="293" t="s">
        <x:v>46</x:v>
      </x:c>
      <x:c r="H9" s="294" t="s">
        <x:v>102</x:v>
      </x:c>
      <x:c r="I9" s="294" t="s">
        <x:v>103</x:v>
      </x:c>
      <x:c r="J9" s="293">
        <x:v>10</x:v>
      </x:c>
      <x:c r="K9" s="295" t="s">
        <x:v>49</x:v>
      </x:c>
      <x:c r="L9" s="303" t="s">
        <x:v>50</x:v>
      </x:c>
      <x:c r="M9" s="297" t="s">
        <x:v>51</x:v>
      </x:c>
      <x:c r="N9" s="304" t="s">
        <x:v>52</x:v>
      </x:c>
      <x:c r="O9" s="304" t="s">
        <x:v>53</x:v>
      </x:c>
      <x:c r="P9" s="305" t="s">
        <x:v>54</x:v>
      </x:c>
      <x:c r="Q9" s="300" t="str">
        <x:v>Done — backlog-claimed; closure evidence not reloaded in this pass</x:v>
      </x:c>
      <x:c r="R9" s="300"/>
      <x:c r="S9" s="300" t="s">
        <x:v>55</x:v>
      </x:c>
      <x:c r="T9" s="300"/>
      <x:c r="U9" s="300"/>
      <x:c r="V9" s="300" t="s">
        <x:v>53</x:v>
      </x:c>
      <x:c r="W9" s="300" t="s">
        <x:v>51</x:v>
      </x:c>
      <x:c r="X9" s="300" t="s">
        <x:v>56</x:v>
      </x:c>
      <x:c r="Y9" s="300" t="str">
        <x:v>Deep design reconciliation 16-Aug-2026; Chapter 3/4 + Layer-B architecture + latest source/audit evidence</x:v>
      </x:c>
      <x:c r="Z9" s="301" t="s">
        <x:v>57</x:v>
      </x:c>
      <x:c r="AA9" s="301" t="s">
        <x:v>58</x:v>
      </x:c>
      <x:c r="AB9" s="301" t="s">
        <x:v>59</x:v>
      </x:c>
      <x:c r="AC9" s="301" t="s">
        <x:v>60</x:v>
      </x:c>
      <x:c r="AD9" s="301" t="s">
        <x:v>61</x:v>
      </x:c>
      <x:c r="AE9" s="301" t="s">
        <x:v>51</x:v>
      </x:c>
      <x:c r="AF9" s="301" t="s">
        <x:v>62</x:v>
      </x:c>
      <x:c r="AG9" s="301" t="s">
        <x:v>61</x:v>
      </x:c>
      <x:c r="AH9" s="302">
        <x:v>0</x:v>
      </x:c>
      <x:c r="AI9" s="302">
        <x:v>0</x:v>
      </x:c>
      <x:c r="AJ9" s="302">
        <x:f t="shared" si="0"/>
        <x:v>0</x:v>
      </x:c>
      <x:c r="AK9" s="302">
        <x:f t="shared" si="1"/>
        <x:v>0</x:v>
      </x:c>
      <x:c r="AL9" s="301" t="s">
        <x:v>51</x:v>
      </x:c>
      <x:c r="AM9" s="301" t="s">
        <x:v>63</x:v>
      </x:c>
      <x:c r="AN9" s="301" t="s">
        <x:v>64</x:v>
      </x:c>
      <x:c r="AO9" s="301" t="s">
        <x:v>65</x:v>
      </x:c>
      <x:c r="AP9" s="301"/>
      <x:c r="AQ9" s="301"/>
    </x:row>
    <x:row r="10" ht="45.95000076293945" customHeight="1">
      <x:c r="A10" s="293" t="s">
        <x:v>104</x:v>
      </x:c>
      <x:c r="B10" s="293" t="s">
        <x:v>41</x:v>
      </x:c>
      <x:c r="C10" s="293" t="s">
        <x:v>42</x:v>
      </x:c>
      <x:c r="D10" s="294" t="s">
        <x:v>105</x:v>
      </x:c>
      <x:c r="E10" s="293" t="s">
        <x:v>106</x:v>
      </x:c>
      <x:c r="F10" s="293" t="s">
        <x:v>107</x:v>
      </x:c>
      <x:c r="G10" s="293" t="s">
        <x:v>46</x:v>
      </x:c>
      <x:c r="H10" s="294" t="s">
        <x:v>108</x:v>
      </x:c>
      <x:c r="I10" s="294" t="s">
        <x:v>109</x:v>
      </x:c>
      <x:c r="J10" s="293">
        <x:v>6</x:v>
      </x:c>
      <x:c r="K10" s="295" t="s">
        <x:v>49</x:v>
      </x:c>
      <x:c r="L10" s="303" t="s">
        <x:v>50</x:v>
      </x:c>
      <x:c r="M10" s="297" t="s">
        <x:v>51</x:v>
      </x:c>
      <x:c r="N10" s="304" t="s">
        <x:v>52</x:v>
      </x:c>
      <x:c r="O10" s="304" t="s">
        <x:v>53</x:v>
      </x:c>
      <x:c r="P10" s="305" t="s">
        <x:v>54</x:v>
      </x:c>
      <x:c r="Q10" s="300" t="str">
        <x:v>Done — backlog-claimed; closure evidence not reloaded in this pass</x:v>
      </x:c>
      <x:c r="R10" s="300"/>
      <x:c r="S10" s="300" t="s">
        <x:v>55</x:v>
      </x:c>
      <x:c r="T10" s="300"/>
      <x:c r="U10" s="300"/>
      <x:c r="V10" s="300" t="s">
        <x:v>53</x:v>
      </x:c>
      <x:c r="W10" s="300" t="s">
        <x:v>51</x:v>
      </x:c>
      <x:c r="X10" s="300" t="s">
        <x:v>56</x:v>
      </x:c>
      <x:c r="Y10" s="300" t="str">
        <x:v>Deep design reconciliation 16-Aug-2026; Chapter 3/4 + Layer-B architecture + latest source/audit evidence</x:v>
      </x:c>
      <x:c r="Z10" s="301" t="s">
        <x:v>57</x:v>
      </x:c>
      <x:c r="AA10" s="301" t="s">
        <x:v>58</x:v>
      </x:c>
      <x:c r="AB10" s="301" t="s">
        <x:v>59</x:v>
      </x:c>
      <x:c r="AC10" s="301" t="s">
        <x:v>60</x:v>
      </x:c>
      <x:c r="AD10" s="301" t="s">
        <x:v>61</x:v>
      </x:c>
      <x:c r="AE10" s="301" t="s">
        <x:v>51</x:v>
      </x:c>
      <x:c r="AF10" s="301" t="s">
        <x:v>62</x:v>
      </x:c>
      <x:c r="AG10" s="301" t="s">
        <x:v>61</x:v>
      </x:c>
      <x:c r="AH10" s="302">
        <x:v>0</x:v>
      </x:c>
      <x:c r="AI10" s="302">
        <x:v>0</x:v>
      </x:c>
      <x:c r="AJ10" s="302">
        <x:f t="shared" si="0"/>
        <x:v>0</x:v>
      </x:c>
      <x:c r="AK10" s="302">
        <x:f t="shared" si="1"/>
        <x:v>0</x:v>
      </x:c>
      <x:c r="AL10" s="301" t="s">
        <x:v>51</x:v>
      </x:c>
      <x:c r="AM10" s="301" t="s">
        <x:v>63</x:v>
      </x:c>
      <x:c r="AN10" s="301" t="s">
        <x:v>64</x:v>
      </x:c>
      <x:c r="AO10" s="301" t="s">
        <x:v>65</x:v>
      </x:c>
      <x:c r="AP10" s="301"/>
      <x:c r="AQ10" s="301"/>
    </x:row>
    <x:row r="11" ht="45.95000076293945" customHeight="1">
      <x:c r="A11" s="293" t="s">
        <x:v>110</x:v>
      </x:c>
      <x:c r="B11" s="293" t="s">
        <x:v>41</x:v>
      </x:c>
      <x:c r="C11" s="293" t="s">
        <x:v>42</x:v>
      </x:c>
      <x:c r="D11" s="294" t="s">
        <x:v>111</x:v>
      </x:c>
      <x:c r="E11" s="293" t="s">
        <x:v>112</x:v>
      </x:c>
      <x:c r="F11" s="293" t="s">
        <x:v>87</x:v>
      </x:c>
      <x:c r="G11" s="293" t="s">
        <x:v>46</x:v>
      </x:c>
      <x:c r="H11" s="294" t="s">
        <x:v>113</x:v>
      </x:c>
      <x:c r="I11" s="294" t="s">
        <x:v>114</x:v>
      </x:c>
      <x:c r="J11" s="293">
        <x:v>8</x:v>
      </x:c>
      <x:c r="K11" s="295" t="s">
        <x:v>49</x:v>
      </x:c>
      <x:c r="L11" s="303" t="s">
        <x:v>50</x:v>
      </x:c>
      <x:c r="M11" s="297" t="s">
        <x:v>51</x:v>
      </x:c>
      <x:c r="N11" s="304" t="s">
        <x:v>52</x:v>
      </x:c>
      <x:c r="O11" s="304" t="s">
        <x:v>53</x:v>
      </x:c>
      <x:c r="P11" s="305" t="s">
        <x:v>54</x:v>
      </x:c>
      <x:c r="Q11" s="300" t="str">
        <x:v>Done — backlog-claimed; closure evidence not reloaded in this pass</x:v>
      </x:c>
      <x:c r="R11" s="300"/>
      <x:c r="S11" s="300" t="s">
        <x:v>55</x:v>
      </x:c>
      <x:c r="T11" s="300"/>
      <x:c r="U11" s="300"/>
      <x:c r="V11" s="300" t="s">
        <x:v>53</x:v>
      </x:c>
      <x:c r="W11" s="300" t="s">
        <x:v>51</x:v>
      </x:c>
      <x:c r="X11" s="300" t="s">
        <x:v>56</x:v>
      </x:c>
      <x:c r="Y11" s="300" t="str">
        <x:v>Deep design reconciliation 16-Aug-2026; Chapter 3/4 + Layer-B architecture + latest source/audit evidence</x:v>
      </x:c>
      <x:c r="Z11" s="301" t="s">
        <x:v>57</x:v>
      </x:c>
      <x:c r="AA11" s="301" t="s">
        <x:v>58</x:v>
      </x:c>
      <x:c r="AB11" s="301" t="s">
        <x:v>59</x:v>
      </x:c>
      <x:c r="AC11" s="301" t="s">
        <x:v>60</x:v>
      </x:c>
      <x:c r="AD11" s="301" t="s">
        <x:v>61</x:v>
      </x:c>
      <x:c r="AE11" s="301" t="s">
        <x:v>51</x:v>
      </x:c>
      <x:c r="AF11" s="301" t="s">
        <x:v>62</x:v>
      </x:c>
      <x:c r="AG11" s="301" t="s">
        <x:v>61</x:v>
      </x:c>
      <x:c r="AH11" s="302">
        <x:v>0</x:v>
      </x:c>
      <x:c r="AI11" s="302">
        <x:v>0</x:v>
      </x:c>
      <x:c r="AJ11" s="302">
        <x:f t="shared" si="0"/>
        <x:v>0</x:v>
      </x:c>
      <x:c r="AK11" s="302">
        <x:f t="shared" si="1"/>
        <x:v>0</x:v>
      </x:c>
      <x:c r="AL11" s="301" t="s">
        <x:v>51</x:v>
      </x:c>
      <x:c r="AM11" s="301" t="s">
        <x:v>63</x:v>
      </x:c>
      <x:c r="AN11" s="301" t="s">
        <x:v>64</x:v>
      </x:c>
      <x:c r="AO11" s="301" t="s">
        <x:v>65</x:v>
      </x:c>
      <x:c r="AP11" s="301"/>
      <x:c r="AQ11" s="301"/>
    </x:row>
    <x:row r="12" ht="45.95000076293945" customHeight="1">
      <x:c r="A12" s="293" t="s">
        <x:v>115</x:v>
      </x:c>
      <x:c r="B12" s="293" t="s">
        <x:v>41</x:v>
      </x:c>
      <x:c r="C12" s="293" t="s">
        <x:v>42</x:v>
      </x:c>
      <x:c r="D12" s="294" t="s">
        <x:v>116</x:v>
      </x:c>
      <x:c r="E12" s="293" t="s">
        <x:v>100</x:v>
      </x:c>
      <x:c r="F12" s="293" t="s">
        <x:v>117</x:v>
      </x:c>
      <x:c r="G12" s="293" t="s">
        <x:v>118</x:v>
      </x:c>
      <x:c r="H12" s="294" t="s">
        <x:v>119</x:v>
      </x:c>
      <x:c r="I12" s="294" t="s">
        <x:v>120</x:v>
      </x:c>
      <x:c r="J12" s="293">
        <x:v>6</x:v>
      </x:c>
      <x:c r="K12" s="295" t="s">
        <x:v>49</x:v>
      </x:c>
      <x:c r="L12" s="303" t="s">
        <x:v>50</x:v>
      </x:c>
      <x:c r="M12" s="297" t="s">
        <x:v>51</x:v>
      </x:c>
      <x:c r="N12" s="304" t="s">
        <x:v>52</x:v>
      </x:c>
      <x:c r="O12" s="304" t="s">
        <x:v>53</x:v>
      </x:c>
      <x:c r="P12" s="305" t="s">
        <x:v>54</x:v>
      </x:c>
      <x:c r="Q12" s="300" t="str">
        <x:v>Done — backlog-claimed; closure evidence not reloaded in this pass</x:v>
      </x:c>
      <x:c r="R12" s="300"/>
      <x:c r="S12" s="300" t="s">
        <x:v>55</x:v>
      </x:c>
      <x:c r="T12" s="300"/>
      <x:c r="U12" s="300"/>
      <x:c r="V12" s="300" t="s">
        <x:v>53</x:v>
      </x:c>
      <x:c r="W12" s="300" t="s">
        <x:v>51</x:v>
      </x:c>
      <x:c r="X12" s="300" t="s">
        <x:v>56</x:v>
      </x:c>
      <x:c r="Y12" s="300" t="str">
        <x:v>Deep design reconciliation 16-Aug-2026; Chapter 3/4 + Layer-B architecture + latest source/audit evidence</x:v>
      </x:c>
      <x:c r="Z12" s="301" t="s">
        <x:v>57</x:v>
      </x:c>
      <x:c r="AA12" s="301" t="s">
        <x:v>58</x:v>
      </x:c>
      <x:c r="AB12" s="301" t="s">
        <x:v>59</x:v>
      </x:c>
      <x:c r="AC12" s="301" t="s">
        <x:v>60</x:v>
      </x:c>
      <x:c r="AD12" s="301" t="s">
        <x:v>61</x:v>
      </x:c>
      <x:c r="AE12" s="301" t="s">
        <x:v>51</x:v>
      </x:c>
      <x:c r="AF12" s="301" t="s">
        <x:v>62</x:v>
      </x:c>
      <x:c r="AG12" s="301" t="s">
        <x:v>61</x:v>
      </x:c>
      <x:c r="AH12" s="302">
        <x:v>0</x:v>
      </x:c>
      <x:c r="AI12" s="302">
        <x:v>0</x:v>
      </x:c>
      <x:c r="AJ12" s="302">
        <x:f t="shared" si="0"/>
        <x:v>0</x:v>
      </x:c>
      <x:c r="AK12" s="302">
        <x:f t="shared" si="1"/>
        <x:v>0</x:v>
      </x:c>
      <x:c r="AL12" s="301" t="s">
        <x:v>51</x:v>
      </x:c>
      <x:c r="AM12" s="301" t="s">
        <x:v>63</x:v>
      </x:c>
      <x:c r="AN12" s="301" t="s">
        <x:v>64</x:v>
      </x:c>
      <x:c r="AO12" s="301" t="s">
        <x:v>65</x:v>
      </x:c>
      <x:c r="AP12" s="301"/>
      <x:c r="AQ12" s="301"/>
    </x:row>
    <x:row r="13" ht="45.95000076293945" customHeight="1">
      <x:c r="A13" s="293" t="s">
        <x:v>121</x:v>
      </x:c>
      <x:c r="B13" s="293" t="s">
        <x:v>41</x:v>
      </x:c>
      <x:c r="C13" s="293" t="s">
        <x:v>42</x:v>
      </x:c>
      <x:c r="D13" s="294" t="s">
        <x:v>122</x:v>
      </x:c>
      <x:c r="E13" s="293" t="s">
        <x:v>68</x:v>
      </x:c>
      <x:c r="F13" s="293" t="s">
        <x:v>123</x:v>
      </x:c>
      <x:c r="G13" s="293" t="s">
        <x:v>46</x:v>
      </x:c>
      <x:c r="H13" s="294" t="s">
        <x:v>124</x:v>
      </x:c>
      <x:c r="I13" s="294" t="s">
        <x:v>125</x:v>
      </x:c>
      <x:c r="J13" s="293">
        <x:v>6</x:v>
      </x:c>
      <x:c r="K13" s="295" t="s">
        <x:v>49</x:v>
      </x:c>
      <x:c r="L13" s="303" t="s">
        <x:v>50</x:v>
      </x:c>
      <x:c r="M13" s="297" t="s">
        <x:v>51</x:v>
      </x:c>
      <x:c r="N13" s="304" t="s">
        <x:v>52</x:v>
      </x:c>
      <x:c r="O13" s="304" t="s">
        <x:v>53</x:v>
      </x:c>
      <x:c r="P13" s="305" t="s">
        <x:v>54</x:v>
      </x:c>
      <x:c r="Q13" s="300" t="str">
        <x:v>Done — backlog-claimed; closure evidence not reloaded in this pass</x:v>
      </x:c>
      <x:c r="R13" s="300"/>
      <x:c r="S13" s="300" t="s">
        <x:v>55</x:v>
      </x:c>
      <x:c r="T13" s="300"/>
      <x:c r="U13" s="300"/>
      <x:c r="V13" s="300" t="s">
        <x:v>53</x:v>
      </x:c>
      <x:c r="W13" s="300" t="s">
        <x:v>51</x:v>
      </x:c>
      <x:c r="X13" s="300" t="s">
        <x:v>56</x:v>
      </x:c>
      <x:c r="Y13" s="300" t="str">
        <x:v>Deep design reconciliation 16-Aug-2026; Chapter 3/4 + Layer-B architecture + latest source/audit evidence</x:v>
      </x:c>
      <x:c r="Z13" s="301" t="s">
        <x:v>57</x:v>
      </x:c>
      <x:c r="AA13" s="301" t="s">
        <x:v>58</x:v>
      </x:c>
      <x:c r="AB13" s="301" t="s">
        <x:v>59</x:v>
      </x:c>
      <x:c r="AC13" s="301" t="s">
        <x:v>60</x:v>
      </x:c>
      <x:c r="AD13" s="301" t="s">
        <x:v>61</x:v>
      </x:c>
      <x:c r="AE13" s="301" t="s">
        <x:v>51</x:v>
      </x:c>
      <x:c r="AF13" s="301" t="s">
        <x:v>62</x:v>
      </x:c>
      <x:c r="AG13" s="301" t="s">
        <x:v>61</x:v>
      </x:c>
      <x:c r="AH13" s="302">
        <x:v>0</x:v>
      </x:c>
      <x:c r="AI13" s="302">
        <x:v>0</x:v>
      </x:c>
      <x:c r="AJ13" s="302">
        <x:f t="shared" si="0"/>
        <x:v>0</x:v>
      </x:c>
      <x:c r="AK13" s="302">
        <x:f t="shared" si="1"/>
        <x:v>0</x:v>
      </x:c>
      <x:c r="AL13" s="301" t="s">
        <x:v>51</x:v>
      </x:c>
      <x:c r="AM13" s="301" t="s">
        <x:v>63</x:v>
      </x:c>
      <x:c r="AN13" s="301" t="s">
        <x:v>64</x:v>
      </x:c>
      <x:c r="AO13" s="301" t="s">
        <x:v>65</x:v>
      </x:c>
      <x:c r="AP13" s="301"/>
      <x:c r="AQ13" s="301"/>
    </x:row>
    <x:row r="14" ht="45.95000076293945" customHeight="1">
      <x:c r="A14" s="293" t="s">
        <x:v>126</x:v>
      </x:c>
      <x:c r="B14" s="293" t="s">
        <x:v>41</x:v>
      </x:c>
      <x:c r="C14" s="293" t="s">
        <x:v>127</x:v>
      </x:c>
      <x:c r="D14" s="294" t="s">
        <x:v>128</x:v>
      </x:c>
      <x:c r="E14" s="293" t="s">
        <x:v>86</x:v>
      </x:c>
      <x:c r="F14" s="293" t="s">
        <x:v>129</x:v>
      </x:c>
      <x:c r="G14" s="293" t="s">
        <x:v>46</x:v>
      </x:c>
      <x:c r="H14" s="294" t="s">
        <x:v>130</x:v>
      </x:c>
      <x:c r="I14" s="294" t="s">
        <x:v>131</x:v>
      </x:c>
      <x:c r="J14" s="293">
        <x:v>8</x:v>
      </x:c>
      <x:c r="K14" s="295" t="s">
        <x:v>49</x:v>
      </x:c>
      <x:c r="L14" s="303" t="s">
        <x:v>50</x:v>
      </x:c>
      <x:c r="M14" s="297" t="s">
        <x:v>51</x:v>
      </x:c>
      <x:c r="N14" s="304" t="s">
        <x:v>52</x:v>
      </x:c>
      <x:c r="O14" s="304" t="s">
        <x:v>53</x:v>
      </x:c>
      <x:c r="P14" s="305" t="s">
        <x:v>54</x:v>
      </x:c>
      <x:c r="Q14" s="300" t="str">
        <x:v>Done — backlog-claimed; closure evidence not reloaded in this pass</x:v>
      </x:c>
      <x:c r="R14" s="300"/>
      <x:c r="S14" s="300" t="s">
        <x:v>55</x:v>
      </x:c>
      <x:c r="T14" s="300"/>
      <x:c r="U14" s="300"/>
      <x:c r="V14" s="300" t="s">
        <x:v>53</x:v>
      </x:c>
      <x:c r="W14" s="300" t="s">
        <x:v>51</x:v>
      </x:c>
      <x:c r="X14" s="300" t="s">
        <x:v>56</x:v>
      </x:c>
      <x:c r="Y14" s="300" t="str">
        <x:v>Deep design reconciliation 16-Aug-2026; Chapter 3/4 + Layer-B architecture + latest source/audit evidence</x:v>
      </x:c>
      <x:c r="Z14" s="301" t="s">
        <x:v>57</x:v>
      </x:c>
      <x:c r="AA14" s="301" t="s">
        <x:v>58</x:v>
      </x:c>
      <x:c r="AB14" s="301" t="s">
        <x:v>59</x:v>
      </x:c>
      <x:c r="AC14" s="301" t="s">
        <x:v>60</x:v>
      </x:c>
      <x:c r="AD14" s="301" t="s">
        <x:v>61</x:v>
      </x:c>
      <x:c r="AE14" s="301" t="s">
        <x:v>51</x:v>
      </x:c>
      <x:c r="AF14" s="301" t="s">
        <x:v>62</x:v>
      </x:c>
      <x:c r="AG14" s="301" t="s">
        <x:v>61</x:v>
      </x:c>
      <x:c r="AH14" s="302">
        <x:v>0</x:v>
      </x:c>
      <x:c r="AI14" s="302">
        <x:v>0</x:v>
      </x:c>
      <x:c r="AJ14" s="302">
        <x:f t="shared" si="0"/>
        <x:v>0</x:v>
      </x:c>
      <x:c r="AK14" s="302">
        <x:f t="shared" si="1"/>
        <x:v>0</x:v>
      </x:c>
      <x:c r="AL14" s="301" t="s">
        <x:v>51</x:v>
      </x:c>
      <x:c r="AM14" s="301" t="s">
        <x:v>63</x:v>
      </x:c>
      <x:c r="AN14" s="301" t="s">
        <x:v>64</x:v>
      </x:c>
      <x:c r="AO14" s="301" t="s">
        <x:v>65</x:v>
      </x:c>
      <x:c r="AP14" s="301"/>
      <x:c r="AQ14" s="301"/>
    </x:row>
    <x:row r="15" ht="45.95000076293945" customHeight="1">
      <x:c r="A15" s="293" t="s">
        <x:v>132</x:v>
      </x:c>
      <x:c r="B15" s="293" t="s">
        <x:v>41</x:v>
      </x:c>
      <x:c r="C15" s="293" t="s">
        <x:v>127</x:v>
      </x:c>
      <x:c r="D15" s="294" t="s">
        <x:v>133</x:v>
      </x:c>
      <x:c r="E15" s="293" t="s">
        <x:v>86</x:v>
      </x:c>
      <x:c r="F15" s="293" t="s">
        <x:v>129</x:v>
      </x:c>
      <x:c r="G15" s="293" t="s">
        <x:v>46</x:v>
      </x:c>
      <x:c r="H15" s="294" t="s">
        <x:v>134</x:v>
      </x:c>
      <x:c r="I15" s="294" t="s">
        <x:v>135</x:v>
      </x:c>
      <x:c r="J15" s="293">
        <x:v>8</x:v>
      </x:c>
      <x:c r="K15" s="295" t="s">
        <x:v>49</x:v>
      </x:c>
      <x:c r="L15" s="303" t="s">
        <x:v>50</x:v>
      </x:c>
      <x:c r="M15" s="297" t="s">
        <x:v>51</x:v>
      </x:c>
      <x:c r="N15" s="304" t="s">
        <x:v>52</x:v>
      </x:c>
      <x:c r="O15" s="304" t="s">
        <x:v>53</x:v>
      </x:c>
      <x:c r="P15" s="305" t="s">
        <x:v>54</x:v>
      </x:c>
      <x:c r="Q15" s="300" t="str">
        <x:v>Done — backlog-claimed; closure evidence not reloaded in this pass</x:v>
      </x:c>
      <x:c r="R15" s="300"/>
      <x:c r="S15" s="300" t="s">
        <x:v>55</x:v>
      </x:c>
      <x:c r="T15" s="300"/>
      <x:c r="U15" s="300"/>
      <x:c r="V15" s="300" t="s">
        <x:v>53</x:v>
      </x:c>
      <x:c r="W15" s="300" t="s">
        <x:v>51</x:v>
      </x:c>
      <x:c r="X15" s="300" t="s">
        <x:v>56</x:v>
      </x:c>
      <x:c r="Y15" s="300" t="str">
        <x:v>Deep design reconciliation 16-Aug-2026; Chapter 3/4 + Layer-B architecture + latest source/audit evidence</x:v>
      </x:c>
      <x:c r="Z15" s="301" t="s">
        <x:v>57</x:v>
      </x:c>
      <x:c r="AA15" s="301" t="s">
        <x:v>58</x:v>
      </x:c>
      <x:c r="AB15" s="301" t="s">
        <x:v>59</x:v>
      </x:c>
      <x:c r="AC15" s="301" t="s">
        <x:v>60</x:v>
      </x:c>
      <x:c r="AD15" s="301" t="s">
        <x:v>61</x:v>
      </x:c>
      <x:c r="AE15" s="301" t="s">
        <x:v>51</x:v>
      </x:c>
      <x:c r="AF15" s="301" t="s">
        <x:v>62</x:v>
      </x:c>
      <x:c r="AG15" s="301" t="s">
        <x:v>61</x:v>
      </x:c>
      <x:c r="AH15" s="302">
        <x:v>0</x:v>
      </x:c>
      <x:c r="AI15" s="302">
        <x:v>0</x:v>
      </x:c>
      <x:c r="AJ15" s="302">
        <x:f t="shared" si="0"/>
        <x:v>0</x:v>
      </x:c>
      <x:c r="AK15" s="302">
        <x:f t="shared" si="1"/>
        <x:v>0</x:v>
      </x:c>
      <x:c r="AL15" s="301" t="s">
        <x:v>51</x:v>
      </x:c>
      <x:c r="AM15" s="301" t="s">
        <x:v>63</x:v>
      </x:c>
      <x:c r="AN15" s="301" t="s">
        <x:v>64</x:v>
      </x:c>
      <x:c r="AO15" s="301" t="s">
        <x:v>65</x:v>
      </x:c>
      <x:c r="AP15" s="301"/>
      <x:c r="AQ15" s="301"/>
    </x:row>
    <x:row r="16" ht="45.95000076293945" customHeight="1">
      <x:c r="A16" s="293" t="s">
        <x:v>136</x:v>
      </x:c>
      <x:c r="B16" s="293" t="s">
        <x:v>41</x:v>
      </x:c>
      <x:c r="C16" s="293" t="s">
        <x:v>127</x:v>
      </x:c>
      <x:c r="D16" s="294" t="s">
        <x:v>137</x:v>
      </x:c>
      <x:c r="E16" s="293" t="s">
        <x:v>44</x:v>
      </x:c>
      <x:c r="F16" s="293" t="s">
        <x:v>129</x:v>
      </x:c>
      <x:c r="G16" s="293" t="s">
        <x:v>46</x:v>
      </x:c>
      <x:c r="H16" s="294" t="s">
        <x:v>138</x:v>
      </x:c>
      <x:c r="I16" s="294" t="s">
        <x:v>139</x:v>
      </x:c>
      <x:c r="J16" s="293">
        <x:v>8</x:v>
      </x:c>
      <x:c r="K16" s="295" t="s">
        <x:v>49</x:v>
      </x:c>
      <x:c r="L16" s="303" t="s">
        <x:v>50</x:v>
      </x:c>
      <x:c r="M16" s="297" t="s">
        <x:v>51</x:v>
      </x:c>
      <x:c r="N16" s="304" t="s">
        <x:v>52</x:v>
      </x:c>
      <x:c r="O16" s="304" t="s">
        <x:v>53</x:v>
      </x:c>
      <x:c r="P16" s="305" t="s">
        <x:v>54</x:v>
      </x:c>
      <x:c r="Q16" s="300" t="str">
        <x:v>Done — backlog-claimed; closure evidence not reloaded in this pass</x:v>
      </x:c>
      <x:c r="R16" s="300"/>
      <x:c r="S16" s="300" t="s">
        <x:v>55</x:v>
      </x:c>
      <x:c r="T16" s="300"/>
      <x:c r="U16" s="300"/>
      <x:c r="V16" s="300" t="s">
        <x:v>53</x:v>
      </x:c>
      <x:c r="W16" s="300" t="s">
        <x:v>51</x:v>
      </x:c>
      <x:c r="X16" s="300" t="s">
        <x:v>56</x:v>
      </x:c>
      <x:c r="Y16" s="300" t="str">
        <x:v>Deep design reconciliation 16-Aug-2026; Chapter 3/4 + Layer-B architecture + latest source/audit evidence</x:v>
      </x:c>
      <x:c r="Z16" s="301" t="s">
        <x:v>57</x:v>
      </x:c>
      <x:c r="AA16" s="301" t="s">
        <x:v>58</x:v>
      </x:c>
      <x:c r="AB16" s="301" t="s">
        <x:v>59</x:v>
      </x:c>
      <x:c r="AC16" s="301" t="s">
        <x:v>60</x:v>
      </x:c>
      <x:c r="AD16" s="301" t="s">
        <x:v>61</x:v>
      </x:c>
      <x:c r="AE16" s="301" t="s">
        <x:v>51</x:v>
      </x:c>
      <x:c r="AF16" s="301" t="s">
        <x:v>62</x:v>
      </x:c>
      <x:c r="AG16" s="301" t="s">
        <x:v>61</x:v>
      </x:c>
      <x:c r="AH16" s="302">
        <x:v>0</x:v>
      </x:c>
      <x:c r="AI16" s="302">
        <x:v>0</x:v>
      </x:c>
      <x:c r="AJ16" s="302">
        <x:f t="shared" si="0"/>
        <x:v>0</x:v>
      </x:c>
      <x:c r="AK16" s="302">
        <x:f t="shared" si="1"/>
        <x:v>0</x:v>
      </x:c>
      <x:c r="AL16" s="301" t="s">
        <x:v>51</x:v>
      </x:c>
      <x:c r="AM16" s="301" t="s">
        <x:v>63</x:v>
      </x:c>
      <x:c r="AN16" s="301" t="s">
        <x:v>64</x:v>
      </x:c>
      <x:c r="AO16" s="301" t="s">
        <x:v>65</x:v>
      </x:c>
      <x:c r="AP16" s="301"/>
      <x:c r="AQ16" s="301"/>
    </x:row>
    <x:row r="17" ht="45.95000076293945" customHeight="1">
      <x:c r="A17" s="293" t="s">
        <x:v>140</x:v>
      </x:c>
      <x:c r="B17" s="293" t="s">
        <x:v>41</x:v>
      </x:c>
      <x:c r="C17" s="293" t="s">
        <x:v>127</x:v>
      </x:c>
      <x:c r="D17" s="294" t="s">
        <x:v>141</x:v>
      </x:c>
      <x:c r="E17" s="293" t="s">
        <x:v>86</x:v>
      </x:c>
      <x:c r="F17" s="293" t="s">
        <x:v>129</x:v>
      </x:c>
      <x:c r="G17" s="293" t="s">
        <x:v>46</x:v>
      </x:c>
      <x:c r="H17" s="294" t="s">
        <x:v>142</x:v>
      </x:c>
      <x:c r="I17" s="294" t="s">
        <x:v>143</x:v>
      </x:c>
      <x:c r="J17" s="293">
        <x:v>10</x:v>
      </x:c>
      <x:c r="K17" s="295" t="s">
        <x:v>49</x:v>
      </x:c>
      <x:c r="L17" s="303" t="s">
        <x:v>50</x:v>
      </x:c>
      <x:c r="M17" s="297" t="s">
        <x:v>51</x:v>
      </x:c>
      <x:c r="N17" s="304" t="s">
        <x:v>52</x:v>
      </x:c>
      <x:c r="O17" s="304" t="s">
        <x:v>53</x:v>
      </x:c>
      <x:c r="P17" s="305" t="s">
        <x:v>54</x:v>
      </x:c>
      <x:c r="Q17" s="300" t="str">
        <x:v>Done — backlog-claimed; closure evidence not reloaded in this pass</x:v>
      </x:c>
      <x:c r="R17" s="300"/>
      <x:c r="S17" s="300" t="s">
        <x:v>55</x:v>
      </x:c>
      <x:c r="T17" s="300"/>
      <x:c r="U17" s="300"/>
      <x:c r="V17" s="300" t="s">
        <x:v>53</x:v>
      </x:c>
      <x:c r="W17" s="300" t="s">
        <x:v>51</x:v>
      </x:c>
      <x:c r="X17" s="300" t="s">
        <x:v>56</x:v>
      </x:c>
      <x:c r="Y17" s="300" t="str">
        <x:v>Deep design reconciliation 16-Aug-2026; Chapter 3/4 + Layer-B architecture + latest source/audit evidence</x:v>
      </x:c>
      <x:c r="Z17" s="301" t="s">
        <x:v>57</x:v>
      </x:c>
      <x:c r="AA17" s="301" t="s">
        <x:v>58</x:v>
      </x:c>
      <x:c r="AB17" s="301" t="s">
        <x:v>59</x:v>
      </x:c>
      <x:c r="AC17" s="301" t="s">
        <x:v>60</x:v>
      </x:c>
      <x:c r="AD17" s="301" t="s">
        <x:v>61</x:v>
      </x:c>
      <x:c r="AE17" s="301" t="s">
        <x:v>51</x:v>
      </x:c>
      <x:c r="AF17" s="301" t="s">
        <x:v>62</x:v>
      </x:c>
      <x:c r="AG17" s="301" t="s">
        <x:v>61</x:v>
      </x:c>
      <x:c r="AH17" s="302">
        <x:v>0</x:v>
      </x:c>
      <x:c r="AI17" s="302">
        <x:v>0</x:v>
      </x:c>
      <x:c r="AJ17" s="302">
        <x:f t="shared" si="0"/>
        <x:v>0</x:v>
      </x:c>
      <x:c r="AK17" s="302">
        <x:f t="shared" si="1"/>
        <x:v>0</x:v>
      </x:c>
      <x:c r="AL17" s="301" t="s">
        <x:v>51</x:v>
      </x:c>
      <x:c r="AM17" s="301" t="s">
        <x:v>63</x:v>
      </x:c>
      <x:c r="AN17" s="301" t="s">
        <x:v>64</x:v>
      </x:c>
      <x:c r="AO17" s="301" t="s">
        <x:v>65</x:v>
      </x:c>
      <x:c r="AP17" s="301"/>
      <x:c r="AQ17" s="301"/>
    </x:row>
    <x:row r="18" ht="45.95000076293945" customHeight="1">
      <x:c r="A18" s="293" t="s">
        <x:v>144</x:v>
      </x:c>
      <x:c r="B18" s="293" t="s">
        <x:v>41</x:v>
      </x:c>
      <x:c r="C18" s="293" t="s">
        <x:v>127</x:v>
      </x:c>
      <x:c r="D18" s="294" t="s">
        <x:v>145</x:v>
      </x:c>
      <x:c r="E18" s="293" t="s">
        <x:v>86</x:v>
      </x:c>
      <x:c r="F18" s="293" t="s">
        <x:v>129</x:v>
      </x:c>
      <x:c r="G18" s="293" t="s">
        <x:v>46</x:v>
      </x:c>
      <x:c r="H18" s="294" t="s">
        <x:v>146</x:v>
      </x:c>
      <x:c r="I18" s="294" t="s">
        <x:v>147</x:v>
      </x:c>
      <x:c r="J18" s="293">
        <x:v>8</x:v>
      </x:c>
      <x:c r="K18" s="295" t="s">
        <x:v>49</x:v>
      </x:c>
      <x:c r="L18" s="303" t="s">
        <x:v>50</x:v>
      </x:c>
      <x:c r="M18" s="297" t="s">
        <x:v>51</x:v>
      </x:c>
      <x:c r="N18" s="304" t="s">
        <x:v>52</x:v>
      </x:c>
      <x:c r="O18" s="304" t="s">
        <x:v>53</x:v>
      </x:c>
      <x:c r="P18" s="305" t="s">
        <x:v>54</x:v>
      </x:c>
      <x:c r="Q18" s="300" t="str">
        <x:v>Done — backlog-claimed; closure evidence not reloaded in this pass</x:v>
      </x:c>
      <x:c r="R18" s="300"/>
      <x:c r="S18" s="300" t="s">
        <x:v>55</x:v>
      </x:c>
      <x:c r="T18" s="300"/>
      <x:c r="U18" s="300"/>
      <x:c r="V18" s="300" t="s">
        <x:v>53</x:v>
      </x:c>
      <x:c r="W18" s="300" t="s">
        <x:v>51</x:v>
      </x:c>
      <x:c r="X18" s="300" t="s">
        <x:v>56</x:v>
      </x:c>
      <x:c r="Y18" s="300" t="str">
        <x:v>Deep design reconciliation 16-Aug-2026; Chapter 3/4 + Layer-B architecture + latest source/audit evidence</x:v>
      </x:c>
      <x:c r="Z18" s="301" t="s">
        <x:v>57</x:v>
      </x:c>
      <x:c r="AA18" s="301" t="s">
        <x:v>58</x:v>
      </x:c>
      <x:c r="AB18" s="301" t="s">
        <x:v>59</x:v>
      </x:c>
      <x:c r="AC18" s="301" t="s">
        <x:v>60</x:v>
      </x:c>
      <x:c r="AD18" s="301" t="s">
        <x:v>61</x:v>
      </x:c>
      <x:c r="AE18" s="301" t="s">
        <x:v>51</x:v>
      </x:c>
      <x:c r="AF18" s="301" t="s">
        <x:v>62</x:v>
      </x:c>
      <x:c r="AG18" s="301" t="s">
        <x:v>61</x:v>
      </x:c>
      <x:c r="AH18" s="302">
        <x:v>0</x:v>
      </x:c>
      <x:c r="AI18" s="302">
        <x:v>0</x:v>
      </x:c>
      <x:c r="AJ18" s="302">
        <x:f t="shared" si="0"/>
        <x:v>0</x:v>
      </x:c>
      <x:c r="AK18" s="302">
        <x:f t="shared" si="1"/>
        <x:v>0</x:v>
      </x:c>
      <x:c r="AL18" s="301" t="s">
        <x:v>51</x:v>
      </x:c>
      <x:c r="AM18" s="301" t="s">
        <x:v>63</x:v>
      </x:c>
      <x:c r="AN18" s="301" t="s">
        <x:v>64</x:v>
      </x:c>
      <x:c r="AO18" s="301" t="s">
        <x:v>65</x:v>
      </x:c>
      <x:c r="AP18" s="301"/>
      <x:c r="AQ18" s="301"/>
    </x:row>
    <x:row r="19" ht="45.95000076293945" customHeight="1">
      <x:c r="A19" s="293" t="s">
        <x:v>148</x:v>
      </x:c>
      <x:c r="B19" s="293" t="s">
        <x:v>41</x:v>
      </x:c>
      <x:c r="C19" s="293" t="s">
        <x:v>127</x:v>
      </x:c>
      <x:c r="D19" s="294" t="s">
        <x:v>149</x:v>
      </x:c>
      <x:c r="E19" s="293" t="s">
        <x:v>86</x:v>
      </x:c>
      <x:c r="F19" s="293" t="s">
        <x:v>129</x:v>
      </x:c>
      <x:c r="G19" s="293" t="s">
        <x:v>46</x:v>
      </x:c>
      <x:c r="H19" s="294" t="s">
        <x:v>150</x:v>
      </x:c>
      <x:c r="I19" s="294" t="s">
        <x:v>151</x:v>
      </x:c>
      <x:c r="J19" s="293">
        <x:v>6</x:v>
      </x:c>
      <x:c r="K19" s="295" t="s">
        <x:v>49</x:v>
      </x:c>
      <x:c r="L19" s="303" t="s">
        <x:v>50</x:v>
      </x:c>
      <x:c r="M19" s="297" t="s">
        <x:v>51</x:v>
      </x:c>
      <x:c r="N19" s="304" t="s">
        <x:v>52</x:v>
      </x:c>
      <x:c r="O19" s="304" t="s">
        <x:v>53</x:v>
      </x:c>
      <x:c r="P19" s="305" t="s">
        <x:v>54</x:v>
      </x:c>
      <x:c r="Q19" s="300" t="str">
        <x:v>Done — backlog-claimed; closure evidence not reloaded in this pass</x:v>
      </x:c>
      <x:c r="R19" s="300"/>
      <x:c r="S19" s="300" t="s">
        <x:v>55</x:v>
      </x:c>
      <x:c r="T19" s="300"/>
      <x:c r="U19" s="300"/>
      <x:c r="V19" s="300" t="s">
        <x:v>53</x:v>
      </x:c>
      <x:c r="W19" s="300" t="s">
        <x:v>51</x:v>
      </x:c>
      <x:c r="X19" s="300" t="s">
        <x:v>56</x:v>
      </x:c>
      <x:c r="Y19" s="300" t="str">
        <x:v>Deep design reconciliation 16-Aug-2026; Chapter 3/4 + Layer-B architecture + latest source/audit evidence</x:v>
      </x:c>
      <x:c r="Z19" s="301" t="s">
        <x:v>57</x:v>
      </x:c>
      <x:c r="AA19" s="301" t="s">
        <x:v>58</x:v>
      </x:c>
      <x:c r="AB19" s="301" t="s">
        <x:v>59</x:v>
      </x:c>
      <x:c r="AC19" s="301" t="s">
        <x:v>60</x:v>
      </x:c>
      <x:c r="AD19" s="301" t="s">
        <x:v>61</x:v>
      </x:c>
      <x:c r="AE19" s="301" t="s">
        <x:v>51</x:v>
      </x:c>
      <x:c r="AF19" s="301" t="s">
        <x:v>62</x:v>
      </x:c>
      <x:c r="AG19" s="301" t="s">
        <x:v>61</x:v>
      </x:c>
      <x:c r="AH19" s="302">
        <x:v>0</x:v>
      </x:c>
      <x:c r="AI19" s="302">
        <x:v>0</x:v>
      </x:c>
      <x:c r="AJ19" s="302">
        <x:f t="shared" si="0"/>
        <x:v>0</x:v>
      </x:c>
      <x:c r="AK19" s="302">
        <x:f t="shared" si="1"/>
        <x:v>0</x:v>
      </x:c>
      <x:c r="AL19" s="301" t="s">
        <x:v>51</x:v>
      </x:c>
      <x:c r="AM19" s="301" t="s">
        <x:v>63</x:v>
      </x:c>
      <x:c r="AN19" s="301" t="s">
        <x:v>64</x:v>
      </x:c>
      <x:c r="AO19" s="301" t="s">
        <x:v>65</x:v>
      </x:c>
      <x:c r="AP19" s="301"/>
      <x:c r="AQ19" s="301"/>
    </x:row>
    <x:row r="20" ht="45.95000076293945" customHeight="1">
      <x:c r="A20" s="293" t="s">
        <x:v>152</x:v>
      </x:c>
      <x:c r="B20" s="293" t="s">
        <x:v>41</x:v>
      </x:c>
      <x:c r="C20" s="293" t="s">
        <x:v>127</x:v>
      </x:c>
      <x:c r="D20" s="294" t="s">
        <x:v>153</x:v>
      </x:c>
      <x:c r="E20" s="293" t="s">
        <x:v>86</x:v>
      </x:c>
      <x:c r="F20" s="293" t="s">
        <x:v>129</x:v>
      </x:c>
      <x:c r="G20" s="293" t="s">
        <x:v>118</x:v>
      </x:c>
      <x:c r="H20" s="294" t="s">
        <x:v>154</x:v>
      </x:c>
      <x:c r="I20" s="294" t="s">
        <x:v>155</x:v>
      </x:c>
      <x:c r="J20" s="293">
        <x:v>6</x:v>
      </x:c>
      <x:c r="K20" s="295" t="s">
        <x:v>49</x:v>
      </x:c>
      <x:c r="L20" s="303" t="s">
        <x:v>50</x:v>
      </x:c>
      <x:c r="M20" s="297" t="s">
        <x:v>51</x:v>
      </x:c>
      <x:c r="N20" s="304" t="s">
        <x:v>52</x:v>
      </x:c>
      <x:c r="O20" s="304" t="s">
        <x:v>53</x:v>
      </x:c>
      <x:c r="P20" s="305" t="s">
        <x:v>54</x:v>
      </x:c>
      <x:c r="Q20" s="300" t="str">
        <x:v>Done — backlog-claimed; closure evidence not reloaded in this pass</x:v>
      </x:c>
      <x:c r="R20" s="300"/>
      <x:c r="S20" s="300" t="s">
        <x:v>55</x:v>
      </x:c>
      <x:c r="T20" s="300"/>
      <x:c r="U20" s="300"/>
      <x:c r="V20" s="300" t="s">
        <x:v>53</x:v>
      </x:c>
      <x:c r="W20" s="300" t="s">
        <x:v>51</x:v>
      </x:c>
      <x:c r="X20" s="300" t="s">
        <x:v>56</x:v>
      </x:c>
      <x:c r="Y20" s="300" t="str">
        <x:v>Deep design reconciliation 16-Aug-2026; Chapter 3/4 + Layer-B architecture + latest source/audit evidence</x:v>
      </x:c>
      <x:c r="Z20" s="301" t="s">
        <x:v>57</x:v>
      </x:c>
      <x:c r="AA20" s="301" t="s">
        <x:v>58</x:v>
      </x:c>
      <x:c r="AB20" s="301" t="s">
        <x:v>59</x:v>
      </x:c>
      <x:c r="AC20" s="301" t="s">
        <x:v>60</x:v>
      </x:c>
      <x:c r="AD20" s="301" t="s">
        <x:v>61</x:v>
      </x:c>
      <x:c r="AE20" s="301" t="s">
        <x:v>51</x:v>
      </x:c>
      <x:c r="AF20" s="301" t="s">
        <x:v>62</x:v>
      </x:c>
      <x:c r="AG20" s="301" t="s">
        <x:v>61</x:v>
      </x:c>
      <x:c r="AH20" s="302">
        <x:v>0</x:v>
      </x:c>
      <x:c r="AI20" s="302">
        <x:v>0</x:v>
      </x:c>
      <x:c r="AJ20" s="302">
        <x:f t="shared" si="0"/>
        <x:v>0</x:v>
      </x:c>
      <x:c r="AK20" s="302">
        <x:f t="shared" si="1"/>
        <x:v>0</x:v>
      </x:c>
      <x:c r="AL20" s="301" t="s">
        <x:v>51</x:v>
      </x:c>
      <x:c r="AM20" s="301" t="s">
        <x:v>63</x:v>
      </x:c>
      <x:c r="AN20" s="301" t="s">
        <x:v>64</x:v>
      </x:c>
      <x:c r="AO20" s="301" t="s">
        <x:v>65</x:v>
      </x:c>
      <x:c r="AP20" s="301"/>
      <x:c r="AQ20" s="301"/>
    </x:row>
    <x:row r="21" ht="45.95000076293945" customHeight="1">
      <x:c r="A21" s="293" t="s">
        <x:v>156</x:v>
      </x:c>
      <x:c r="B21" s="293" t="s">
        <x:v>41</x:v>
      </x:c>
      <x:c r="C21" s="293" t="s">
        <x:v>127</x:v>
      </x:c>
      <x:c r="D21" s="294" t="s">
        <x:v>157</x:v>
      </x:c>
      <x:c r="E21" s="293" t="s">
        <x:v>86</x:v>
      </x:c>
      <x:c r="F21" s="293" t="s">
        <x:v>129</x:v>
      </x:c>
      <x:c r="G21" s="293" t="s">
        <x:v>118</x:v>
      </x:c>
      <x:c r="H21" s="294" t="s">
        <x:v>158</x:v>
      </x:c>
      <x:c r="I21" s="294" t="s">
        <x:v>159</x:v>
      </x:c>
      <x:c r="J21" s="293">
        <x:v>6</x:v>
      </x:c>
      <x:c r="K21" s="295" t="s">
        <x:v>49</x:v>
      </x:c>
      <x:c r="L21" s="303" t="s">
        <x:v>50</x:v>
      </x:c>
      <x:c r="M21" s="297" t="s">
        <x:v>51</x:v>
      </x:c>
      <x:c r="N21" s="304" t="s">
        <x:v>52</x:v>
      </x:c>
      <x:c r="O21" s="304" t="s">
        <x:v>53</x:v>
      </x:c>
      <x:c r="P21" s="305" t="s">
        <x:v>54</x:v>
      </x:c>
      <x:c r="Q21" s="300" t="str">
        <x:v>Done — backlog-claimed; closure evidence not reloaded in this pass</x:v>
      </x:c>
      <x:c r="R21" s="300"/>
      <x:c r="S21" s="300" t="s">
        <x:v>55</x:v>
      </x:c>
      <x:c r="T21" s="300"/>
      <x:c r="U21" s="300"/>
      <x:c r="V21" s="300" t="s">
        <x:v>53</x:v>
      </x:c>
      <x:c r="W21" s="300" t="s">
        <x:v>51</x:v>
      </x:c>
      <x:c r="X21" s="300" t="s">
        <x:v>56</x:v>
      </x:c>
      <x:c r="Y21" s="300" t="str">
        <x:v>Deep design reconciliation 16-Aug-2026; Chapter 3/4 + Layer-B architecture + latest source/audit evidence</x:v>
      </x:c>
      <x:c r="Z21" s="301" t="s">
        <x:v>57</x:v>
      </x:c>
      <x:c r="AA21" s="301" t="s">
        <x:v>58</x:v>
      </x:c>
      <x:c r="AB21" s="301" t="s">
        <x:v>59</x:v>
      </x:c>
      <x:c r="AC21" s="301" t="s">
        <x:v>60</x:v>
      </x:c>
      <x:c r="AD21" s="301" t="s">
        <x:v>61</x:v>
      </x:c>
      <x:c r="AE21" s="301" t="s">
        <x:v>51</x:v>
      </x:c>
      <x:c r="AF21" s="301" t="s">
        <x:v>62</x:v>
      </x:c>
      <x:c r="AG21" s="301" t="s">
        <x:v>61</x:v>
      </x:c>
      <x:c r="AH21" s="302">
        <x:v>0</x:v>
      </x:c>
      <x:c r="AI21" s="302">
        <x:v>0</x:v>
      </x:c>
      <x:c r="AJ21" s="302">
        <x:f t="shared" si="0"/>
        <x:v>0</x:v>
      </x:c>
      <x:c r="AK21" s="302">
        <x:f t="shared" si="1"/>
        <x:v>0</x:v>
      </x:c>
      <x:c r="AL21" s="301" t="s">
        <x:v>51</x:v>
      </x:c>
      <x:c r="AM21" s="301" t="s">
        <x:v>63</x:v>
      </x:c>
      <x:c r="AN21" s="301" t="s">
        <x:v>64</x:v>
      </x:c>
      <x:c r="AO21" s="301" t="s">
        <x:v>65</x:v>
      </x:c>
      <x:c r="AP21" s="301"/>
      <x:c r="AQ21" s="301"/>
    </x:row>
    <x:row r="22" ht="45.95000076293945" customHeight="1">
      <x:c r="A22" s="293" t="s">
        <x:v>160</x:v>
      </x:c>
      <x:c r="B22" s="293" t="s">
        <x:v>41</x:v>
      </x:c>
      <x:c r="C22" s="293" t="s">
        <x:v>127</x:v>
      </x:c>
      <x:c r="D22" s="294" t="s">
        <x:v>161</x:v>
      </x:c>
      <x:c r="E22" s="293" t="s">
        <x:v>86</x:v>
      </x:c>
      <x:c r="F22" s="293" t="s">
        <x:v>129</x:v>
      </x:c>
      <x:c r="G22" s="293" t="s">
        <x:v>81</x:v>
      </x:c>
      <x:c r="H22" s="294" t="s">
        <x:v>162</x:v>
      </x:c>
      <x:c r="I22" s="294" t="s">
        <x:v>163</x:v>
      </x:c>
      <x:c r="J22" s="293">
        <x:v>6</x:v>
      </x:c>
      <x:c r="K22" s="295" t="s">
        <x:v>49</x:v>
      </x:c>
      <x:c r="L22" s="303" t="s">
        <x:v>50</x:v>
      </x:c>
      <x:c r="M22" s="297" t="s">
        <x:v>51</x:v>
      </x:c>
      <x:c r="N22" s="304" t="s">
        <x:v>52</x:v>
      </x:c>
      <x:c r="O22" s="304" t="s">
        <x:v>53</x:v>
      </x:c>
      <x:c r="P22" s="305" t="s">
        <x:v>54</x:v>
      </x:c>
      <x:c r="Q22" s="300" t="str">
        <x:v>Done — backlog-claimed; closure evidence not reloaded in this pass</x:v>
      </x:c>
      <x:c r="R22" s="300"/>
      <x:c r="S22" s="300" t="s">
        <x:v>55</x:v>
      </x:c>
      <x:c r="T22" s="300"/>
      <x:c r="U22" s="300"/>
      <x:c r="V22" s="300" t="s">
        <x:v>53</x:v>
      </x:c>
      <x:c r="W22" s="300" t="s">
        <x:v>51</x:v>
      </x:c>
      <x:c r="X22" s="300" t="s">
        <x:v>56</x:v>
      </x:c>
      <x:c r="Y22" s="300" t="str">
        <x:v>Deep design reconciliation 16-Aug-2026; Chapter 3/4 + Layer-B architecture + latest source/audit evidence</x:v>
      </x:c>
      <x:c r="Z22" s="301" t="s">
        <x:v>57</x:v>
      </x:c>
      <x:c r="AA22" s="301" t="s">
        <x:v>58</x:v>
      </x:c>
      <x:c r="AB22" s="301" t="s">
        <x:v>59</x:v>
      </x:c>
      <x:c r="AC22" s="301" t="s">
        <x:v>60</x:v>
      </x:c>
      <x:c r="AD22" s="301" t="s">
        <x:v>61</x:v>
      </x:c>
      <x:c r="AE22" s="301" t="s">
        <x:v>51</x:v>
      </x:c>
      <x:c r="AF22" s="301" t="s">
        <x:v>62</x:v>
      </x:c>
      <x:c r="AG22" s="301" t="s">
        <x:v>61</x:v>
      </x:c>
      <x:c r="AH22" s="302">
        <x:v>0</x:v>
      </x:c>
      <x:c r="AI22" s="302">
        <x:v>0</x:v>
      </x:c>
      <x:c r="AJ22" s="302">
        <x:f t="shared" si="0"/>
        <x:v>0</x:v>
      </x:c>
      <x:c r="AK22" s="302">
        <x:f t="shared" si="1"/>
        <x:v>0</x:v>
      </x:c>
      <x:c r="AL22" s="301" t="s">
        <x:v>51</x:v>
      </x:c>
      <x:c r="AM22" s="301" t="s">
        <x:v>63</x:v>
      </x:c>
      <x:c r="AN22" s="301" t="s">
        <x:v>64</x:v>
      </x:c>
      <x:c r="AO22" s="301" t="s">
        <x:v>65</x:v>
      </x:c>
      <x:c r="AP22" s="301"/>
      <x:c r="AQ22" s="301"/>
    </x:row>
    <x:row r="23" ht="45.95000076293945" customHeight="1">
      <x:c r="A23" s="293" t="s">
        <x:v>164</x:v>
      </x:c>
      <x:c r="B23" s="293" t="s">
        <x:v>41</x:v>
      </x:c>
      <x:c r="C23" s="293" t="s">
        <x:v>127</x:v>
      </x:c>
      <x:c r="D23" s="294" t="s">
        <x:v>165</x:v>
      </x:c>
      <x:c r="E23" s="293" t="s">
        <x:v>86</x:v>
      </x:c>
      <x:c r="F23" s="293" t="s">
        <x:v>129</x:v>
      </x:c>
      <x:c r="G23" s="293" t="s">
        <x:v>46</x:v>
      </x:c>
      <x:c r="H23" s="294" t="s">
        <x:v>166</x:v>
      </x:c>
      <x:c r="I23" s="294" t="s">
        <x:v>167</x:v>
      </x:c>
      <x:c r="J23" s="293">
        <x:v>8</x:v>
      </x:c>
      <x:c r="K23" s="295" t="s">
        <x:v>49</x:v>
      </x:c>
      <x:c r="L23" s="303" t="s">
        <x:v>50</x:v>
      </x:c>
      <x:c r="M23" s="297" t="s">
        <x:v>51</x:v>
      </x:c>
      <x:c r="N23" s="304" t="s">
        <x:v>52</x:v>
      </x:c>
      <x:c r="O23" s="304" t="s">
        <x:v>53</x:v>
      </x:c>
      <x:c r="P23" s="305" t="s">
        <x:v>54</x:v>
      </x:c>
      <x:c r="Q23" s="300" t="str">
        <x:v>Done — backlog-claimed; closure evidence not reloaded in this pass</x:v>
      </x:c>
      <x:c r="R23" s="300"/>
      <x:c r="S23" s="300" t="s">
        <x:v>55</x:v>
      </x:c>
      <x:c r="T23" s="300"/>
      <x:c r="U23" s="300"/>
      <x:c r="V23" s="300" t="s">
        <x:v>53</x:v>
      </x:c>
      <x:c r="W23" s="300" t="s">
        <x:v>51</x:v>
      </x:c>
      <x:c r="X23" s="300" t="s">
        <x:v>56</x:v>
      </x:c>
      <x:c r="Y23" s="300" t="str">
        <x:v>Deep design reconciliation 16-Aug-2026; Chapter 3/4 + Layer-B architecture + latest source/audit evidence</x:v>
      </x:c>
      <x:c r="Z23" s="301" t="s">
        <x:v>57</x:v>
      </x:c>
      <x:c r="AA23" s="301" t="s">
        <x:v>58</x:v>
      </x:c>
      <x:c r="AB23" s="301" t="s">
        <x:v>59</x:v>
      </x:c>
      <x:c r="AC23" s="301" t="s">
        <x:v>60</x:v>
      </x:c>
      <x:c r="AD23" s="301" t="s">
        <x:v>61</x:v>
      </x:c>
      <x:c r="AE23" s="301" t="s">
        <x:v>51</x:v>
      </x:c>
      <x:c r="AF23" s="301" t="s">
        <x:v>62</x:v>
      </x:c>
      <x:c r="AG23" s="301" t="s">
        <x:v>61</x:v>
      </x:c>
      <x:c r="AH23" s="302">
        <x:v>0</x:v>
      </x:c>
      <x:c r="AI23" s="302">
        <x:v>0</x:v>
      </x:c>
      <x:c r="AJ23" s="302">
        <x:f t="shared" si="0"/>
        <x:v>0</x:v>
      </x:c>
      <x:c r="AK23" s="302">
        <x:f t="shared" si="1"/>
        <x:v>0</x:v>
      </x:c>
      <x:c r="AL23" s="301" t="s">
        <x:v>51</x:v>
      </x:c>
      <x:c r="AM23" s="301" t="s">
        <x:v>63</x:v>
      </x:c>
      <x:c r="AN23" s="301" t="s">
        <x:v>64</x:v>
      </x:c>
      <x:c r="AO23" s="301" t="s">
        <x:v>65</x:v>
      </x:c>
      <x:c r="AP23" s="301"/>
      <x:c r="AQ23" s="301"/>
    </x:row>
    <x:row r="24" ht="45.95000076293945" customHeight="1">
      <x:c r="A24" s="293" t="s">
        <x:v>168</x:v>
      </x:c>
      <x:c r="B24" s="293" t="s">
        <x:v>41</x:v>
      </x:c>
      <x:c r="C24" s="293" t="s">
        <x:v>127</x:v>
      </x:c>
      <x:c r="D24" s="294" t="s">
        <x:v>169</x:v>
      </x:c>
      <x:c r="E24" s="293" t="s">
        <x:v>86</x:v>
      </x:c>
      <x:c r="F24" s="293" t="s">
        <x:v>129</x:v>
      </x:c>
      <x:c r="G24" s="293" t="s">
        <x:v>46</x:v>
      </x:c>
      <x:c r="H24" s="294" t="s">
        <x:v>170</x:v>
      </x:c>
      <x:c r="I24" s="294" t="s">
        <x:v>171</x:v>
      </x:c>
      <x:c r="J24" s="293">
        <x:v>6</x:v>
      </x:c>
      <x:c r="K24" s="295" t="s">
        <x:v>49</x:v>
      </x:c>
      <x:c r="L24" s="303" t="s">
        <x:v>50</x:v>
      </x:c>
      <x:c r="M24" s="297" t="s">
        <x:v>51</x:v>
      </x:c>
      <x:c r="N24" s="304" t="s">
        <x:v>52</x:v>
      </x:c>
      <x:c r="O24" s="304" t="s">
        <x:v>53</x:v>
      </x:c>
      <x:c r="P24" s="305" t="s">
        <x:v>54</x:v>
      </x:c>
      <x:c r="Q24" s="300" t="str">
        <x:v>Done — backlog-claimed; closure evidence not reloaded in this pass</x:v>
      </x:c>
      <x:c r="R24" s="300"/>
      <x:c r="S24" s="300" t="s">
        <x:v>55</x:v>
      </x:c>
      <x:c r="T24" s="300"/>
      <x:c r="U24" s="300"/>
      <x:c r="V24" s="300" t="s">
        <x:v>53</x:v>
      </x:c>
      <x:c r="W24" s="300" t="s">
        <x:v>51</x:v>
      </x:c>
      <x:c r="X24" s="300" t="s">
        <x:v>56</x:v>
      </x:c>
      <x:c r="Y24" s="300" t="str">
        <x:v>Deep design reconciliation 16-Aug-2026; Chapter 3/4 + Layer-B architecture + latest source/audit evidence</x:v>
      </x:c>
      <x:c r="Z24" s="301" t="s">
        <x:v>57</x:v>
      </x:c>
      <x:c r="AA24" s="301" t="s">
        <x:v>58</x:v>
      </x:c>
      <x:c r="AB24" s="301" t="s">
        <x:v>59</x:v>
      </x:c>
      <x:c r="AC24" s="301" t="s">
        <x:v>60</x:v>
      </x:c>
      <x:c r="AD24" s="301" t="s">
        <x:v>61</x:v>
      </x:c>
      <x:c r="AE24" s="301" t="s">
        <x:v>51</x:v>
      </x:c>
      <x:c r="AF24" s="301" t="s">
        <x:v>62</x:v>
      </x:c>
      <x:c r="AG24" s="301" t="s">
        <x:v>61</x:v>
      </x:c>
      <x:c r="AH24" s="302">
        <x:v>0</x:v>
      </x:c>
      <x:c r="AI24" s="302">
        <x:v>0</x:v>
      </x:c>
      <x:c r="AJ24" s="302">
        <x:f t="shared" si="0"/>
        <x:v>0</x:v>
      </x:c>
      <x:c r="AK24" s="302">
        <x:f t="shared" si="1"/>
        <x:v>0</x:v>
      </x:c>
      <x:c r="AL24" s="301" t="s">
        <x:v>51</x:v>
      </x:c>
      <x:c r="AM24" s="301" t="s">
        <x:v>63</x:v>
      </x:c>
      <x:c r="AN24" s="301" t="s">
        <x:v>64</x:v>
      </x:c>
      <x:c r="AO24" s="301" t="s">
        <x:v>65</x:v>
      </x:c>
      <x:c r="AP24" s="301"/>
      <x:c r="AQ24" s="301"/>
    </x:row>
    <x:row r="25" ht="45.95000076293945" customHeight="1">
      <x:c r="A25" s="293" t="s">
        <x:v>172</x:v>
      </x:c>
      <x:c r="B25" s="293" t="s">
        <x:v>41</x:v>
      </x:c>
      <x:c r="C25" s="293" t="s">
        <x:v>127</x:v>
      </x:c>
      <x:c r="D25" s="294" t="s">
        <x:v>173</x:v>
      </x:c>
      <x:c r="E25" s="293" t="s">
        <x:v>86</x:v>
      </x:c>
      <x:c r="F25" s="293" t="s">
        <x:v>87</x:v>
      </x:c>
      <x:c r="G25" s="293" t="s">
        <x:v>46</x:v>
      </x:c>
      <x:c r="H25" s="294" t="s">
        <x:v>174</x:v>
      </x:c>
      <x:c r="I25" s="294" t="s">
        <x:v>175</x:v>
      </x:c>
      <x:c r="J25" s="293">
        <x:v>8</x:v>
      </x:c>
      <x:c r="K25" s="295" t="s">
        <x:v>49</x:v>
      </x:c>
      <x:c r="L25" s="303" t="s">
        <x:v>50</x:v>
      </x:c>
      <x:c r="M25" s="297" t="s">
        <x:v>51</x:v>
      </x:c>
      <x:c r="N25" s="304" t="s">
        <x:v>52</x:v>
      </x:c>
      <x:c r="O25" s="304" t="s">
        <x:v>53</x:v>
      </x:c>
      <x:c r="P25" s="305" t="s">
        <x:v>54</x:v>
      </x:c>
      <x:c r="Q25" s="300" t="str">
        <x:v>Done — backlog-claimed; closure evidence not reloaded in this pass</x:v>
      </x:c>
      <x:c r="R25" s="300"/>
      <x:c r="S25" s="300" t="s">
        <x:v>55</x:v>
      </x:c>
      <x:c r="T25" s="300"/>
      <x:c r="U25" s="300"/>
      <x:c r="V25" s="300" t="s">
        <x:v>53</x:v>
      </x:c>
      <x:c r="W25" s="300" t="s">
        <x:v>51</x:v>
      </x:c>
      <x:c r="X25" s="300" t="s">
        <x:v>56</x:v>
      </x:c>
      <x:c r="Y25" s="300" t="str">
        <x:v>Deep design reconciliation 16-Aug-2026; Chapter 3/4 + Layer-B architecture + latest source/audit evidence</x:v>
      </x:c>
      <x:c r="Z25" s="301" t="s">
        <x:v>57</x:v>
      </x:c>
      <x:c r="AA25" s="301" t="s">
        <x:v>58</x:v>
      </x:c>
      <x:c r="AB25" s="301" t="s">
        <x:v>59</x:v>
      </x:c>
      <x:c r="AC25" s="301" t="s">
        <x:v>176</x:v>
      </x:c>
      <x:c r="AD25" s="301" t="s">
        <x:v>61</x:v>
      </x:c>
      <x:c r="AE25" s="301" t="s">
        <x:v>51</x:v>
      </x:c>
      <x:c r="AF25" s="301" t="s">
        <x:v>62</x:v>
      </x:c>
      <x:c r="AG25" s="301" t="s">
        <x:v>61</x:v>
      </x:c>
      <x:c r="AH25" s="302">
        <x:v>0</x:v>
      </x:c>
      <x:c r="AI25" s="302">
        <x:v>0</x:v>
      </x:c>
      <x:c r="AJ25" s="302">
        <x:f t="shared" si="0"/>
        <x:v>0</x:v>
      </x:c>
      <x:c r="AK25" s="302">
        <x:f t="shared" si="1"/>
        <x:v>0</x:v>
      </x:c>
      <x:c r="AL25" s="301" t="s">
        <x:v>51</x:v>
      </x:c>
      <x:c r="AM25" s="301" t="s">
        <x:v>63</x:v>
      </x:c>
      <x:c r="AN25" s="301" t="s">
        <x:v>64</x:v>
      </x:c>
      <x:c r="AO25" s="301" t="s">
        <x:v>65</x:v>
      </x:c>
      <x:c r="AP25" s="301"/>
      <x:c r="AQ25" s="301"/>
    </x:row>
    <x:row r="26" ht="45.95000076293945" customHeight="1">
      <x:c r="A26" s="293" t="s">
        <x:v>177</x:v>
      </x:c>
      <x:c r="B26" s="293" t="s">
        <x:v>41</x:v>
      </x:c>
      <x:c r="C26" s="293" t="s">
        <x:v>127</x:v>
      </x:c>
      <x:c r="D26" s="294" t="s">
        <x:v>178</x:v>
      </x:c>
      <x:c r="E26" s="293" t="s">
        <x:v>179</x:v>
      </x:c>
      <x:c r="F26" s="293" t="s">
        <x:v>87</x:v>
      </x:c>
      <x:c r="G26" s="293" t="s">
        <x:v>46</x:v>
      </x:c>
      <x:c r="H26" s="294" t="s">
        <x:v>180</x:v>
      </x:c>
      <x:c r="I26" s="294" t="s">
        <x:v>181</x:v>
      </x:c>
      <x:c r="J26" s="293">
        <x:v>8</x:v>
      </x:c>
      <x:c r="K26" s="295" t="s">
        <x:v>49</x:v>
      </x:c>
      <x:c r="L26" s="303" t="s">
        <x:v>50</x:v>
      </x:c>
      <x:c r="M26" s="297" t="s">
        <x:v>51</x:v>
      </x:c>
      <x:c r="N26" s="304" t="s">
        <x:v>52</x:v>
      </x:c>
      <x:c r="O26" s="304" t="s">
        <x:v>53</x:v>
      </x:c>
      <x:c r="P26" s="305" t="s">
        <x:v>54</x:v>
      </x:c>
      <x:c r="Q26" s="300" t="str">
        <x:v>Done — backlog-claimed; closure evidence not reloaded in this pass</x:v>
      </x:c>
      <x:c r="R26" s="300"/>
      <x:c r="S26" s="300" t="s">
        <x:v>55</x:v>
      </x:c>
      <x:c r="T26" s="300"/>
      <x:c r="U26" s="300"/>
      <x:c r="V26" s="300" t="s">
        <x:v>53</x:v>
      </x:c>
      <x:c r="W26" s="300" t="s">
        <x:v>51</x:v>
      </x:c>
      <x:c r="X26" s="300" t="s">
        <x:v>56</x:v>
      </x:c>
      <x:c r="Y26" s="300" t="str">
        <x:v>Deep design reconciliation 16-Aug-2026; Chapter 3/4 + Layer-B architecture + latest source/audit evidence</x:v>
      </x:c>
      <x:c r="Z26" s="301" t="s">
        <x:v>57</x:v>
      </x:c>
      <x:c r="AA26" s="301" t="s">
        <x:v>58</x:v>
      </x:c>
      <x:c r="AB26" s="301" t="s">
        <x:v>59</x:v>
      </x:c>
      <x:c r="AC26" s="301" t="s">
        <x:v>182</x:v>
      </x:c>
      <x:c r="AD26" s="301" t="s">
        <x:v>61</x:v>
      </x:c>
      <x:c r="AE26" s="301" t="s">
        <x:v>51</x:v>
      </x:c>
      <x:c r="AF26" s="301" t="s">
        <x:v>62</x:v>
      </x:c>
      <x:c r="AG26" s="301" t="s">
        <x:v>61</x:v>
      </x:c>
      <x:c r="AH26" s="302">
        <x:v>0</x:v>
      </x:c>
      <x:c r="AI26" s="302">
        <x:v>0</x:v>
      </x:c>
      <x:c r="AJ26" s="302">
        <x:f t="shared" si="0"/>
        <x:v>0</x:v>
      </x:c>
      <x:c r="AK26" s="302">
        <x:f t="shared" si="1"/>
        <x:v>0</x:v>
      </x:c>
      <x:c r="AL26" s="301" t="s">
        <x:v>51</x:v>
      </x:c>
      <x:c r="AM26" s="301" t="s">
        <x:v>63</x:v>
      </x:c>
      <x:c r="AN26" s="301" t="s">
        <x:v>64</x:v>
      </x:c>
      <x:c r="AO26" s="301" t="s">
        <x:v>65</x:v>
      </x:c>
      <x:c r="AP26" s="301"/>
      <x:c r="AQ26" s="301"/>
    </x:row>
    <x:row r="27" ht="45.95000076293945" customHeight="1">
      <x:c r="A27" s="293" t="s">
        <x:v>183</x:v>
      </x:c>
      <x:c r="B27" s="293" t="s">
        <x:v>41</x:v>
      </x:c>
      <x:c r="C27" s="293" t="s">
        <x:v>127</x:v>
      </x:c>
      <x:c r="D27" s="294" t="s">
        <x:v>184</x:v>
      </x:c>
      <x:c r="E27" s="293" t="s">
        <x:v>100</x:v>
      </x:c>
      <x:c r="F27" s="293" t="s">
        <x:v>87</x:v>
      </x:c>
      <x:c r="G27" s="293" t="s">
        <x:v>46</x:v>
      </x:c>
      <x:c r="H27" s="294" t="s">
        <x:v>185</x:v>
      </x:c>
      <x:c r="I27" s="294" t="s">
        <x:v>186</x:v>
      </x:c>
      <x:c r="J27" s="293">
        <x:v>6</x:v>
      </x:c>
      <x:c r="K27" s="295" t="s">
        <x:v>49</x:v>
      </x:c>
      <x:c r="L27" s="303" t="s">
        <x:v>50</x:v>
      </x:c>
      <x:c r="M27" s="297" t="s">
        <x:v>51</x:v>
      </x:c>
      <x:c r="N27" s="304" t="s">
        <x:v>52</x:v>
      </x:c>
      <x:c r="O27" s="304" t="s">
        <x:v>53</x:v>
      </x:c>
      <x:c r="P27" s="305" t="s">
        <x:v>54</x:v>
      </x:c>
      <x:c r="Q27" s="300" t="str">
        <x:v>Done — backlog-claimed; closure evidence not reloaded in this pass</x:v>
      </x:c>
      <x:c r="R27" s="300"/>
      <x:c r="S27" s="300" t="s">
        <x:v>55</x:v>
      </x:c>
      <x:c r="T27" s="300"/>
      <x:c r="U27" s="300"/>
      <x:c r="V27" s="300" t="s">
        <x:v>53</x:v>
      </x:c>
      <x:c r="W27" s="300" t="s">
        <x:v>51</x:v>
      </x:c>
      <x:c r="X27" s="300" t="s">
        <x:v>56</x:v>
      </x:c>
      <x:c r="Y27" s="300" t="str">
        <x:v>Deep design reconciliation 16-Aug-2026; Chapter 3/4 + Layer-B architecture + latest source/audit evidence</x:v>
      </x:c>
      <x:c r="Z27" s="301" t="s">
        <x:v>57</x:v>
      </x:c>
      <x:c r="AA27" s="301" t="s">
        <x:v>58</x:v>
      </x:c>
      <x:c r="AB27" s="301" t="s">
        <x:v>59</x:v>
      </x:c>
      <x:c r="AC27" s="301" t="s">
        <x:v>60</x:v>
      </x:c>
      <x:c r="AD27" s="301" t="s">
        <x:v>61</x:v>
      </x:c>
      <x:c r="AE27" s="301" t="s">
        <x:v>51</x:v>
      </x:c>
      <x:c r="AF27" s="301" t="s">
        <x:v>62</x:v>
      </x:c>
      <x:c r="AG27" s="301" t="s">
        <x:v>61</x:v>
      </x:c>
      <x:c r="AH27" s="302">
        <x:v>0</x:v>
      </x:c>
      <x:c r="AI27" s="302">
        <x:v>0</x:v>
      </x:c>
      <x:c r="AJ27" s="302">
        <x:f t="shared" si="0"/>
        <x:v>0</x:v>
      </x:c>
      <x:c r="AK27" s="302">
        <x:f t="shared" si="1"/>
        <x:v>0</x:v>
      </x:c>
      <x:c r="AL27" s="301" t="s">
        <x:v>51</x:v>
      </x:c>
      <x:c r="AM27" s="301" t="s">
        <x:v>63</x:v>
      </x:c>
      <x:c r="AN27" s="301" t="s">
        <x:v>64</x:v>
      </x:c>
      <x:c r="AO27" s="301" t="s">
        <x:v>65</x:v>
      </x:c>
      <x:c r="AP27" s="301"/>
      <x:c r="AQ27" s="301"/>
    </x:row>
    <x:row r="28" ht="45.95000076293945" customHeight="1">
      <x:c r="A28" s="293" t="s">
        <x:v>187</x:v>
      </x:c>
      <x:c r="B28" s="293" t="s">
        <x:v>41</x:v>
      </x:c>
      <x:c r="C28" s="293" t="s">
        <x:v>127</x:v>
      </x:c>
      <x:c r="D28" s="294" t="s">
        <x:v>188</x:v>
      </x:c>
      <x:c r="E28" s="293" t="s">
        <x:v>100</x:v>
      </x:c>
      <x:c r="F28" s="293" t="s">
        <x:v>87</x:v>
      </x:c>
      <x:c r="G28" s="293" t="s">
        <x:v>46</x:v>
      </x:c>
      <x:c r="H28" s="294" t="s">
        <x:v>189</x:v>
      </x:c>
      <x:c r="I28" s="294" t="s">
        <x:v>190</x:v>
      </x:c>
      <x:c r="J28" s="293">
        <x:v>6</x:v>
      </x:c>
      <x:c r="K28" s="295" t="s">
        <x:v>49</x:v>
      </x:c>
      <x:c r="L28" s="303" t="s">
        <x:v>50</x:v>
      </x:c>
      <x:c r="M28" s="297" t="s">
        <x:v>51</x:v>
      </x:c>
      <x:c r="N28" s="304" t="s">
        <x:v>52</x:v>
      </x:c>
      <x:c r="O28" s="304" t="s">
        <x:v>53</x:v>
      </x:c>
      <x:c r="P28" s="305" t="s">
        <x:v>54</x:v>
      </x:c>
      <x:c r="Q28" s="300" t="str">
        <x:v>Done — backlog-claimed; closure evidence not reloaded in this pass</x:v>
      </x:c>
      <x:c r="R28" s="300"/>
      <x:c r="S28" s="300" t="s">
        <x:v>55</x:v>
      </x:c>
      <x:c r="T28" s="300"/>
      <x:c r="U28" s="300"/>
      <x:c r="V28" s="300" t="s">
        <x:v>53</x:v>
      </x:c>
      <x:c r="W28" s="300" t="s">
        <x:v>51</x:v>
      </x:c>
      <x:c r="X28" s="300" t="s">
        <x:v>56</x:v>
      </x:c>
      <x:c r="Y28" s="300" t="str">
        <x:v>Deep design reconciliation 16-Aug-2026; Chapter 3/4 + Layer-B architecture + latest source/audit evidence</x:v>
      </x:c>
      <x:c r="Z28" s="301" t="s">
        <x:v>57</x:v>
      </x:c>
      <x:c r="AA28" s="301" t="s">
        <x:v>58</x:v>
      </x:c>
      <x:c r="AB28" s="301" t="s">
        <x:v>59</x:v>
      </x:c>
      <x:c r="AC28" s="301" t="s">
        <x:v>60</x:v>
      </x:c>
      <x:c r="AD28" s="301" t="s">
        <x:v>61</x:v>
      </x:c>
      <x:c r="AE28" s="301" t="s">
        <x:v>51</x:v>
      </x:c>
      <x:c r="AF28" s="301" t="s">
        <x:v>62</x:v>
      </x:c>
      <x:c r="AG28" s="301" t="s">
        <x:v>61</x:v>
      </x:c>
      <x:c r="AH28" s="302">
        <x:v>0</x:v>
      </x:c>
      <x:c r="AI28" s="302">
        <x:v>0</x:v>
      </x:c>
      <x:c r="AJ28" s="302">
        <x:f t="shared" si="0"/>
        <x:v>0</x:v>
      </x:c>
      <x:c r="AK28" s="302">
        <x:f t="shared" si="1"/>
        <x:v>0</x:v>
      </x:c>
      <x:c r="AL28" s="301" t="s">
        <x:v>51</x:v>
      </x:c>
      <x:c r="AM28" s="301" t="s">
        <x:v>63</x:v>
      </x:c>
      <x:c r="AN28" s="301" t="s">
        <x:v>64</x:v>
      </x:c>
      <x:c r="AO28" s="301" t="s">
        <x:v>65</x:v>
      </x:c>
      <x:c r="AP28" s="301"/>
      <x:c r="AQ28" s="301"/>
    </x:row>
    <x:row r="29" ht="45.95000076293945" customHeight="1">
      <x:c r="A29" s="293" t="s">
        <x:v>191</x:v>
      </x:c>
      <x:c r="B29" s="293" t="s">
        <x:v>41</x:v>
      </x:c>
      <x:c r="C29" s="293" t="s">
        <x:v>127</x:v>
      </x:c>
      <x:c r="D29" s="294" t="s">
        <x:v>192</x:v>
      </x:c>
      <x:c r="E29" s="293" t="s">
        <x:v>86</x:v>
      </x:c>
      <x:c r="F29" s="293" t="s">
        <x:v>129</x:v>
      </x:c>
      <x:c r="G29" s="293" t="s">
        <x:v>46</x:v>
      </x:c>
      <x:c r="H29" s="294" t="s">
        <x:v>193</x:v>
      </x:c>
      <x:c r="I29" s="294" t="s">
        <x:v>194</x:v>
      </x:c>
      <x:c r="J29" s="293">
        <x:v>2</x:v>
      </x:c>
      <x:c r="K29" s="295" t="s">
        <x:v>49</x:v>
      </x:c>
      <x:c r="L29" s="303" t="s">
        <x:v>50</x:v>
      </x:c>
      <x:c r="M29" s="297" t="s">
        <x:v>51</x:v>
      </x:c>
      <x:c r="N29" s="304" t="s">
        <x:v>52</x:v>
      </x:c>
      <x:c r="O29" s="304" t="s">
        <x:v>53</x:v>
      </x:c>
      <x:c r="P29" s="305" t="s">
        <x:v>54</x:v>
      </x:c>
      <x:c r="Q29" s="300" t="str">
        <x:v>Done — backlog-claimed; closure evidence not reloaded in this pass</x:v>
      </x:c>
      <x:c r="R29" s="300"/>
      <x:c r="S29" s="300" t="s">
        <x:v>55</x:v>
      </x:c>
      <x:c r="T29" s="300"/>
      <x:c r="U29" s="300"/>
      <x:c r="V29" s="300" t="s">
        <x:v>53</x:v>
      </x:c>
      <x:c r="W29" s="300" t="s">
        <x:v>51</x:v>
      </x:c>
      <x:c r="X29" s="300" t="s">
        <x:v>56</x:v>
      </x:c>
      <x:c r="Y29" s="300" t="str">
        <x:v>Deep design reconciliation 16-Aug-2026; Chapter 3/4 + Layer-B architecture + latest source/audit evidence</x:v>
      </x:c>
      <x:c r="Z29" s="301" t="s">
        <x:v>57</x:v>
      </x:c>
      <x:c r="AA29" s="301" t="s">
        <x:v>58</x:v>
      </x:c>
      <x:c r="AB29" s="301" t="s">
        <x:v>59</x:v>
      </x:c>
      <x:c r="AC29" s="301" t="s">
        <x:v>60</x:v>
      </x:c>
      <x:c r="AD29" s="301" t="s">
        <x:v>61</x:v>
      </x:c>
      <x:c r="AE29" s="301" t="s">
        <x:v>51</x:v>
      </x:c>
      <x:c r="AF29" s="301" t="s">
        <x:v>62</x:v>
      </x:c>
      <x:c r="AG29" s="301" t="s">
        <x:v>61</x:v>
      </x:c>
      <x:c r="AH29" s="302">
        <x:v>0</x:v>
      </x:c>
      <x:c r="AI29" s="302">
        <x:v>0</x:v>
      </x:c>
      <x:c r="AJ29" s="302">
        <x:f t="shared" si="0"/>
        <x:v>0</x:v>
      </x:c>
      <x:c r="AK29" s="302">
        <x:f t="shared" si="1"/>
        <x:v>0</x:v>
      </x:c>
      <x:c r="AL29" s="301" t="s">
        <x:v>51</x:v>
      </x:c>
      <x:c r="AM29" s="301" t="s">
        <x:v>63</x:v>
      </x:c>
      <x:c r="AN29" s="301" t="s">
        <x:v>64</x:v>
      </x:c>
      <x:c r="AO29" s="301" t="s">
        <x:v>65</x:v>
      </x:c>
      <x:c r="AP29" s="301"/>
      <x:c r="AQ29" s="301"/>
    </x:row>
    <x:row r="30" ht="45.95000076293945" customHeight="1">
      <x:c r="A30" s="293" t="s">
        <x:v>195</x:v>
      </x:c>
      <x:c r="B30" s="293" t="s">
        <x:v>41</x:v>
      </x:c>
      <x:c r="C30" s="293" t="s">
        <x:v>127</x:v>
      </x:c>
      <x:c r="D30" s="294" t="s">
        <x:v>196</x:v>
      </x:c>
      <x:c r="E30" s="293" t="s">
        <x:v>86</x:v>
      </x:c>
      <x:c r="F30" s="293" t="s">
        <x:v>87</x:v>
      </x:c>
      <x:c r="G30" s="293" t="s">
        <x:v>118</x:v>
      </x:c>
      <x:c r="H30" s="294" t="s">
        <x:v>197</x:v>
      </x:c>
      <x:c r="I30" s="294" t="s">
        <x:v>198</x:v>
      </x:c>
      <x:c r="J30" s="293">
        <x:v>4</x:v>
      </x:c>
      <x:c r="K30" s="295" t="s">
        <x:v>49</x:v>
      </x:c>
      <x:c r="L30" s="303" t="s">
        <x:v>50</x:v>
      </x:c>
      <x:c r="M30" s="297" t="s">
        <x:v>51</x:v>
      </x:c>
      <x:c r="N30" s="304" t="s">
        <x:v>52</x:v>
      </x:c>
      <x:c r="O30" s="304" t="s">
        <x:v>53</x:v>
      </x:c>
      <x:c r="P30" s="305" t="s">
        <x:v>54</x:v>
      </x:c>
      <x:c r="Q30" s="300" t="str">
        <x:v>Done — backlog-claimed; closure evidence not reloaded in this pass</x:v>
      </x:c>
      <x:c r="R30" s="300"/>
      <x:c r="S30" s="300" t="s">
        <x:v>55</x:v>
      </x:c>
      <x:c r="T30" s="300"/>
      <x:c r="U30" s="300"/>
      <x:c r="V30" s="300" t="s">
        <x:v>53</x:v>
      </x:c>
      <x:c r="W30" s="300" t="s">
        <x:v>51</x:v>
      </x:c>
      <x:c r="X30" s="300" t="s">
        <x:v>56</x:v>
      </x:c>
      <x:c r="Y30" s="300" t="str">
        <x:v>Deep design reconciliation 16-Aug-2026; Chapter 3/4 + Layer-B architecture + latest source/audit evidence</x:v>
      </x:c>
      <x:c r="Z30" s="301" t="s">
        <x:v>57</x:v>
      </x:c>
      <x:c r="AA30" s="301" t="s">
        <x:v>58</x:v>
      </x:c>
      <x:c r="AB30" s="301" t="s">
        <x:v>59</x:v>
      </x:c>
      <x:c r="AC30" s="301" t="s">
        <x:v>60</x:v>
      </x:c>
      <x:c r="AD30" s="301" t="s">
        <x:v>61</x:v>
      </x:c>
      <x:c r="AE30" s="301" t="s">
        <x:v>51</x:v>
      </x:c>
      <x:c r="AF30" s="301" t="s">
        <x:v>62</x:v>
      </x:c>
      <x:c r="AG30" s="301" t="s">
        <x:v>61</x:v>
      </x:c>
      <x:c r="AH30" s="302">
        <x:v>0</x:v>
      </x:c>
      <x:c r="AI30" s="302">
        <x:v>0</x:v>
      </x:c>
      <x:c r="AJ30" s="302">
        <x:f t="shared" si="0"/>
        <x:v>0</x:v>
      </x:c>
      <x:c r="AK30" s="302">
        <x:f t="shared" si="1"/>
        <x:v>0</x:v>
      </x:c>
      <x:c r="AL30" s="301" t="s">
        <x:v>51</x:v>
      </x:c>
      <x:c r="AM30" s="301" t="s">
        <x:v>63</x:v>
      </x:c>
      <x:c r="AN30" s="301" t="s">
        <x:v>64</x:v>
      </x:c>
      <x:c r="AO30" s="301" t="s">
        <x:v>65</x:v>
      </x:c>
      <x:c r="AP30" s="301"/>
      <x:c r="AQ30" s="301"/>
    </x:row>
    <x:row r="31" ht="45.95000076293945" customHeight="1">
      <x:c r="A31" s="293" t="s">
        <x:v>199</x:v>
      </x:c>
      <x:c r="B31" s="293" t="s">
        <x:v>41</x:v>
      </x:c>
      <x:c r="C31" s="293" t="s">
        <x:v>200</x:v>
      </x:c>
      <x:c r="D31" s="294" t="s">
        <x:v>201</x:v>
      </x:c>
      <x:c r="E31" s="293" t="s">
        <x:v>86</x:v>
      </x:c>
      <x:c r="F31" s="293" t="s">
        <x:v>87</x:v>
      </x:c>
      <x:c r="G31" s="293" t="s">
        <x:v>46</x:v>
      </x:c>
      <x:c r="H31" s="294" t="s">
        <x:v>202</x:v>
      </x:c>
      <x:c r="I31" s="294" t="s">
        <x:v>203</x:v>
      </x:c>
      <x:c r="J31" s="293">
        <x:v>8</x:v>
      </x:c>
      <x:c r="K31" s="295" t="s">
        <x:v>49</x:v>
      </x:c>
      <x:c r="L31" s="303" t="s">
        <x:v>50</x:v>
      </x:c>
      <x:c r="M31" s="297" t="s">
        <x:v>51</x:v>
      </x:c>
      <x:c r="N31" s="304" t="s">
        <x:v>52</x:v>
      </x:c>
      <x:c r="O31" s="304" t="s">
        <x:v>53</x:v>
      </x:c>
      <x:c r="P31" s="305" t="s">
        <x:v>54</x:v>
      </x:c>
      <x:c r="Q31" s="300" t="str">
        <x:v>Done — backlog-claimed; closure evidence not reloaded in this pass</x:v>
      </x:c>
      <x:c r="R31" s="300"/>
      <x:c r="S31" s="300" t="s">
        <x:v>55</x:v>
      </x:c>
      <x:c r="T31" s="300"/>
      <x:c r="U31" s="300"/>
      <x:c r="V31" s="300" t="s">
        <x:v>53</x:v>
      </x:c>
      <x:c r="W31" s="300" t="s">
        <x:v>51</x:v>
      </x:c>
      <x:c r="X31" s="300" t="s">
        <x:v>56</x:v>
      </x:c>
      <x:c r="Y31" s="300" t="str">
        <x:v>Deep design reconciliation 16-Aug-2026; Chapter 3/4 + Layer-B architecture + latest source/audit evidence</x:v>
      </x:c>
      <x:c r="Z31" s="301" t="s">
        <x:v>57</x:v>
      </x:c>
      <x:c r="AA31" s="301" t="s">
        <x:v>58</x:v>
      </x:c>
      <x:c r="AB31" s="301" t="s">
        <x:v>59</x:v>
      </x:c>
      <x:c r="AC31" s="301" t="s">
        <x:v>204</x:v>
      </x:c>
      <x:c r="AD31" s="301" t="s">
        <x:v>61</x:v>
      </x:c>
      <x:c r="AE31" s="301" t="s">
        <x:v>51</x:v>
      </x:c>
      <x:c r="AF31" s="301" t="s">
        <x:v>62</x:v>
      </x:c>
      <x:c r="AG31" s="301" t="s">
        <x:v>61</x:v>
      </x:c>
      <x:c r="AH31" s="302">
        <x:v>0</x:v>
      </x:c>
      <x:c r="AI31" s="302">
        <x:v>0</x:v>
      </x:c>
      <x:c r="AJ31" s="302">
        <x:f t="shared" si="0"/>
        <x:v>0</x:v>
      </x:c>
      <x:c r="AK31" s="302">
        <x:f t="shared" si="1"/>
        <x:v>0</x:v>
      </x:c>
      <x:c r="AL31" s="301" t="s">
        <x:v>51</x:v>
      </x:c>
      <x:c r="AM31" s="301" t="s">
        <x:v>63</x:v>
      </x:c>
      <x:c r="AN31" s="301" t="s">
        <x:v>64</x:v>
      </x:c>
      <x:c r="AO31" s="301" t="s">
        <x:v>65</x:v>
      </x:c>
      <x:c r="AP31" s="301"/>
      <x:c r="AQ31" s="301"/>
    </x:row>
    <x:row r="32" ht="45.95000076293945" customHeight="1">
      <x:c r="A32" s="293" t="s">
        <x:v>205</x:v>
      </x:c>
      <x:c r="B32" s="293" t="s">
        <x:v>41</x:v>
      </x:c>
      <x:c r="C32" s="293" t="s">
        <x:v>200</x:v>
      </x:c>
      <x:c r="D32" s="294" t="s">
        <x:v>206</x:v>
      </x:c>
      <x:c r="E32" s="293" t="s">
        <x:v>86</x:v>
      </x:c>
      <x:c r="F32" s="293" t="s">
        <x:v>87</x:v>
      </x:c>
      <x:c r="G32" s="293" t="s">
        <x:v>46</x:v>
      </x:c>
      <x:c r="H32" s="294" t="s">
        <x:v>207</x:v>
      </x:c>
      <x:c r="I32" s="294" t="s">
        <x:v>208</x:v>
      </x:c>
      <x:c r="J32" s="293">
        <x:v>10</x:v>
      </x:c>
      <x:c r="K32" s="295" t="s">
        <x:v>49</x:v>
      </x:c>
      <x:c r="L32" s="303" t="s">
        <x:v>50</x:v>
      </x:c>
      <x:c r="M32" s="297" t="s">
        <x:v>51</x:v>
      </x:c>
      <x:c r="N32" s="304" t="s">
        <x:v>52</x:v>
      </x:c>
      <x:c r="O32" s="304" t="s">
        <x:v>53</x:v>
      </x:c>
      <x:c r="P32" s="305" t="s">
        <x:v>54</x:v>
      </x:c>
      <x:c r="Q32" s="300" t="str">
        <x:v>Done — backlog-claimed; closure evidence not reloaded in this pass</x:v>
      </x:c>
      <x:c r="R32" s="300"/>
      <x:c r="S32" s="300" t="s">
        <x:v>55</x:v>
      </x:c>
      <x:c r="T32" s="300"/>
      <x:c r="U32" s="300"/>
      <x:c r="V32" s="300" t="s">
        <x:v>53</x:v>
      </x:c>
      <x:c r="W32" s="300" t="s">
        <x:v>51</x:v>
      </x:c>
      <x:c r="X32" s="300" t="s">
        <x:v>56</x:v>
      </x:c>
      <x:c r="Y32" s="300" t="str">
        <x:v>Deep design reconciliation 16-Aug-2026; Chapter 3/4 + Layer-B architecture + latest source/audit evidence</x:v>
      </x:c>
      <x:c r="Z32" s="301" t="s">
        <x:v>57</x:v>
      </x:c>
      <x:c r="AA32" s="301" t="s">
        <x:v>58</x:v>
      </x:c>
      <x:c r="AB32" s="301" t="s">
        <x:v>59</x:v>
      </x:c>
      <x:c r="AC32" s="301" t="s">
        <x:v>204</x:v>
      </x:c>
      <x:c r="AD32" s="301" t="s">
        <x:v>61</x:v>
      </x:c>
      <x:c r="AE32" s="301" t="s">
        <x:v>51</x:v>
      </x:c>
      <x:c r="AF32" s="301" t="s">
        <x:v>62</x:v>
      </x:c>
      <x:c r="AG32" s="301" t="s">
        <x:v>61</x:v>
      </x:c>
      <x:c r="AH32" s="302">
        <x:v>0</x:v>
      </x:c>
      <x:c r="AI32" s="302">
        <x:v>0</x:v>
      </x:c>
      <x:c r="AJ32" s="302">
        <x:f t="shared" si="0"/>
        <x:v>0</x:v>
      </x:c>
      <x:c r="AK32" s="302">
        <x:f t="shared" si="1"/>
        <x:v>0</x:v>
      </x:c>
      <x:c r="AL32" s="301" t="s">
        <x:v>51</x:v>
      </x:c>
      <x:c r="AM32" s="301" t="s">
        <x:v>63</x:v>
      </x:c>
      <x:c r="AN32" s="301" t="s">
        <x:v>64</x:v>
      </x:c>
      <x:c r="AO32" s="301" t="s">
        <x:v>65</x:v>
      </x:c>
      <x:c r="AP32" s="301"/>
      <x:c r="AQ32" s="301"/>
    </x:row>
    <x:row r="33" s="5" customFormat="1" ht="45.95000076293945" customHeight="1">
      <x:c r="A33" s="293" t="s">
        <x:v>209</x:v>
      </x:c>
      <x:c r="B33" s="293" t="s">
        <x:v>41</x:v>
      </x:c>
      <x:c r="C33" s="293" t="s">
        <x:v>200</x:v>
      </x:c>
      <x:c r="D33" s="294" t="s">
        <x:v>210</x:v>
      </x:c>
      <x:c r="E33" s="293" t="s">
        <x:v>68</x:v>
      </x:c>
      <x:c r="F33" s="293" t="s">
        <x:v>211</x:v>
      </x:c>
      <x:c r="G33" s="293" t="s">
        <x:v>46</x:v>
      </x:c>
      <x:c r="H33" s="294" t="s">
        <x:v>212</x:v>
      </x:c>
      <x:c r="I33" s="294" t="s">
        <x:v>213</x:v>
      </x:c>
      <x:c r="J33" s="293">
        <x:v>12</x:v>
      </x:c>
      <x:c r="K33" s="295" t="s">
        <x:v>49</x:v>
      </x:c>
      <x:c r="L33" s="303" t="s">
        <x:v>50</x:v>
      </x:c>
      <x:c r="M33" s="297" t="s">
        <x:v>51</x:v>
      </x:c>
      <x:c r="N33" s="304" t="s">
        <x:v>52</x:v>
      </x:c>
      <x:c r="O33" s="304" t="s">
        <x:v>53</x:v>
      </x:c>
      <x:c r="P33" s="305" t="s">
        <x:v>54</x:v>
      </x:c>
      <x:c r="Q33" s="300" t="str">
        <x:v>Done — backlog-claimed; closure evidence not reloaded in this pass</x:v>
      </x:c>
      <x:c r="R33" s="300"/>
      <x:c r="S33" s="300" t="s">
        <x:v>55</x:v>
      </x:c>
      <x:c r="T33" s="300"/>
      <x:c r="U33" s="300"/>
      <x:c r="V33" s="300" t="s">
        <x:v>53</x:v>
      </x:c>
      <x:c r="W33" s="300" t="s">
        <x:v>51</x:v>
      </x:c>
      <x:c r="X33" s="300" t="s">
        <x:v>56</x:v>
      </x:c>
      <x:c r="Y33" s="300" t="str">
        <x:v>Deep design reconciliation 16-Aug-2026; Chapter 3/4 + Layer-B architecture + latest source/audit evidence</x:v>
      </x:c>
      <x:c r="Z33" s="301" t="s">
        <x:v>57</x:v>
      </x:c>
      <x:c r="AA33" s="301" t="s">
        <x:v>58</x:v>
      </x:c>
      <x:c r="AB33" s="301" t="s">
        <x:v>59</x:v>
      </x:c>
      <x:c r="AC33" s="301" t="s">
        <x:v>60</x:v>
      </x:c>
      <x:c r="AD33" s="301" t="s">
        <x:v>61</x:v>
      </x:c>
      <x:c r="AE33" s="301" t="s">
        <x:v>51</x:v>
      </x:c>
      <x:c r="AF33" s="301" t="s">
        <x:v>62</x:v>
      </x:c>
      <x:c r="AG33" s="301" t="s">
        <x:v>61</x:v>
      </x:c>
      <x:c r="AH33" s="302">
        <x:v>0</x:v>
      </x:c>
      <x:c r="AI33" s="302">
        <x:v>0</x:v>
      </x:c>
      <x:c r="AJ33" s="302">
        <x:f t="shared" si="0"/>
        <x:v>0</x:v>
      </x:c>
      <x:c r="AK33" s="302">
        <x:f t="shared" si="1"/>
        <x:v>0</x:v>
      </x:c>
      <x:c r="AL33" s="301" t="s">
        <x:v>51</x:v>
      </x:c>
      <x:c r="AM33" s="301" t="s">
        <x:v>63</x:v>
      </x:c>
      <x:c r="AN33" s="301" t="s">
        <x:v>64</x:v>
      </x:c>
      <x:c r="AO33" s="301" t="s">
        <x:v>65</x:v>
      </x:c>
      <x:c r="AP33" s="301"/>
      <x:c r="AQ33" s="301"/>
    </x:row>
    <x:row r="34" ht="45.95000076293945" customHeight="1">
      <x:c r="A34" s="293" t="s">
        <x:v>214</x:v>
      </x:c>
      <x:c r="B34" s="293" t="s">
        <x:v>41</x:v>
      </x:c>
      <x:c r="C34" s="293" t="s">
        <x:v>200</x:v>
      </x:c>
      <x:c r="D34" s="294" t="s">
        <x:v>215</x:v>
      </x:c>
      <x:c r="E34" s="293" t="s">
        <x:v>68</x:v>
      </x:c>
      <x:c r="F34" s="293" t="s">
        <x:v>211</x:v>
      </x:c>
      <x:c r="G34" s="293" t="s">
        <x:v>46</x:v>
      </x:c>
      <x:c r="H34" s="294" t="s">
        <x:v>216</x:v>
      </x:c>
      <x:c r="I34" s="294" t="s">
        <x:v>217</x:v>
      </x:c>
      <x:c r="J34" s="293">
        <x:v>12</x:v>
      </x:c>
      <x:c r="K34" s="295" t="s">
        <x:v>49</x:v>
      </x:c>
      <x:c r="L34" s="303" t="s">
        <x:v>50</x:v>
      </x:c>
      <x:c r="M34" s="297" t="s">
        <x:v>51</x:v>
      </x:c>
      <x:c r="N34" s="304" t="s">
        <x:v>52</x:v>
      </x:c>
      <x:c r="O34" s="304" t="s">
        <x:v>53</x:v>
      </x:c>
      <x:c r="P34" s="305" t="s">
        <x:v>54</x:v>
      </x:c>
      <x:c r="Q34" s="300" t="str">
        <x:v>Done — backlog-claimed; closure evidence not reloaded in this pass</x:v>
      </x:c>
      <x:c r="R34" s="300"/>
      <x:c r="S34" s="300" t="s">
        <x:v>55</x:v>
      </x:c>
      <x:c r="T34" s="300"/>
      <x:c r="U34" s="300"/>
      <x:c r="V34" s="300" t="s">
        <x:v>53</x:v>
      </x:c>
      <x:c r="W34" s="300" t="s">
        <x:v>51</x:v>
      </x:c>
      <x:c r="X34" s="300" t="s">
        <x:v>56</x:v>
      </x:c>
      <x:c r="Y34" s="300" t="str">
        <x:v>Deep design reconciliation 16-Aug-2026; Chapter 3/4 + Layer-B architecture + latest source/audit evidence</x:v>
      </x:c>
      <x:c r="Z34" s="301" t="s">
        <x:v>57</x:v>
      </x:c>
      <x:c r="AA34" s="301" t="s">
        <x:v>58</x:v>
      </x:c>
      <x:c r="AB34" s="301" t="s">
        <x:v>59</x:v>
      </x:c>
      <x:c r="AC34" s="301" t="s">
        <x:v>60</x:v>
      </x:c>
      <x:c r="AD34" s="301" t="s">
        <x:v>61</x:v>
      </x:c>
      <x:c r="AE34" s="301" t="s">
        <x:v>51</x:v>
      </x:c>
      <x:c r="AF34" s="301" t="s">
        <x:v>62</x:v>
      </x:c>
      <x:c r="AG34" s="301" t="s">
        <x:v>61</x:v>
      </x:c>
      <x:c r="AH34" s="302">
        <x:v>0</x:v>
      </x:c>
      <x:c r="AI34" s="302">
        <x:v>0</x:v>
      </x:c>
      <x:c r="AJ34" s="302" t="n">
        <x:f t="shared" ref="AJ34:AJ65" si="2">IF($K34="Done",0,MAX(0.25,$J34/$AH34))</x:f>
        <x:v>0</x:v>
      </x:c>
      <x:c r="AK34" s="302" t="n">
        <x:f t="shared" ref="AK34:AK65" si="3">IF($K34="Done",0,$AJ34*$AI34)</x:f>
        <x:v>0</x:v>
      </x:c>
      <x:c r="AL34" s="301" t="s">
        <x:v>51</x:v>
      </x:c>
      <x:c r="AM34" s="301" t="s">
        <x:v>63</x:v>
      </x:c>
      <x:c r="AN34" s="301" t="s">
        <x:v>64</x:v>
      </x:c>
      <x:c r="AO34" s="301" t="s">
        <x:v>65</x:v>
      </x:c>
      <x:c r="AP34" s="301"/>
      <x:c r="AQ34" s="301"/>
    </x:row>
    <x:row r="35" ht="45.95000076293945" customHeight="1">
      <x:c r="A35" s="293" t="s">
        <x:v>218</x:v>
      </x:c>
      <x:c r="B35" s="293" t="s">
        <x:v>41</x:v>
      </x:c>
      <x:c r="C35" s="293" t="s">
        <x:v>200</x:v>
      </x:c>
      <x:c r="D35" s="294" t="s">
        <x:v>219</x:v>
      </x:c>
      <x:c r="E35" s="293" t="s">
        <x:v>68</x:v>
      </x:c>
      <x:c r="F35" s="293" t="s">
        <x:v>211</x:v>
      </x:c>
      <x:c r="G35" s="293" t="s">
        <x:v>118</x:v>
      </x:c>
      <x:c r="H35" s="294" t="s">
        <x:v>220</x:v>
      </x:c>
      <x:c r="I35" s="294" t="s">
        <x:v>221</x:v>
      </x:c>
      <x:c r="J35" s="293">
        <x:v>10</x:v>
      </x:c>
      <x:c r="K35" s="295" t="s">
        <x:v>49</x:v>
      </x:c>
      <x:c r="L35" s="303" t="s">
        <x:v>50</x:v>
      </x:c>
      <x:c r="M35" s="297" t="s">
        <x:v>51</x:v>
      </x:c>
      <x:c r="N35" s="304" t="s">
        <x:v>52</x:v>
      </x:c>
      <x:c r="O35" s="304" t="s">
        <x:v>53</x:v>
      </x:c>
      <x:c r="P35" s="305" t="s">
        <x:v>54</x:v>
      </x:c>
      <x:c r="Q35" s="300" t="str">
        <x:v>Done — backlog-claimed; closure evidence not reloaded in this pass</x:v>
      </x:c>
      <x:c r="R35" s="300"/>
      <x:c r="S35" s="300" t="s">
        <x:v>55</x:v>
      </x:c>
      <x:c r="T35" s="300"/>
      <x:c r="U35" s="300"/>
      <x:c r="V35" s="300" t="s">
        <x:v>53</x:v>
      </x:c>
      <x:c r="W35" s="300" t="s">
        <x:v>51</x:v>
      </x:c>
      <x:c r="X35" s="300" t="s">
        <x:v>56</x:v>
      </x:c>
      <x:c r="Y35" s="300" t="str">
        <x:v>Deep design reconciliation 16-Aug-2026; Chapter 3/4 + Layer-B architecture + latest source/audit evidence</x:v>
      </x:c>
      <x:c r="Z35" s="301" t="s">
        <x:v>57</x:v>
      </x:c>
      <x:c r="AA35" s="301" t="s">
        <x:v>58</x:v>
      </x:c>
      <x:c r="AB35" s="301" t="s">
        <x:v>59</x:v>
      </x:c>
      <x:c r="AC35" s="301" t="s">
        <x:v>60</x:v>
      </x:c>
      <x:c r="AD35" s="301" t="s">
        <x:v>61</x:v>
      </x:c>
      <x:c r="AE35" s="301" t="s">
        <x:v>51</x:v>
      </x:c>
      <x:c r="AF35" s="301" t="s">
        <x:v>62</x:v>
      </x:c>
      <x:c r="AG35" s="301" t="s">
        <x:v>61</x:v>
      </x:c>
      <x:c r="AH35" s="302">
        <x:v>0</x:v>
      </x:c>
      <x:c r="AI35" s="302">
        <x:v>0</x:v>
      </x:c>
      <x:c r="AJ35" s="302">
        <x:f t="shared" si="2"/>
        <x:v>0</x:v>
      </x:c>
      <x:c r="AK35" s="302">
        <x:f t="shared" si="3"/>
        <x:v>0</x:v>
      </x:c>
      <x:c r="AL35" s="301" t="s">
        <x:v>51</x:v>
      </x:c>
      <x:c r="AM35" s="301" t="s">
        <x:v>63</x:v>
      </x:c>
      <x:c r="AN35" s="301" t="s">
        <x:v>64</x:v>
      </x:c>
      <x:c r="AO35" s="301" t="s">
        <x:v>65</x:v>
      </x:c>
      <x:c r="AP35" s="301"/>
      <x:c r="AQ35" s="301"/>
    </x:row>
    <x:row r="36" ht="45.95000076293945" customHeight="1">
      <x:c r="A36" s="293" t="s">
        <x:v>222</x:v>
      </x:c>
      <x:c r="B36" s="293" t="s">
        <x:v>41</x:v>
      </x:c>
      <x:c r="C36" s="293" t="s">
        <x:v>200</x:v>
      </x:c>
      <x:c r="D36" s="294" t="s">
        <x:v>223</x:v>
      </x:c>
      <x:c r="E36" s="293" t="s">
        <x:v>68</x:v>
      </x:c>
      <x:c r="F36" s="293" t="s">
        <x:v>224</x:v>
      </x:c>
      <x:c r="G36" s="293" t="s">
        <x:v>118</x:v>
      </x:c>
      <x:c r="H36" s="294" t="s">
        <x:v>225</x:v>
      </x:c>
      <x:c r="I36" s="294" t="s">
        <x:v>226</x:v>
      </x:c>
      <x:c r="J36" s="293">
        <x:v>8</x:v>
      </x:c>
      <x:c r="K36" s="295" t="s">
        <x:v>49</x:v>
      </x:c>
      <x:c r="L36" s="303" t="s">
        <x:v>50</x:v>
      </x:c>
      <x:c r="M36" s="297" t="s">
        <x:v>51</x:v>
      </x:c>
      <x:c r="N36" s="304" t="s">
        <x:v>52</x:v>
      </x:c>
      <x:c r="O36" s="304" t="s">
        <x:v>53</x:v>
      </x:c>
      <x:c r="P36" s="305" t="s">
        <x:v>54</x:v>
      </x:c>
      <x:c r="Q36" s="300" t="str">
        <x:v>Done — backlog-claimed; closure evidence not reloaded in this pass</x:v>
      </x:c>
      <x:c r="R36" s="300"/>
      <x:c r="S36" s="300" t="s">
        <x:v>55</x:v>
      </x:c>
      <x:c r="T36" s="300"/>
      <x:c r="U36" s="300"/>
      <x:c r="V36" s="300" t="s">
        <x:v>53</x:v>
      </x:c>
      <x:c r="W36" s="300" t="s">
        <x:v>51</x:v>
      </x:c>
      <x:c r="X36" s="300" t="s">
        <x:v>56</x:v>
      </x:c>
      <x:c r="Y36" s="300" t="str">
        <x:v>Deep design reconciliation 16-Aug-2026; Chapter 3/4 + Layer-B architecture + latest source/audit evidence</x:v>
      </x:c>
      <x:c r="Z36" s="301" t="s">
        <x:v>57</x:v>
      </x:c>
      <x:c r="AA36" s="301" t="s">
        <x:v>58</x:v>
      </x:c>
      <x:c r="AB36" s="301" t="s">
        <x:v>59</x:v>
      </x:c>
      <x:c r="AC36" s="301" t="s">
        <x:v>60</x:v>
      </x:c>
      <x:c r="AD36" s="301" t="s">
        <x:v>61</x:v>
      </x:c>
      <x:c r="AE36" s="301" t="s">
        <x:v>51</x:v>
      </x:c>
      <x:c r="AF36" s="301" t="s">
        <x:v>62</x:v>
      </x:c>
      <x:c r="AG36" s="301" t="s">
        <x:v>61</x:v>
      </x:c>
      <x:c r="AH36" s="302">
        <x:v>0</x:v>
      </x:c>
      <x:c r="AI36" s="302">
        <x:v>0</x:v>
      </x:c>
      <x:c r="AJ36" s="302">
        <x:f t="shared" si="2"/>
        <x:v>0</x:v>
      </x:c>
      <x:c r="AK36" s="302">
        <x:f t="shared" si="3"/>
        <x:v>0</x:v>
      </x:c>
      <x:c r="AL36" s="301" t="s">
        <x:v>51</x:v>
      </x:c>
      <x:c r="AM36" s="301" t="s">
        <x:v>63</x:v>
      </x:c>
      <x:c r="AN36" s="301" t="s">
        <x:v>64</x:v>
      </x:c>
      <x:c r="AO36" s="301" t="s">
        <x:v>65</x:v>
      </x:c>
      <x:c r="AP36" s="301"/>
      <x:c r="AQ36" s="301"/>
    </x:row>
    <x:row r="37" ht="45.95000076293945" customHeight="1">
      <x:c r="A37" s="293" t="s">
        <x:v>227</x:v>
      </x:c>
      <x:c r="B37" s="293" t="s">
        <x:v>41</x:v>
      </x:c>
      <x:c r="C37" s="293" t="s">
        <x:v>200</x:v>
      </x:c>
      <x:c r="D37" s="294" t="s">
        <x:v>228</x:v>
      </x:c>
      <x:c r="E37" s="293" t="s">
        <x:v>68</x:v>
      </x:c>
      <x:c r="F37" s="293" t="s">
        <x:v>224</x:v>
      </x:c>
      <x:c r="G37" s="293" t="s">
        <x:v>46</x:v>
      </x:c>
      <x:c r="H37" s="294" t="s">
        <x:v>229</x:v>
      </x:c>
      <x:c r="I37" s="294" t="s">
        <x:v>230</x:v>
      </x:c>
      <x:c r="J37" s="293">
        <x:v>12</x:v>
      </x:c>
      <x:c r="K37" s="295" t="s">
        <x:v>49</x:v>
      </x:c>
      <x:c r="L37" s="303" t="s">
        <x:v>50</x:v>
      </x:c>
      <x:c r="M37" s="297" t="s">
        <x:v>51</x:v>
      </x:c>
      <x:c r="N37" s="304" t="s">
        <x:v>52</x:v>
      </x:c>
      <x:c r="O37" s="304" t="s">
        <x:v>53</x:v>
      </x:c>
      <x:c r="P37" s="305" t="s">
        <x:v>54</x:v>
      </x:c>
      <x:c r="Q37" s="300" t="str">
        <x:v>Done — backlog-claimed; closure evidence not reloaded in this pass</x:v>
      </x:c>
      <x:c r="R37" s="300"/>
      <x:c r="S37" s="300" t="s">
        <x:v>55</x:v>
      </x:c>
      <x:c r="T37" s="300"/>
      <x:c r="U37" s="300"/>
      <x:c r="V37" s="300" t="s">
        <x:v>53</x:v>
      </x:c>
      <x:c r="W37" s="300" t="s">
        <x:v>51</x:v>
      </x:c>
      <x:c r="X37" s="300" t="s">
        <x:v>56</x:v>
      </x:c>
      <x:c r="Y37" s="300" t="str">
        <x:v>Deep design reconciliation 16-Aug-2026; Chapter 3/4 + Layer-B architecture + latest source/audit evidence</x:v>
      </x:c>
      <x:c r="Z37" s="301" t="s">
        <x:v>57</x:v>
      </x:c>
      <x:c r="AA37" s="301" t="s">
        <x:v>58</x:v>
      </x:c>
      <x:c r="AB37" s="301" t="s">
        <x:v>59</x:v>
      </x:c>
      <x:c r="AC37" s="301" t="s">
        <x:v>60</x:v>
      </x:c>
      <x:c r="AD37" s="301" t="s">
        <x:v>61</x:v>
      </x:c>
      <x:c r="AE37" s="301" t="s">
        <x:v>51</x:v>
      </x:c>
      <x:c r="AF37" s="301" t="s">
        <x:v>62</x:v>
      </x:c>
      <x:c r="AG37" s="301" t="s">
        <x:v>61</x:v>
      </x:c>
      <x:c r="AH37" s="302">
        <x:v>0</x:v>
      </x:c>
      <x:c r="AI37" s="302">
        <x:v>0</x:v>
      </x:c>
      <x:c r="AJ37" s="302">
        <x:f t="shared" si="2"/>
        <x:v>0</x:v>
      </x:c>
      <x:c r="AK37" s="302">
        <x:f t="shared" si="3"/>
        <x:v>0</x:v>
      </x:c>
      <x:c r="AL37" s="301" t="s">
        <x:v>51</x:v>
      </x:c>
      <x:c r="AM37" s="301" t="s">
        <x:v>63</x:v>
      </x:c>
      <x:c r="AN37" s="301" t="s">
        <x:v>64</x:v>
      </x:c>
      <x:c r="AO37" s="301" t="s">
        <x:v>65</x:v>
      </x:c>
      <x:c r="AP37" s="301"/>
      <x:c r="AQ37" s="301"/>
    </x:row>
    <x:row r="38" ht="45.95000076293945" customHeight="1">
      <x:c r="A38" s="293" t="s">
        <x:v>231</x:v>
      </x:c>
      <x:c r="B38" s="293" t="s">
        <x:v>41</x:v>
      </x:c>
      <x:c r="C38" s="293" t="s">
        <x:v>200</x:v>
      </x:c>
      <x:c r="D38" s="294" t="s">
        <x:v>232</x:v>
      </x:c>
      <x:c r="E38" s="293" t="s">
        <x:v>68</x:v>
      </x:c>
      <x:c r="F38" s="293" t="s">
        <x:v>211</x:v>
      </x:c>
      <x:c r="G38" s="293" t="s">
        <x:v>81</x:v>
      </x:c>
      <x:c r="H38" s="294" t="s">
        <x:v>233</x:v>
      </x:c>
      <x:c r="I38" s="294" t="s">
        <x:v>234</x:v>
      </x:c>
      <x:c r="J38" s="293">
        <x:v>3</x:v>
      </x:c>
      <x:c r="K38" s="295" t="s">
        <x:v>49</x:v>
      </x:c>
      <x:c r="L38" s="303" t="s">
        <x:v>50</x:v>
      </x:c>
      <x:c r="M38" s="297" t="s">
        <x:v>51</x:v>
      </x:c>
      <x:c r="N38" s="304" t="s">
        <x:v>52</x:v>
      </x:c>
      <x:c r="O38" s="304" t="s">
        <x:v>53</x:v>
      </x:c>
      <x:c r="P38" s="305" t="s">
        <x:v>54</x:v>
      </x:c>
      <x:c r="Q38" s="300" t="str">
        <x:v>Done — backlog-claimed; closure evidence not reloaded in this pass</x:v>
      </x:c>
      <x:c r="R38" s="300"/>
      <x:c r="S38" s="300" t="s">
        <x:v>55</x:v>
      </x:c>
      <x:c r="T38" s="300"/>
      <x:c r="U38" s="300"/>
      <x:c r="V38" s="300" t="s">
        <x:v>53</x:v>
      </x:c>
      <x:c r="W38" s="300" t="s">
        <x:v>51</x:v>
      </x:c>
      <x:c r="X38" s="300" t="s">
        <x:v>56</x:v>
      </x:c>
      <x:c r="Y38" s="300" t="str">
        <x:v>Deep design reconciliation 16-Aug-2026; Chapter 3/4 + Layer-B architecture + latest source/audit evidence</x:v>
      </x:c>
      <x:c r="Z38" s="301" t="s">
        <x:v>57</x:v>
      </x:c>
      <x:c r="AA38" s="301" t="s">
        <x:v>58</x:v>
      </x:c>
      <x:c r="AB38" s="301" t="s">
        <x:v>59</x:v>
      </x:c>
      <x:c r="AC38" s="301" t="s">
        <x:v>60</x:v>
      </x:c>
      <x:c r="AD38" s="301" t="s">
        <x:v>61</x:v>
      </x:c>
      <x:c r="AE38" s="301" t="s">
        <x:v>51</x:v>
      </x:c>
      <x:c r="AF38" s="301" t="s">
        <x:v>62</x:v>
      </x:c>
      <x:c r="AG38" s="301" t="s">
        <x:v>61</x:v>
      </x:c>
      <x:c r="AH38" s="302">
        <x:v>0</x:v>
      </x:c>
      <x:c r="AI38" s="302">
        <x:v>0</x:v>
      </x:c>
      <x:c r="AJ38" s="302">
        <x:f t="shared" si="2"/>
        <x:v>0</x:v>
      </x:c>
      <x:c r="AK38" s="302">
        <x:f t="shared" si="3"/>
        <x:v>0</x:v>
      </x:c>
      <x:c r="AL38" s="301" t="s">
        <x:v>51</x:v>
      </x:c>
      <x:c r="AM38" s="301" t="s">
        <x:v>63</x:v>
      </x:c>
      <x:c r="AN38" s="301" t="s">
        <x:v>64</x:v>
      </x:c>
      <x:c r="AO38" s="301" t="s">
        <x:v>65</x:v>
      </x:c>
      <x:c r="AP38" s="301"/>
      <x:c r="AQ38" s="301"/>
    </x:row>
    <x:row r="39" ht="45.95000076293945" customHeight="1">
      <x:c r="A39" s="293" t="s">
        <x:v>235</x:v>
      </x:c>
      <x:c r="B39" s="293" t="s">
        <x:v>41</x:v>
      </x:c>
      <x:c r="C39" s="293" t="s">
        <x:v>200</x:v>
      </x:c>
      <x:c r="D39" s="294" t="s">
        <x:v>236</x:v>
      </x:c>
      <x:c r="E39" s="293" t="s">
        <x:v>68</x:v>
      </x:c>
      <x:c r="F39" s="293" t="s">
        <x:v>101</x:v>
      </x:c>
      <x:c r="G39" s="293" t="s">
        <x:v>46</x:v>
      </x:c>
      <x:c r="H39" s="294" t="s">
        <x:v>237</x:v>
      </x:c>
      <x:c r="I39" s="294" t="s">
        <x:v>238</x:v>
      </x:c>
      <x:c r="J39" s="293">
        <x:v>12</x:v>
      </x:c>
      <x:c r="K39" s="295" t="s">
        <x:v>49</x:v>
      </x:c>
      <x:c r="L39" s="303" t="s">
        <x:v>50</x:v>
      </x:c>
      <x:c r="M39" s="297" t="s">
        <x:v>51</x:v>
      </x:c>
      <x:c r="N39" s="304" t="s">
        <x:v>52</x:v>
      </x:c>
      <x:c r="O39" s="304" t="s">
        <x:v>53</x:v>
      </x:c>
      <x:c r="P39" s="305" t="s">
        <x:v>54</x:v>
      </x:c>
      <x:c r="Q39" s="300" t="str">
        <x:v>Done — backlog-claimed; closure evidence not reloaded in this pass</x:v>
      </x:c>
      <x:c r="R39" s="300"/>
      <x:c r="S39" s="300" t="s">
        <x:v>55</x:v>
      </x:c>
      <x:c r="T39" s="300"/>
      <x:c r="U39" s="300"/>
      <x:c r="V39" s="300" t="s">
        <x:v>53</x:v>
      </x:c>
      <x:c r="W39" s="300" t="s">
        <x:v>51</x:v>
      </x:c>
      <x:c r="X39" s="300" t="s">
        <x:v>56</x:v>
      </x:c>
      <x:c r="Y39" s="300" t="str">
        <x:v>Deep design reconciliation 16-Aug-2026; Chapter 3/4 + Layer-B architecture + latest source/audit evidence</x:v>
      </x:c>
      <x:c r="Z39" s="301" t="s">
        <x:v>57</x:v>
      </x:c>
      <x:c r="AA39" s="301" t="s">
        <x:v>58</x:v>
      </x:c>
      <x:c r="AB39" s="301" t="s">
        <x:v>59</x:v>
      </x:c>
      <x:c r="AC39" s="301" t="s">
        <x:v>60</x:v>
      </x:c>
      <x:c r="AD39" s="301" t="s">
        <x:v>61</x:v>
      </x:c>
      <x:c r="AE39" s="301" t="s">
        <x:v>51</x:v>
      </x:c>
      <x:c r="AF39" s="301" t="s">
        <x:v>62</x:v>
      </x:c>
      <x:c r="AG39" s="301" t="s">
        <x:v>61</x:v>
      </x:c>
      <x:c r="AH39" s="302">
        <x:v>0</x:v>
      </x:c>
      <x:c r="AI39" s="302">
        <x:v>0</x:v>
      </x:c>
      <x:c r="AJ39" s="302">
        <x:f t="shared" si="2"/>
        <x:v>0</x:v>
      </x:c>
      <x:c r="AK39" s="302">
        <x:f t="shared" si="3"/>
        <x:v>0</x:v>
      </x:c>
      <x:c r="AL39" s="301" t="s">
        <x:v>51</x:v>
      </x:c>
      <x:c r="AM39" s="301" t="s">
        <x:v>63</x:v>
      </x:c>
      <x:c r="AN39" s="301" t="s">
        <x:v>64</x:v>
      </x:c>
      <x:c r="AO39" s="301" t="s">
        <x:v>65</x:v>
      </x:c>
      <x:c r="AP39" s="301"/>
      <x:c r="AQ39" s="301"/>
    </x:row>
    <x:row r="40" ht="45.95000076293945" customHeight="1">
      <x:c r="A40" s="293" t="s">
        <x:v>239</x:v>
      </x:c>
      <x:c r="B40" s="293" t="s">
        <x:v>41</x:v>
      </x:c>
      <x:c r="C40" s="293" t="s">
        <x:v>200</x:v>
      </x:c>
      <x:c r="D40" s="294" t="s">
        <x:v>240</x:v>
      </x:c>
      <x:c r="E40" s="293" t="s">
        <x:v>106</x:v>
      </x:c>
      <x:c r="F40" s="293" t="s">
        <x:v>241</x:v>
      </x:c>
      <x:c r="G40" s="293" t="s">
        <x:v>46</x:v>
      </x:c>
      <x:c r="H40" s="294" t="s">
        <x:v>242</x:v>
      </x:c>
      <x:c r="I40" s="294" t="s">
        <x:v>243</x:v>
      </x:c>
      <x:c r="J40" s="293">
        <x:v>12</x:v>
      </x:c>
      <x:c r="K40" s="295" t="s">
        <x:v>49</x:v>
      </x:c>
      <x:c r="L40" s="303" t="s">
        <x:v>50</x:v>
      </x:c>
      <x:c r="M40" s="297" t="s">
        <x:v>51</x:v>
      </x:c>
      <x:c r="N40" s="304" t="s">
        <x:v>52</x:v>
      </x:c>
      <x:c r="O40" s="304" t="s">
        <x:v>53</x:v>
      </x:c>
      <x:c r="P40" s="305" t="s">
        <x:v>54</x:v>
      </x:c>
      <x:c r="Q40" s="300" t="str">
        <x:v>Done — backlog-claimed; closure evidence not reloaded in this pass</x:v>
      </x:c>
      <x:c r="R40" s="300"/>
      <x:c r="S40" s="300" t="s">
        <x:v>55</x:v>
      </x:c>
      <x:c r="T40" s="300"/>
      <x:c r="U40" s="300"/>
      <x:c r="V40" s="300" t="s">
        <x:v>53</x:v>
      </x:c>
      <x:c r="W40" s="300" t="s">
        <x:v>51</x:v>
      </x:c>
      <x:c r="X40" s="300" t="s">
        <x:v>56</x:v>
      </x:c>
      <x:c r="Y40" s="300" t="str">
        <x:v>Deep design reconciliation 16-Aug-2026; Chapter 3/4 + Layer-B architecture + latest source/audit evidence</x:v>
      </x:c>
      <x:c r="Z40" s="301" t="s">
        <x:v>57</x:v>
      </x:c>
      <x:c r="AA40" s="301" t="s">
        <x:v>58</x:v>
      </x:c>
      <x:c r="AB40" s="301" t="s">
        <x:v>59</x:v>
      </x:c>
      <x:c r="AC40" s="301" t="s">
        <x:v>60</x:v>
      </x:c>
      <x:c r="AD40" s="301" t="s">
        <x:v>61</x:v>
      </x:c>
      <x:c r="AE40" s="301" t="s">
        <x:v>51</x:v>
      </x:c>
      <x:c r="AF40" s="301" t="s">
        <x:v>62</x:v>
      </x:c>
      <x:c r="AG40" s="301" t="s">
        <x:v>61</x:v>
      </x:c>
      <x:c r="AH40" s="302">
        <x:v>0</x:v>
      </x:c>
      <x:c r="AI40" s="302">
        <x:v>0</x:v>
      </x:c>
      <x:c r="AJ40" s="302">
        <x:f t="shared" si="2"/>
        <x:v>0</x:v>
      </x:c>
      <x:c r="AK40" s="302">
        <x:f t="shared" si="3"/>
        <x:v>0</x:v>
      </x:c>
      <x:c r="AL40" s="301" t="s">
        <x:v>51</x:v>
      </x:c>
      <x:c r="AM40" s="301" t="s">
        <x:v>63</x:v>
      </x:c>
      <x:c r="AN40" s="301" t="s">
        <x:v>64</x:v>
      </x:c>
      <x:c r="AO40" s="301" t="s">
        <x:v>65</x:v>
      </x:c>
      <x:c r="AP40" s="301"/>
      <x:c r="AQ40" s="301"/>
    </x:row>
    <x:row r="41" ht="45.95000076293945" customHeight="1">
      <x:c r="A41" s="293" t="s">
        <x:v>244</x:v>
      </x:c>
      <x:c r="B41" s="293" t="s">
        <x:v>41</x:v>
      </x:c>
      <x:c r="C41" s="293" t="s">
        <x:v>200</x:v>
      </x:c>
      <x:c r="D41" s="294" t="s">
        <x:v>245</x:v>
      </x:c>
      <x:c r="E41" s="293" t="s">
        <x:v>68</x:v>
      </x:c>
      <x:c r="F41" s="293" t="s">
        <x:v>211</x:v>
      </x:c>
      <x:c r="G41" s="293" t="s">
        <x:v>118</x:v>
      </x:c>
      <x:c r="H41" s="294" t="s">
        <x:v>246</x:v>
      </x:c>
      <x:c r="I41" s="294" t="s">
        <x:v>247</x:v>
      </x:c>
      <x:c r="J41" s="293">
        <x:v>8</x:v>
      </x:c>
      <x:c r="K41" s="295" t="s">
        <x:v>49</x:v>
      </x:c>
      <x:c r="L41" s="303" t="s">
        <x:v>50</x:v>
      </x:c>
      <x:c r="M41" s="297" t="s">
        <x:v>51</x:v>
      </x:c>
      <x:c r="N41" s="304" t="s">
        <x:v>52</x:v>
      </x:c>
      <x:c r="O41" s="304" t="s">
        <x:v>53</x:v>
      </x:c>
      <x:c r="P41" s="305" t="s">
        <x:v>54</x:v>
      </x:c>
      <x:c r="Q41" s="300" t="str">
        <x:v>Done — backlog-claimed; closure evidence not reloaded in this pass</x:v>
      </x:c>
      <x:c r="R41" s="300"/>
      <x:c r="S41" s="300" t="s">
        <x:v>55</x:v>
      </x:c>
      <x:c r="T41" s="300"/>
      <x:c r="U41" s="300"/>
      <x:c r="V41" s="300" t="s">
        <x:v>53</x:v>
      </x:c>
      <x:c r="W41" s="300" t="s">
        <x:v>51</x:v>
      </x:c>
      <x:c r="X41" s="300" t="s">
        <x:v>56</x:v>
      </x:c>
      <x:c r="Y41" s="300" t="str">
        <x:v>Deep design reconciliation 16-Aug-2026; Chapter 3/4 + Layer-B architecture + latest source/audit evidence</x:v>
      </x:c>
      <x:c r="Z41" s="301" t="s">
        <x:v>57</x:v>
      </x:c>
      <x:c r="AA41" s="301" t="s">
        <x:v>58</x:v>
      </x:c>
      <x:c r="AB41" s="301" t="s">
        <x:v>59</x:v>
      </x:c>
      <x:c r="AC41" s="301" t="s">
        <x:v>60</x:v>
      </x:c>
      <x:c r="AD41" s="301" t="s">
        <x:v>61</x:v>
      </x:c>
      <x:c r="AE41" s="301" t="s">
        <x:v>51</x:v>
      </x:c>
      <x:c r="AF41" s="301" t="s">
        <x:v>62</x:v>
      </x:c>
      <x:c r="AG41" s="301" t="s">
        <x:v>61</x:v>
      </x:c>
      <x:c r="AH41" s="302">
        <x:v>0</x:v>
      </x:c>
      <x:c r="AI41" s="302">
        <x:v>0</x:v>
      </x:c>
      <x:c r="AJ41" s="302">
        <x:f t="shared" si="2"/>
        <x:v>0</x:v>
      </x:c>
      <x:c r="AK41" s="302">
        <x:f t="shared" si="3"/>
        <x:v>0</x:v>
      </x:c>
      <x:c r="AL41" s="301" t="s">
        <x:v>51</x:v>
      </x:c>
      <x:c r="AM41" s="301" t="s">
        <x:v>63</x:v>
      </x:c>
      <x:c r="AN41" s="301" t="s">
        <x:v>64</x:v>
      </x:c>
      <x:c r="AO41" s="301" t="s">
        <x:v>65</x:v>
      </x:c>
      <x:c r="AP41" s="301"/>
      <x:c r="AQ41" s="301"/>
    </x:row>
    <x:row r="42" ht="45.95000076293945" customHeight="1">
      <x:c r="A42" s="293" t="s">
        <x:v>248</x:v>
      </x:c>
      <x:c r="B42" s="293" t="s">
        <x:v>41</x:v>
      </x:c>
      <x:c r="C42" s="293" t="s">
        <x:v>249</x:v>
      </x:c>
      <x:c r="D42" s="294" t="s">
        <x:v>250</x:v>
      </x:c>
      <x:c r="E42" s="293" t="s">
        <x:v>68</x:v>
      </x:c>
      <x:c r="F42" s="293" t="s">
        <x:v>101</x:v>
      </x:c>
      <x:c r="G42" s="293" t="s">
        <x:v>46</x:v>
      </x:c>
      <x:c r="H42" s="294" t="s">
        <x:v>251</x:v>
      </x:c>
      <x:c r="I42" s="294" t="s">
        <x:v>252</x:v>
      </x:c>
      <x:c r="J42" s="293">
        <x:v>6</x:v>
      </x:c>
      <x:c r="K42" s="295" t="s">
        <x:v>49</x:v>
      </x:c>
      <x:c r="L42" s="303" t="s">
        <x:v>50</x:v>
      </x:c>
      <x:c r="M42" s="297" t="s">
        <x:v>51</x:v>
      </x:c>
      <x:c r="N42" s="304" t="s">
        <x:v>52</x:v>
      </x:c>
      <x:c r="O42" s="304" t="s">
        <x:v>53</x:v>
      </x:c>
      <x:c r="P42" s="305" t="s">
        <x:v>54</x:v>
      </x:c>
      <x:c r="Q42" s="300" t="str">
        <x:v>Done — backlog-claimed; closure evidence not reloaded in this pass</x:v>
      </x:c>
      <x:c r="R42" s="300"/>
      <x:c r="S42" s="300" t="s">
        <x:v>55</x:v>
      </x:c>
      <x:c r="T42" s="300"/>
      <x:c r="U42" s="300"/>
      <x:c r="V42" s="300" t="s">
        <x:v>53</x:v>
      </x:c>
      <x:c r="W42" s="300" t="s">
        <x:v>51</x:v>
      </x:c>
      <x:c r="X42" s="300" t="s">
        <x:v>56</x:v>
      </x:c>
      <x:c r="Y42" s="300" t="str">
        <x:v>Deep design reconciliation 16-Aug-2026; Chapter 3/4 + Layer-B architecture + latest source/audit evidence</x:v>
      </x:c>
      <x:c r="Z42" s="301" t="s">
        <x:v>57</x:v>
      </x:c>
      <x:c r="AA42" s="301" t="s">
        <x:v>58</x:v>
      </x:c>
      <x:c r="AB42" s="301" t="s">
        <x:v>59</x:v>
      </x:c>
      <x:c r="AC42" s="301" t="s">
        <x:v>60</x:v>
      </x:c>
      <x:c r="AD42" s="301" t="s">
        <x:v>61</x:v>
      </x:c>
      <x:c r="AE42" s="301" t="s">
        <x:v>51</x:v>
      </x:c>
      <x:c r="AF42" s="301" t="s">
        <x:v>62</x:v>
      </x:c>
      <x:c r="AG42" s="301" t="s">
        <x:v>61</x:v>
      </x:c>
      <x:c r="AH42" s="302">
        <x:v>0</x:v>
      </x:c>
      <x:c r="AI42" s="302">
        <x:v>0</x:v>
      </x:c>
      <x:c r="AJ42" s="302">
        <x:f t="shared" si="2"/>
        <x:v>0</x:v>
      </x:c>
      <x:c r="AK42" s="302">
        <x:f t="shared" si="3"/>
        <x:v>0</x:v>
      </x:c>
      <x:c r="AL42" s="301" t="s">
        <x:v>51</x:v>
      </x:c>
      <x:c r="AM42" s="301" t="s">
        <x:v>63</x:v>
      </x:c>
      <x:c r="AN42" s="301" t="s">
        <x:v>64</x:v>
      </x:c>
      <x:c r="AO42" s="301" t="s">
        <x:v>65</x:v>
      </x:c>
      <x:c r="AP42" s="301"/>
      <x:c r="AQ42" s="301"/>
    </x:row>
    <x:row r="43" ht="45.95000076293945" customHeight="1">
      <x:c r="A43" s="293" t="s">
        <x:v>253</x:v>
      </x:c>
      <x:c r="B43" s="293" t="s">
        <x:v>41</x:v>
      </x:c>
      <x:c r="C43" s="293" t="s">
        <x:v>249</x:v>
      </x:c>
      <x:c r="D43" s="294" t="s">
        <x:v>254</x:v>
      </x:c>
      <x:c r="E43" s="293" t="s">
        <x:v>68</x:v>
      </x:c>
      <x:c r="F43" s="293" t="s">
        <x:v>101</x:v>
      </x:c>
      <x:c r="G43" s="293" t="s">
        <x:v>46</x:v>
      </x:c>
      <x:c r="H43" s="294" t="s">
        <x:v>255</x:v>
      </x:c>
      <x:c r="I43" s="294" t="s">
        <x:v>256</x:v>
      </x:c>
      <x:c r="J43" s="293">
        <x:v>6</x:v>
      </x:c>
      <x:c r="K43" s="295" t="s">
        <x:v>49</x:v>
      </x:c>
      <x:c r="L43" s="303" t="s">
        <x:v>50</x:v>
      </x:c>
      <x:c r="M43" s="297" t="s">
        <x:v>51</x:v>
      </x:c>
      <x:c r="N43" s="304" t="s">
        <x:v>52</x:v>
      </x:c>
      <x:c r="O43" s="304" t="s">
        <x:v>53</x:v>
      </x:c>
      <x:c r="P43" s="305" t="s">
        <x:v>54</x:v>
      </x:c>
      <x:c r="Q43" s="300" t="str">
        <x:v>Done — backlog-claimed; closure evidence not reloaded in this pass</x:v>
      </x:c>
      <x:c r="R43" s="300"/>
      <x:c r="S43" s="300" t="s">
        <x:v>55</x:v>
      </x:c>
      <x:c r="T43" s="300"/>
      <x:c r="U43" s="300"/>
      <x:c r="V43" s="300" t="s">
        <x:v>53</x:v>
      </x:c>
      <x:c r="W43" s="300" t="s">
        <x:v>51</x:v>
      </x:c>
      <x:c r="X43" s="300" t="s">
        <x:v>56</x:v>
      </x:c>
      <x:c r="Y43" s="300" t="str">
        <x:v>Deep design reconciliation 16-Aug-2026; Chapter 3/4 + Layer-B architecture + latest source/audit evidence</x:v>
      </x:c>
      <x:c r="Z43" s="301" t="s">
        <x:v>57</x:v>
      </x:c>
      <x:c r="AA43" s="301" t="s">
        <x:v>58</x:v>
      </x:c>
      <x:c r="AB43" s="301" t="s">
        <x:v>59</x:v>
      </x:c>
      <x:c r="AC43" s="301" t="s">
        <x:v>60</x:v>
      </x:c>
      <x:c r="AD43" s="301" t="s">
        <x:v>61</x:v>
      </x:c>
      <x:c r="AE43" s="301" t="s">
        <x:v>51</x:v>
      </x:c>
      <x:c r="AF43" s="301" t="s">
        <x:v>62</x:v>
      </x:c>
      <x:c r="AG43" s="301" t="s">
        <x:v>61</x:v>
      </x:c>
      <x:c r="AH43" s="302">
        <x:v>0</x:v>
      </x:c>
      <x:c r="AI43" s="302">
        <x:v>0</x:v>
      </x:c>
      <x:c r="AJ43" s="302">
        <x:f t="shared" si="2"/>
        <x:v>0</x:v>
      </x:c>
      <x:c r="AK43" s="302">
        <x:f t="shared" si="3"/>
        <x:v>0</x:v>
      </x:c>
      <x:c r="AL43" s="301" t="s">
        <x:v>51</x:v>
      </x:c>
      <x:c r="AM43" s="301" t="s">
        <x:v>63</x:v>
      </x:c>
      <x:c r="AN43" s="301" t="s">
        <x:v>64</x:v>
      </x:c>
      <x:c r="AO43" s="301" t="s">
        <x:v>65</x:v>
      </x:c>
      <x:c r="AP43" s="301"/>
      <x:c r="AQ43" s="301"/>
    </x:row>
    <x:row r="44" ht="45.95000076293945" customHeight="1">
      <x:c r="A44" s="293" t="s">
        <x:v>257</x:v>
      </x:c>
      <x:c r="B44" s="293" t="s">
        <x:v>41</x:v>
      </x:c>
      <x:c r="C44" s="293" t="s">
        <x:v>249</x:v>
      </x:c>
      <x:c r="D44" s="294" t="s">
        <x:v>258</x:v>
      </x:c>
      <x:c r="E44" s="293" t="s">
        <x:v>68</x:v>
      </x:c>
      <x:c r="F44" s="293" t="s">
        <x:v>101</x:v>
      </x:c>
      <x:c r="G44" s="293" t="s">
        <x:v>46</x:v>
      </x:c>
      <x:c r="H44" s="294" t="s">
        <x:v>259</x:v>
      </x:c>
      <x:c r="I44" s="294" t="s">
        <x:v>260</x:v>
      </x:c>
      <x:c r="J44" s="293">
        <x:v>12</x:v>
      </x:c>
      <x:c r="K44" s="295" t="s">
        <x:v>49</x:v>
      </x:c>
      <x:c r="L44" s="303" t="s">
        <x:v>50</x:v>
      </x:c>
      <x:c r="M44" s="297" t="s">
        <x:v>51</x:v>
      </x:c>
      <x:c r="N44" s="304" t="s">
        <x:v>52</x:v>
      </x:c>
      <x:c r="O44" s="304" t="s">
        <x:v>53</x:v>
      </x:c>
      <x:c r="P44" s="305" t="s">
        <x:v>54</x:v>
      </x:c>
      <x:c r="Q44" s="300" t="str">
        <x:v>Done — backlog-claimed; closure evidence not reloaded in this pass</x:v>
      </x:c>
      <x:c r="R44" s="300"/>
      <x:c r="S44" s="300" t="s">
        <x:v>55</x:v>
      </x:c>
      <x:c r="T44" s="300"/>
      <x:c r="U44" s="300"/>
      <x:c r="V44" s="300" t="s">
        <x:v>53</x:v>
      </x:c>
      <x:c r="W44" s="300" t="s">
        <x:v>51</x:v>
      </x:c>
      <x:c r="X44" s="300" t="s">
        <x:v>56</x:v>
      </x:c>
      <x:c r="Y44" s="300" t="str">
        <x:v>Deep design reconciliation 16-Aug-2026; Chapter 3/4 + Layer-B architecture + latest source/audit evidence</x:v>
      </x:c>
      <x:c r="Z44" s="301" t="s">
        <x:v>57</x:v>
      </x:c>
      <x:c r="AA44" s="301" t="s">
        <x:v>58</x:v>
      </x:c>
      <x:c r="AB44" s="301" t="s">
        <x:v>59</x:v>
      </x:c>
      <x:c r="AC44" s="301" t="s">
        <x:v>60</x:v>
      </x:c>
      <x:c r="AD44" s="301" t="s">
        <x:v>61</x:v>
      </x:c>
      <x:c r="AE44" s="301" t="s">
        <x:v>51</x:v>
      </x:c>
      <x:c r="AF44" s="301" t="s">
        <x:v>62</x:v>
      </x:c>
      <x:c r="AG44" s="301" t="s">
        <x:v>61</x:v>
      </x:c>
      <x:c r="AH44" s="302">
        <x:v>0</x:v>
      </x:c>
      <x:c r="AI44" s="302">
        <x:v>0</x:v>
      </x:c>
      <x:c r="AJ44" s="302">
        <x:f t="shared" si="2"/>
        <x:v>0</x:v>
      </x:c>
      <x:c r="AK44" s="302">
        <x:f t="shared" si="3"/>
        <x:v>0</x:v>
      </x:c>
      <x:c r="AL44" s="301" t="s">
        <x:v>51</x:v>
      </x:c>
      <x:c r="AM44" s="301" t="s">
        <x:v>63</x:v>
      </x:c>
      <x:c r="AN44" s="301" t="s">
        <x:v>64</x:v>
      </x:c>
      <x:c r="AO44" s="301" t="s">
        <x:v>65</x:v>
      </x:c>
      <x:c r="AP44" s="301"/>
      <x:c r="AQ44" s="301"/>
    </x:row>
    <x:row r="45" ht="45.95000076293945" customHeight="1">
      <x:c r="A45" s="293" t="s">
        <x:v>261</x:v>
      </x:c>
      <x:c r="B45" s="293" t="s">
        <x:v>41</x:v>
      </x:c>
      <x:c r="C45" s="293" t="s">
        <x:v>249</x:v>
      </x:c>
      <x:c r="D45" s="294" t="s">
        <x:v>262</x:v>
      </x:c>
      <x:c r="E45" s="293" t="s">
        <x:v>68</x:v>
      </x:c>
      <x:c r="F45" s="293" t="s">
        <x:v>101</x:v>
      </x:c>
      <x:c r="G45" s="293" t="s">
        <x:v>46</x:v>
      </x:c>
      <x:c r="H45" s="294" t="s">
        <x:v>263</x:v>
      </x:c>
      <x:c r="I45" s="294" t="s">
        <x:v>264</x:v>
      </x:c>
      <x:c r="J45" s="293">
        <x:v>8</x:v>
      </x:c>
      <x:c r="K45" s="295" t="s">
        <x:v>49</x:v>
      </x:c>
      <x:c r="L45" s="303" t="s">
        <x:v>50</x:v>
      </x:c>
      <x:c r="M45" s="297" t="s">
        <x:v>51</x:v>
      </x:c>
      <x:c r="N45" s="304" t="s">
        <x:v>52</x:v>
      </x:c>
      <x:c r="O45" s="304" t="s">
        <x:v>53</x:v>
      </x:c>
      <x:c r="P45" s="305" t="s">
        <x:v>54</x:v>
      </x:c>
      <x:c r="Q45" s="300" t="str">
        <x:v>Done — evidenced</x:v>
      </x:c>
      <x:c r="R45" s="300" t="s">
        <x:v>265</x:v>
      </x:c>
      <x:c r="S45" s="300" t="s">
        <x:v>266</x:v>
      </x:c>
      <x:c r="T45" s="300"/>
      <x:c r="U45" s="300"/>
      <x:c r="V45" s="300" t="s">
        <x:v>53</x:v>
      </x:c>
      <x:c r="W45" s="300" t="s">
        <x:v>51</x:v>
      </x:c>
      <x:c r="X45" s="300" t="s">
        <x:v>56</x:v>
      </x:c>
      <x:c r="Y45" s="300" t="str">
        <x:v>Deep design reconciliation 16-Aug-2026; Chapter 3/4 + Layer-B architecture + latest source/audit evidence</x:v>
      </x:c>
      <x:c r="Z45" s="301" t="s">
        <x:v>57</x:v>
      </x:c>
      <x:c r="AA45" s="301" t="s">
        <x:v>58</x:v>
      </x:c>
      <x:c r="AB45" s="301" t="s">
        <x:v>59</x:v>
      </x:c>
      <x:c r="AC45" s="301" t="s">
        <x:v>60</x:v>
      </x:c>
      <x:c r="AD45" s="301" t="s">
        <x:v>61</x:v>
      </x:c>
      <x:c r="AE45" s="301" t="s">
        <x:v>51</x:v>
      </x:c>
      <x:c r="AF45" s="301" t="s">
        <x:v>62</x:v>
      </x:c>
      <x:c r="AG45" s="301" t="s">
        <x:v>61</x:v>
      </x:c>
      <x:c r="AH45" s="302">
        <x:v>0</x:v>
      </x:c>
      <x:c r="AI45" s="302">
        <x:v>0</x:v>
      </x:c>
      <x:c r="AJ45" s="302">
        <x:f t="shared" si="2"/>
        <x:v>0</x:v>
      </x:c>
      <x:c r="AK45" s="302">
        <x:f t="shared" si="3"/>
        <x:v>0</x:v>
      </x:c>
      <x:c r="AL45" s="301" t="s">
        <x:v>51</x:v>
      </x:c>
      <x:c r="AM45" s="301" t="s">
        <x:v>63</x:v>
      </x:c>
      <x:c r="AN45" s="301" t="s">
        <x:v>64</x:v>
      </x:c>
      <x:c r="AO45" s="301" t="s">
        <x:v>65</x:v>
      </x:c>
      <x:c r="AP45" s="301"/>
      <x:c r="AQ45" s="301"/>
    </x:row>
    <x:row r="46" ht="45.95000076293945" customHeight="1">
      <x:c r="A46" s="293" t="s">
        <x:v>267</x:v>
      </x:c>
      <x:c r="B46" s="293" t="s">
        <x:v>41</x:v>
      </x:c>
      <x:c r="C46" s="293" t="s">
        <x:v>249</x:v>
      </x:c>
      <x:c r="D46" s="294" t="s">
        <x:v>268</x:v>
      </x:c>
      <x:c r="E46" s="293" t="s">
        <x:v>68</x:v>
      </x:c>
      <x:c r="F46" s="293" t="s">
        <x:v>101</x:v>
      </x:c>
      <x:c r="G46" s="293" t="s">
        <x:v>46</x:v>
      </x:c>
      <x:c r="H46" s="294" t="s">
        <x:v>269</x:v>
      </x:c>
      <x:c r="I46" s="294" t="s">
        <x:v>270</x:v>
      </x:c>
      <x:c r="J46" s="293">
        <x:v>6</x:v>
      </x:c>
      <x:c r="K46" s="295" t="s">
        <x:v>49</x:v>
      </x:c>
      <x:c r="L46" s="303" t="s">
        <x:v>271</x:v>
      </x:c>
      <x:c r="M46" s="297" t="s">
        <x:v>51</x:v>
      </x:c>
      <x:c r="N46" s="304" t="s">
        <x:v>272</x:v>
      </x:c>
      <x:c r="O46" s="304" t="s">
        <x:v>273</x:v>
      </x:c>
      <x:c r="P46" s="305" t="s">
        <x:v>54</x:v>
      </x:c>
      <x:c r="Q46" s="300" t="str">
        <x:v>Done — evidenced</x:v>
      </x:c>
      <x:c r="R46" s="300" t="s">
        <x:v>274</x:v>
      </x:c>
      <x:c r="S46" s="300" t="s">
        <x:v>266</x:v>
      </x:c>
      <x:c r="T46" s="300"/>
      <x:c r="U46" s="300"/>
      <x:c r="V46" s="300" t="s">
        <x:v>273</x:v>
      </x:c>
      <x:c r="W46" s="300" t="s">
        <x:v>51</x:v>
      </x:c>
      <x:c r="X46" s="300" t="s">
        <x:v>56</x:v>
      </x:c>
      <x:c r="Y46" s="300" t="str">
        <x:v>Deep design reconciliation 16-Aug-2026; Chapter 3/4 + Layer-B architecture + latest source/audit evidence</x:v>
      </x:c>
      <x:c r="Z46" s="301" t="s">
        <x:v>57</x:v>
      </x:c>
      <x:c r="AA46" s="301" t="s">
        <x:v>58</x:v>
      </x:c>
      <x:c r="AB46" s="301" t="s">
        <x:v>59</x:v>
      </x:c>
      <x:c r="AC46" s="301" t="s">
        <x:v>60</x:v>
      </x:c>
      <x:c r="AD46" s="301" t="s">
        <x:v>61</x:v>
      </x:c>
      <x:c r="AE46" s="301" t="s">
        <x:v>51</x:v>
      </x:c>
      <x:c r="AF46" s="301" t="s">
        <x:v>62</x:v>
      </x:c>
      <x:c r="AG46" s="301" t="s">
        <x:v>61</x:v>
      </x:c>
      <x:c r="AH46" s="302">
        <x:v>0</x:v>
      </x:c>
      <x:c r="AI46" s="302">
        <x:v>0</x:v>
      </x:c>
      <x:c r="AJ46" s="302">
        <x:f t="shared" si="2"/>
        <x:v>0</x:v>
      </x:c>
      <x:c r="AK46" s="302">
        <x:f t="shared" si="3"/>
        <x:v>0</x:v>
      </x:c>
      <x:c r="AL46" s="301" t="s">
        <x:v>51</x:v>
      </x:c>
      <x:c r="AM46" s="301" t="s">
        <x:v>63</x:v>
      </x:c>
      <x:c r="AN46" s="301" t="s">
        <x:v>64</x:v>
      </x:c>
      <x:c r="AO46" s="301" t="s">
        <x:v>65</x:v>
      </x:c>
      <x:c r="AP46" s="301"/>
      <x:c r="AQ46" s="301"/>
    </x:row>
    <x:row r="47" ht="45.95000076293945" customHeight="1">
      <x:c r="A47" s="293" t="s">
        <x:v>275</x:v>
      </x:c>
      <x:c r="B47" s="293" t="s">
        <x:v>41</x:v>
      </x:c>
      <x:c r="C47" s="293" t="s">
        <x:v>249</x:v>
      </x:c>
      <x:c r="D47" s="294" t="s">
        <x:v>276</x:v>
      </x:c>
      <x:c r="E47" s="293" t="s">
        <x:v>106</x:v>
      </x:c>
      <x:c r="F47" s="293" t="s">
        <x:v>277</x:v>
      </x:c>
      <x:c r="G47" s="293" t="s">
        <x:v>46</x:v>
      </x:c>
      <x:c r="H47" s="294" t="s">
        <x:v>278</x:v>
      </x:c>
      <x:c r="I47" s="294" t="s">
        <x:v>279</x:v>
      </x:c>
      <x:c r="J47" s="293">
        <x:v>8</x:v>
      </x:c>
      <x:c r="K47" s="295" t="s">
        <x:v>49</x:v>
      </x:c>
      <x:c r="L47" s="303" t="s">
        <x:v>271</x:v>
      </x:c>
      <x:c r="M47" s="297" t="s">
        <x:v>51</x:v>
      </x:c>
      <x:c r="N47" s="304" t="s">
        <x:v>272</x:v>
      </x:c>
      <x:c r="O47" s="304" t="s">
        <x:v>273</x:v>
      </x:c>
      <x:c r="P47" s="305" t="s">
        <x:v>54</x:v>
      </x:c>
      <x:c r="Q47" s="300" t="str">
        <x:v>Done — evidenced</x:v>
      </x:c>
      <x:c r="R47" s="300" t="s">
        <x:v>280</x:v>
      </x:c>
      <x:c r="S47" s="300" t="s">
        <x:v>266</x:v>
      </x:c>
      <x:c r="T47" s="300"/>
      <x:c r="U47" s="300"/>
      <x:c r="V47" s="300" t="s">
        <x:v>273</x:v>
      </x:c>
      <x:c r="W47" s="300" t="s">
        <x:v>51</x:v>
      </x:c>
      <x:c r="X47" s="300" t="s">
        <x:v>56</x:v>
      </x:c>
      <x:c r="Y47" s="300" t="str">
        <x:v>Deep design reconciliation 16-Aug-2026; Chapter 3/4 + Layer-B architecture + latest source/audit evidence</x:v>
      </x:c>
      <x:c r="Z47" s="301" t="s">
        <x:v>57</x:v>
      </x:c>
      <x:c r="AA47" s="301" t="s">
        <x:v>58</x:v>
      </x:c>
      <x:c r="AB47" s="301" t="s">
        <x:v>59</x:v>
      </x:c>
      <x:c r="AC47" s="301" t="s">
        <x:v>60</x:v>
      </x:c>
      <x:c r="AD47" s="301" t="s">
        <x:v>61</x:v>
      </x:c>
      <x:c r="AE47" s="301" t="s">
        <x:v>51</x:v>
      </x:c>
      <x:c r="AF47" s="301" t="s">
        <x:v>62</x:v>
      </x:c>
      <x:c r="AG47" s="301" t="s">
        <x:v>61</x:v>
      </x:c>
      <x:c r="AH47" s="302">
        <x:v>0</x:v>
      </x:c>
      <x:c r="AI47" s="302">
        <x:v>0</x:v>
      </x:c>
      <x:c r="AJ47" s="302">
        <x:f t="shared" si="2"/>
        <x:v>0</x:v>
      </x:c>
      <x:c r="AK47" s="302">
        <x:f t="shared" si="3"/>
        <x:v>0</x:v>
      </x:c>
      <x:c r="AL47" s="301" t="s">
        <x:v>51</x:v>
      </x:c>
      <x:c r="AM47" s="301" t="s">
        <x:v>63</x:v>
      </x:c>
      <x:c r="AN47" s="301" t="s">
        <x:v>64</x:v>
      </x:c>
      <x:c r="AO47" s="301" t="s">
        <x:v>65</x:v>
      </x:c>
      <x:c r="AP47" s="301"/>
      <x:c r="AQ47" s="301"/>
    </x:row>
    <x:row r="48" ht="45.95000076293945" customHeight="1">
      <x:c r="A48" s="293" t="s">
        <x:v>281</x:v>
      </x:c>
      <x:c r="B48" s="293" t="s">
        <x:v>41</x:v>
      </x:c>
      <x:c r="C48" s="293" t="s">
        <x:v>249</x:v>
      </x:c>
      <x:c r="D48" s="294" t="s">
        <x:v>282</x:v>
      </x:c>
      <x:c r="E48" s="293" t="s">
        <x:v>68</x:v>
      </x:c>
      <x:c r="F48" s="293" t="s">
        <x:v>101</x:v>
      </x:c>
      <x:c r="G48" s="293" t="s">
        <x:v>118</x:v>
      </x:c>
      <x:c r="H48" s="294" t="s">
        <x:v>283</x:v>
      </x:c>
      <x:c r="I48" s="294" t="s">
        <x:v>284</x:v>
      </x:c>
      <x:c r="J48" s="293">
        <x:v>10</x:v>
      </x:c>
      <x:c r="K48" s="295" t="s">
        <x:v>49</x:v>
      </x:c>
      <x:c r="L48" s="303" t="s">
        <x:v>271</x:v>
      </x:c>
      <x:c r="M48" s="297" t="s">
        <x:v>51</x:v>
      </x:c>
      <x:c r="N48" s="304" t="s">
        <x:v>272</x:v>
      </x:c>
      <x:c r="O48" s="304" t="s">
        <x:v>273</x:v>
      </x:c>
      <x:c r="P48" s="305" t="s">
        <x:v>54</x:v>
      </x:c>
      <x:c r="Q48" s="300" t="str">
        <x:v>Done — evidenced</x:v>
      </x:c>
      <x:c r="R48" s="300" t="s">
        <x:v>285</x:v>
      </x:c>
      <x:c r="S48" s="300" t="s">
        <x:v>266</x:v>
      </x:c>
      <x:c r="T48" s="300"/>
      <x:c r="U48" s="300"/>
      <x:c r="V48" s="300" t="s">
        <x:v>273</x:v>
      </x:c>
      <x:c r="W48" s="300" t="s">
        <x:v>51</x:v>
      </x:c>
      <x:c r="X48" s="300" t="s">
        <x:v>56</x:v>
      </x:c>
      <x:c r="Y48" s="300" t="str">
        <x:v>Deep design reconciliation 16-Aug-2026; Chapter 3/4 + Layer-B architecture + latest source/audit evidence</x:v>
      </x:c>
      <x:c r="Z48" s="301" t="s">
        <x:v>57</x:v>
      </x:c>
      <x:c r="AA48" s="301" t="s">
        <x:v>58</x:v>
      </x:c>
      <x:c r="AB48" s="301" t="s">
        <x:v>59</x:v>
      </x:c>
      <x:c r="AC48" s="301" t="s">
        <x:v>60</x:v>
      </x:c>
      <x:c r="AD48" s="301" t="s">
        <x:v>61</x:v>
      </x:c>
      <x:c r="AE48" s="301" t="s">
        <x:v>51</x:v>
      </x:c>
      <x:c r="AF48" s="301" t="s">
        <x:v>62</x:v>
      </x:c>
      <x:c r="AG48" s="301" t="s">
        <x:v>61</x:v>
      </x:c>
      <x:c r="AH48" s="302">
        <x:v>0</x:v>
      </x:c>
      <x:c r="AI48" s="302">
        <x:v>0</x:v>
      </x:c>
      <x:c r="AJ48" s="302">
        <x:f t="shared" si="2"/>
        <x:v>0</x:v>
      </x:c>
      <x:c r="AK48" s="302">
        <x:f t="shared" si="3"/>
        <x:v>0</x:v>
      </x:c>
      <x:c r="AL48" s="301" t="s">
        <x:v>51</x:v>
      </x:c>
      <x:c r="AM48" s="301" t="s">
        <x:v>63</x:v>
      </x:c>
      <x:c r="AN48" s="301" t="s">
        <x:v>64</x:v>
      </x:c>
      <x:c r="AO48" s="301" t="s">
        <x:v>65</x:v>
      </x:c>
      <x:c r="AP48" s="301"/>
      <x:c r="AQ48" s="301"/>
    </x:row>
    <x:row r="49" ht="45.95000076293945" customHeight="1">
      <x:c r="A49" s="293" t="s">
        <x:v>286</x:v>
      </x:c>
      <x:c r="B49" s="293" t="s">
        <x:v>41</x:v>
      </x:c>
      <x:c r="C49" s="293" t="s">
        <x:v>249</x:v>
      </x:c>
      <x:c r="D49" s="294" t="s">
        <x:v>287</x:v>
      </x:c>
      <x:c r="E49" s="293" t="s">
        <x:v>68</x:v>
      </x:c>
      <x:c r="F49" s="293" t="s">
        <x:v>101</x:v>
      </x:c>
      <x:c r="G49" s="293" t="s">
        <x:v>118</x:v>
      </x:c>
      <x:c r="H49" s="294" t="s">
        <x:v>288</x:v>
      </x:c>
      <x:c r="I49" s="294" t="s">
        <x:v>289</x:v>
      </x:c>
      <x:c r="J49" s="293">
        <x:v>4</x:v>
      </x:c>
      <x:c r="K49" s="295" t="s">
        <x:v>49</x:v>
      </x:c>
      <x:c r="L49" s="303" t="s">
        <x:v>271</x:v>
      </x:c>
      <x:c r="M49" s="297" t="s">
        <x:v>51</x:v>
      </x:c>
      <x:c r="N49" s="304" t="s">
        <x:v>272</x:v>
      </x:c>
      <x:c r="O49" s="304" t="s">
        <x:v>273</x:v>
      </x:c>
      <x:c r="P49" s="305" t="s">
        <x:v>54</x:v>
      </x:c>
      <x:c r="Q49" s="300" t="str">
        <x:v>Done — evidenced</x:v>
      </x:c>
      <x:c r="R49" s="300" t="s">
        <x:v>290</x:v>
      </x:c>
      <x:c r="S49" s="300" t="s">
        <x:v>266</x:v>
      </x:c>
      <x:c r="T49" s="300"/>
      <x:c r="U49" s="300"/>
      <x:c r="V49" s="300" t="s">
        <x:v>273</x:v>
      </x:c>
      <x:c r="W49" s="300" t="s">
        <x:v>51</x:v>
      </x:c>
      <x:c r="X49" s="300" t="s">
        <x:v>56</x:v>
      </x:c>
      <x:c r="Y49" s="300" t="str">
        <x:v>Deep design reconciliation 16-Aug-2026; Chapter 3/4 + Layer-B architecture + latest source/audit evidence</x:v>
      </x:c>
      <x:c r="Z49" s="301" t="s">
        <x:v>57</x:v>
      </x:c>
      <x:c r="AA49" s="301" t="s">
        <x:v>58</x:v>
      </x:c>
      <x:c r="AB49" s="301" t="s">
        <x:v>59</x:v>
      </x:c>
      <x:c r="AC49" s="301" t="s">
        <x:v>60</x:v>
      </x:c>
      <x:c r="AD49" s="301" t="s">
        <x:v>61</x:v>
      </x:c>
      <x:c r="AE49" s="301" t="s">
        <x:v>51</x:v>
      </x:c>
      <x:c r="AF49" s="301" t="s">
        <x:v>62</x:v>
      </x:c>
      <x:c r="AG49" s="301" t="s">
        <x:v>61</x:v>
      </x:c>
      <x:c r="AH49" s="302">
        <x:v>0</x:v>
      </x:c>
      <x:c r="AI49" s="302">
        <x:v>0</x:v>
      </x:c>
      <x:c r="AJ49" s="302">
        <x:f t="shared" si="2"/>
        <x:v>0</x:v>
      </x:c>
      <x:c r="AK49" s="302">
        <x:f t="shared" si="3"/>
        <x:v>0</x:v>
      </x:c>
      <x:c r="AL49" s="301" t="s">
        <x:v>51</x:v>
      </x:c>
      <x:c r="AM49" s="301" t="s">
        <x:v>63</x:v>
      </x:c>
      <x:c r="AN49" s="301" t="s">
        <x:v>64</x:v>
      </x:c>
      <x:c r="AO49" s="301" t="s">
        <x:v>65</x:v>
      </x:c>
      <x:c r="AP49" s="301"/>
      <x:c r="AQ49" s="301"/>
    </x:row>
    <x:row r="50" ht="45.95000076293945" customHeight="1">
      <x:c r="A50" s="293" t="s">
        <x:v>291</x:v>
      </x:c>
      <x:c r="B50" s="293" t="s">
        <x:v>41</x:v>
      </x:c>
      <x:c r="C50" s="293" t="s">
        <x:v>249</x:v>
      </x:c>
      <x:c r="D50" s="294" t="s">
        <x:v>292</x:v>
      </x:c>
      <x:c r="E50" s="293" t="s">
        <x:v>68</x:v>
      </x:c>
      <x:c r="F50" s="293" t="s">
        <x:v>101</x:v>
      </x:c>
      <x:c r="G50" s="293" t="s">
        <x:v>81</x:v>
      </x:c>
      <x:c r="H50" s="294" t="s">
        <x:v>293</x:v>
      </x:c>
      <x:c r="I50" s="294" t="s">
        <x:v>294</x:v>
      </x:c>
      <x:c r="J50" s="293">
        <x:v>4</x:v>
      </x:c>
      <x:c r="K50" s="295" t="s">
        <x:v>49</x:v>
      </x:c>
      <x:c r="L50" s="303" t="s">
        <x:v>271</x:v>
      </x:c>
      <x:c r="M50" s="297" t="s">
        <x:v>51</x:v>
      </x:c>
      <x:c r="N50" s="304" t="s">
        <x:v>272</x:v>
      </x:c>
      <x:c r="O50" s="304" t="s">
        <x:v>273</x:v>
      </x:c>
      <x:c r="P50" s="305" t="s">
        <x:v>295</x:v>
      </x:c>
      <x:c r="Q50" s="300" t="str">
        <x:v>In Progress — canonical PATCH/GET persistence proven; final isolated viewport certification and baseline restoration remain.</x:v>
      </x:c>
      <x:c r="R50" s="300" t="s">
        <x:v>296</x:v>
      </x:c>
      <x:c r="S50" s="306" t="s">
        <x:v>297</x:v>
      </x:c>
      <x:c r="T50" s="306" t="s">
        <x:v>298</x:v>
      </x:c>
      <x:c r="U50" s="306" t="s">
        <x:v>299</x:v>
      </x:c>
      <x:c r="V50" s="300" t="s">
        <x:v>273</x:v>
      </x:c>
      <x:c r="W50" s="300" t="s">
        <x:v>300</x:v>
      </x:c>
      <x:c r="X50" s="306" t="s">
        <x:v>301</x:v>
      </x:c>
      <x:c r="Y50" s="300" t="str">
        <x:v>Deep design reconciliation 16-Aug-2026; Chapter 3/4 + Layer-B architecture + latest source/audit evidence</x:v>
      </x:c>
      <x:c r="Z50" s="301" t="s">
        <x:v>57</x:v>
      </x:c>
      <x:c r="AA50" s="301" t="s">
        <x:v>58</x:v>
      </x:c>
      <x:c r="AB50" s="301" t="s">
        <x:v>59</x:v>
      </x:c>
      <x:c r="AC50" s="301" t="s">
        <x:v>60</x:v>
      </x:c>
      <x:c r="AD50" s="301" t="s">
        <x:v>302</x:v>
      </x:c>
      <x:c r="AE50" s="301" t="s">
        <x:v>303</x:v>
      </x:c>
      <x:c r="AF50" s="301" t="s">
        <x:v>304</x:v>
      </x:c>
      <x:c r="AG50" s="301" t="s">
        <x:v>305</x:v>
      </x:c>
      <x:c r="AH50" s="302">
        <x:v>5.3333333332999997</x:v>
      </x:c>
      <x:c r="AI50" s="302">
        <x:v>2</x:v>
      </x:c>
      <x:c r="AJ50" s="302">
        <x:f t="shared" si="2"/>
        <x:v>0</x:v>
      </x:c>
      <x:c r="AK50" s="302">
        <x:f t="shared" si="3"/>
        <x:v>0</x:v>
      </x:c>
      <x:c r="AL50" s="301" t="s">
        <x:v>306</x:v>
      </x:c>
      <x:c r="AM50" s="301" t="s">
        <x:v>307</x:v>
      </x:c>
      <x:c r="AN50" s="301" t="s">
        <x:v>308</x:v>
      </x:c>
      <x:c r="AO50" s="301" t="s">
        <x:v>309</x:v>
      </x:c>
      <x:c r="AP50" s="301"/>
      <x:c r="AQ50" s="301"/>
    </x:row>
    <x:row r="51" ht="45.95000076293945" customHeight="1">
      <x:c r="A51" s="293" t="s">
        <x:v>310</x:v>
      </x:c>
      <x:c r="B51" s="293" t="s">
        <x:v>41</x:v>
      </x:c>
      <x:c r="C51" s="293" t="s">
        <x:v>249</x:v>
      </x:c>
      <x:c r="D51" s="294" t="s">
        <x:v>311</x:v>
      </x:c>
      <x:c r="E51" s="293" t="s">
        <x:v>68</x:v>
      </x:c>
      <x:c r="F51" s="293" t="s">
        <x:v>101</x:v>
      </x:c>
      <x:c r="G51" s="293" t="s">
        <x:v>118</x:v>
      </x:c>
      <x:c r="H51" s="294" t="s">
        <x:v>312</x:v>
      </x:c>
      <x:c r="I51" s="294" t="s">
        <x:v>313</x:v>
      </x:c>
      <x:c r="J51" s="293">
        <x:v>6</x:v>
      </x:c>
      <x:c r="K51" s="295" t="s">
        <x:v>49</x:v>
      </x:c>
      <x:c r="L51" s="303" t="s">
        <x:v>271</x:v>
      </x:c>
      <x:c r="M51" s="297" t="s">
        <x:v>51</x:v>
      </x:c>
      <x:c r="N51" s="304" t="s">
        <x:v>272</x:v>
      </x:c>
      <x:c r="O51" s="304" t="s">
        <x:v>273</x:v>
      </x:c>
      <x:c r="P51" s="305" t="s">
        <x:v>54</x:v>
      </x:c>
      <x:c r="Q51" s="300" t="str">
        <x:v>Not Started</x:v>
      </x:c>
      <x:c r="R51" s="300"/>
      <x:c r="S51" s="300" t="s">
        <x:v>55</x:v>
      </x:c>
      <x:c r="T51" s="300"/>
      <x:c r="U51" s="300"/>
      <x:c r="V51" s="300" t="s">
        <x:v>273</x:v>
      </x:c>
      <x:c r="W51" s="300" t="s">
        <x:v>300</x:v>
      </x:c>
      <x:c r="X51" s="300" t="s">
        <x:v>56</x:v>
      </x:c>
      <x:c r="Y51" s="300" t="str">
        <x:v>Deep design reconciliation 16-Aug-2026; Chapter 3/4 + Layer-B architecture + latest source/audit evidence</x:v>
      </x:c>
      <x:c r="Z51" s="301" t="s">
        <x:v>57</x:v>
      </x:c>
      <x:c r="AA51" s="301" t="s">
        <x:v>58</x:v>
      </x:c>
      <x:c r="AB51" s="301" t="s">
        <x:v>59</x:v>
      </x:c>
      <x:c r="AC51" s="301" t="s">
        <x:v>60</x:v>
      </x:c>
      <x:c r="AD51" s="301" t="s">
        <x:v>302</x:v>
      </x:c>
      <x:c r="AE51" s="301" t="s">
        <x:v>303</x:v>
      </x:c>
      <x:c r="AF51" s="301" t="s">
        <x:v>304</x:v>
      </x:c>
      <x:c r="AG51" s="301" t="s">
        <x:v>314</x:v>
      </x:c>
      <x:c r="AH51" s="302">
        <x:v>9</x:v>
      </x:c>
      <x:c r="AI51" s="302">
        <x:v>1.5</x:v>
      </x:c>
      <x:c r="AJ51" s="302">
        <x:f t="shared" si="2"/>
        <x:v>0</x:v>
      </x:c>
      <x:c r="AK51" s="302">
        <x:f t="shared" si="3"/>
        <x:v>0</x:v>
      </x:c>
      <x:c r="AL51" s="301" t="s">
        <x:v>306</x:v>
      </x:c>
      <x:c r="AM51" s="301" t="s">
        <x:v>273</x:v>
      </x:c>
      <x:c r="AN51" s="301" t="s">
        <x:v>308</x:v>
      </x:c>
      <x:c r="AO51" s="301" t="s">
        <x:v>309</x:v>
      </x:c>
      <x:c r="AP51" s="301"/>
      <x:c r="AQ51" s="301"/>
    </x:row>
    <x:row r="52" ht="45.95000076293945" customHeight="1">
      <x:c r="A52" s="293" t="s">
        <x:v>315</x:v>
      </x:c>
      <x:c r="B52" s="293" t="s">
        <x:v>41</x:v>
      </x:c>
      <x:c r="C52" s="293" t="s">
        <x:v>249</x:v>
      </x:c>
      <x:c r="D52" s="294" t="s">
        <x:v>316</x:v>
      </x:c>
      <x:c r="E52" s="293" t="s">
        <x:v>68</x:v>
      </x:c>
      <x:c r="F52" s="293" t="s">
        <x:v>101</x:v>
      </x:c>
      <x:c r="G52" s="293" t="s">
        <x:v>46</x:v>
      </x:c>
      <x:c r="H52" s="294" t="s">
        <x:v>317</x:v>
      </x:c>
      <x:c r="I52" s="294" t="s">
        <x:v>318</x:v>
      </x:c>
      <x:c r="J52" s="293">
        <x:v>6</x:v>
      </x:c>
      <x:c r="K52" s="295" t="s">
        <x:v>49</x:v>
      </x:c>
      <x:c r="L52" s="303" t="s">
        <x:v>271</x:v>
      </x:c>
      <x:c r="M52" s="297" t="s">
        <x:v>51</x:v>
      </x:c>
      <x:c r="N52" s="304" t="s">
        <x:v>272</x:v>
      </x:c>
      <x:c r="O52" s="304" t="s">
        <x:v>273</x:v>
      </x:c>
      <x:c r="P52" s="305" t="s">
        <x:v>54</x:v>
      </x:c>
      <x:c r="Q52" s="300" t="str">
        <x:v>Not Started</x:v>
      </x:c>
      <x:c r="R52" s="300"/>
      <x:c r="S52" s="300" t="s">
        <x:v>55</x:v>
      </x:c>
      <x:c r="T52" s="300"/>
      <x:c r="U52" s="300"/>
      <x:c r="V52" s="300" t="s">
        <x:v>273</x:v>
      </x:c>
      <x:c r="W52" s="300" t="s">
        <x:v>300</x:v>
      </x:c>
      <x:c r="X52" s="300" t="s">
        <x:v>56</x:v>
      </x:c>
      <x:c r="Y52" s="300" t="str">
        <x:v>Deep design reconciliation 16-Aug-2026; Chapter 3/4 + Layer-B architecture + latest source/audit evidence</x:v>
      </x:c>
      <x:c r="Z52" s="301" t="s">
        <x:v>57</x:v>
      </x:c>
      <x:c r="AA52" s="301" t="s">
        <x:v>58</x:v>
      </x:c>
      <x:c r="AB52" s="301" t="s">
        <x:v>59</x:v>
      </x:c>
      <x:c r="AC52" s="301" t="s">
        <x:v>60</x:v>
      </x:c>
      <x:c r="AD52" s="301" t="s">
        <x:v>302</x:v>
      </x:c>
      <x:c r="AE52" s="301" t="s">
        <x:v>303</x:v>
      </x:c>
      <x:c r="AF52" s="301" t="s">
        <x:v>304</x:v>
      </x:c>
      <x:c r="AG52" s="301" t="s">
        <x:v>314</x:v>
      </x:c>
      <x:c r="AH52" s="302">
        <x:v>9</x:v>
      </x:c>
      <x:c r="AI52" s="302">
        <x:v>1.5</x:v>
      </x:c>
      <x:c r="AJ52" s="302">
        <x:f t="shared" si="2"/>
        <x:v>0</x:v>
      </x:c>
      <x:c r="AK52" s="302">
        <x:f t="shared" si="3"/>
        <x:v>0</x:v>
      </x:c>
      <x:c r="AL52" s="301" t="s">
        <x:v>306</x:v>
      </x:c>
      <x:c r="AM52" s="301" t="s">
        <x:v>273</x:v>
      </x:c>
      <x:c r="AN52" s="301" t="s">
        <x:v>308</x:v>
      </x:c>
      <x:c r="AO52" s="301" t="s">
        <x:v>309</x:v>
      </x:c>
      <x:c r="AP52" s="301"/>
      <x:c r="AQ52" s="301"/>
    </x:row>
    <x:row r="53" ht="45.95000076293945" customHeight="1">
      <x:c r="A53" s="293" t="s">
        <x:v>319</x:v>
      </x:c>
      <x:c r="B53" s="293" t="s">
        <x:v>41</x:v>
      </x:c>
      <x:c r="C53" s="293" t="s">
        <x:v>249</x:v>
      </x:c>
      <x:c r="D53" s="294" t="s">
        <x:v>320</x:v>
      </x:c>
      <x:c r="E53" s="293" t="s">
        <x:v>68</x:v>
      </x:c>
      <x:c r="F53" s="293" t="s">
        <x:v>101</x:v>
      </x:c>
      <x:c r="G53" s="293" t="s">
        <x:v>46</x:v>
      </x:c>
      <x:c r="H53" s="294" t="s">
        <x:v>321</x:v>
      </x:c>
      <x:c r="I53" s="294" t="s">
        <x:v>322</x:v>
      </x:c>
      <x:c r="J53" s="293">
        <x:v>4</x:v>
      </x:c>
      <x:c r="K53" s="295" t="s">
        <x:v>49</x:v>
      </x:c>
      <x:c r="L53" s="303" t="s">
        <x:v>271</x:v>
      </x:c>
      <x:c r="M53" s="297" t="s">
        <x:v>51</x:v>
      </x:c>
      <x:c r="N53" s="304" t="s">
        <x:v>272</x:v>
      </x:c>
      <x:c r="O53" s="304" t="s">
        <x:v>273</x:v>
      </x:c>
      <x:c r="P53" s="305" t="s">
        <x:v>54</x:v>
      </x:c>
      <x:c r="Q53" s="300" t="str">
        <x:v>Not Started</x:v>
      </x:c>
      <x:c r="R53" s="300"/>
      <x:c r="S53" s="300" t="s">
        <x:v>55</x:v>
      </x:c>
      <x:c r="T53" s="300"/>
      <x:c r="U53" s="300"/>
      <x:c r="V53" s="300" t="s">
        <x:v>273</x:v>
      </x:c>
      <x:c r="W53" s="300" t="s">
        <x:v>300</x:v>
      </x:c>
      <x:c r="X53" s="300" t="s">
        <x:v>56</x:v>
      </x:c>
      <x:c r="Y53" s="300" t="str">
        <x:v>Deep design reconciliation 16-Aug-2026; Chapter 3/4 + Layer-B architecture + latest source/audit evidence</x:v>
      </x:c>
      <x:c r="Z53" s="301" t="s">
        <x:v>57</x:v>
      </x:c>
      <x:c r="AA53" s="301" t="s">
        <x:v>58</x:v>
      </x:c>
      <x:c r="AB53" s="301" t="s">
        <x:v>59</x:v>
      </x:c>
      <x:c r="AC53" s="301" t="s">
        <x:v>60</x:v>
      </x:c>
      <x:c r="AD53" s="301" t="s">
        <x:v>302</x:v>
      </x:c>
      <x:c r="AE53" s="301" t="s">
        <x:v>303</x:v>
      </x:c>
      <x:c r="AF53" s="301" t="s">
        <x:v>304</x:v>
      </x:c>
      <x:c r="AG53" s="301" t="s">
        <x:v>314</x:v>
      </x:c>
      <x:c r="AH53" s="302">
        <x:v>9</x:v>
      </x:c>
      <x:c r="AI53" s="302">
        <x:v>1.5</x:v>
      </x:c>
      <x:c r="AJ53" s="302">
        <x:f t="shared" si="2"/>
        <x:v>0</x:v>
      </x:c>
      <x:c r="AK53" s="302">
        <x:f t="shared" si="3"/>
        <x:v>0</x:v>
      </x:c>
      <x:c r="AL53" s="301" t="s">
        <x:v>306</x:v>
      </x:c>
      <x:c r="AM53" s="301" t="s">
        <x:v>273</x:v>
      </x:c>
      <x:c r="AN53" s="301" t="s">
        <x:v>308</x:v>
      </x:c>
      <x:c r="AO53" s="301" t="s">
        <x:v>309</x:v>
      </x:c>
      <x:c r="AP53" s="301"/>
      <x:c r="AQ53" s="301"/>
    </x:row>
    <x:row r="54" ht="45.95000076293945" customHeight="1">
      <x:c r="A54" s="307" t="s">
        <x:v>323</x:v>
      </x:c>
      <x:c r="B54" s="307" t="s">
        <x:v>41</x:v>
      </x:c>
      <x:c r="C54" s="307" t="s">
        <x:v>324</x:v>
      </x:c>
      <x:c r="D54" s="308" t="s">
        <x:v>325</x:v>
      </x:c>
      <x:c r="E54" s="307" t="s">
        <x:v>68</x:v>
      </x:c>
      <x:c r="F54" s="307" t="s">
        <x:v>45</x:v>
      </x:c>
      <x:c r="G54" s="307" t="s">
        <x:v>46</x:v>
      </x:c>
      <x:c r="H54" s="308" t="s">
        <x:v>326</x:v>
      </x:c>
      <x:c r="I54" s="308" t="s">
        <x:v>327</x:v>
      </x:c>
      <x:c r="J54" s="307">
        <x:v>4</x:v>
      </x:c>
      <x:c r="K54" s="307" t="s">
        <x:v>328</x:v>
      </x:c>
      <x:c r="L54" s="303" t="s">
        <x:v>271</x:v>
      </x:c>
      <x:c r="M54" s="304" t="s">
        <x:v>329</x:v>
      </x:c>
      <x:c r="N54" s="304" t="s">
        <x:v>272</x:v>
      </x:c>
      <x:c r="O54" s="304" t="s">
        <x:v>273</x:v>
      </x:c>
      <x:c r="P54" s="305" t="s">
        <x:v>54</x:v>
      </x:c>
      <x:c r="Q54" s="300" t="str">
        <x:v>Not Started</x:v>
      </x:c>
      <x:c r="R54" s="300"/>
      <x:c r="S54" s="300" t="str">
        <x:v>FROZEN — presentation/demo scope will not be completed as an M1 objective</x:v>
      </x:c>
      <x:c r="T54" s="300"/>
      <x:c r="U54" s="300" t="str">
        <x:v>Do not continue as M1 content. Preserve generic correctness findings only; execute them through named M2-P0/product-truth owners.</x:v>
      </x:c>
      <x:c r="V54" s="300" t="s">
        <x:v>273</x:v>
      </x:c>
      <x:c r="W54" s="300" t="s">
        <x:v>300</x:v>
      </x:c>
      <x:c r="X54" s="300" t="s">
        <x:v>56</x:v>
      </x:c>
      <x:c r="Y54" s="300" t="str">
        <x:v>Deep design reconciliation 16-Aug-2026; Chapter 3/4 + Layer-B architecture + latest source/audit evidence</x:v>
      </x:c>
      <x:c r="Z54" s="301" t="s">
        <x:v>57</x:v>
      </x:c>
      <x:c r="AA54" s="301" t="str">
        <x:v>FROZEN 22-Aug-2026 — no further M1 presentation work</x:v>
      </x:c>
      <x:c r="AB54" s="301" t="str">
        <x:v>Frozen / superseded by M2-P0 where generic</x:v>
      </x:c>
      <x:c r="AC54" s="301" t="str">
        <x:v>M1 presentation baseline is historical commercial proof only. No new page/chart/demo-data customization.</x:v>
      </x:c>
      <x:c r="AD54" s="301" t="str">
        <x:v>Closed from M1 schedule</x:v>
      </x:c>
      <x:c r="AE54" s="301" t="s">
        <x:v>303</x:v>
      </x:c>
      <x:c r="AF54" s="301" t="s">
        <x:v>304</x:v>
      </x:c>
      <x:c r="AG54" s="301" t="s">
        <x:v>314</x:v>
      </x:c>
      <x:c r="AH54" s="302">
        <x:v>9</x:v>
      </x:c>
      <x:c r="AI54" s="302">
        <x:v>1.5</x:v>
      </x:c>
      <x:c r="AJ54" s="302">
        <x:f t="shared" si="2"/>
        <x:v>0.44444444444444442</x:v>
      </x:c>
      <x:c r="AK54" s="302">
        <x:f t="shared" si="3"/>
        <x:v>0.66666666666666663</x:v>
      </x:c>
      <x:c r="AL54" s="301" t="s">
        <x:v>330</x:v>
      </x:c>
      <x:c r="AM54" s="301" t="str">
        <x:v>DO NOT START as M1. Start only if a later M2 task explicitly consumes this generic contract.</x:v>
      </x:c>
      <x:c r="AN54" s="301" t="s">
        <x:v>308</x:v>
      </x:c>
      <x:c r="AO54" s="301" t="str">
        <x:v>No presentation-only completion. Any reusable requirement must be consumed by a v2.11 generic product task.</x:v>
      </x:c>
      <x:c r="AP54" s="301"/>
      <x:c r="AQ54" s="301"/>
    </x:row>
    <x:row r="55" ht="45.95000076293945" customHeight="1">
      <x:c r="A55" s="307" t="s">
        <x:v>331</x:v>
      </x:c>
      <x:c r="B55" s="307" t="s">
        <x:v>41</x:v>
      </x:c>
      <x:c r="C55" s="307" t="s">
        <x:v>324</x:v>
      </x:c>
      <x:c r="D55" s="308" t="s">
        <x:v>332</x:v>
      </x:c>
      <x:c r="E55" s="307" t="s">
        <x:v>68</x:v>
      </x:c>
      <x:c r="F55" s="307" t="s">
        <x:v>333</x:v>
      </x:c>
      <x:c r="G55" s="307" t="s">
        <x:v>118</x:v>
      </x:c>
      <x:c r="H55" s="308" t="s">
        <x:v>334</x:v>
      </x:c>
      <x:c r="I55" s="308" t="s">
        <x:v>335</x:v>
      </x:c>
      <x:c r="J55" s="307">
        <x:v>4</x:v>
      </x:c>
      <x:c r="K55" s="307" t="s">
        <x:v>328</x:v>
      </x:c>
      <x:c r="L55" s="303" t="s">
        <x:v>271</x:v>
      </x:c>
      <x:c r="M55" s="304" t="s">
        <x:v>329</x:v>
      </x:c>
      <x:c r="N55" s="304" t="s">
        <x:v>272</x:v>
      </x:c>
      <x:c r="O55" s="304" t="s">
        <x:v>273</x:v>
      </x:c>
      <x:c r="P55" s="305" t="s">
        <x:v>54</x:v>
      </x:c>
      <x:c r="Q55" s="300" t="str">
        <x:v>Not Started</x:v>
      </x:c>
      <x:c r="R55" s="300"/>
      <x:c r="S55" s="300" t="str">
        <x:v>FROZEN — presentation/demo scope will not be completed as an M1 objective</x:v>
      </x:c>
      <x:c r="T55" s="300"/>
      <x:c r="U55" s="300" t="str">
        <x:v>Do not continue as M1 content. Preserve generic correctness findings only; execute them through named M2-P0/product-truth owners.</x:v>
      </x:c>
      <x:c r="V55" s="300" t="s">
        <x:v>273</x:v>
      </x:c>
      <x:c r="W55" s="300" t="s">
        <x:v>300</x:v>
      </x:c>
      <x:c r="X55" s="300" t="s">
        <x:v>56</x:v>
      </x:c>
      <x:c r="Y55" s="300" t="str">
        <x:v>Deep design reconciliation 16-Aug-2026; Chapter 3/4 + Layer-B architecture + latest source/audit evidence</x:v>
      </x:c>
      <x:c r="Z55" s="301" t="s">
        <x:v>57</x:v>
      </x:c>
      <x:c r="AA55" s="301" t="str">
        <x:v>FROZEN 22-Aug-2026 — no further M1 presentation work</x:v>
      </x:c>
      <x:c r="AB55" s="301" t="str">
        <x:v>Frozen / superseded by M2-P0 where generic</x:v>
      </x:c>
      <x:c r="AC55" s="301" t="str">
        <x:v>M1 presentation baseline is historical commercial proof only. No new page/chart/demo-data customization.</x:v>
      </x:c>
      <x:c r="AD55" s="301" t="str">
        <x:v>Closed from M1 schedule</x:v>
      </x:c>
      <x:c r="AE55" s="301" t="s">
        <x:v>336</x:v>
      </x:c>
      <x:c r="AF55" s="301" t="s">
        <x:v>337</x:v>
      </x:c>
      <x:c r="AG55" s="301" t="s">
        <x:v>314</x:v>
      </x:c>
      <x:c r="AH55" s="302">
        <x:v>9</x:v>
      </x:c>
      <x:c r="AI55" s="302">
        <x:v>1.5</x:v>
      </x:c>
      <x:c r="AJ55" s="302">
        <x:f t="shared" si="2"/>
        <x:v>0.44444444444444442</x:v>
      </x:c>
      <x:c r="AK55" s="302">
        <x:f t="shared" si="3"/>
        <x:v>0.66666666666666663</x:v>
      </x:c>
      <x:c r="AL55" s="301" t="s">
        <x:v>330</x:v>
      </x:c>
      <x:c r="AM55" s="301" t="str">
        <x:v>DO NOT START as M1. Start only if a later M2 task explicitly consumes this generic contract.</x:v>
      </x:c>
      <x:c r="AN55" s="301" t="s">
        <x:v>338</x:v>
      </x:c>
      <x:c r="AO55" s="301" t="str">
        <x:v>No presentation-only completion. Any reusable requirement must be consumed by a v2.11 generic product task.</x:v>
      </x:c>
      <x:c r="AP55" s="301"/>
      <x:c r="AQ55" s="301"/>
    </x:row>
    <x:row r="56" ht="45.95000076293945" customHeight="1">
      <x:c r="A56" s="307" t="s">
        <x:v>339</x:v>
      </x:c>
      <x:c r="B56" s="307" t="s">
        <x:v>41</x:v>
      </x:c>
      <x:c r="C56" s="307" t="s">
        <x:v>324</x:v>
      </x:c>
      <x:c r="D56" s="308" t="s">
        <x:v>340</x:v>
      </x:c>
      <x:c r="E56" s="307" t="s">
        <x:v>68</x:v>
      </x:c>
      <x:c r="F56" s="307" t="s">
        <x:v>341</x:v>
      </x:c>
      <x:c r="G56" s="307" t="s">
        <x:v>118</x:v>
      </x:c>
      <x:c r="H56" s="308" t="s">
        <x:v>342</x:v>
      </x:c>
      <x:c r="I56" s="308" t="s">
        <x:v>343</x:v>
      </x:c>
      <x:c r="J56" s="307">
        <x:v>6</x:v>
      </x:c>
      <x:c r="K56" s="307" t="s">
        <x:v>328</x:v>
      </x:c>
      <x:c r="L56" s="303" t="s">
        <x:v>271</x:v>
      </x:c>
      <x:c r="M56" s="304" t="s">
        <x:v>329</x:v>
      </x:c>
      <x:c r="N56" s="304" t="s">
        <x:v>272</x:v>
      </x:c>
      <x:c r="O56" s="304" t="s">
        <x:v>273</x:v>
      </x:c>
      <x:c r="P56" s="305" t="s">
        <x:v>54</x:v>
      </x:c>
      <x:c r="Q56" s="300" t="str">
        <x:v>Not Started</x:v>
      </x:c>
      <x:c r="R56" s="300"/>
      <x:c r="S56" s="300" t="str">
        <x:v>FROZEN — presentation/demo scope will not be completed as an M1 objective</x:v>
      </x:c>
      <x:c r="T56" s="300"/>
      <x:c r="U56" s="300" t="str">
        <x:v>Do not continue as M1 content. Preserve generic correctness findings only; execute them through named M2-P0/product-truth owners.</x:v>
      </x:c>
      <x:c r="V56" s="300" t="s">
        <x:v>273</x:v>
      </x:c>
      <x:c r="W56" s="300" t="s">
        <x:v>300</x:v>
      </x:c>
      <x:c r="X56" s="300" t="s">
        <x:v>56</x:v>
      </x:c>
      <x:c r="Y56" s="300" t="str">
        <x:v>Deep design reconciliation 16-Aug-2026; Chapter 3/4 + Layer-B architecture + latest source/audit evidence</x:v>
      </x:c>
      <x:c r="Z56" s="301" t="s">
        <x:v>57</x:v>
      </x:c>
      <x:c r="AA56" s="301" t="str">
        <x:v>FROZEN 22-Aug-2026 — no further M1 presentation work</x:v>
      </x:c>
      <x:c r="AB56" s="301" t="str">
        <x:v>Frozen / superseded by M2-P0 where generic</x:v>
      </x:c>
      <x:c r="AC56" s="301" t="str">
        <x:v>M1 presentation baseline is historical commercial proof only. No new page/chart/demo-data customization.</x:v>
      </x:c>
      <x:c r="AD56" s="301" t="str">
        <x:v>Closed from M1 schedule</x:v>
      </x:c>
      <x:c r="AE56" s="301" t="s">
        <x:v>336</x:v>
      </x:c>
      <x:c r="AF56" s="301" t="s">
        <x:v>337</x:v>
      </x:c>
      <x:c r="AG56" s="301" t="s">
        <x:v>314</x:v>
      </x:c>
      <x:c r="AH56" s="302">
        <x:v>9</x:v>
      </x:c>
      <x:c r="AI56" s="302">
        <x:v>1.5</x:v>
      </x:c>
      <x:c r="AJ56" s="302">
        <x:f t="shared" si="2"/>
        <x:v>0.66666666666666663</x:v>
      </x:c>
      <x:c r="AK56" s="302">
        <x:f t="shared" si="3"/>
        <x:v>1</x:v>
      </x:c>
      <x:c r="AL56" s="301" t="s">
        <x:v>330</x:v>
      </x:c>
      <x:c r="AM56" s="301" t="str">
        <x:v>DO NOT START as M1. Start only if a later M2 task explicitly consumes this generic contract.</x:v>
      </x:c>
      <x:c r="AN56" s="301" t="s">
        <x:v>338</x:v>
      </x:c>
      <x:c r="AO56" s="301" t="str">
        <x:v>No presentation-only completion. Any reusable requirement must be consumed by a v2.11 generic product task.</x:v>
      </x:c>
      <x:c r="AP56" s="301"/>
      <x:c r="AQ56" s="301"/>
    </x:row>
    <x:row r="57" ht="45.95000076293945" customHeight="1">
      <x:c r="A57" s="307" t="s">
        <x:v>344</x:v>
      </x:c>
      <x:c r="B57" s="307" t="s">
        <x:v>41</x:v>
      </x:c>
      <x:c r="C57" s="307" t="s">
        <x:v>324</x:v>
      </x:c>
      <x:c r="D57" s="308" t="s">
        <x:v>345</x:v>
      </x:c>
      <x:c r="E57" s="307" t="s">
        <x:v>68</x:v>
      </x:c>
      <x:c r="F57" s="307" t="s">
        <x:v>341</x:v>
      </x:c>
      <x:c r="G57" s="307" t="s">
        <x:v>81</x:v>
      </x:c>
      <x:c r="H57" s="308" t="s">
        <x:v>346</x:v>
      </x:c>
      <x:c r="I57" s="308" t="s">
        <x:v>347</x:v>
      </x:c>
      <x:c r="J57" s="307">
        <x:v>4</x:v>
      </x:c>
      <x:c r="K57" s="307" t="s">
        <x:v>328</x:v>
      </x:c>
      <x:c r="L57" s="303" t="s">
        <x:v>271</x:v>
      </x:c>
      <x:c r="M57" s="304" t="s">
        <x:v>329</x:v>
      </x:c>
      <x:c r="N57" s="304" t="s">
        <x:v>272</x:v>
      </x:c>
      <x:c r="O57" s="304" t="s">
        <x:v>273</x:v>
      </x:c>
      <x:c r="P57" s="305" t="s">
        <x:v>348</x:v>
      </x:c>
      <x:c r="Q57" s="300" t="str">
        <x:v>Not Started</x:v>
      </x:c>
      <x:c r="R57" s="300"/>
      <x:c r="S57" s="300" t="str">
        <x:v>FROZEN — presentation/demo scope will not be completed as an M1 objective</x:v>
      </x:c>
      <x:c r="T57" s="300"/>
      <x:c r="U57" s="300" t="str">
        <x:v>Do not continue as M1 content. Preserve generic correctness findings only; execute them through named M2-P0/product-truth owners.</x:v>
      </x:c>
      <x:c r="V57" s="300" t="s">
        <x:v>273</x:v>
      </x:c>
      <x:c r="W57" s="300" t="s">
        <x:v>300</x:v>
      </x:c>
      <x:c r="X57" s="300" t="s">
        <x:v>56</x:v>
      </x:c>
      <x:c r="Y57" s="300" t="str">
        <x:v>Deep design reconciliation 16-Aug-2026; Chapter 3/4 + Layer-B architecture + latest source/audit evidence</x:v>
      </x:c>
      <x:c r="Z57" s="301" t="s">
        <x:v>57</x:v>
      </x:c>
      <x:c r="AA57" s="301" t="str">
        <x:v>FROZEN 22-Aug-2026 — no further M1 presentation work</x:v>
      </x:c>
      <x:c r="AB57" s="301" t="str">
        <x:v>Frozen / superseded by M2-P0 where generic</x:v>
      </x:c>
      <x:c r="AC57" s="301" t="str">
        <x:v>M1 presentation baseline is historical commercial proof only. No new page/chart/demo-data customization.</x:v>
      </x:c>
      <x:c r="AD57" s="301" t="str">
        <x:v>Closed from M1 schedule</x:v>
      </x:c>
      <x:c r="AE57" s="301" t="s">
        <x:v>336</x:v>
      </x:c>
      <x:c r="AF57" s="301" t="s">
        <x:v>337</x:v>
      </x:c>
      <x:c r="AG57" s="301" t="s">
        <x:v>314</x:v>
      </x:c>
      <x:c r="AH57" s="302">
        <x:v>9</x:v>
      </x:c>
      <x:c r="AI57" s="302">
        <x:v>1.5</x:v>
      </x:c>
      <x:c r="AJ57" s="302">
        <x:f t="shared" si="2"/>
        <x:v>0.44444444444444442</x:v>
      </x:c>
      <x:c r="AK57" s="302">
        <x:f t="shared" si="3"/>
        <x:v>0.66666666666666663</x:v>
      </x:c>
      <x:c r="AL57" s="301" t="s">
        <x:v>330</x:v>
      </x:c>
      <x:c r="AM57" s="301" t="str">
        <x:v>DO NOT START as M1. Start only if a later M2 task explicitly consumes this generic contract.</x:v>
      </x:c>
      <x:c r="AN57" s="301" t="s">
        <x:v>338</x:v>
      </x:c>
      <x:c r="AO57" s="301" t="str">
        <x:v>No presentation-only completion. Any reusable requirement must be consumed by a v2.11 generic product task.</x:v>
      </x:c>
      <x:c r="AP57" s="301"/>
      <x:c r="AQ57" s="301"/>
    </x:row>
    <x:row r="58" ht="45.95000076293945" customHeight="1">
      <x:c r="A58" s="293" t="s">
        <x:v>349</x:v>
      </x:c>
      <x:c r="B58" s="293" t="s">
        <x:v>41</x:v>
      </x:c>
      <x:c r="C58" s="293" t="s">
        <x:v>324</x:v>
      </x:c>
      <x:c r="D58" s="294" t="s">
        <x:v>350</x:v>
      </x:c>
      <x:c r="E58" s="293" t="s">
        <x:v>106</x:v>
      </x:c>
      <x:c r="F58" s="293" t="s">
        <x:v>351</x:v>
      </x:c>
      <x:c r="G58" s="293" t="s">
        <x:v>46</x:v>
      </x:c>
      <x:c r="H58" s="294" t="s">
        <x:v>352</x:v>
      </x:c>
      <x:c r="I58" s="294" t="s">
        <x:v>353</x:v>
      </x:c>
      <x:c r="J58" s="293">
        <x:v>10</x:v>
      </x:c>
      <x:c r="K58" s="295" t="s">
        <x:v>49</x:v>
      </x:c>
      <x:c r="L58" s="303" t="s">
        <x:v>271</x:v>
      </x:c>
      <x:c r="M58" s="297" t="s">
        <x:v>51</x:v>
      </x:c>
      <x:c r="N58" s="304" t="s">
        <x:v>272</x:v>
      </x:c>
      <x:c r="O58" s="304" t="s">
        <x:v>354</x:v>
      </x:c>
      <x:c r="P58" s="305" t="s">
        <x:v>355</x:v>
      </x:c>
      <x:c r="Q58" s="300" t="str">
        <x:v>Not Started</x:v>
      </x:c>
      <x:c r="R58" s="300"/>
      <x:c r="S58" s="309" t="s">
        <x:v>356</x:v>
      </x:c>
      <x:c r="T58" s="309" t="s">
        <x:v>357</x:v>
      </x:c>
      <x:c r="U58" s="309" t="s">
        <x:v>358</x:v>
      </x:c>
      <x:c r="V58" s="300" t="str">
        <x:v>T-039 M1 contract prerequisite only. T-095 is a future consumer/canonical convergence task and is recorded in Must Precede, never as a predecessor of this already-closed M1 task.</x:v>
      </x:c>
      <x:c r="W58" s="300" t="s">
        <x:v>359</x:v>
      </x:c>
      <x:c r="X58" s="310" t="s">
        <x:v>360</x:v>
      </x:c>
      <x:c r="Y58" s="300" t="str">
        <x:v>Deep design reconciliation 16-Aug-2026; Chapter 3/4 + Layer-B architecture + latest source/audit evidence</x:v>
      </x:c>
      <x:c r="Z58" s="301" t="s">
        <x:v>57</x:v>
      </x:c>
      <x:c r="AA58" s="301" t="s">
        <x:v>58</x:v>
      </x:c>
      <x:c r="AB58" s="301" t="s">
        <x:v>59</x:v>
      </x:c>
      <x:c r="AC58" s="301" t="s">
        <x:v>361</x:v>
      </x:c>
      <x:c r="AD58" s="301" t="s">
        <x:v>362</x:v>
      </x:c>
      <x:c r="AE58" s="301" t="s">
        <x:v>336</x:v>
      </x:c>
      <x:c r="AF58" s="301" t="s">
        <x:v>337</x:v>
      </x:c>
      <x:c r="AG58" s="301" t="s">
        <x:v>363</x:v>
      </x:c>
      <x:c r="AH58" s="302">
        <x:v>10</x:v>
      </x:c>
      <x:c r="AI58" s="302">
        <x:v>1.5</x:v>
      </x:c>
      <x:c r="AJ58" s="302">
        <x:f t="shared" si="2"/>
        <x:v>0</x:v>
      </x:c>
      <x:c r="AK58" s="302">
        <x:f t="shared" si="3"/>
        <x:v>0</x:v>
      </x:c>
      <x:c r="AL58" s="301" t="s">
        <x:v>306</x:v>
      </x:c>
      <x:c r="AM58" s="301" t="s">
        <x:v>364</x:v>
      </x:c>
      <x:c r="AN58" s="301" t="s">
        <x:v>338</x:v>
      </x:c>
      <x:c r="AO58" s="301" t="s">
        <x:v>365</x:v>
      </x:c>
      <x:c r="AP58" s="301" t="str">
        <x:v>T-039</x:v>
      </x:c>
      <x:c r="AQ58" s="301" t="str">
        <x:v>T-095</x:v>
      </x:c>
    </x:row>
    <x:row r="59" ht="45.95000076293945" customHeight="1">
      <x:c r="A59" s="293" t="s">
        <x:v>366</x:v>
      </x:c>
      <x:c r="B59" s="293" t="s">
        <x:v>41</x:v>
      </x:c>
      <x:c r="C59" s="293" t="s">
        <x:v>324</x:v>
      </x:c>
      <x:c r="D59" s="294" t="s">
        <x:v>367</x:v>
      </x:c>
      <x:c r="E59" s="293" t="s">
        <x:v>106</x:v>
      </x:c>
      <x:c r="F59" s="293" t="s">
        <x:v>351</x:v>
      </x:c>
      <x:c r="G59" s="293" t="s">
        <x:v>46</x:v>
      </x:c>
      <x:c r="H59" s="294" t="s">
        <x:v>368</x:v>
      </x:c>
      <x:c r="I59" s="294" t="s">
        <x:v>369</x:v>
      </x:c>
      <x:c r="J59" s="293">
        <x:v>10</x:v>
      </x:c>
      <x:c r="K59" s="295" t="s">
        <x:v>49</x:v>
      </x:c>
      <x:c r="L59" s="303" t="s">
        <x:v>271</x:v>
      </x:c>
      <x:c r="M59" s="297" t="s">
        <x:v>51</x:v>
      </x:c>
      <x:c r="N59" s="304" t="s">
        <x:v>272</x:v>
      </x:c>
      <x:c r="O59" s="304" t="s">
        <x:v>370</x:v>
      </x:c>
      <x:c r="P59" s="305" t="s">
        <x:v>371</x:v>
      </x:c>
      <x:c r="Q59" s="300" t="str">
        <x:v>Not Started</x:v>
      </x:c>
      <x:c r="R59" s="300"/>
      <x:c r="S59" s="309" t="s">
        <x:v>356</x:v>
      </x:c>
      <x:c r="T59" s="309" t="s">
        <x:v>357</x:v>
      </x:c>
      <x:c r="U59" s="309" t="s">
        <x:v>358</x:v>
      </x:c>
      <x:c r="V59" s="300" t="s">
        <x:v>370</x:v>
      </x:c>
      <x:c r="W59" s="300" t="s">
        <x:v>300</x:v>
      </x:c>
      <x:c r="X59" s="310" t="s">
        <x:v>360</x:v>
      </x:c>
      <x:c r="Y59" s="300" t="str">
        <x:v>Deep design reconciliation 16-Aug-2026; Chapter 3/4 + Layer-B architecture + latest source/audit evidence</x:v>
      </x:c>
      <x:c r="Z59" s="301" t="s">
        <x:v>57</x:v>
      </x:c>
      <x:c r="AA59" s="301" t="s">
        <x:v>58</x:v>
      </x:c>
      <x:c r="AB59" s="301" t="s">
        <x:v>59</x:v>
      </x:c>
      <x:c r="AC59" s="301" t="s">
        <x:v>361</x:v>
      </x:c>
      <x:c r="AD59" s="301" t="s">
        <x:v>362</x:v>
      </x:c>
      <x:c r="AE59" s="301" t="s">
        <x:v>336</x:v>
      </x:c>
      <x:c r="AF59" s="301" t="s">
        <x:v>337</x:v>
      </x:c>
      <x:c r="AG59" s="301" t="s">
        <x:v>363</x:v>
      </x:c>
      <x:c r="AH59" s="302">
        <x:v>10</x:v>
      </x:c>
      <x:c r="AI59" s="302">
        <x:v>1.5</x:v>
      </x:c>
      <x:c r="AJ59" s="302">
        <x:f t="shared" si="2"/>
        <x:v>0</x:v>
      </x:c>
      <x:c r="AK59" s="302">
        <x:f t="shared" si="3"/>
        <x:v>0</x:v>
      </x:c>
      <x:c r="AL59" s="301" t="s">
        <x:v>306</x:v>
      </x:c>
      <x:c r="AM59" s="301" t="s">
        <x:v>372</x:v>
      </x:c>
      <x:c r="AN59" s="301" t="s">
        <x:v>338</x:v>
      </x:c>
      <x:c r="AO59" s="301" t="s">
        <x:v>365</x:v>
      </x:c>
      <x:c r="AP59" s="301" t="str">
        <x:v>T-057</x:v>
      </x:c>
      <x:c r="AQ59" s="301"/>
    </x:row>
    <x:row r="60" ht="45.95000076293945" customHeight="1">
      <x:c r="A60" s="307" t="s">
        <x:v>373</x:v>
      </x:c>
      <x:c r="B60" s="307" t="s">
        <x:v>41</x:v>
      </x:c>
      <x:c r="C60" s="307" t="s">
        <x:v>324</x:v>
      </x:c>
      <x:c r="D60" s="308" t="s">
        <x:v>374</x:v>
      </x:c>
      <x:c r="E60" s="307" t="s">
        <x:v>68</x:v>
      </x:c>
      <x:c r="F60" s="307" t="s">
        <x:v>101</x:v>
      </x:c>
      <x:c r="G60" s="307" t="s">
        <x:v>118</x:v>
      </x:c>
      <x:c r="H60" s="308" t="s">
        <x:v>375</x:v>
      </x:c>
      <x:c r="I60" s="308" t="s">
        <x:v>376</x:v>
      </x:c>
      <x:c r="J60" s="307">
        <x:v>4</x:v>
      </x:c>
      <x:c r="K60" s="307" t="s">
        <x:v>328</x:v>
      </x:c>
      <x:c r="L60" s="303" t="s">
        <x:v>271</x:v>
      </x:c>
      <x:c r="M60" s="304" t="s">
        <x:v>329</x:v>
      </x:c>
      <x:c r="N60" s="304" t="s">
        <x:v>272</x:v>
      </x:c>
      <x:c r="O60" s="304" t="s">
        <x:v>377</x:v>
      </x:c>
      <x:c r="P60" s="305" t="s">
        <x:v>378</x:v>
      </x:c>
      <x:c r="Q60" s="300" t="str">
        <x:v>Not Started</x:v>
      </x:c>
      <x:c r="R60" s="300"/>
      <x:c r="S60" s="309" t="str">
        <x:v>FROZEN — presentation/demo scope will not be completed as an M1 objective</x:v>
      </x:c>
      <x:c r="T60" s="309" t="s">
        <x:v>357</x:v>
      </x:c>
      <x:c r="U60" s="309" t="str">
        <x:v>Frozen as M1. Cross-widget selection correctness is re-owned by T-204 Customer-session associative state-machine certification.</x:v>
      </x:c>
      <x:c r="V60" s="300" t="str">
        <x:v>SUPERSEDED for release-truth purpose by T-204; preserve useful contract/evidence only.</x:v>
      </x:c>
      <x:c r="W60" s="300" t="s">
        <x:v>300</x:v>
      </x:c>
      <x:c r="X60" s="310" t="s">
        <x:v>360</x:v>
      </x:c>
      <x:c r="Y60" s="300" t="str">
        <x:v>Deep design reconciliation 16-Aug-2026; Chapter 3/4 + Layer-B architecture + latest source/audit evidence</x:v>
      </x:c>
      <x:c r="Z60" s="301" t="s">
        <x:v>57</x:v>
      </x:c>
      <x:c r="AA60" s="301" t="str">
        <x:v>FROZEN 22-Aug-2026 — no further M1 presentation work</x:v>
      </x:c>
      <x:c r="AB60" s="301" t="str">
        <x:v>Frozen / superseded by M2-P0 where generic</x:v>
      </x:c>
      <x:c r="AC60" s="301" t="str">
        <x:v>M1 presentation baseline is historical commercial proof only. No new page/chart/demo-data customization.</x:v>
      </x:c>
      <x:c r="AD60" s="301" t="str">
        <x:v>Closed from M1 schedule</x:v>
      </x:c>
      <x:c r="AE60" s="301" t="s">
        <x:v>303</x:v>
      </x:c>
      <x:c r="AF60" s="301" t="s">
        <x:v>304</x:v>
      </x:c>
      <x:c r="AG60" s="301" t="s">
        <x:v>314</x:v>
      </x:c>
      <x:c r="AH60" s="302">
        <x:v>9</x:v>
      </x:c>
      <x:c r="AI60" s="302">
        <x:v>1.5</x:v>
      </x:c>
      <x:c r="AJ60" s="302">
        <x:f t="shared" si="2"/>
        <x:v>0.44444444444444442</x:v>
      </x:c>
      <x:c r="AK60" s="302">
        <x:f t="shared" si="3"/>
        <x:v>0.66666666666666663</x:v>
      </x:c>
      <x:c r="AL60" s="301" t="s">
        <x:v>330</x:v>
      </x:c>
      <x:c r="AM60" s="301" t="str">
        <x:v>DO NOT START as M1. Start only if a later M2 task explicitly consumes this generic contract.</x:v>
      </x:c>
      <x:c r="AN60" s="301" t="s">
        <x:v>308</x:v>
      </x:c>
      <x:c r="AO60" s="301" t="str">
        <x:v>No presentation-only completion. Any reusable requirement must be consumed by a v2.11 generic product task.</x:v>
      </x:c>
      <x:c r="AP60" s="301" t="str">
        <x:v>T-048; T-057; T-058</x:v>
      </x:c>
      <x:c r="AQ60" s="301"/>
    </x:row>
    <x:row r="61" ht="45.95000076293945" customHeight="1">
      <x:c r="A61" s="311" t="s">
        <x:v>379</x:v>
      </x:c>
      <x:c r="B61" s="311" t="s">
        <x:v>41</x:v>
      </x:c>
      <x:c r="C61" s="311" t="s">
        <x:v>324</x:v>
      </x:c>
      <x:c r="D61" s="312" t="s">
        <x:v>380</x:v>
      </x:c>
      <x:c r="E61" s="311" t="s">
        <x:v>68</x:v>
      </x:c>
      <x:c r="F61" s="311" t="s">
        <x:v>351</x:v>
      </x:c>
      <x:c r="G61" s="311" t="s">
        <x:v>118</x:v>
      </x:c>
      <x:c r="H61" s="312" t="s">
        <x:v>381</x:v>
      </x:c>
      <x:c r="I61" s="312" t="s">
        <x:v>382</x:v>
      </x:c>
      <x:c r="J61" s="311">
        <x:v>4</x:v>
      </x:c>
      <x:c r="K61" s="311" t="s">
        <x:v>383</x:v>
      </x:c>
      <x:c r="L61" s="303" t="s">
        <x:v>271</x:v>
      </x:c>
      <x:c r="M61" s="304" t="s">
        <x:v>329</x:v>
      </x:c>
      <x:c r="N61" s="304" t="s">
        <x:v>272</x:v>
      </x:c>
      <x:c r="O61" s="304" t="s">
        <x:v>384</x:v>
      </x:c>
      <x:c r="P61" s="305" t="s">
        <x:v>385</x:v>
      </x:c>
      <x:c r="Q61" s="300" t="str">
        <x:v>Not Started</x:v>
      </x:c>
      <x:c r="R61" s="300"/>
      <x:c r="S61" s="309" t="str">
        <x:v>FROZEN — presentation/demo scope will not be completed as an M1 objective</x:v>
      </x:c>
      <x:c r="T61" s="309" t="s">
        <x:v>386</x:v>
      </x:c>
      <x:c r="U61" s="309" t="str">
        <x:v>Do not continue as M1 content. Preserve generic correctness findings only; execute them through named M2-P0/product-truth owners.</x:v>
      </x:c>
      <x:c r="V61" s="300" t="s">
        <x:v>384</x:v>
      </x:c>
      <x:c r="W61" s="300" t="s">
        <x:v>300</x:v>
      </x:c>
      <x:c r="X61" s="310" t="s">
        <x:v>360</x:v>
      </x:c>
      <x:c r="Y61" s="300" t="str">
        <x:v>Deep design reconciliation 16-Aug-2026; Chapter 3/4 + Layer-B architecture + latest source/audit evidence</x:v>
      </x:c>
      <x:c r="Z61" s="301" t="s">
        <x:v>57</x:v>
      </x:c>
      <x:c r="AA61" s="301" t="str">
        <x:v>FROZEN 22-Aug-2026 — no further M1 presentation work</x:v>
      </x:c>
      <x:c r="AB61" s="301" t="str">
        <x:v>Frozen / superseded by M2-P0 where generic</x:v>
      </x:c>
      <x:c r="AC61" s="301" t="str">
        <x:v>M1 presentation baseline is historical commercial proof only. No new page/chart/demo-data customization.</x:v>
      </x:c>
      <x:c r="AD61" s="301" t="str">
        <x:v>Closed from M1 schedule</x:v>
      </x:c>
      <x:c r="AE61" s="301" t="s">
        <x:v>336</x:v>
      </x:c>
      <x:c r="AF61" s="301" t="s">
        <x:v>337</x:v>
      </x:c>
      <x:c r="AG61" s="301" t="s">
        <x:v>314</x:v>
      </x:c>
      <x:c r="AH61" s="302">
        <x:v>9</x:v>
      </x:c>
      <x:c r="AI61" s="302">
        <x:v>1.5</x:v>
      </x:c>
      <x:c r="AJ61" s="302">
        <x:f t="shared" si="2"/>
        <x:v>0.44444444444444442</x:v>
      </x:c>
      <x:c r="AK61" s="302">
        <x:f t="shared" si="3"/>
        <x:v>0.66666666666666663</x:v>
      </x:c>
      <x:c r="AL61" s="301" t="s">
        <x:v>330</x:v>
      </x:c>
      <x:c r="AM61" s="301" t="str">
        <x:v>DO NOT START as M1. Start only if a later M2 task explicitly consumes this generic contract.</x:v>
      </x:c>
      <x:c r="AN61" s="301" t="s">
        <x:v>338</x:v>
      </x:c>
      <x:c r="AO61" s="301" t="str">
        <x:v>No presentation-only completion. Any reusable requirement must be consumed by a v2.11 generic product task.</x:v>
      </x:c>
      <x:c r="AP61" s="301" t="str">
        <x:v>T-057; T-058</x:v>
      </x:c>
      <x:c r="AQ61" s="301"/>
    </x:row>
    <x:row r="62" ht="45.95000076293945" customHeight="1">
      <x:c r="A62" s="307" t="s">
        <x:v>387</x:v>
      </x:c>
      <x:c r="B62" s="307" t="s">
        <x:v>41</x:v>
      </x:c>
      <x:c r="C62" s="307" t="s">
        <x:v>324</x:v>
      </x:c>
      <x:c r="D62" s="308" t="s">
        <x:v>388</x:v>
      </x:c>
      <x:c r="E62" s="307" t="s">
        <x:v>106</x:v>
      </x:c>
      <x:c r="F62" s="307" t="s">
        <x:v>389</x:v>
      </x:c>
      <x:c r="G62" s="307" t="s">
        <x:v>46</x:v>
      </x:c>
      <x:c r="H62" s="308" t="s">
        <x:v>390</x:v>
      </x:c>
      <x:c r="I62" s="308" t="s">
        <x:v>391</x:v>
      </x:c>
      <x:c r="J62" s="307">
        <x:v>6</x:v>
      </x:c>
      <x:c r="K62" s="307" t="s">
        <x:v>328</x:v>
      </x:c>
      <x:c r="L62" s="303" t="s">
        <x:v>271</x:v>
      </x:c>
      <x:c r="M62" s="304" t="s">
        <x:v>329</x:v>
      </x:c>
      <x:c r="N62" s="304" t="s">
        <x:v>272</x:v>
      </x:c>
      <x:c r="O62" s="304" t="s">
        <x:v>392</x:v>
      </x:c>
      <x:c r="P62" s="305" t="s">
        <x:v>393</x:v>
      </x:c>
      <x:c r="Q62" s="300" t="str">
        <x:v>Not Started</x:v>
      </x:c>
      <x:c r="R62" s="300"/>
      <x:c r="S62" s="309" t="str">
        <x:v>FROZEN — presentation/demo scope will not be completed as an M1 objective</x:v>
      </x:c>
      <x:c r="T62" s="309" t="s">
        <x:v>394</x:v>
      </x:c>
      <x:c r="U62" s="309" t="str">
        <x:v>Do not continue as M1 content. Preserve generic correctness findings only; execute them through named M2-P0/product-truth owners.</x:v>
      </x:c>
      <x:c r="V62" s="300" t="s">
        <x:v>392</x:v>
      </x:c>
      <x:c r="W62" s="300" t="s">
        <x:v>359</x:v>
      </x:c>
      <x:c r="X62" s="310" t="s">
        <x:v>360</x:v>
      </x:c>
      <x:c r="Y62" s="300" t="str">
        <x:v>Deep design reconciliation 16-Aug-2026; Chapter 3/4 + Layer-B architecture + latest source/audit evidence</x:v>
      </x:c>
      <x:c r="Z62" s="301" t="s">
        <x:v>57</x:v>
      </x:c>
      <x:c r="AA62" s="301" t="str">
        <x:v>FROZEN 22-Aug-2026 — no further M1 presentation work</x:v>
      </x:c>
      <x:c r="AB62" s="301" t="str">
        <x:v>Frozen / superseded by M2-P0 where generic</x:v>
      </x:c>
      <x:c r="AC62" s="301" t="str">
        <x:v>M1 presentation baseline is historical commercial proof only. No new page/chart/demo-data customization.</x:v>
      </x:c>
      <x:c r="AD62" s="301" t="str">
        <x:v>Closed from M1 schedule</x:v>
      </x:c>
      <x:c r="AE62" s="301" t="s">
        <x:v>336</x:v>
      </x:c>
      <x:c r="AF62" s="301" t="s">
        <x:v>337</x:v>
      </x:c>
      <x:c r="AG62" s="301" t="s">
        <x:v>363</x:v>
      </x:c>
      <x:c r="AH62" s="302">
        <x:v>10</x:v>
      </x:c>
      <x:c r="AI62" s="302">
        <x:v>1.5</x:v>
      </x:c>
      <x:c r="AJ62" s="302">
        <x:f t="shared" si="2"/>
        <x:v>0.6</x:v>
      </x:c>
      <x:c r="AK62" s="302">
        <x:f t="shared" si="3"/>
        <x:v>0.89999999999999991</x:v>
      </x:c>
      <x:c r="AL62" s="301" t="s">
        <x:v>330</x:v>
      </x:c>
      <x:c r="AM62" s="301" t="str">
        <x:v>DO NOT START as M1. Start only if a later M2 task explicitly consumes this generic contract.</x:v>
      </x:c>
      <x:c r="AN62" s="301" t="s">
        <x:v>338</x:v>
      </x:c>
      <x:c r="AO62" s="301" t="str">
        <x:v>No presentation-only completion. Any reusable requirement must be consumed by a v2.11 generic product task.</x:v>
      </x:c>
      <x:c r="AP62" s="301" t="str">
        <x:v>T-087; T-089; T-090; T-099</x:v>
      </x:c>
      <x:c r="AQ62" s="301"/>
    </x:row>
    <x:row r="63" ht="45.95000076293945" customHeight="1">
      <x:c r="A63" s="307" t="s">
        <x:v>395</x:v>
      </x:c>
      <x:c r="B63" s="307" t="s">
        <x:v>41</x:v>
      </x:c>
      <x:c r="C63" s="307" t="s">
        <x:v>324</x:v>
      </x:c>
      <x:c r="D63" s="308" t="s">
        <x:v>396</x:v>
      </x:c>
      <x:c r="E63" s="307" t="s">
        <x:v>68</x:v>
      </x:c>
      <x:c r="F63" s="307" t="s">
        <x:v>389</x:v>
      </x:c>
      <x:c r="G63" s="307" t="s">
        <x:v>46</x:v>
      </x:c>
      <x:c r="H63" s="308" t="s">
        <x:v>397</x:v>
      </x:c>
      <x:c r="I63" s="308" t="s">
        <x:v>398</x:v>
      </x:c>
      <x:c r="J63" s="307">
        <x:v>4</x:v>
      </x:c>
      <x:c r="K63" s="307" t="s">
        <x:v>328</x:v>
      </x:c>
      <x:c r="L63" s="303" t="s">
        <x:v>271</x:v>
      </x:c>
      <x:c r="M63" s="304" t="s">
        <x:v>329</x:v>
      </x:c>
      <x:c r="N63" s="304" t="s">
        <x:v>272</x:v>
      </x:c>
      <x:c r="O63" s="304" t="s">
        <x:v>399</x:v>
      </x:c>
      <x:c r="P63" s="305" t="s">
        <x:v>400</x:v>
      </x:c>
      <x:c r="Q63" s="300" t="str">
        <x:v>Not Started</x:v>
      </x:c>
      <x:c r="R63" s="300"/>
      <x:c r="S63" s="309" t="str">
        <x:v>FROZEN — presentation/demo scope will not be completed as an M1 objective</x:v>
      </x:c>
      <x:c r="T63" s="309" t="s">
        <x:v>394</x:v>
      </x:c>
      <x:c r="U63" s="309" t="str">
        <x:v>Do not continue as M1 content. Preserve generic correctness findings only; execute them through named M2-P0/product-truth owners.</x:v>
      </x:c>
      <x:c r="V63" s="300" t="s">
        <x:v>399</x:v>
      </x:c>
      <x:c r="W63" s="300" t="s">
        <x:v>300</x:v>
      </x:c>
      <x:c r="X63" s="310" t="s">
        <x:v>360</x:v>
      </x:c>
      <x:c r="Y63" s="300" t="str">
        <x:v>Deep design reconciliation 16-Aug-2026; Chapter 3/4 + Layer-B architecture + latest source/audit evidence</x:v>
      </x:c>
      <x:c r="Z63" s="301" t="s">
        <x:v>57</x:v>
      </x:c>
      <x:c r="AA63" s="301" t="str">
        <x:v>FROZEN 22-Aug-2026 — no further M1 presentation work</x:v>
      </x:c>
      <x:c r="AB63" s="301" t="str">
        <x:v>Frozen / superseded by M2-P0 where generic</x:v>
      </x:c>
      <x:c r="AC63" s="301" t="str">
        <x:v>M1 presentation baseline is historical commercial proof only. No new page/chart/demo-data customization.</x:v>
      </x:c>
      <x:c r="AD63" s="301" t="str">
        <x:v>Closed from M1 schedule</x:v>
      </x:c>
      <x:c r="AE63" s="301" t="s">
        <x:v>336</x:v>
      </x:c>
      <x:c r="AF63" s="301" t="s">
        <x:v>337</x:v>
      </x:c>
      <x:c r="AG63" s="301" t="s">
        <x:v>314</x:v>
      </x:c>
      <x:c r="AH63" s="302">
        <x:v>9</x:v>
      </x:c>
      <x:c r="AI63" s="302">
        <x:v>1.5</x:v>
      </x:c>
      <x:c r="AJ63" s="302">
        <x:f t="shared" si="2"/>
        <x:v>0.44444444444444442</x:v>
      </x:c>
      <x:c r="AK63" s="302">
        <x:f t="shared" si="3"/>
        <x:v>0.66666666666666663</x:v>
      </x:c>
      <x:c r="AL63" s="301" t="s">
        <x:v>330</x:v>
      </x:c>
      <x:c r="AM63" s="301" t="str">
        <x:v>DO NOT START as M1. Start only if a later M2 task explicitly consumes this generic contract.</x:v>
      </x:c>
      <x:c r="AN63" s="301" t="s">
        <x:v>338</x:v>
      </x:c>
      <x:c r="AO63" s="301" t="str">
        <x:v>No presentation-only completion. Any reusable requirement must be consumed by a v2.11 generic product task.</x:v>
      </x:c>
      <x:c r="AP63" s="301" t="str">
        <x:v>T-061</x:v>
      </x:c>
      <x:c r="AQ63" s="301"/>
    </x:row>
    <x:row r="64" ht="45.95000076293945" customHeight="1">
      <x:c r="A64" s="307" t="s">
        <x:v>401</x:v>
      </x:c>
      <x:c r="B64" s="307" t="s">
        <x:v>41</x:v>
      </x:c>
      <x:c r="C64" s="307" t="s">
        <x:v>324</x:v>
      </x:c>
      <x:c r="D64" s="308" t="s">
        <x:v>402</x:v>
      </x:c>
      <x:c r="E64" s="307" t="s">
        <x:v>68</x:v>
      </x:c>
      <x:c r="F64" s="307" t="s">
        <x:v>403</x:v>
      </x:c>
      <x:c r="G64" s="307" t="s">
        <x:v>118</x:v>
      </x:c>
      <x:c r="H64" s="308" t="s">
        <x:v>404</x:v>
      </x:c>
      <x:c r="I64" s="308" t="s">
        <x:v>405</x:v>
      </x:c>
      <x:c r="J64" s="307">
        <x:v>10</x:v>
      </x:c>
      <x:c r="K64" s="307" t="s">
        <x:v>328</x:v>
      </x:c>
      <x:c r="L64" s="303" t="s">
        <x:v>271</x:v>
      </x:c>
      <x:c r="M64" s="304" t="s">
        <x:v>329</x:v>
      </x:c>
      <x:c r="N64" s="304" t="s">
        <x:v>272</x:v>
      </x:c>
      <x:c r="O64" s="304" t="s">
        <x:v>273</x:v>
      </x:c>
      <x:c r="P64" s="305" t="s">
        <x:v>406</x:v>
      </x:c>
      <x:c r="Q64" s="300" t="str">
        <x:v>Not Started</x:v>
      </x:c>
      <x:c r="R64" s="300"/>
      <x:c r="S64" s="306" t="str">
        <x:v>FROZEN — presentation/demo scope will not be completed as an M1 objective</x:v>
      </x:c>
      <x:c r="T64" s="306" t="s">
        <x:v>407</x:v>
      </x:c>
      <x:c r="U64" s="306" t="str">
        <x:v>Do not continue as M1 content. Preserve generic correctness findings only; execute them through named M2-P0/product-truth owners.</x:v>
      </x:c>
      <x:c r="V64" s="300" t="s">
        <x:v>273</x:v>
      </x:c>
      <x:c r="W64" s="300" t="s">
        <x:v>300</x:v>
      </x:c>
      <x:c r="X64" s="306" t="s">
        <x:v>301</x:v>
      </x:c>
      <x:c r="Y64" s="300" t="str">
        <x:v>Deep design reconciliation 16-Aug-2026; Chapter 3/4 + Layer-B architecture + latest source/audit evidence</x:v>
      </x:c>
      <x:c r="Z64" s="301" t="s">
        <x:v>57</x:v>
      </x:c>
      <x:c r="AA64" s="301" t="str">
        <x:v>FROZEN 22-Aug-2026 — no further M1 presentation work</x:v>
      </x:c>
      <x:c r="AB64" s="301" t="str">
        <x:v>Frozen / superseded by M2-P0 where generic</x:v>
      </x:c>
      <x:c r="AC64" s="301" t="str">
        <x:v>M1 presentation baseline is historical commercial proof only. No new page/chart/demo-data customization.</x:v>
      </x:c>
      <x:c r="AD64" s="301" t="str">
        <x:v>Closed from M1 schedule</x:v>
      </x:c>
      <x:c r="AE64" s="301" t="s">
        <x:v>336</x:v>
      </x:c>
      <x:c r="AF64" s="301" t="s">
        <x:v>337</x:v>
      </x:c>
      <x:c r="AG64" s="301" t="s">
        <x:v>314</x:v>
      </x:c>
      <x:c r="AH64" s="302">
        <x:v>9</x:v>
      </x:c>
      <x:c r="AI64" s="302">
        <x:v>1.5</x:v>
      </x:c>
      <x:c r="AJ64" s="302">
        <x:f t="shared" si="2"/>
        <x:v>1.1111111111111112</x:v>
      </x:c>
      <x:c r="AK64" s="302">
        <x:f t="shared" si="3"/>
        <x:v>1.6666666666666667</x:v>
      </x:c>
      <x:c r="AL64" s="301" t="s">
        <x:v>330</x:v>
      </x:c>
      <x:c r="AM64" s="301" t="str">
        <x:v>DO NOT START as M1. Start only if a later M2 task explicitly consumes this generic contract.</x:v>
      </x:c>
      <x:c r="AN64" s="301" t="s">
        <x:v>338</x:v>
      </x:c>
      <x:c r="AO64" s="301" t="str">
        <x:v>No presentation-only completion. Any reusable requirement must be consumed by a v2.11 generic product task.</x:v>
      </x:c>
      <x:c r="AP64" s="301"/>
      <x:c r="AQ64" s="301"/>
    </x:row>
    <x:row r="65" ht="45.95000076293945" customHeight="1">
      <x:c r="A65" s="293" t="s">
        <x:v>408</x:v>
      </x:c>
      <x:c r="B65" s="293" t="s">
        <x:v>41</x:v>
      </x:c>
      <x:c r="C65" s="293" t="s">
        <x:v>324</x:v>
      </x:c>
      <x:c r="D65" s="294" t="s">
        <x:v>409</x:v>
      </x:c>
      <x:c r="E65" s="293" t="s">
        <x:v>106</x:v>
      </x:c>
      <x:c r="F65" s="293" t="s">
        <x:v>410</x:v>
      </x:c>
      <x:c r="G65" s="293" t="s">
        <x:v>46</x:v>
      </x:c>
      <x:c r="H65" s="294" t="s">
        <x:v>411</x:v>
      </x:c>
      <x:c r="I65" s="294" t="s">
        <x:v>412</x:v>
      </x:c>
      <x:c r="J65" s="293">
        <x:v>8</x:v>
      </x:c>
      <x:c r="K65" s="295" t="s">
        <x:v>49</x:v>
      </x:c>
      <x:c r="L65" s="303" t="s">
        <x:v>271</x:v>
      </x:c>
      <x:c r="M65" s="297" t="s">
        <x:v>51</x:v>
      </x:c>
      <x:c r="N65" s="304" t="s">
        <x:v>272</x:v>
      </x:c>
      <x:c r="O65" s="304" t="s">
        <x:v>413</x:v>
      </x:c>
      <x:c r="P65" s="305" t="s">
        <x:v>414</x:v>
      </x:c>
      <x:c r="Q65" s="300" t="str">
        <x:v>Not Started</x:v>
      </x:c>
      <x:c r="R65" s="300"/>
      <x:c r="S65" s="309" t="s">
        <x:v>356</x:v>
      </x:c>
      <x:c r="T65" s="309" t="s">
        <x:v>415</x:v>
      </x:c>
      <x:c r="U65" s="309" t="s">
        <x:v>416</x:v>
      </x:c>
      <x:c r="V65" s="300" t="str">
        <x:v>T-039 is the only machine predecessor for the already-closed M1 semantic contract. Canonical FK/DAG convergence T-106 is a future consumer and belongs in Must Precede.</x:v>
      </x:c>
      <x:c r="W65" s="300" t="s">
        <x:v>359</x:v>
      </x:c>
      <x:c r="X65" s="310" t="s">
        <x:v>360</x:v>
      </x:c>
      <x:c r="Y65" s="300" t="str">
        <x:v>Deep design reconciliation 16-Aug-2026; Chapter 3/4 + Layer-B architecture + latest source/audit evidence</x:v>
      </x:c>
      <x:c r="Z65" s="301" t="s">
        <x:v>57</x:v>
      </x:c>
      <x:c r="AA65" s="301" t="s">
        <x:v>58</x:v>
      </x:c>
      <x:c r="AB65" s="301" t="s">
        <x:v>59</x:v>
      </x:c>
      <x:c r="AC65" s="301" t="s">
        <x:v>361</x:v>
      </x:c>
      <x:c r="AD65" s="301" t="s">
        <x:v>362</x:v>
      </x:c>
      <x:c r="AE65" s="301" t="s">
        <x:v>417</x:v>
      </x:c>
      <x:c r="AF65" s="301" t="s">
        <x:v>418</x:v>
      </x:c>
      <x:c r="AG65" s="301" t="s">
        <x:v>363</x:v>
      </x:c>
      <x:c r="AH65" s="302">
        <x:v>10</x:v>
      </x:c>
      <x:c r="AI65" s="302">
        <x:v>1.5</x:v>
      </x:c>
      <x:c r="AJ65" s="302">
        <x:f t="shared" si="2"/>
        <x:v>0</x:v>
      </x:c>
      <x:c r="AK65" s="302">
        <x:f t="shared" si="3"/>
        <x:v>0</x:v>
      </x:c>
      <x:c r="AL65" s="301" t="s">
        <x:v>306</x:v>
      </x:c>
      <x:c r="AM65" s="301" t="s">
        <x:v>419</x:v>
      </x:c>
      <x:c r="AN65" s="301" t="s">
        <x:v>420</x:v>
      </x:c>
      <x:c r="AO65" s="301" t="s">
        <x:v>421</x:v>
      </x:c>
      <x:c r="AP65" s="301" t="str">
        <x:v>T-039</x:v>
      </x:c>
      <x:c r="AQ65" s="301" t="str">
        <x:v>T-106</x:v>
      </x:c>
    </x:row>
    <x:row r="66" ht="45.95000076293945" customHeight="1">
      <x:c r="A66" s="311" t="s">
        <x:v>422</x:v>
      </x:c>
      <x:c r="B66" s="311" t="s">
        <x:v>41</x:v>
      </x:c>
      <x:c r="C66" s="311" t="s">
        <x:v>324</x:v>
      </x:c>
      <x:c r="D66" s="312" t="s">
        <x:v>423</x:v>
      </x:c>
      <x:c r="E66" s="311" t="s">
        <x:v>68</x:v>
      </x:c>
      <x:c r="F66" s="311" t="s">
        <x:v>112</x:v>
      </x:c>
      <x:c r="G66" s="311" t="s">
        <x:v>46</x:v>
      </x:c>
      <x:c r="H66" s="312" t="s">
        <x:v>424</x:v>
      </x:c>
      <x:c r="I66" s="312" t="s">
        <x:v>425</x:v>
      </x:c>
      <x:c r="J66" s="311">
        <x:v>12</x:v>
      </x:c>
      <x:c r="K66" s="311" t="s">
        <x:v>383</x:v>
      </x:c>
      <x:c r="L66" s="303" t="s">
        <x:v>271</x:v>
      </x:c>
      <x:c r="M66" s="304" t="s">
        <x:v>329</x:v>
      </x:c>
      <x:c r="N66" s="304" t="s">
        <x:v>272</x:v>
      </x:c>
      <x:c r="O66" s="304" t="s">
        <x:v>426</x:v>
      </x:c>
      <x:c r="P66" s="305" t="s">
        <x:v>427</x:v>
      </x:c>
      <x:c r="Q66" s="300" t="str">
        <x:v>Not Started</x:v>
      </x:c>
      <x:c r="R66" s="300"/>
      <x:c r="S66" s="309" t="str">
        <x:v>FROZEN — presentation/demo scope will not be completed as an M1 objective</x:v>
      </x:c>
      <x:c r="T66" s="309" t="s">
        <x:v>428</x:v>
      </x:c>
      <x:c r="U66" s="309" t="str">
        <x:v>Do not continue as M1 content. Preserve generic correctness findings only; execute them through named M2-P0/product-truth owners.</x:v>
      </x:c>
      <x:c r="V66" s="300" t="s">
        <x:v>426</x:v>
      </x:c>
      <x:c r="W66" s="300" t="s">
        <x:v>300</x:v>
      </x:c>
      <x:c r="X66" s="310" t="s">
        <x:v>360</x:v>
      </x:c>
      <x:c r="Y66" s="300" t="str">
        <x:v>Deep design reconciliation 16-Aug-2026; Chapter 3/4 + Layer-B architecture + latest source/audit evidence</x:v>
      </x:c>
      <x:c r="Z66" s="301" t="s">
        <x:v>57</x:v>
      </x:c>
      <x:c r="AA66" s="301" t="str">
        <x:v>FROZEN 22-Aug-2026 — no further M1 presentation work</x:v>
      </x:c>
      <x:c r="AB66" s="301" t="str">
        <x:v>Frozen / superseded by M2-P0 where generic</x:v>
      </x:c>
      <x:c r="AC66" s="301" t="str">
        <x:v>M1 presentation baseline is historical commercial proof only. No new page/chart/demo-data customization.</x:v>
      </x:c>
      <x:c r="AD66" s="301" t="str">
        <x:v>Closed from M1 schedule</x:v>
      </x:c>
      <x:c r="AE66" s="301" t="s">
        <x:v>303</x:v>
      </x:c>
      <x:c r="AF66" s="301" t="s">
        <x:v>304</x:v>
      </x:c>
      <x:c r="AG66" s="301" t="s">
        <x:v>314</x:v>
      </x:c>
      <x:c r="AH66" s="302">
        <x:v>9</x:v>
      </x:c>
      <x:c r="AI66" s="302">
        <x:v>1.5</x:v>
      </x:c>
      <x:c r="AJ66" s="302" t="n">
        <x:f t="shared" ref="AJ66:AJ97" si="4">IF($K66="Done",0,MAX(0.25,$J66/$AH66))</x:f>
        <x:v>1.3333333333333333</x:v>
      </x:c>
      <x:c r="AK66" s="302" t="n">
        <x:f t="shared" ref="AK66:AK97" si="5">IF($K66="Done",0,$AJ66*$AI66)</x:f>
        <x:v>2</x:v>
      </x:c>
      <x:c r="AL66" s="301" t="s">
        <x:v>429</x:v>
      </x:c>
      <x:c r="AM66" s="301" t="str">
        <x:v>DO NOT START as M1. Start only if a later M2 task explicitly consumes this generic contract.</x:v>
      </x:c>
      <x:c r="AN66" s="301" t="s">
        <x:v>308</x:v>
      </x:c>
      <x:c r="AO66" s="301" t="str">
        <x:v>No presentation-only completion. Any reusable requirement must be consumed by a v2.11 generic product task.</x:v>
      </x:c>
      <x:c r="AP66" s="301" t="str">
        <x:v>T-064; T-068</x:v>
      </x:c>
      <x:c r="AQ66" s="301"/>
    </x:row>
    <x:row r="67" ht="45.95000076293945" customHeight="1">
      <x:c r="A67" s="311" t="s">
        <x:v>430</x:v>
      </x:c>
      <x:c r="B67" s="311" t="s">
        <x:v>41</x:v>
      </x:c>
      <x:c r="C67" s="311" t="s">
        <x:v>324</x:v>
      </x:c>
      <x:c r="D67" s="312" t="s">
        <x:v>431</x:v>
      </x:c>
      <x:c r="E67" s="311" t="s">
        <x:v>68</x:v>
      </x:c>
      <x:c r="F67" s="311" t="s">
        <x:v>112</x:v>
      </x:c>
      <x:c r="G67" s="311" t="s">
        <x:v>46</x:v>
      </x:c>
      <x:c r="H67" s="312" t="s">
        <x:v>432</x:v>
      </x:c>
      <x:c r="I67" s="312" t="s">
        <x:v>433</x:v>
      </x:c>
      <x:c r="J67" s="311">
        <x:v>6</x:v>
      </x:c>
      <x:c r="K67" s="311" t="s">
        <x:v>383</x:v>
      </x:c>
      <x:c r="L67" s="303" t="s">
        <x:v>271</x:v>
      </x:c>
      <x:c r="M67" s="304" t="s">
        <x:v>329</x:v>
      </x:c>
      <x:c r="N67" s="304" t="s">
        <x:v>272</x:v>
      </x:c>
      <x:c r="O67" s="304" t="s">
        <x:v>434</x:v>
      </x:c>
      <x:c r="P67" s="305" t="s">
        <x:v>435</x:v>
      </x:c>
      <x:c r="Q67" s="300" t="str">
        <x:v>Not Started</x:v>
      </x:c>
      <x:c r="R67" s="300"/>
      <x:c r="S67" s="309" t="str">
        <x:v>FROZEN — presentation/demo scope will not be completed as an M1 objective</x:v>
      </x:c>
      <x:c r="T67" s="309" t="s">
        <x:v>436</x:v>
      </x:c>
      <x:c r="U67" s="309" t="str">
        <x:v>Do not continue as M1 content. Preserve generic correctness findings only; execute them through named M2-P0/product-truth owners.</x:v>
      </x:c>
      <x:c r="V67" s="300" t="s">
        <x:v>434</x:v>
      </x:c>
      <x:c r="W67" s="300" t="s">
        <x:v>300</x:v>
      </x:c>
      <x:c r="X67" s="310" t="s">
        <x:v>360</x:v>
      </x:c>
      <x:c r="Y67" s="300" t="str">
        <x:v>Deep design reconciliation 16-Aug-2026; Chapter 3/4 + Layer-B architecture + latest source/audit evidence</x:v>
      </x:c>
      <x:c r="Z67" s="301" t="s">
        <x:v>57</x:v>
      </x:c>
      <x:c r="AA67" s="301" t="str">
        <x:v>FROZEN 22-Aug-2026 — no further M1 presentation work</x:v>
      </x:c>
      <x:c r="AB67" s="301" t="str">
        <x:v>Frozen / superseded by M2-P0 where generic</x:v>
      </x:c>
      <x:c r="AC67" s="301" t="str">
        <x:v>M1 presentation baseline is historical commercial proof only. No new page/chart/demo-data customization.</x:v>
      </x:c>
      <x:c r="AD67" s="301" t="str">
        <x:v>Closed from M1 schedule</x:v>
      </x:c>
      <x:c r="AE67" s="301" t="s">
        <x:v>303</x:v>
      </x:c>
      <x:c r="AF67" s="301" t="s">
        <x:v>304</x:v>
      </x:c>
      <x:c r="AG67" s="301" t="s">
        <x:v>314</x:v>
      </x:c>
      <x:c r="AH67" s="302">
        <x:v>9</x:v>
      </x:c>
      <x:c r="AI67" s="302">
        <x:v>1.5</x:v>
      </x:c>
      <x:c r="AJ67" s="302">
        <x:f t="shared" si="4"/>
        <x:v>0.66666666666666663</x:v>
      </x:c>
      <x:c r="AK67" s="302">
        <x:f t="shared" si="5"/>
        <x:v>1</x:v>
      </x:c>
      <x:c r="AL67" s="301" t="s">
        <x:v>429</x:v>
      </x:c>
      <x:c r="AM67" s="301" t="str">
        <x:v>DO NOT START as M1. Start only if a later M2 task explicitly consumes this generic contract.</x:v>
      </x:c>
      <x:c r="AN67" s="301" t="s">
        <x:v>308</x:v>
      </x:c>
      <x:c r="AO67" s="301" t="str">
        <x:v>No presentation-only completion. Any reusable requirement must be consumed by a v2.11 generic product task.</x:v>
      </x:c>
      <x:c r="AP67" s="301" t="str">
        <x:v>T-065; T-195</x:v>
      </x:c>
      <x:c r="AQ67" s="301"/>
    </x:row>
    <x:row r="68" ht="45.95000076293945" customHeight="1">
      <x:c r="A68" s="293" t="s">
        <x:v>437</x:v>
      </x:c>
      <x:c r="B68" s="293" t="s">
        <x:v>41</x:v>
      </x:c>
      <x:c r="C68" s="293" t="s">
        <x:v>324</x:v>
      </x:c>
      <x:c r="D68" s="294" t="s">
        <x:v>438</x:v>
      </x:c>
      <x:c r="E68" s="293" t="s">
        <x:v>68</x:v>
      </x:c>
      <x:c r="F68" s="293" t="s">
        <x:v>112</x:v>
      </x:c>
      <x:c r="G68" s="293" t="s">
        <x:v>118</x:v>
      </x:c>
      <x:c r="H68" s="294" t="s">
        <x:v>439</x:v>
      </x:c>
      <x:c r="I68" s="294" t="s">
        <x:v>440</x:v>
      </x:c>
      <x:c r="J68" s="293">
        <x:v>8</x:v>
      </x:c>
      <x:c r="K68" s="295" t="str">
        <x:v>Not Started</x:v>
      </x:c>
      <x:c r="L68" s="303" t="s">
        <x:v>271</x:v>
      </x:c>
      <x:c r="M68" s="297" t="s">
        <x:v>51</x:v>
      </x:c>
      <x:c r="N68" s="304" t="s">
        <x:v>272</x:v>
      </x:c>
      <x:c r="O68" s="304" t="s">
        <x:v>441</x:v>
      </x:c>
      <x:c r="P68" s="305" t="s">
        <x:v>442</x:v>
      </x:c>
      <x:c r="Q68" s="300" t="str">
        <x:v>Not Started — no closure commit/evidence loaded; v2.12 correction</x:v>
      </x:c>
      <x:c r="R68" s="300"/>
      <x:c r="S68" s="300" t="s">
        <x:v>55</x:v>
      </x:c>
      <x:c r="T68" s="300" t="str">
        <x:v>STATUS CORRECTION v2.12 — prior Done was unsupported by closure evidence.</x:v>
      </x:c>
      <x:c r="U68" s="300" t="str">
        <x:v>Do not plan downstream work on T-067 as Done until explicit commit/runtime evidence exists.</x:v>
      </x:c>
      <x:c r="V68" s="300" t="s">
        <x:v>441</x:v>
      </x:c>
      <x:c r="W68" s="300" t="s">
        <x:v>300</x:v>
      </x:c>
      <x:c r="X68" s="300" t="s">
        <x:v>56</x:v>
      </x:c>
      <x:c r="Y68" s="300" t="str">
        <x:v>Deep design reconciliation 16-Aug-2026; Chapter 3/4 + Layer-B architecture + latest source/audit evidence</x:v>
      </x:c>
      <x:c r="Z68" s="301" t="s">
        <x:v>57</x:v>
      </x:c>
      <x:c r="AA68" s="301" t="s">
        <x:v>58</x:v>
      </x:c>
      <x:c r="AB68" s="301" t="s">
        <x:v>59</x:v>
      </x:c>
      <x:c r="AC68" s="301" t="s">
        <x:v>60</x:v>
      </x:c>
      <x:c r="AD68" s="301" t="s">
        <x:v>362</x:v>
      </x:c>
      <x:c r="AE68" s="301" t="s">
        <x:v>417</x:v>
      </x:c>
      <x:c r="AF68" s="301" t="s">
        <x:v>418</x:v>
      </x:c>
      <x:c r="AG68" s="301" t="s">
        <x:v>314</x:v>
      </x:c>
      <x:c r="AH68" s="302">
        <x:v>9</x:v>
      </x:c>
      <x:c r="AI68" s="302">
        <x:v>1.5</x:v>
      </x:c>
      <x:c r="AJ68" s="302">
        <x:f t="shared" si="4"/>
        <x:v>0</x:v>
      </x:c>
      <x:c r="AK68" s="302">
        <x:f t="shared" si="5"/>
        <x:v>0</x:v>
      </x:c>
      <x:c r="AL68" s="301" t="s">
        <x:v>429</x:v>
      </x:c>
      <x:c r="AM68" s="301" t="s">
        <x:v>443</x:v>
      </x:c>
      <x:c r="AN68" s="301" t="s">
        <x:v>420</x:v>
      </x:c>
      <x:c r="AO68" s="301" t="s">
        <x:v>444</x:v>
      </x:c>
      <x:c r="AP68" s="301" t="str">
        <x:v>T-050; T-065; T-066</x:v>
      </x:c>
      <x:c r="AQ68" s="301"/>
    </x:row>
    <x:row r="69" ht="45.95000076293945" customHeight="1">
      <x:c r="A69" s="293" t="s">
        <x:v>445</x:v>
      </x:c>
      <x:c r="B69" s="293" t="s">
        <x:v>41</x:v>
      </x:c>
      <x:c r="C69" s="293" t="s">
        <x:v>324</x:v>
      </x:c>
      <x:c r="D69" s="294" t="s">
        <x:v>446</x:v>
      </x:c>
      <x:c r="E69" s="293" t="s">
        <x:v>68</x:v>
      </x:c>
      <x:c r="F69" s="293" t="s">
        <x:v>112</x:v>
      </x:c>
      <x:c r="G69" s="293" t="s">
        <x:v>46</x:v>
      </x:c>
      <x:c r="H69" s="294" t="s">
        <x:v>447</x:v>
      </x:c>
      <x:c r="I69" s="294" t="s">
        <x:v>448</x:v>
      </x:c>
      <x:c r="J69" s="293">
        <x:v>6</x:v>
      </x:c>
      <x:c r="K69" s="295" t="s">
        <x:v>49</x:v>
      </x:c>
      <x:c r="L69" s="303" t="s">
        <x:v>271</x:v>
      </x:c>
      <x:c r="M69" s="304" t="s">
        <x:v>329</x:v>
      </x:c>
      <x:c r="N69" s="304" t="s">
        <x:v>272</x:v>
      </x:c>
      <x:c r="O69" s="304" t="str">
        <x:v>T-039</x:v>
      </x:c>
      <x:c r="P69" s="305" t="s">
        <x:v>449</x:v>
      </x:c>
      <x:c r="Q69" s="300" t="str">
        <x:v>Not Started</x:v>
      </x:c>
      <x:c r="R69" s="300"/>
      <x:c r="S69" s="309" t="s">
        <x:v>356</x:v>
      </x:c>
      <x:c r="T69" s="309" t="s">
        <x:v>450</x:v>
      </x:c>
      <x:c r="U69" s="309" t="s">
        <x:v>451</x:v>
      </x:c>
      <x:c r="V69" s="300" t="s">
        <x:v>452</x:v>
      </x:c>
      <x:c r="W69" s="300" t="s">
        <x:v>300</x:v>
      </x:c>
      <x:c r="X69" s="310" t="s">
        <x:v>360</x:v>
      </x:c>
      <x:c r="Y69" s="300" t="str">
        <x:v>Deep design reconciliation 16-Aug-2026; Chapter 3/4 + Layer-B architecture + latest source/audit evidence</x:v>
      </x:c>
      <x:c r="Z69" s="301" t="s">
        <x:v>57</x:v>
      </x:c>
      <x:c r="AA69" s="301" t="s">
        <x:v>58</x:v>
      </x:c>
      <x:c r="AB69" s="301" t="s">
        <x:v>59</x:v>
      </x:c>
      <x:c r="AC69" s="301" t="s">
        <x:v>453</x:v>
      </x:c>
      <x:c r="AD69" s="301" t="s">
        <x:v>362</x:v>
      </x:c>
      <x:c r="AE69" s="301" t="s">
        <x:v>303</x:v>
      </x:c>
      <x:c r="AF69" s="301" t="s">
        <x:v>304</x:v>
      </x:c>
      <x:c r="AG69" s="301" t="s">
        <x:v>314</x:v>
      </x:c>
      <x:c r="AH69" s="302">
        <x:v>9</x:v>
      </x:c>
      <x:c r="AI69" s="302">
        <x:v>1.5</x:v>
      </x:c>
      <x:c r="AJ69" s="302">
        <x:f t="shared" si="4"/>
        <x:v>0</x:v>
      </x:c>
      <x:c r="AK69" s="302">
        <x:f t="shared" si="5"/>
        <x:v>0</x:v>
      </x:c>
      <x:c r="AL69" s="301" t="s">
        <x:v>429</x:v>
      </x:c>
      <x:c r="AM69" s="301" t="s">
        <x:v>454</x:v>
      </x:c>
      <x:c r="AN69" s="301" t="s">
        <x:v>308</x:v>
      </x:c>
      <x:c r="AO69" s="301" t="s">
        <x:v>309</x:v>
      </x:c>
      <x:c r="AP69" s="301" t="str">
        <x:v>T-039</x:v>
      </x:c>
      <x:c r="AQ69" s="301" t="str">
        <x:v>T-065</x:v>
      </x:c>
    </x:row>
    <x:row r="70" ht="45.95000076293945" customHeight="1">
      <x:c r="A70" s="293" t="s">
        <x:v>455</x:v>
      </x:c>
      <x:c r="B70" s="293" t="s">
        <x:v>41</x:v>
      </x:c>
      <x:c r="C70" s="293" t="s">
        <x:v>456</x:v>
      </x:c>
      <x:c r="D70" s="294" t="s">
        <x:v>457</x:v>
      </x:c>
      <x:c r="E70" s="293" t="s">
        <x:v>458</x:v>
      </x:c>
      <x:c r="F70" s="293" t="s">
        <x:v>459</x:v>
      </x:c>
      <x:c r="G70" s="293" t="s">
        <x:v>46</x:v>
      </x:c>
      <x:c r="H70" s="294" t="s">
        <x:v>460</x:v>
      </x:c>
      <x:c r="I70" s="294" t="s">
        <x:v>461</x:v>
      </x:c>
      <x:c r="J70" s="293">
        <x:v>8</x:v>
      </x:c>
      <x:c r="K70" s="295" t="s">
        <x:v>49</x:v>
      </x:c>
      <x:c r="L70" s="303" t="s">
        <x:v>50</x:v>
      </x:c>
      <x:c r="M70" s="297" t="s">
        <x:v>51</x:v>
      </x:c>
      <x:c r="N70" s="304" t="s">
        <x:v>52</x:v>
      </x:c>
      <x:c r="O70" s="304" t="s">
        <x:v>53</x:v>
      </x:c>
      <x:c r="P70" s="305" t="s">
        <x:v>54</x:v>
      </x:c>
      <x:c r="Q70" s="300" t="str">
        <x:v>Done — backlog-claimed; closure evidence not reloaded in this pass</x:v>
      </x:c>
      <x:c r="R70" s="300"/>
      <x:c r="S70" s="300" t="s">
        <x:v>55</x:v>
      </x:c>
      <x:c r="T70" s="300"/>
      <x:c r="U70" s="300"/>
      <x:c r="V70" s="300" t="s">
        <x:v>53</x:v>
      </x:c>
      <x:c r="W70" s="300" t="s">
        <x:v>51</x:v>
      </x:c>
      <x:c r="X70" s="300" t="s">
        <x:v>56</x:v>
      </x:c>
      <x:c r="Y70" s="300" t="str">
        <x:v>Deep design reconciliation 16-Aug-2026; Chapter 3/4 + Layer-B architecture + latest source/audit evidence</x:v>
      </x:c>
      <x:c r="Z70" s="301" t="s">
        <x:v>57</x:v>
      </x:c>
      <x:c r="AA70" s="301" t="s">
        <x:v>58</x:v>
      </x:c>
      <x:c r="AB70" s="301" t="s">
        <x:v>59</x:v>
      </x:c>
      <x:c r="AC70" s="301" t="s">
        <x:v>60</x:v>
      </x:c>
      <x:c r="AD70" s="301" t="s">
        <x:v>61</x:v>
      </x:c>
      <x:c r="AE70" s="301" t="s">
        <x:v>51</x:v>
      </x:c>
      <x:c r="AF70" s="301" t="s">
        <x:v>62</x:v>
      </x:c>
      <x:c r="AG70" s="301" t="s">
        <x:v>61</x:v>
      </x:c>
      <x:c r="AH70" s="302">
        <x:v>0</x:v>
      </x:c>
      <x:c r="AI70" s="302">
        <x:v>0</x:v>
      </x:c>
      <x:c r="AJ70" s="302">
        <x:f t="shared" si="4"/>
        <x:v>0</x:v>
      </x:c>
      <x:c r="AK70" s="302">
        <x:f t="shared" si="5"/>
        <x:v>0</x:v>
      </x:c>
      <x:c r="AL70" s="301" t="s">
        <x:v>51</x:v>
      </x:c>
      <x:c r="AM70" s="301" t="s">
        <x:v>63</x:v>
      </x:c>
      <x:c r="AN70" s="301" t="s">
        <x:v>64</x:v>
      </x:c>
      <x:c r="AO70" s="301" t="s">
        <x:v>65</x:v>
      </x:c>
      <x:c r="AP70" s="301"/>
      <x:c r="AQ70" s="301"/>
    </x:row>
    <x:row r="71" ht="45.95000076293945" customHeight="1">
      <x:c r="A71" s="293" t="s">
        <x:v>462</x:v>
      </x:c>
      <x:c r="B71" s="293" t="s">
        <x:v>41</x:v>
      </x:c>
      <x:c r="C71" s="293" t="s">
        <x:v>456</x:v>
      </x:c>
      <x:c r="D71" s="294" t="s">
        <x:v>463</x:v>
      </x:c>
      <x:c r="E71" s="293" t="s">
        <x:v>458</x:v>
      </x:c>
      <x:c r="F71" s="293" t="s">
        <x:v>459</x:v>
      </x:c>
      <x:c r="G71" s="293" t="s">
        <x:v>81</x:v>
      </x:c>
      <x:c r="H71" s="294" t="s">
        <x:v>464</x:v>
      </x:c>
      <x:c r="I71" s="294" t="s">
        <x:v>465</x:v>
      </x:c>
      <x:c r="J71" s="293">
        <x:v>6</x:v>
      </x:c>
      <x:c r="K71" s="295" t="s">
        <x:v>49</x:v>
      </x:c>
      <x:c r="L71" s="303" t="s">
        <x:v>50</x:v>
      </x:c>
      <x:c r="M71" s="297" t="s">
        <x:v>51</x:v>
      </x:c>
      <x:c r="N71" s="304" t="s">
        <x:v>52</x:v>
      </x:c>
      <x:c r="O71" s="304" t="s">
        <x:v>53</x:v>
      </x:c>
      <x:c r="P71" s="305" t="s">
        <x:v>54</x:v>
      </x:c>
      <x:c r="Q71" s="300" t="str">
        <x:v>Done — backlog-claimed; closure evidence not reloaded in this pass</x:v>
      </x:c>
      <x:c r="R71" s="300"/>
      <x:c r="S71" s="300" t="s">
        <x:v>55</x:v>
      </x:c>
      <x:c r="T71" s="300"/>
      <x:c r="U71" s="300"/>
      <x:c r="V71" s="300" t="s">
        <x:v>53</x:v>
      </x:c>
      <x:c r="W71" s="300" t="s">
        <x:v>51</x:v>
      </x:c>
      <x:c r="X71" s="300" t="s">
        <x:v>56</x:v>
      </x:c>
      <x:c r="Y71" s="300" t="str">
        <x:v>Deep design reconciliation 16-Aug-2026; Chapter 3/4 + Layer-B architecture + latest source/audit evidence</x:v>
      </x:c>
      <x:c r="Z71" s="301" t="s">
        <x:v>57</x:v>
      </x:c>
      <x:c r="AA71" s="301" t="s">
        <x:v>58</x:v>
      </x:c>
      <x:c r="AB71" s="301" t="s">
        <x:v>59</x:v>
      </x:c>
      <x:c r="AC71" s="301" t="s">
        <x:v>60</x:v>
      </x:c>
      <x:c r="AD71" s="301" t="s">
        <x:v>61</x:v>
      </x:c>
      <x:c r="AE71" s="301" t="s">
        <x:v>51</x:v>
      </x:c>
      <x:c r="AF71" s="301" t="s">
        <x:v>62</x:v>
      </x:c>
      <x:c r="AG71" s="301" t="s">
        <x:v>61</x:v>
      </x:c>
      <x:c r="AH71" s="302">
        <x:v>0</x:v>
      </x:c>
      <x:c r="AI71" s="302">
        <x:v>0</x:v>
      </x:c>
      <x:c r="AJ71" s="302">
        <x:f t="shared" si="4"/>
        <x:v>0</x:v>
      </x:c>
      <x:c r="AK71" s="302">
        <x:f t="shared" si="5"/>
        <x:v>0</x:v>
      </x:c>
      <x:c r="AL71" s="301" t="s">
        <x:v>51</x:v>
      </x:c>
      <x:c r="AM71" s="301" t="s">
        <x:v>63</x:v>
      </x:c>
      <x:c r="AN71" s="301" t="s">
        <x:v>64</x:v>
      </x:c>
      <x:c r="AO71" s="301" t="s">
        <x:v>65</x:v>
      </x:c>
      <x:c r="AP71" s="301"/>
      <x:c r="AQ71" s="301"/>
    </x:row>
    <x:row r="72" ht="45.95000076293945" customHeight="1">
      <x:c r="A72" s="293" t="s">
        <x:v>466</x:v>
      </x:c>
      <x:c r="B72" s="293" t="s">
        <x:v>41</x:v>
      </x:c>
      <x:c r="C72" s="293" t="s">
        <x:v>456</x:v>
      </x:c>
      <x:c r="D72" s="294" t="s">
        <x:v>467</x:v>
      </x:c>
      <x:c r="E72" s="293" t="s">
        <x:v>68</x:v>
      </x:c>
      <x:c r="F72" s="293" t="s">
        <x:v>468</x:v>
      </x:c>
      <x:c r="G72" s="293" t="s">
        <x:v>46</x:v>
      </x:c>
      <x:c r="H72" s="294" t="s">
        <x:v>469</x:v>
      </x:c>
      <x:c r="I72" s="294" t="s">
        <x:v>470</x:v>
      </x:c>
      <x:c r="J72" s="293">
        <x:v>8</x:v>
      </x:c>
      <x:c r="K72" s="295" t="s">
        <x:v>49</x:v>
      </x:c>
      <x:c r="L72" s="303" t="s">
        <x:v>50</x:v>
      </x:c>
      <x:c r="M72" s="297" t="s">
        <x:v>51</x:v>
      </x:c>
      <x:c r="N72" s="304" t="s">
        <x:v>52</x:v>
      </x:c>
      <x:c r="O72" s="304" t="s">
        <x:v>53</x:v>
      </x:c>
      <x:c r="P72" s="305" t="s">
        <x:v>54</x:v>
      </x:c>
      <x:c r="Q72" s="300" t="str">
        <x:v>Done — backlog-claimed; closure evidence not reloaded in this pass</x:v>
      </x:c>
      <x:c r="R72" s="300"/>
      <x:c r="S72" s="300" t="s">
        <x:v>55</x:v>
      </x:c>
      <x:c r="T72" s="300"/>
      <x:c r="U72" s="300"/>
      <x:c r="V72" s="300" t="s">
        <x:v>53</x:v>
      </x:c>
      <x:c r="W72" s="300" t="s">
        <x:v>51</x:v>
      </x:c>
      <x:c r="X72" s="300" t="s">
        <x:v>56</x:v>
      </x:c>
      <x:c r="Y72" s="300" t="str">
        <x:v>Deep design reconciliation 16-Aug-2026; Chapter 3/4 + Layer-B architecture + latest source/audit evidence</x:v>
      </x:c>
      <x:c r="Z72" s="301" t="s">
        <x:v>57</x:v>
      </x:c>
      <x:c r="AA72" s="301" t="s">
        <x:v>58</x:v>
      </x:c>
      <x:c r="AB72" s="301" t="s">
        <x:v>59</x:v>
      </x:c>
      <x:c r="AC72" s="301" t="s">
        <x:v>471</x:v>
      </x:c>
      <x:c r="AD72" s="301" t="s">
        <x:v>61</x:v>
      </x:c>
      <x:c r="AE72" s="301" t="s">
        <x:v>51</x:v>
      </x:c>
      <x:c r="AF72" s="301" t="s">
        <x:v>62</x:v>
      </x:c>
      <x:c r="AG72" s="301" t="s">
        <x:v>61</x:v>
      </x:c>
      <x:c r="AH72" s="302">
        <x:v>0</x:v>
      </x:c>
      <x:c r="AI72" s="302">
        <x:v>0</x:v>
      </x:c>
      <x:c r="AJ72" s="302">
        <x:f t="shared" si="4"/>
        <x:v>0</x:v>
      </x:c>
      <x:c r="AK72" s="302">
        <x:f t="shared" si="5"/>
        <x:v>0</x:v>
      </x:c>
      <x:c r="AL72" s="301" t="s">
        <x:v>51</x:v>
      </x:c>
      <x:c r="AM72" s="301" t="s">
        <x:v>63</x:v>
      </x:c>
      <x:c r="AN72" s="301" t="s">
        <x:v>64</x:v>
      </x:c>
      <x:c r="AO72" s="301" t="s">
        <x:v>65</x:v>
      </x:c>
      <x:c r="AP72" s="301"/>
      <x:c r="AQ72" s="301"/>
    </x:row>
    <x:row r="73" ht="45.95000076293945" customHeight="1">
      <x:c r="A73" s="293" t="s">
        <x:v>472</x:v>
      </x:c>
      <x:c r="B73" s="293" t="s">
        <x:v>41</x:v>
      </x:c>
      <x:c r="C73" s="293" t="s">
        <x:v>456</x:v>
      </x:c>
      <x:c r="D73" s="294" t="s">
        <x:v>473</x:v>
      </x:c>
      <x:c r="E73" s="293" t="s">
        <x:v>106</x:v>
      </x:c>
      <x:c r="F73" s="293" t="s">
        <x:v>468</x:v>
      </x:c>
      <x:c r="G73" s="293" t="s">
        <x:v>46</x:v>
      </x:c>
      <x:c r="H73" s="294" t="s">
        <x:v>474</x:v>
      </x:c>
      <x:c r="I73" s="294" t="s">
        <x:v>475</x:v>
      </x:c>
      <x:c r="J73" s="293">
        <x:v>8</x:v>
      </x:c>
      <x:c r="K73" s="295" t="s">
        <x:v>49</x:v>
      </x:c>
      <x:c r="L73" s="303" t="s">
        <x:v>50</x:v>
      </x:c>
      <x:c r="M73" s="297" t="s">
        <x:v>51</x:v>
      </x:c>
      <x:c r="N73" s="304" t="s">
        <x:v>52</x:v>
      </x:c>
      <x:c r="O73" s="304" t="s">
        <x:v>53</x:v>
      </x:c>
      <x:c r="P73" s="305" t="s">
        <x:v>54</x:v>
      </x:c>
      <x:c r="Q73" s="300" t="str">
        <x:v>Done — backlog-claimed; closure evidence not reloaded in this pass</x:v>
      </x:c>
      <x:c r="R73" s="300"/>
      <x:c r="S73" s="300" t="s">
        <x:v>55</x:v>
      </x:c>
      <x:c r="T73" s="300"/>
      <x:c r="U73" s="300"/>
      <x:c r="V73" s="300" t="s">
        <x:v>53</x:v>
      </x:c>
      <x:c r="W73" s="300" t="s">
        <x:v>51</x:v>
      </x:c>
      <x:c r="X73" s="300" t="s">
        <x:v>56</x:v>
      </x:c>
      <x:c r="Y73" s="300" t="str">
        <x:v>Deep design reconciliation 16-Aug-2026; Chapter 3/4 + Layer-B architecture + latest source/audit evidence</x:v>
      </x:c>
      <x:c r="Z73" s="301" t="s">
        <x:v>57</x:v>
      </x:c>
      <x:c r="AA73" s="301" t="s">
        <x:v>58</x:v>
      </x:c>
      <x:c r="AB73" s="301" t="s">
        <x:v>59</x:v>
      </x:c>
      <x:c r="AC73" s="301" t="s">
        <x:v>471</x:v>
      </x:c>
      <x:c r="AD73" s="301" t="s">
        <x:v>61</x:v>
      </x:c>
      <x:c r="AE73" s="301" t="s">
        <x:v>51</x:v>
      </x:c>
      <x:c r="AF73" s="301" t="s">
        <x:v>62</x:v>
      </x:c>
      <x:c r="AG73" s="301" t="s">
        <x:v>61</x:v>
      </x:c>
      <x:c r="AH73" s="302">
        <x:v>0</x:v>
      </x:c>
      <x:c r="AI73" s="302">
        <x:v>0</x:v>
      </x:c>
      <x:c r="AJ73" s="302">
        <x:f t="shared" si="4"/>
        <x:v>0</x:v>
      </x:c>
      <x:c r="AK73" s="302">
        <x:f t="shared" si="5"/>
        <x:v>0</x:v>
      </x:c>
      <x:c r="AL73" s="301" t="s">
        <x:v>51</x:v>
      </x:c>
      <x:c r="AM73" s="301" t="s">
        <x:v>63</x:v>
      </x:c>
      <x:c r="AN73" s="301" t="s">
        <x:v>64</x:v>
      </x:c>
      <x:c r="AO73" s="301" t="s">
        <x:v>65</x:v>
      </x:c>
      <x:c r="AP73" s="301"/>
      <x:c r="AQ73" s="301"/>
    </x:row>
    <x:row r="74" ht="45.95000076293945" customHeight="1">
      <x:c r="A74" s="293" t="s">
        <x:v>476</x:v>
      </x:c>
      <x:c r="B74" s="293" t="s">
        <x:v>41</x:v>
      </x:c>
      <x:c r="C74" s="293" t="s">
        <x:v>456</x:v>
      </x:c>
      <x:c r="D74" s="294" t="s">
        <x:v>477</x:v>
      </x:c>
      <x:c r="E74" s="293" t="s">
        <x:v>478</x:v>
      </x:c>
      <x:c r="F74" s="293" t="s">
        <x:v>468</x:v>
      </x:c>
      <x:c r="G74" s="293" t="s">
        <x:v>46</x:v>
      </x:c>
      <x:c r="H74" s="294" t="s">
        <x:v>479</x:v>
      </x:c>
      <x:c r="I74" s="294" t="s">
        <x:v>480</x:v>
      </x:c>
      <x:c r="J74" s="293">
        <x:v>8</x:v>
      </x:c>
      <x:c r="K74" s="295" t="s">
        <x:v>49</x:v>
      </x:c>
      <x:c r="L74" s="303" t="s">
        <x:v>50</x:v>
      </x:c>
      <x:c r="M74" s="297" t="s">
        <x:v>51</x:v>
      </x:c>
      <x:c r="N74" s="304" t="s">
        <x:v>52</x:v>
      </x:c>
      <x:c r="O74" s="304" t="s">
        <x:v>53</x:v>
      </x:c>
      <x:c r="P74" s="305" t="s">
        <x:v>54</x:v>
      </x:c>
      <x:c r="Q74" s="300" t="str">
        <x:v>Done — backlog-claimed; closure evidence not reloaded in this pass</x:v>
      </x:c>
      <x:c r="R74" s="300"/>
      <x:c r="S74" s="300" t="s">
        <x:v>55</x:v>
      </x:c>
      <x:c r="T74" s="300"/>
      <x:c r="U74" s="300"/>
      <x:c r="V74" s="300" t="s">
        <x:v>53</x:v>
      </x:c>
      <x:c r="W74" s="300" t="s">
        <x:v>51</x:v>
      </x:c>
      <x:c r="X74" s="300" t="s">
        <x:v>56</x:v>
      </x:c>
      <x:c r="Y74" s="300" t="str">
        <x:v>Deep design reconciliation 16-Aug-2026; Chapter 3/4 + Layer-B architecture + latest source/audit evidence</x:v>
      </x:c>
      <x:c r="Z74" s="301" t="s">
        <x:v>57</x:v>
      </x:c>
      <x:c r="AA74" s="301" t="s">
        <x:v>58</x:v>
      </x:c>
      <x:c r="AB74" s="301" t="s">
        <x:v>59</x:v>
      </x:c>
      <x:c r="AC74" s="301" t="s">
        <x:v>471</x:v>
      </x:c>
      <x:c r="AD74" s="301" t="s">
        <x:v>61</x:v>
      </x:c>
      <x:c r="AE74" s="301" t="s">
        <x:v>51</x:v>
      </x:c>
      <x:c r="AF74" s="301" t="s">
        <x:v>62</x:v>
      </x:c>
      <x:c r="AG74" s="301" t="s">
        <x:v>61</x:v>
      </x:c>
      <x:c r="AH74" s="302">
        <x:v>0</x:v>
      </x:c>
      <x:c r="AI74" s="302">
        <x:v>0</x:v>
      </x:c>
      <x:c r="AJ74" s="302">
        <x:f t="shared" si="4"/>
        <x:v>0</x:v>
      </x:c>
      <x:c r="AK74" s="302">
        <x:f t="shared" si="5"/>
        <x:v>0</x:v>
      </x:c>
      <x:c r="AL74" s="301" t="s">
        <x:v>51</x:v>
      </x:c>
      <x:c r="AM74" s="301" t="s">
        <x:v>63</x:v>
      </x:c>
      <x:c r="AN74" s="301" t="s">
        <x:v>64</x:v>
      </x:c>
      <x:c r="AO74" s="301" t="s">
        <x:v>65</x:v>
      </x:c>
      <x:c r="AP74" s="301"/>
      <x:c r="AQ74" s="301"/>
    </x:row>
    <x:row r="75" ht="45.95000076293945" customHeight="1">
      <x:c r="A75" s="293" t="s">
        <x:v>481</x:v>
      </x:c>
      <x:c r="B75" s="293" t="s">
        <x:v>41</x:v>
      </x:c>
      <x:c r="C75" s="293" t="s">
        <x:v>456</x:v>
      </x:c>
      <x:c r="D75" s="294" t="s">
        <x:v>482</x:v>
      </x:c>
      <x:c r="E75" s="293" t="s">
        <x:v>106</x:v>
      </x:c>
      <x:c r="F75" s="293" t="s">
        <x:v>468</x:v>
      </x:c>
      <x:c r="G75" s="293" t="s">
        <x:v>118</x:v>
      </x:c>
      <x:c r="H75" s="294" t="s">
        <x:v>483</x:v>
      </x:c>
      <x:c r="I75" s="294" t="s">
        <x:v>484</x:v>
      </x:c>
      <x:c r="J75" s="293">
        <x:v>4</x:v>
      </x:c>
      <x:c r="K75" s="295" t="s">
        <x:v>49</x:v>
      </x:c>
      <x:c r="L75" s="303" t="s">
        <x:v>50</x:v>
      </x:c>
      <x:c r="M75" s="297" t="s">
        <x:v>51</x:v>
      </x:c>
      <x:c r="N75" s="304" t="s">
        <x:v>52</x:v>
      </x:c>
      <x:c r="O75" s="304" t="s">
        <x:v>53</x:v>
      </x:c>
      <x:c r="P75" s="305" t="s">
        <x:v>54</x:v>
      </x:c>
      <x:c r="Q75" s="300" t="str">
        <x:v>Done — backlog-claimed; closure evidence not reloaded in this pass</x:v>
      </x:c>
      <x:c r="R75" s="300"/>
      <x:c r="S75" s="300" t="s">
        <x:v>55</x:v>
      </x:c>
      <x:c r="T75" s="300"/>
      <x:c r="U75" s="300"/>
      <x:c r="V75" s="300" t="s">
        <x:v>53</x:v>
      </x:c>
      <x:c r="W75" s="300" t="s">
        <x:v>51</x:v>
      </x:c>
      <x:c r="X75" s="300" t="s">
        <x:v>56</x:v>
      </x:c>
      <x:c r="Y75" s="300" t="str">
        <x:v>Deep design reconciliation 16-Aug-2026; Chapter 3/4 + Layer-B architecture + latest source/audit evidence</x:v>
      </x:c>
      <x:c r="Z75" s="301" t="s">
        <x:v>57</x:v>
      </x:c>
      <x:c r="AA75" s="301" t="s">
        <x:v>58</x:v>
      </x:c>
      <x:c r="AB75" s="301" t="s">
        <x:v>59</x:v>
      </x:c>
      <x:c r="AC75" s="301" t="s">
        <x:v>471</x:v>
      </x:c>
      <x:c r="AD75" s="301" t="s">
        <x:v>61</x:v>
      </x:c>
      <x:c r="AE75" s="301" t="s">
        <x:v>51</x:v>
      </x:c>
      <x:c r="AF75" s="301" t="s">
        <x:v>62</x:v>
      </x:c>
      <x:c r="AG75" s="301" t="s">
        <x:v>61</x:v>
      </x:c>
      <x:c r="AH75" s="302">
        <x:v>0</x:v>
      </x:c>
      <x:c r="AI75" s="302">
        <x:v>0</x:v>
      </x:c>
      <x:c r="AJ75" s="302">
        <x:f t="shared" si="4"/>
        <x:v>0</x:v>
      </x:c>
      <x:c r="AK75" s="302">
        <x:f t="shared" si="5"/>
        <x:v>0</x:v>
      </x:c>
      <x:c r="AL75" s="301" t="s">
        <x:v>51</x:v>
      </x:c>
      <x:c r="AM75" s="301" t="s">
        <x:v>63</x:v>
      </x:c>
      <x:c r="AN75" s="301" t="s">
        <x:v>64</x:v>
      </x:c>
      <x:c r="AO75" s="301" t="s">
        <x:v>65</x:v>
      </x:c>
      <x:c r="AP75" s="301"/>
      <x:c r="AQ75" s="301"/>
    </x:row>
    <x:row r="76" ht="45.95000076293945" customHeight="1">
      <x:c r="A76" s="293" t="s">
        <x:v>485</x:v>
      </x:c>
      <x:c r="B76" s="293" t="s">
        <x:v>41</x:v>
      </x:c>
      <x:c r="C76" s="293" t="s">
        <x:v>456</x:v>
      </x:c>
      <x:c r="D76" s="294" t="s">
        <x:v>486</x:v>
      </x:c>
      <x:c r="E76" s="293" t="s">
        <x:v>68</x:v>
      </x:c>
      <x:c r="F76" s="293" t="s">
        <x:v>468</x:v>
      </x:c>
      <x:c r="G76" s="293" t="s">
        <x:v>118</x:v>
      </x:c>
      <x:c r="H76" s="294" t="s">
        <x:v>487</x:v>
      </x:c>
      <x:c r="I76" s="294" t="s">
        <x:v>488</x:v>
      </x:c>
      <x:c r="J76" s="293">
        <x:v>4</x:v>
      </x:c>
      <x:c r="K76" s="295" t="s">
        <x:v>49</x:v>
      </x:c>
      <x:c r="L76" s="303" t="s">
        <x:v>50</x:v>
      </x:c>
      <x:c r="M76" s="297" t="s">
        <x:v>51</x:v>
      </x:c>
      <x:c r="N76" s="304" t="s">
        <x:v>52</x:v>
      </x:c>
      <x:c r="O76" s="304" t="s">
        <x:v>53</x:v>
      </x:c>
      <x:c r="P76" s="305" t="s">
        <x:v>54</x:v>
      </x:c>
      <x:c r="Q76" s="300" t="str">
        <x:v>Done — backlog-claimed; closure evidence not reloaded in this pass</x:v>
      </x:c>
      <x:c r="R76" s="300"/>
      <x:c r="S76" s="300" t="s">
        <x:v>55</x:v>
      </x:c>
      <x:c r="T76" s="300"/>
      <x:c r="U76" s="300"/>
      <x:c r="V76" s="300" t="s">
        <x:v>53</x:v>
      </x:c>
      <x:c r="W76" s="300" t="s">
        <x:v>51</x:v>
      </x:c>
      <x:c r="X76" s="300" t="s">
        <x:v>56</x:v>
      </x:c>
      <x:c r="Y76" s="300" t="str">
        <x:v>Deep design reconciliation 16-Aug-2026; Chapter 3/4 + Layer-B architecture + latest source/audit evidence</x:v>
      </x:c>
      <x:c r="Z76" s="301" t="s">
        <x:v>57</x:v>
      </x:c>
      <x:c r="AA76" s="301" t="s">
        <x:v>58</x:v>
      </x:c>
      <x:c r="AB76" s="301" t="s">
        <x:v>59</x:v>
      </x:c>
      <x:c r="AC76" s="301" t="s">
        <x:v>471</x:v>
      </x:c>
      <x:c r="AD76" s="301" t="s">
        <x:v>61</x:v>
      </x:c>
      <x:c r="AE76" s="301" t="s">
        <x:v>51</x:v>
      </x:c>
      <x:c r="AF76" s="301" t="s">
        <x:v>62</x:v>
      </x:c>
      <x:c r="AG76" s="301" t="s">
        <x:v>61</x:v>
      </x:c>
      <x:c r="AH76" s="302">
        <x:v>0</x:v>
      </x:c>
      <x:c r="AI76" s="302">
        <x:v>0</x:v>
      </x:c>
      <x:c r="AJ76" s="302">
        <x:f t="shared" si="4"/>
        <x:v>0</x:v>
      </x:c>
      <x:c r="AK76" s="302">
        <x:f t="shared" si="5"/>
        <x:v>0</x:v>
      </x:c>
      <x:c r="AL76" s="301" t="s">
        <x:v>51</x:v>
      </x:c>
      <x:c r="AM76" s="301" t="s">
        <x:v>63</x:v>
      </x:c>
      <x:c r="AN76" s="301" t="s">
        <x:v>64</x:v>
      </x:c>
      <x:c r="AO76" s="301" t="s">
        <x:v>65</x:v>
      </x:c>
      <x:c r="AP76" s="301"/>
      <x:c r="AQ76" s="301"/>
    </x:row>
    <x:row r="77" ht="45.95000076293945" customHeight="1">
      <x:c r="A77" s="307" t="s">
        <x:v>489</x:v>
      </x:c>
      <x:c r="B77" s="307" t="s">
        <x:v>41</x:v>
      </x:c>
      <x:c r="C77" s="307" t="s">
        <x:v>456</x:v>
      </x:c>
      <x:c r="D77" s="308" t="s">
        <x:v>490</x:v>
      </x:c>
      <x:c r="E77" s="307" t="s">
        <x:v>44</x:v>
      </x:c>
      <x:c r="F77" s="307" t="s">
        <x:v>468</x:v>
      </x:c>
      <x:c r="G77" s="307" t="s">
        <x:v>118</x:v>
      </x:c>
      <x:c r="H77" s="308" t="s">
        <x:v>491</x:v>
      </x:c>
      <x:c r="I77" s="308" t="s">
        <x:v>492</x:v>
      </x:c>
      <x:c r="J77" s="307">
        <x:v>4</x:v>
      </x:c>
      <x:c r="K77" s="307" t="s">
        <x:v>328</x:v>
      </x:c>
      <x:c r="L77" s="303" t="s">
        <x:v>271</x:v>
      </x:c>
      <x:c r="M77" s="304" t="s">
        <x:v>329</x:v>
      </x:c>
      <x:c r="N77" s="304" t="s">
        <x:v>272</x:v>
      </x:c>
      <x:c r="O77" s="304" t="s">
        <x:v>493</x:v>
      </x:c>
      <x:c r="P77" s="305" t="s">
        <x:v>494</x:v>
      </x:c>
      <x:c r="Q77" s="300" t="str">
        <x:v>Not Started</x:v>
      </x:c>
      <x:c r="R77" s="300"/>
      <x:c r="S77" s="300" t="str">
        <x:v>FROZEN — presentation/demo scope will not be completed as an M1 objective</x:v>
      </x:c>
      <x:c r="T77" s="300"/>
      <x:c r="U77" s="300" t="str">
        <x:v>Do not continue as M1 content. Preserve generic correctness findings only; execute them through named M2-P0/product-truth owners.</x:v>
      </x:c>
      <x:c r="V77" s="300" t="s">
        <x:v>493</x:v>
      </x:c>
      <x:c r="W77" s="300" t="s">
        <x:v>300</x:v>
      </x:c>
      <x:c r="X77" s="300" t="s">
        <x:v>56</x:v>
      </x:c>
      <x:c r="Y77" s="300" t="str">
        <x:v>Deep design reconciliation 16-Aug-2026; Chapter 3/4 + Layer-B architecture + latest source/audit evidence</x:v>
      </x:c>
      <x:c r="Z77" s="301" t="s">
        <x:v>57</x:v>
      </x:c>
      <x:c r="AA77" s="301" t="str">
        <x:v>FROZEN 22-Aug-2026 — no further M1 presentation work</x:v>
      </x:c>
      <x:c r="AB77" s="301" t="str">
        <x:v>Frozen / superseded by M2-P0 where generic</x:v>
      </x:c>
      <x:c r="AC77" s="301" t="str">
        <x:v>M1 presentation baseline is historical commercial proof only. No new page/chart/demo-data customization.</x:v>
      </x:c>
      <x:c r="AD77" s="301" t="str">
        <x:v>Closed from M1 schedule</x:v>
      </x:c>
      <x:c r="AE77" s="301" t="s">
        <x:v>417</x:v>
      </x:c>
      <x:c r="AF77" s="301" t="s">
        <x:v>418</x:v>
      </x:c>
      <x:c r="AG77" s="301" t="s">
        <x:v>495</x:v>
      </x:c>
      <x:c r="AH77" s="302">
        <x:v>18</x:v>
      </x:c>
      <x:c r="AI77" s="302">
        <x:v>1.35</x:v>
      </x:c>
      <x:c r="AJ77" s="302">
        <x:f t="shared" si="4"/>
        <x:v>0.25</x:v>
      </x:c>
      <x:c r="AK77" s="302">
        <x:f t="shared" si="5"/>
        <x:v>0.33750000000000002</x:v>
      </x:c>
      <x:c r="AL77" s="301" t="s">
        <x:v>496</x:v>
      </x:c>
      <x:c r="AM77" s="301" t="str">
        <x:v>DO NOT START as M1. Start only if a later M2 task explicitly consumes this generic contract.</x:v>
      </x:c>
      <x:c r="AN77" s="301" t="s">
        <x:v>420</x:v>
      </x:c>
      <x:c r="AO77" s="301" t="str">
        <x:v>No presentation-only completion. Any reusable requirement must be consumed by a v2.11 generic product task.</x:v>
      </x:c>
      <x:c r="AP77" s="301" t="str">
        <x:v>T-049; T-050; T-051; T-052; T-053; T-054; T-055; T-056; T-057; T-058; T-059; T-060; T-061; T-062; T-063; T-064; T-065; T-066; T-067; T-068</x:v>
      </x:c>
      <x:c r="AQ77" s="301"/>
    </x:row>
    <x:row r="78" ht="45.95000076293945" customHeight="1">
      <x:c r="A78" s="307" t="s">
        <x:v>497</x:v>
      </x:c>
      <x:c r="B78" s="307" t="s">
        <x:v>41</x:v>
      </x:c>
      <x:c r="C78" s="307" t="s">
        <x:v>456</x:v>
      </x:c>
      <x:c r="D78" s="308" t="s">
        <x:v>498</x:v>
      </x:c>
      <x:c r="E78" s="307" t="s">
        <x:v>100</x:v>
      </x:c>
      <x:c r="F78" s="307" t="s">
        <x:v>499</x:v>
      </x:c>
      <x:c r="G78" s="307" t="s">
        <x:v>46</x:v>
      </x:c>
      <x:c r="H78" s="308" t="s">
        <x:v>500</x:v>
      </x:c>
      <x:c r="I78" s="308" t="s">
        <x:v>501</x:v>
      </x:c>
      <x:c r="J78" s="307">
        <x:v>6</x:v>
      </x:c>
      <x:c r="K78" s="307" t="s">
        <x:v>328</x:v>
      </x:c>
      <x:c r="L78" s="303" t="s">
        <x:v>271</x:v>
      </x:c>
      <x:c r="M78" s="304" t="s">
        <x:v>329</x:v>
      </x:c>
      <x:c r="N78" s="304" t="s">
        <x:v>272</x:v>
      </x:c>
      <x:c r="O78" s="304" t="s">
        <x:v>502</x:v>
      </x:c>
      <x:c r="P78" s="305" t="s">
        <x:v>503</x:v>
      </x:c>
      <x:c r="Q78" s="300" t="str">
        <x:v>Not Started</x:v>
      </x:c>
      <x:c r="R78" s="300"/>
      <x:c r="S78" s="300" t="str">
        <x:v>FROZEN — presentation/demo scope will not be completed as an M1 objective</x:v>
      </x:c>
      <x:c r="T78" s="300"/>
      <x:c r="U78" s="300" t="str">
        <x:v>Frozen as M1. Reusable release acceptance is absorbed by T-202/T-203/T-204/T-205; no more presentation-only gate work.</x:v>
      </x:c>
      <x:c r="V78" s="300" t="str">
        <x:v>Superseded/consumed by M2a-P0 Release Truth owners T-202..T-205.</x:v>
      </x:c>
      <x:c r="W78" s="300" t="s">
        <x:v>300</x:v>
      </x:c>
      <x:c r="X78" s="300" t="s">
        <x:v>56</x:v>
      </x:c>
      <x:c r="Y78" s="300" t="str">
        <x:v>Deep design reconciliation 16-Aug-2026; Chapter 3/4 + Layer-B architecture + latest source/audit evidence</x:v>
      </x:c>
      <x:c r="Z78" s="301" t="s">
        <x:v>57</x:v>
      </x:c>
      <x:c r="AA78" s="301" t="str">
        <x:v>FROZEN 22-Aug-2026 — no further M1 presentation work</x:v>
      </x:c>
      <x:c r="AB78" s="301" t="str">
        <x:v>Frozen / superseded by M2-P0 where generic</x:v>
      </x:c>
      <x:c r="AC78" s="301" t="str">
        <x:v>M1 presentation baseline is historical commercial proof only. No new page/chart/demo-data customization.</x:v>
      </x:c>
      <x:c r="AD78" s="301" t="str">
        <x:v>Closed from M1 schedule</x:v>
      </x:c>
      <x:c r="AE78" s="301" t="s">
        <x:v>303</x:v>
      </x:c>
      <x:c r="AF78" s="301" t="s">
        <x:v>304</x:v>
      </x:c>
      <x:c r="AG78" s="301" t="s">
        <x:v>504</x:v>
      </x:c>
      <x:c r="AH78" s="302">
        <x:v>5</x:v>
      </x:c>
      <x:c r="AI78" s="302">
        <x:v>1.7</x:v>
      </x:c>
      <x:c r="AJ78" s="302">
        <x:f t="shared" si="4"/>
        <x:v>1.2</x:v>
      </x:c>
      <x:c r="AK78" s="302">
        <x:f t="shared" si="5"/>
        <x:v>2.04</x:v>
      </x:c>
      <x:c r="AL78" s="301" t="s">
        <x:v>496</x:v>
      </x:c>
      <x:c r="AM78" s="301" t="str">
        <x:v>DO NOT START as M1. Start only if a later M2 task explicitly consumes this generic contract.</x:v>
      </x:c>
      <x:c r="AN78" s="301" t="s">
        <x:v>308</x:v>
      </x:c>
      <x:c r="AO78" s="301" t="str">
        <x:v>No presentation-only completion. Any reusable requirement must be consumed by a v2.11 generic product task.</x:v>
      </x:c>
      <x:c r="AP78" s="301" t="str">
        <x:v>T-053; T-054; T-055; T-056; T-057; T-058; T-059; T-060; T-061; T-062; T-063; T-064; T-065; T-066; T-067; T-068; T-069; T-070; T-071; T-072; T-073; T-074; T-075; T-076</x:v>
      </x:c>
      <x:c r="AQ78" s="301"/>
    </x:row>
    <x:row r="79" ht="45.95000076293945" customHeight="1">
      <x:c r="A79" s="307" t="s">
        <x:v>505</x:v>
      </x:c>
      <x:c r="B79" s="307" t="s">
        <x:v>41</x:v>
      </x:c>
      <x:c r="C79" s="307" t="s">
        <x:v>456</x:v>
      </x:c>
      <x:c r="D79" s="308" t="s">
        <x:v>506</x:v>
      </x:c>
      <x:c r="E79" s="307" t="s">
        <x:v>100</x:v>
      </x:c>
      <x:c r="F79" s="307" t="s">
        <x:v>507</x:v>
      </x:c>
      <x:c r="G79" s="307" t="s">
        <x:v>118</x:v>
      </x:c>
      <x:c r="H79" s="308" t="s">
        <x:v>508</x:v>
      </x:c>
      <x:c r="I79" s="308" t="s">
        <x:v>509</x:v>
      </x:c>
      <x:c r="J79" s="307">
        <x:v>4</x:v>
      </x:c>
      <x:c r="K79" s="307" t="s">
        <x:v>328</x:v>
      </x:c>
      <x:c r="L79" s="303" t="s">
        <x:v>271</x:v>
      </x:c>
      <x:c r="M79" s="304" t="s">
        <x:v>329</x:v>
      </x:c>
      <x:c r="N79" s="304" t="s">
        <x:v>272</x:v>
      </x:c>
      <x:c r="O79" s="304" t="s">
        <x:v>510</x:v>
      </x:c>
      <x:c r="P79" s="305" t="s">
        <x:v>511</x:v>
      </x:c>
      <x:c r="Q79" s="300" t="str">
        <x:v>Not Started</x:v>
      </x:c>
      <x:c r="R79" s="300"/>
      <x:c r="S79" s="300" t="str">
        <x:v>FROZEN — presentation/demo scope will not be completed as an M1 objective</x:v>
      </x:c>
      <x:c r="T79" s="300"/>
      <x:c r="U79" s="300" t="str">
        <x:v>Frozen as M1. Reusable release acceptance is absorbed by T-202/T-203/T-204/T-205; no more presentation-only gate work.</x:v>
      </x:c>
      <x:c r="V79" s="300" t="str">
        <x:v>Superseded/consumed by M2a-P0 Release Truth owners T-202..T-205.</x:v>
      </x:c>
      <x:c r="W79" s="300" t="s">
        <x:v>300</x:v>
      </x:c>
      <x:c r="X79" s="300" t="s">
        <x:v>56</x:v>
      </x:c>
      <x:c r="Y79" s="300" t="str">
        <x:v>Deep design reconciliation 16-Aug-2026; Chapter 3/4 + Layer-B architecture + latest source/audit evidence</x:v>
      </x:c>
      <x:c r="Z79" s="301" t="s">
        <x:v>57</x:v>
      </x:c>
      <x:c r="AA79" s="301" t="str">
        <x:v>FROZEN 22-Aug-2026 — no further M1 presentation work</x:v>
      </x:c>
      <x:c r="AB79" s="301" t="str">
        <x:v>Frozen / superseded by M2-P0 where generic</x:v>
      </x:c>
      <x:c r="AC79" s="301" t="str">
        <x:v>M1 presentation baseline is historical commercial proof only. No new page/chart/demo-data customization.</x:v>
      </x:c>
      <x:c r="AD79" s="301" t="str">
        <x:v>Closed from M1 schedule</x:v>
      </x:c>
      <x:c r="AE79" s="301" t="s">
        <x:v>303</x:v>
      </x:c>
      <x:c r="AF79" s="301" t="s">
        <x:v>304</x:v>
      </x:c>
      <x:c r="AG79" s="301" t="s">
        <x:v>504</x:v>
      </x:c>
      <x:c r="AH79" s="302">
        <x:v>5</x:v>
      </x:c>
      <x:c r="AI79" s="302">
        <x:v>1.7</x:v>
      </x:c>
      <x:c r="AJ79" s="302">
        <x:f t="shared" si="4"/>
        <x:v>0.8</x:v>
      </x:c>
      <x:c r="AK79" s="302">
        <x:f t="shared" si="5"/>
        <x:v>1.36</x:v>
      </x:c>
      <x:c r="AL79" s="301" t="s">
        <x:v>496</x:v>
      </x:c>
      <x:c r="AM79" s="301" t="str">
        <x:v>DO NOT START as M1. Start only if a later M2 task explicitly consumes this generic contract.</x:v>
      </x:c>
      <x:c r="AN79" s="301" t="s">
        <x:v>308</x:v>
      </x:c>
      <x:c r="AO79" s="301" t="str">
        <x:v>No presentation-only completion. Any reusable requirement must be consumed by a v2.11 generic product task.</x:v>
      </x:c>
      <x:c r="AP79" s="301" t="str">
        <x:v>T-077</x:v>
      </x:c>
      <x:c r="AQ79" s="301"/>
    </x:row>
    <x:row r="80" ht="45.95000076293945" customHeight="1">
      <x:c r="A80" s="307" t="s">
        <x:v>512</x:v>
      </x:c>
      <x:c r="B80" s="307" t="s">
        <x:v>41</x:v>
      </x:c>
      <x:c r="C80" s="307" t="s">
        <x:v>456</x:v>
      </x:c>
      <x:c r="D80" s="308" t="s">
        <x:v>513</x:v>
      </x:c>
      <x:c r="E80" s="307" t="s">
        <x:v>100</x:v>
      </x:c>
      <x:c r="F80" s="307" t="s">
        <x:v>499</x:v>
      </x:c>
      <x:c r="G80" s="307" t="s">
        <x:v>118</x:v>
      </x:c>
      <x:c r="H80" s="308" t="s">
        <x:v>514</x:v>
      </x:c>
      <x:c r="I80" s="308" t="s">
        <x:v>515</x:v>
      </x:c>
      <x:c r="J80" s="307">
        <x:v>3</x:v>
      </x:c>
      <x:c r="K80" s="307" t="s">
        <x:v>328</x:v>
      </x:c>
      <x:c r="L80" s="303" t="s">
        <x:v>271</x:v>
      </x:c>
      <x:c r="M80" s="304" t="s">
        <x:v>329</x:v>
      </x:c>
      <x:c r="N80" s="304" t="s">
        <x:v>272</x:v>
      </x:c>
      <x:c r="O80" s="304" t="s">
        <x:v>516</x:v>
      </x:c>
      <x:c r="P80" s="305" t="s">
        <x:v>517</x:v>
      </x:c>
      <x:c r="Q80" s="300" t="str">
        <x:v>Not Started</x:v>
      </x:c>
      <x:c r="R80" s="300"/>
      <x:c r="S80" s="300" t="str">
        <x:v>FROZEN — presentation/demo scope will not be completed as an M1 objective</x:v>
      </x:c>
      <x:c r="T80" s="300"/>
      <x:c r="U80" s="300" t="str">
        <x:v>Frozen as M1. Reusable release acceptance is absorbed by T-202/T-203/T-204/T-205; no more presentation-only gate work.</x:v>
      </x:c>
      <x:c r="V80" s="300" t="str">
        <x:v>Superseded/consumed by M2a-P0 Release Truth owners T-202..T-205.</x:v>
      </x:c>
      <x:c r="W80" s="300" t="s">
        <x:v>300</x:v>
      </x:c>
      <x:c r="X80" s="300" t="s">
        <x:v>56</x:v>
      </x:c>
      <x:c r="Y80" s="300" t="str">
        <x:v>Deep design reconciliation 16-Aug-2026; Chapter 3/4 + Layer-B architecture + latest source/audit evidence</x:v>
      </x:c>
      <x:c r="Z80" s="301" t="s">
        <x:v>57</x:v>
      </x:c>
      <x:c r="AA80" s="301" t="str">
        <x:v>FROZEN 22-Aug-2026 — no further M1 presentation work</x:v>
      </x:c>
      <x:c r="AB80" s="301" t="str">
        <x:v>Frozen / superseded by M2-P0 where generic</x:v>
      </x:c>
      <x:c r="AC80" s="301" t="str">
        <x:v>M1 presentation baseline is historical commercial proof only. No new page/chart/demo-data customization.</x:v>
      </x:c>
      <x:c r="AD80" s="301" t="str">
        <x:v>Closed from M1 schedule</x:v>
      </x:c>
      <x:c r="AE80" s="301" t="s">
        <x:v>303</x:v>
      </x:c>
      <x:c r="AF80" s="301" t="s">
        <x:v>304</x:v>
      </x:c>
      <x:c r="AG80" s="301" t="s">
        <x:v>504</x:v>
      </x:c>
      <x:c r="AH80" s="302">
        <x:v>5</x:v>
      </x:c>
      <x:c r="AI80" s="302">
        <x:v>1.7</x:v>
      </x:c>
      <x:c r="AJ80" s="302">
        <x:f t="shared" si="4"/>
        <x:v>0.6</x:v>
      </x:c>
      <x:c r="AK80" s="302">
        <x:f t="shared" si="5"/>
        <x:v>1.02</x:v>
      </x:c>
      <x:c r="AL80" s="301" t="s">
        <x:v>496</x:v>
      </x:c>
      <x:c r="AM80" s="301" t="str">
        <x:v>DO NOT START as M1. Start only if a later M2 task explicitly consumes this generic contract.</x:v>
      </x:c>
      <x:c r="AN80" s="301" t="s">
        <x:v>308</x:v>
      </x:c>
      <x:c r="AO80" s="301" t="str">
        <x:v>No presentation-only completion. Any reusable requirement must be consumed by a v2.11 generic product task.</x:v>
      </x:c>
      <x:c r="AP80" s="301" t="str">
        <x:v>T-077</x:v>
      </x:c>
      <x:c r="AQ80" s="301"/>
    </x:row>
    <x:row r="81" ht="45.95000076293945" customHeight="1">
      <x:c r="A81" s="307" t="s">
        <x:v>518</x:v>
      </x:c>
      <x:c r="B81" s="307" t="s">
        <x:v>41</x:v>
      </x:c>
      <x:c r="C81" s="307" t="s">
        <x:v>456</x:v>
      </x:c>
      <x:c r="D81" s="308" t="s">
        <x:v>519</x:v>
      </x:c>
      <x:c r="E81" s="307" t="s">
        <x:v>100</x:v>
      </x:c>
      <x:c r="F81" s="307" t="s">
        <x:v>520</x:v>
      </x:c>
      <x:c r="G81" s="307" t="s">
        <x:v>46</x:v>
      </x:c>
      <x:c r="H81" s="308" t="s">
        <x:v>521</x:v>
      </x:c>
      <x:c r="I81" s="308" t="s">
        <x:v>522</x:v>
      </x:c>
      <x:c r="J81" s="307">
        <x:v>4</x:v>
      </x:c>
      <x:c r="K81" s="307" t="s">
        <x:v>328</x:v>
      </x:c>
      <x:c r="L81" s="303" t="s">
        <x:v>271</x:v>
      </x:c>
      <x:c r="M81" s="304" t="s">
        <x:v>329</x:v>
      </x:c>
      <x:c r="N81" s="304" t="s">
        <x:v>272</x:v>
      </x:c>
      <x:c r="O81" s="304" t="s">
        <x:v>523</x:v>
      </x:c>
      <x:c r="P81" s="305" t="s">
        <x:v>524</x:v>
      </x:c>
      <x:c r="Q81" s="300" t="str">
        <x:v>Not Started</x:v>
      </x:c>
      <x:c r="R81" s="300"/>
      <x:c r="S81" s="300" t="str">
        <x:v>FROZEN — presentation/demo scope will not be completed as an M1 objective</x:v>
      </x:c>
      <x:c r="T81" s="300"/>
      <x:c r="U81" s="300" t="str">
        <x:v>Frozen as M1. Reusable release acceptance is absorbed by T-202/T-203/T-204/T-205; no more presentation-only gate work.</x:v>
      </x:c>
      <x:c r="V81" s="300" t="str">
        <x:v>Superseded/consumed by M2a-P0 Release Truth owners T-202..T-205.</x:v>
      </x:c>
      <x:c r="W81" s="300" t="s">
        <x:v>300</x:v>
      </x:c>
      <x:c r="X81" s="300" t="s">
        <x:v>56</x:v>
      </x:c>
      <x:c r="Y81" s="300" t="str">
        <x:v>Deep design reconciliation 16-Aug-2026; Chapter 3/4 + Layer-B architecture + latest source/audit evidence</x:v>
      </x:c>
      <x:c r="Z81" s="301" t="s">
        <x:v>57</x:v>
      </x:c>
      <x:c r="AA81" s="301" t="str">
        <x:v>FROZEN 22-Aug-2026 — no further M1 presentation work</x:v>
      </x:c>
      <x:c r="AB81" s="301" t="str">
        <x:v>Frozen / superseded by M2-P0 where generic</x:v>
      </x:c>
      <x:c r="AC81" s="301" t="str">
        <x:v>M1 presentation baseline is historical commercial proof only. No new page/chart/demo-data customization.</x:v>
      </x:c>
      <x:c r="AD81" s="301" t="str">
        <x:v>Closed from M1 schedule</x:v>
      </x:c>
      <x:c r="AE81" s="301" t="s">
        <x:v>303</x:v>
      </x:c>
      <x:c r="AF81" s="301" t="s">
        <x:v>304</x:v>
      </x:c>
      <x:c r="AG81" s="301" t="s">
        <x:v>504</x:v>
      </x:c>
      <x:c r="AH81" s="302">
        <x:v>5</x:v>
      </x:c>
      <x:c r="AI81" s="302">
        <x:v>1.7</x:v>
      </x:c>
      <x:c r="AJ81" s="302">
        <x:f t="shared" si="4"/>
        <x:v>0.8</x:v>
      </x:c>
      <x:c r="AK81" s="302">
        <x:f t="shared" si="5"/>
        <x:v>1.36</x:v>
      </x:c>
      <x:c r="AL81" s="301" t="s">
        <x:v>496</x:v>
      </x:c>
      <x:c r="AM81" s="301" t="str">
        <x:v>DO NOT START as M1. Start only if a later M2 task explicitly consumes this generic contract.</x:v>
      </x:c>
      <x:c r="AN81" s="301" t="s">
        <x:v>308</x:v>
      </x:c>
      <x:c r="AO81" s="301" t="str">
        <x:v>No presentation-only completion. Any reusable requirement must be consumed by a v2.11 generic product task.</x:v>
      </x:c>
      <x:c r="AP81" s="301" t="str">
        <x:v>T-076; T-077; T-078; T-079</x:v>
      </x:c>
      <x:c r="AQ81" s="301"/>
    </x:row>
    <x:row r="82" ht="45.95000076293945" customHeight="1">
      <x:c r="A82" s="307" t="s">
        <x:v>525</x:v>
      </x:c>
      <x:c r="B82" s="307" t="s">
        <x:v>41</x:v>
      </x:c>
      <x:c r="C82" s="307" t="s">
        <x:v>456</x:v>
      </x:c>
      <x:c r="D82" s="308" t="s">
        <x:v>526</x:v>
      </x:c>
      <x:c r="E82" s="307" t="s">
        <x:v>44</x:v>
      </x:c>
      <x:c r="F82" s="307" t="s">
        <x:v>527</x:v>
      </x:c>
      <x:c r="G82" s="307" t="s">
        <x:v>46</x:v>
      </x:c>
      <x:c r="H82" s="308" t="s">
        <x:v>528</x:v>
      </x:c>
      <x:c r="I82" s="308" t="s">
        <x:v>529</x:v>
      </x:c>
      <x:c r="J82" s="307">
        <x:v>6</x:v>
      </x:c>
      <x:c r="K82" s="307" t="s">
        <x:v>328</x:v>
      </x:c>
      <x:c r="L82" s="303" t="s">
        <x:v>271</x:v>
      </x:c>
      <x:c r="M82" s="304" t="s">
        <x:v>329</x:v>
      </x:c>
      <x:c r="N82" s="304" t="s">
        <x:v>272</x:v>
      </x:c>
      <x:c r="O82" s="304" t="s">
        <x:v>530</x:v>
      </x:c>
      <x:c r="P82" s="305" t="s">
        <x:v>531</x:v>
      </x:c>
      <x:c r="Q82" s="300" t="str">
        <x:v>Not Started</x:v>
      </x:c>
      <x:c r="R82" s="300"/>
      <x:c r="S82" s="300" t="str">
        <x:v>FROZEN — presentation/demo scope will not be completed as an M1 objective</x:v>
      </x:c>
      <x:c r="T82" s="300"/>
      <x:c r="U82" s="300" t="str">
        <x:v>Frozen as M1. Reusable release acceptance is absorbed by T-202/T-203/T-204/T-205; no more presentation-only gate work.</x:v>
      </x:c>
      <x:c r="V82" s="300" t="str">
        <x:v>Superseded/consumed by M2a-P0 Release Truth owners T-202..T-205.</x:v>
      </x:c>
      <x:c r="W82" s="300" t="s">
        <x:v>300</x:v>
      </x:c>
      <x:c r="X82" s="300" t="s">
        <x:v>56</x:v>
      </x:c>
      <x:c r="Y82" s="300" t="str">
        <x:v>Deep design reconciliation 16-Aug-2026; Chapter 3/4 + Layer-B architecture + latest source/audit evidence</x:v>
      </x:c>
      <x:c r="Z82" s="301" t="s">
        <x:v>57</x:v>
      </x:c>
      <x:c r="AA82" s="301" t="str">
        <x:v>FROZEN 22-Aug-2026 — no further M1 presentation work</x:v>
      </x:c>
      <x:c r="AB82" s="301" t="str">
        <x:v>Frozen / superseded by M2-P0 where generic</x:v>
      </x:c>
      <x:c r="AC82" s="301" t="str">
        <x:v>M1 presentation baseline is historical commercial proof only. No new page/chart/demo-data customization.</x:v>
      </x:c>
      <x:c r="AD82" s="301" t="str">
        <x:v>Closed from M1 schedule</x:v>
      </x:c>
      <x:c r="AE82" s="301" t="s">
        <x:v>303</x:v>
      </x:c>
      <x:c r="AF82" s="301" t="s">
        <x:v>304</x:v>
      </x:c>
      <x:c r="AG82" s="301" t="s">
        <x:v>495</x:v>
      </x:c>
      <x:c r="AH82" s="302">
        <x:v>18</x:v>
      </x:c>
      <x:c r="AI82" s="302">
        <x:v>1.35</x:v>
      </x:c>
      <x:c r="AJ82" s="302">
        <x:f t="shared" si="4"/>
        <x:v>0.33333333333333331</x:v>
      </x:c>
      <x:c r="AK82" s="302">
        <x:f t="shared" si="5"/>
        <x:v>0.45</x:v>
      </x:c>
      <x:c r="AL82" s="301" t="s">
        <x:v>496</x:v>
      </x:c>
      <x:c r="AM82" s="301" t="str">
        <x:v>DO NOT START as M1. Start only if a later M2 task explicitly consumes this generic contract.</x:v>
      </x:c>
      <x:c r="AN82" s="301" t="s">
        <x:v>308</x:v>
      </x:c>
      <x:c r="AO82" s="301" t="str">
        <x:v>No presentation-only completion. Any reusable requirement must be consumed by a v2.11 generic product task.</x:v>
      </x:c>
      <x:c r="AP82" s="301" t="str">
        <x:v>T-080</x:v>
      </x:c>
      <x:c r="AQ82" s="301"/>
    </x:row>
    <x:row r="83" ht="45.95000076293945" customHeight="1">
      <x:c r="A83" s="307" t="s">
        <x:v>532</x:v>
      </x:c>
      <x:c r="B83" s="307" t="s">
        <x:v>41</x:v>
      </x:c>
      <x:c r="C83" s="307" t="s">
        <x:v>456</x:v>
      </x:c>
      <x:c r="D83" s="308" t="s">
        <x:v>533</x:v>
      </x:c>
      <x:c r="E83" s="307" t="s">
        <x:v>73</x:v>
      </x:c>
      <x:c r="F83" s="307" t="s">
        <x:v>527</x:v>
      </x:c>
      <x:c r="G83" s="307" t="s">
        <x:v>118</x:v>
      </x:c>
      <x:c r="H83" s="308" t="s">
        <x:v>534</x:v>
      </x:c>
      <x:c r="I83" s="308" t="s">
        <x:v>535</x:v>
      </x:c>
      <x:c r="J83" s="307">
        <x:v>4</x:v>
      </x:c>
      <x:c r="K83" s="307" t="s">
        <x:v>328</x:v>
      </x:c>
      <x:c r="L83" s="303" t="s">
        <x:v>271</x:v>
      </x:c>
      <x:c r="M83" s="304" t="s">
        <x:v>329</x:v>
      </x:c>
      <x:c r="N83" s="304" t="s">
        <x:v>272</x:v>
      </x:c>
      <x:c r="O83" s="304" t="s">
        <x:v>536</x:v>
      </x:c>
      <x:c r="P83" s="305" t="s">
        <x:v>537</x:v>
      </x:c>
      <x:c r="Q83" s="300" t="str">
        <x:v>Not Started</x:v>
      </x:c>
      <x:c r="R83" s="300"/>
      <x:c r="S83" s="300" t="str">
        <x:v>FROZEN — presentation/demo scope will not be completed as an M1 objective</x:v>
      </x:c>
      <x:c r="T83" s="300"/>
      <x:c r="U83" s="300" t="str">
        <x:v>Frozen as M1. Reusable release acceptance is absorbed by T-202/T-203/T-204/T-205; no more presentation-only gate work.</x:v>
      </x:c>
      <x:c r="V83" s="300" t="str">
        <x:v>Superseded/consumed by M2a-P0 Release Truth owners T-202..T-205.</x:v>
      </x:c>
      <x:c r="W83" s="300" t="s">
        <x:v>300</x:v>
      </x:c>
      <x:c r="X83" s="300" t="s">
        <x:v>56</x:v>
      </x:c>
      <x:c r="Y83" s="300" t="str">
        <x:v>Deep design reconciliation 16-Aug-2026; Chapter 3/4 + Layer-B architecture + latest source/audit evidence</x:v>
      </x:c>
      <x:c r="Z83" s="301" t="s">
        <x:v>57</x:v>
      </x:c>
      <x:c r="AA83" s="301" t="str">
        <x:v>FROZEN 22-Aug-2026 — no further M1 presentation work</x:v>
      </x:c>
      <x:c r="AB83" s="301" t="str">
        <x:v>Frozen / superseded by M2-P0 where generic</x:v>
      </x:c>
      <x:c r="AC83" s="301" t="str">
        <x:v>M1 presentation baseline is historical commercial proof only. No new page/chart/demo-data customization.</x:v>
      </x:c>
      <x:c r="AD83" s="301" t="str">
        <x:v>Closed from M1 schedule</x:v>
      </x:c>
      <x:c r="AE83" s="301" t="s">
        <x:v>303</x:v>
      </x:c>
      <x:c r="AF83" s="301" t="s">
        <x:v>304</x:v>
      </x:c>
      <x:c r="AG83" s="301" t="s">
        <x:v>538</x:v>
      </x:c>
      <x:c r="AH83" s="302">
        <x:v>6</x:v>
      </x:c>
      <x:c r="AI83" s="302">
        <x:v>1.6</x:v>
      </x:c>
      <x:c r="AJ83" s="302">
        <x:f t="shared" si="4"/>
        <x:v>0.66666666666666663</x:v>
      </x:c>
      <x:c r="AK83" s="302">
        <x:f t="shared" si="5"/>
        <x:v>1.0666666666666667</x:v>
      </x:c>
      <x:c r="AL83" s="301" t="s">
        <x:v>496</x:v>
      </x:c>
      <x:c r="AM83" s="301" t="str">
        <x:v>DO NOT START as M1. Start only if a later M2 task explicitly consumes this generic contract.</x:v>
      </x:c>
      <x:c r="AN83" s="301" t="s">
        <x:v>308</x:v>
      </x:c>
      <x:c r="AO83" s="301" t="str">
        <x:v>No presentation-only completion. Any reusable requirement must be consumed by a v2.11 generic product task.</x:v>
      </x:c>
      <x:c r="AP83" s="301" t="str">
        <x:v>T-076; T-077; T-078; T-079; T-080; T-081</x:v>
      </x:c>
      <x:c r="AQ83" s="301"/>
    </x:row>
    <x:row r="84" ht="45.95000076293945" customHeight="1">
      <x:c r="A84" s="307" t="s">
        <x:v>539</x:v>
      </x:c>
      <x:c r="B84" s="307" t="s">
        <x:v>41</x:v>
      </x:c>
      <x:c r="C84" s="307" t="s">
        <x:v>456</x:v>
      </x:c>
      <x:c r="D84" s="308" t="s">
        <x:v>540</x:v>
      </x:c>
      <x:c r="E84" s="307" t="s">
        <x:v>44</x:v>
      </x:c>
      <x:c r="F84" s="307" t="s">
        <x:v>527</x:v>
      </x:c>
      <x:c r="G84" s="307" t="s">
        <x:v>46</x:v>
      </x:c>
      <x:c r="H84" s="308" t="s">
        <x:v>541</x:v>
      </x:c>
      <x:c r="I84" s="308" t="s">
        <x:v>542</x:v>
      </x:c>
      <x:c r="J84" s="307">
        <x:v>6</x:v>
      </x:c>
      <x:c r="K84" s="307" t="s">
        <x:v>328</x:v>
      </x:c>
      <x:c r="L84" s="303" t="s">
        <x:v>271</x:v>
      </x:c>
      <x:c r="M84" s="304" t="s">
        <x:v>329</x:v>
      </x:c>
      <x:c r="N84" s="304" t="s">
        <x:v>272</x:v>
      </x:c>
      <x:c r="O84" s="304" t="s">
        <x:v>543</x:v>
      </x:c>
      <x:c r="P84" s="305" t="s">
        <x:v>544</x:v>
      </x:c>
      <x:c r="Q84" s="300" t="str">
        <x:v>Not Started</x:v>
      </x:c>
      <x:c r="R84" s="300"/>
      <x:c r="S84" s="300" t="str">
        <x:v>FROZEN — presentation/demo scope will not be completed as an M1 objective</x:v>
      </x:c>
      <x:c r="T84" s="300"/>
      <x:c r="U84" s="300" t="str">
        <x:v>Frozen as M1. Reusable release acceptance is absorbed by T-202/T-203/T-204/T-205; no more presentation-only gate work.</x:v>
      </x:c>
      <x:c r="V84" s="300" t="str">
        <x:v>Superseded/consumed by M2a-P0 Release Truth owners T-202..T-205.</x:v>
      </x:c>
      <x:c r="W84" s="300" t="s">
        <x:v>300</x:v>
      </x:c>
      <x:c r="X84" s="300" t="s">
        <x:v>56</x:v>
      </x:c>
      <x:c r="Y84" s="300" t="str">
        <x:v>Deep design reconciliation 16-Aug-2026; Chapter 3/4 + Layer-B architecture + latest source/audit evidence</x:v>
      </x:c>
      <x:c r="Z84" s="301" t="s">
        <x:v>57</x:v>
      </x:c>
      <x:c r="AA84" s="301" t="str">
        <x:v>FROZEN 22-Aug-2026 — no further M1 presentation work</x:v>
      </x:c>
      <x:c r="AB84" s="301" t="str">
        <x:v>Frozen / superseded by M2-P0 where generic</x:v>
      </x:c>
      <x:c r="AC84" s="301" t="str">
        <x:v>M1 presentation baseline is historical commercial proof only. No new page/chart/demo-data customization.</x:v>
      </x:c>
      <x:c r="AD84" s="301" t="str">
        <x:v>Closed from M1 schedule</x:v>
      </x:c>
      <x:c r="AE84" s="301" t="s">
        <x:v>303</x:v>
      </x:c>
      <x:c r="AF84" s="301" t="s">
        <x:v>304</x:v>
      </x:c>
      <x:c r="AG84" s="301" t="s">
        <x:v>495</x:v>
      </x:c>
      <x:c r="AH84" s="302">
        <x:v>18</x:v>
      </x:c>
      <x:c r="AI84" s="302">
        <x:v>1.35</x:v>
      </x:c>
      <x:c r="AJ84" s="302">
        <x:f t="shared" si="4"/>
        <x:v>0.33333333333333331</x:v>
      </x:c>
      <x:c r="AK84" s="302">
        <x:f t="shared" si="5"/>
        <x:v>0.45</x:v>
      </x:c>
      <x:c r="AL84" s="301" t="s">
        <x:v>496</x:v>
      </x:c>
      <x:c r="AM84" s="301" t="str">
        <x:v>DO NOT START as M1. Start only if a later M2 task explicitly consumes this generic contract.</x:v>
      </x:c>
      <x:c r="AN84" s="301" t="s">
        <x:v>308</x:v>
      </x:c>
      <x:c r="AO84" s="301" t="str">
        <x:v>No presentation-only completion. Any reusable requirement must be consumed by a v2.11 generic product task.</x:v>
      </x:c>
      <x:c r="AP84" s="301" t="str">
        <x:v>T-082</x:v>
      </x:c>
      <x:c r="AQ84" s="301"/>
    </x:row>
    <x:row r="85" ht="45.95000076293945" hidden="1" customHeight="1">
      <x:c r="A85" s="307" t="s">
        <x:v>545</x:v>
      </x:c>
      <x:c r="B85" s="307" t="s">
        <x:v>546</x:v>
      </x:c>
      <x:c r="C85" s="307" t="s">
        <x:v>547</x:v>
      </x:c>
      <x:c r="D85" s="308" t="s">
        <x:v>548</x:v>
      </x:c>
      <x:c r="E85" s="307" t="s">
        <x:v>73</x:v>
      </x:c>
      <x:c r="F85" s="307" t="s">
        <x:v>129</x:v>
      </x:c>
      <x:c r="G85" s="307" t="s">
        <x:v>46</x:v>
      </x:c>
      <x:c r="H85" s="308" t="s">
        <x:v>549</x:v>
      </x:c>
      <x:c r="I85" s="308" t="s">
        <x:v>550</x:v>
      </x:c>
      <x:c r="J85" s="307">
        <x:v>10</x:v>
      </x:c>
      <x:c r="K85" s="307" t="s">
        <x:v>328</x:v>
      </x:c>
      <x:c r="L85" s="303" t="s">
        <x:v>551</x:v>
      </x:c>
      <x:c r="M85" s="304" t="s">
        <x:v>552</x:v>
      </x:c>
      <x:c r="N85" s="304" t="s">
        <x:v>553</x:v>
      </x:c>
      <x:c r="O85" s="304" t="s">
        <x:v>554</x:v>
      </x:c>
      <x:c r="P85" s="305" t="s">
        <x:v>54</x:v>
      </x:c>
      <x:c r="Q85" s="300" t="str">
        <x:v>Not Started</x:v>
      </x:c>
      <x:c r="R85" s="300"/>
      <x:c r="S85" s="300" t="s">
        <x:v>55</x:v>
      </x:c>
      <x:c r="T85" s="300"/>
      <x:c r="U85" s="300" t="str">
        <x:v>Do not spend September rebuilding Fleet emitters. Fleet is legacy regression input only, never product authority.</x:v>
      </x:c>
      <x:c r="V85" s="300" t="s">
        <x:v>554</x:v>
      </x:c>
      <x:c r="W85" s="300" t="s">
        <x:v>552</x:v>
      </x:c>
      <x:c r="X85" s="300" t="s">
        <x:v>56</x:v>
      </x:c>
      <x:c r="Y85" s="300" t="str">
        <x:v>Deep design reconciliation 16-Aug-2026; Chapter 3/4 + Layer-B architecture + latest source/audit evidence</x:v>
      </x:c>
      <x:c r="Z85" s="301" t="s">
        <x:v>555</x:v>
      </x:c>
      <x:c r="AA85" s="301" t="str">
        <x:v>Post-September / legacy fixture maintenance</x:v>
      </x:c>
      <x:c r="AB85" s="301" t="str">
        <x:v>Deferred — not September critical path</x:v>
      </x:c>
      <x:c r="AC85" s="301" t="str">
        <x:v>Legacy fixture only; no steel/Fleet vocabulary may define generic product contracts.</x:v>
      </x:c>
      <x:c r="AD85" s="301" t="s">
        <x:v>362</x:v>
      </x:c>
      <x:c r="AE85" s="301" t="s">
        <x:v>336</x:v>
      </x:c>
      <x:c r="AF85" s="301" t="s">
        <x:v>556</x:v>
      </x:c>
      <x:c r="AG85" s="301" t="s">
        <x:v>538</x:v>
      </x:c>
      <x:c r="AH85" s="302">
        <x:v>6</x:v>
      </x:c>
      <x:c r="AI85" s="302">
        <x:v>1.6</x:v>
      </x:c>
      <x:c r="AJ85" s="302">
        <x:f t="shared" si="4"/>
        <x:v>1.6666666666666667</x:v>
      </x:c>
      <x:c r="AK85" s="302">
        <x:f t="shared" si="5"/>
        <x:v>2.666666666666667</x:v>
      </x:c>
      <x:c r="AL85" s="301" t="s">
        <x:v>557</x:v>
      </x:c>
      <x:c r="AM85" s="301" t="s">
        <x:v>558</x:v>
      </x:c>
      <x:c r="AN85" s="301" t="s">
        <x:v>559</x:v>
      </x:c>
      <x:c r="AO85" s="301" t="s">
        <x:v>309</x:v>
      </x:c>
      <x:c r="AP85" s="301"/>
      <x:c r="AQ85" s="301"/>
    </x:row>
    <x:row r="86" ht="45.95000076293945" hidden="1" customHeight="1">
      <x:c r="A86" s="307" t="s">
        <x:v>560</x:v>
      </x:c>
      <x:c r="B86" s="307" t="s">
        <x:v>546</x:v>
      </x:c>
      <x:c r="C86" s="307" t="s">
        <x:v>547</x:v>
      </x:c>
      <x:c r="D86" s="308" t="s">
        <x:v>561</x:v>
      </x:c>
      <x:c r="E86" s="307" t="s">
        <x:v>86</x:v>
      </x:c>
      <x:c r="F86" s="307" t="s">
        <x:v>129</x:v>
      </x:c>
      <x:c r="G86" s="307" t="s">
        <x:v>46</x:v>
      </x:c>
      <x:c r="H86" s="308" t="s">
        <x:v>562</x:v>
      </x:c>
      <x:c r="I86" s="308" t="s">
        <x:v>563</x:v>
      </x:c>
      <x:c r="J86" s="307">
        <x:v>10</x:v>
      </x:c>
      <x:c r="K86" s="307" t="s">
        <x:v>328</x:v>
      </x:c>
      <x:c r="L86" s="303" t="s">
        <x:v>551</x:v>
      </x:c>
      <x:c r="M86" s="304" t="s">
        <x:v>552</x:v>
      </x:c>
      <x:c r="N86" s="304" t="s">
        <x:v>553</x:v>
      </x:c>
      <x:c r="O86" s="304" t="s">
        <x:v>554</x:v>
      </x:c>
      <x:c r="P86" s="305" t="s">
        <x:v>54</x:v>
      </x:c>
      <x:c r="Q86" s="300" t="str">
        <x:v>Not Started</x:v>
      </x:c>
      <x:c r="R86" s="300"/>
      <x:c r="S86" s="300" t="s">
        <x:v>55</x:v>
      </x:c>
      <x:c r="T86" s="300"/>
      <x:c r="U86" s="300" t="str">
        <x:v>Remove from September critical path. Preserve only if clean-room regression value justifies later execution.</x:v>
      </x:c>
      <x:c r="V86" s="300" t="s">
        <x:v>554</x:v>
      </x:c>
      <x:c r="W86" s="300" t="s">
        <x:v>552</x:v>
      </x:c>
      <x:c r="X86" s="300" t="s">
        <x:v>56</x:v>
      </x:c>
      <x:c r="Y86" s="300" t="str">
        <x:v>Deep design reconciliation 16-Aug-2026; Chapter 3/4 + Layer-B architecture + latest source/audit evidence</x:v>
      </x:c>
      <x:c r="Z86" s="301" t="s">
        <x:v>555</x:v>
      </x:c>
      <x:c r="AA86" s="301" t="str">
        <x:v>Post-September / legacy fixture maintenance</x:v>
      </x:c>
      <x:c r="AB86" s="301" t="str">
        <x:v>Deferred — not September critical path</x:v>
      </x:c>
      <x:c r="AC86" s="301" t="str">
        <x:v>Legacy fixture only; customer/oil data never replaces it as product authority.</x:v>
      </x:c>
      <x:c r="AD86" s="301" t="s">
        <x:v>362</x:v>
      </x:c>
      <x:c r="AE86" s="301" t="s">
        <x:v>336</x:v>
      </x:c>
      <x:c r="AF86" s="301" t="s">
        <x:v>556</x:v>
      </x:c>
      <x:c r="AG86" s="301" t="s">
        <x:v>564</x:v>
      </x:c>
      <x:c r="AH86" s="302">
        <x:v>8</x:v>
      </x:c>
      <x:c r="AI86" s="302">
        <x:v>1.55</x:v>
      </x:c>
      <x:c r="AJ86" s="302">
        <x:f t="shared" si="4"/>
        <x:v>1.25</x:v>
      </x:c>
      <x:c r="AK86" s="302">
        <x:f t="shared" si="5"/>
        <x:v>1.9375</x:v>
      </x:c>
      <x:c r="AL86" s="301" t="s">
        <x:v>557</x:v>
      </x:c>
      <x:c r="AM86" s="301" t="s">
        <x:v>558</x:v>
      </x:c>
      <x:c r="AN86" s="301" t="s">
        <x:v>559</x:v>
      </x:c>
      <x:c r="AO86" s="301" t="s">
        <x:v>309</x:v>
      </x:c>
      <x:c r="AP86" s="301"/>
      <x:c r="AQ86" s="301"/>
    </x:row>
    <x:row r="87" ht="45.95000076293945" hidden="1" customHeight="1">
      <x:c r="A87" s="307" t="s">
        <x:v>565</x:v>
      </x:c>
      <x:c r="B87" s="307" t="s">
        <x:v>546</x:v>
      </x:c>
      <x:c r="C87" s="307" t="s">
        <x:v>547</x:v>
      </x:c>
      <x:c r="D87" s="308" t="str">
        <x:v>Freeze the legacy Fleet v2 controlled regression oracle</x:v>
      </x:c>
      <x:c r="E87" s="307" t="s">
        <x:v>100</x:v>
      </x:c>
      <x:c r="F87" s="307" t="s">
        <x:v>129</x:v>
      </x:c>
      <x:c r="G87" s="307" t="s">
        <x:v>46</x:v>
      </x:c>
      <x:c r="H87" s="308" t="str">
        <x:v>Freeze and certify the existing Fleet v2 dataset only as a legacy discrete-manufacturing regression oracle with predeclared known answers/negative controls. It is not the canonical product vocabulary, not the generic M2 fixture authority and not the source of customer schema semantics. T-208 owns new generic controlled fixtures, including the continuous-process known-answer pack.</x:v>
      </x:c>
      <x:c r="I87" s="308" t="str">
        <x:v>Fleet v2 is immutable and its declared phenomena/negative controls are reproducible. An architecture check proves no generic runtime/Layer-B/registry contract derives vocabulary or universal grain from Fleet. T-208 can run independently with neutral/continuous fixtures.</x:v>
      </x:c>
      <x:c r="J87" s="307">
        <x:v>8</x:v>
      </x:c>
      <x:c r="K87" s="307" t="s">
        <x:v>328</x:v>
      </x:c>
      <x:c r="L87" s="303" t="s">
        <x:v>551</x:v>
      </x:c>
      <x:c r="M87" s="304" t="s">
        <x:v>552</x:v>
      </x:c>
      <x:c r="N87" s="304" t="s">
        <x:v>553</x:v>
      </x:c>
      <x:c r="O87" s="304" t="str">
        <x:v>T-201 frozen M1 baseline / M2 cutover. No other product predecessor.</x:v>
      </x:c>
      <x:c r="P87" s="305" t="s">
        <x:v>54</x:v>
      </x:c>
      <x:c r="Q87" s="300" t="str">
        <x:v>Not Started</x:v>
      </x:c>
      <x:c r="R87" s="300"/>
      <x:c r="S87" s="300" t="s">
        <x:v>55</x:v>
      </x:c>
      <x:c r="T87" s="300"/>
      <x:c r="U87" s="300" t="str">
        <x:v>KEEP because it is a dependency/known-answer oracle, but demote it permanently from product authority. New generic controlled fixtures are T-208.</x:v>
      </x:c>
      <x:c r="V87" s="300" t="str">
        <x:v>T-201 only for programme cutover. Then T-088 consumes T-086; T-208 separately owns generic controlled fixtures.</x:v>
      </x:c>
      <x:c r="W87" s="300" t="s">
        <x:v>552</x:v>
      </x:c>
      <x:c r="X87" s="300" t="s">
        <x:v>56</x:v>
      </x:c>
      <x:c r="Y87" s="300" t="str">
        <x:v>Deep design reconciliation 16-Aug-2026; Chapter 3/4 + Layer-B architecture + latest source/audit evidence</x:v>
      </x:c>
      <x:c r="Z87" s="301" t="s">
        <x:v>555</x:v>
      </x:c>
      <x:c r="AA87" s="301" t="s">
        <x:v>566</x:v>
      </x:c>
      <x:c r="AB87" s="301" t="s">
        <x:v>567</x:v>
      </x:c>
      <x:c r="AC87" s="301" t="str">
        <x:v>Legacy regression fixture only; never a universal material/grain ontology.</x:v>
      </x:c>
      <x:c r="AD87" s="301" t="s">
        <x:v>362</x:v>
      </x:c>
      <x:c r="AE87" s="301" t="s">
        <x:v>336</x:v>
      </x:c>
      <x:c r="AF87" s="301" t="s">
        <x:v>556</x:v>
      </x:c>
      <x:c r="AG87" s="301" t="s">
        <x:v>504</x:v>
      </x:c>
      <x:c r="AH87" s="302">
        <x:v>5</x:v>
      </x:c>
      <x:c r="AI87" s="302">
        <x:v>1.7</x:v>
      </x:c>
      <x:c r="AJ87" s="302">
        <x:f t="shared" si="4"/>
        <x:v>1.6</x:v>
      </x:c>
      <x:c r="AK87" s="302">
        <x:f t="shared" si="5"/>
        <x:v>2.72</x:v>
      </x:c>
      <x:c r="AL87" s="301" t="s">
        <x:v>557</x:v>
      </x:c>
      <x:c r="AM87" s="301" t="s">
        <x:v>558</x:v>
      </x:c>
      <x:c r="AN87" s="301" t="s">
        <x:v>559</x:v>
      </x:c>
      <x:c r="AO87" s="301" t="s">
        <x:v>309</x:v>
      </x:c>
      <x:c r="AP87" s="301" t="str">
        <x:v>T-201</x:v>
      </x:c>
      <x:c r="AQ87" s="301"/>
    </x:row>
    <x:row r="88" ht="45.95000076293945" hidden="1" customHeight="1">
      <x:c r="A88" s="307" t="s">
        <x:v>568</x:v>
      </x:c>
      <x:c r="B88" s="307" t="s">
        <x:v>546</x:v>
      </x:c>
      <x:c r="C88" s="307" t="s">
        <x:v>547</x:v>
      </x:c>
      <x:c r="D88" s="308" t="s">
        <x:v>569</x:v>
      </x:c>
      <x:c r="E88" s="307" t="s">
        <x:v>86</x:v>
      </x:c>
      <x:c r="F88" s="307" t="s">
        <x:v>570</x:v>
      </x:c>
      <x:c r="G88" s="307" t="s">
        <x:v>46</x:v>
      </x:c>
      <x:c r="H88" s="308" t="s">
        <x:v>571</x:v>
      </x:c>
      <x:c r="I88" s="308" t="s">
        <x:v>572</x:v>
      </x:c>
      <x:c r="J88" s="307">
        <x:v>12</x:v>
      </x:c>
      <x:c r="K88" s="307" t="s">
        <x:v>328</x:v>
      </x:c>
      <x:c r="L88" s="303" t="s">
        <x:v>551</x:v>
      </x:c>
      <x:c r="M88" s="304" t="s">
        <x:v>552</x:v>
      </x:c>
      <x:c r="N88" s="304" t="s">
        <x:v>553</x:v>
      </x:c>
      <x:c r="O88" s="304" t="s">
        <x:v>573</x:v>
      </x:c>
      <x:c r="P88" s="305" t="s">
        <x:v>574</x:v>
      </x:c>
      <x:c r="Q88" s="300" t="str">
        <x:v>Not Started</x:v>
      </x:c>
      <x:c r="R88" s="300"/>
      <x:c r="S88" s="309" t="s">
        <x:v>356</x:v>
      </x:c>
      <x:c r="T88" s="309" t="s">
        <x:v>575</x:v>
      </x:c>
      <x:c r="U88" s="309" t="str">
        <x:v>T-088 migration authority must precede T-087. HARD CHECKPOINT: T-087 must be green by 5-Sep-2026. If not, 30-Sep uses the declared compatibility-read fallback for proven kernels; canonical references/surfaces are labelled configured, not executed. No waiver of canonical convergence.</x:v>
      </x:c>
      <x:c r="V88" s="300" t="s">
        <x:v>573</x:v>
      </x:c>
      <x:c r="W88" s="300" t="s">
        <x:v>552</x:v>
      </x:c>
      <x:c r="X88" s="310" t="s">
        <x:v>360</x:v>
      </x:c>
      <x:c r="Y88" s="300" t="str">
        <x:v>Deep design reconciliation 16-Aug-2026; Chapter 3/4 + Layer-B architecture + latest source/audit evidence</x:v>
      </x:c>
      <x:c r="Z88" s="301" t="s">
        <x:v>555</x:v>
      </x:c>
      <x:c r="AA88" s="301" t="str">
        <x:v>2026-09-05 HARD CHECKPOINT — canonical migration truth</x:v>
      </x:c>
      <x:c r="AB88" s="301" t="s">
        <x:v>567</x:v>
      </x:c>
      <x:c r="AC88" s="301" t="s">
        <x:v>576</x:v>
      </x:c>
      <x:c r="AD88" s="301" t="str">
        <x:v>Critical checkpoint</x:v>
      </x:c>
      <x:c r="AE88" s="301" t="s">
        <x:v>336</x:v>
      </x:c>
      <x:c r="AF88" s="301" t="s">
        <x:v>556</x:v>
      </x:c>
      <x:c r="AG88" s="301" t="s">
        <x:v>564</x:v>
      </x:c>
      <x:c r="AH88" s="302">
        <x:v>8</x:v>
      </x:c>
      <x:c r="AI88" s="302">
        <x:v>1.55</x:v>
      </x:c>
      <x:c r="AJ88" s="302">
        <x:f t="shared" si="4"/>
        <x:v>1.5</x:v>
      </x:c>
      <x:c r="AK88" s="302">
        <x:f t="shared" si="5"/>
        <x:v>2.3250000000000002</x:v>
      </x:c>
      <x:c r="AL88" s="301" t="s">
        <x:v>577</x:v>
      </x:c>
      <x:c r="AM88" s="301" t="s">
        <x:v>578</x:v>
      </x:c>
      <x:c r="AN88" s="301" t="s">
        <x:v>559</x:v>
      </x:c>
      <x:c r="AO88" s="301" t="s">
        <x:v>309</x:v>
      </x:c>
      <x:c r="AP88" s="301" t="str">
        <x:v>T-086; T-088</x:v>
      </x:c>
      <x:c r="AQ88" s="301"/>
    </x:row>
    <x:row r="89" ht="45.95000076293945" hidden="1" customHeight="1">
      <x:c r="A89" s="307" t="s">
        <x:v>579</x:v>
      </x:c>
      <x:c r="B89" s="307" t="s">
        <x:v>546</x:v>
      </x:c>
      <x:c r="C89" s="307" t="s">
        <x:v>547</x:v>
      </x:c>
      <x:c r="D89" s="308" t="s">
        <x:v>580</x:v>
      </x:c>
      <x:c r="E89" s="307" t="s">
        <x:v>86</x:v>
      </x:c>
      <x:c r="F89" s="307" t="s">
        <x:v>570</x:v>
      </x:c>
      <x:c r="G89" s="307" t="s">
        <x:v>118</x:v>
      </x:c>
      <x:c r="H89" s="308" t="s">
        <x:v>581</x:v>
      </x:c>
      <x:c r="I89" s="308" t="s">
        <x:v>582</x:v>
      </x:c>
      <x:c r="J89" s="307">
        <x:v>12</x:v>
      </x:c>
      <x:c r="K89" s="307" t="s">
        <x:v>328</x:v>
      </x:c>
      <x:c r="L89" s="303" t="s">
        <x:v>551</x:v>
      </x:c>
      <x:c r="M89" s="304" t="s">
        <x:v>552</x:v>
      </x:c>
      <x:c r="N89" s="304" t="s">
        <x:v>553</x:v>
      </x:c>
      <x:c r="O89" s="304" t="str">
        <x:v>T-086</x:v>
      </x:c>
      <x:c r="P89" s="305" t="s">
        <x:v>583</x:v>
      </x:c>
      <x:c r="Q89" s="300" t="str">
        <x:v>Not Started</x:v>
      </x:c>
      <x:c r="R89" s="300"/>
      <x:c r="S89" s="309" t="s">
        <x:v>356</x:v>
      </x:c>
      <x:c r="T89" s="309" t="s">
        <x:v>584</x:v>
      </x:c>
      <x:c r="U89" s="309" t="s">
        <x:v>585</x:v>
      </x:c>
      <x:c r="V89" s="300" t="s">
        <x:v>586</x:v>
      </x:c>
      <x:c r="W89" s="300" t="s">
        <x:v>552</x:v>
      </x:c>
      <x:c r="X89" s="310" t="s">
        <x:v>360</x:v>
      </x:c>
      <x:c r="Y89" s="300" t="str">
        <x:v>Deep design reconciliation 16-Aug-2026; Chapter 3/4 + Layer-B architecture + latest source/audit evidence</x:v>
      </x:c>
      <x:c r="Z89" s="301" t="s">
        <x:v>555</x:v>
      </x:c>
      <x:c r="AA89" s="301" t="s">
        <x:v>566</x:v>
      </x:c>
      <x:c r="AB89" s="301" t="s">
        <x:v>567</x:v>
      </x:c>
      <x:c r="AC89" s="301" t="s">
        <x:v>576</x:v>
      </x:c>
      <x:c r="AD89" s="301" t="s">
        <x:v>362</x:v>
      </x:c>
      <x:c r="AE89" s="301" t="s">
        <x:v>336</x:v>
      </x:c>
      <x:c r="AF89" s="301" t="s">
        <x:v>556</x:v>
      </x:c>
      <x:c r="AG89" s="301" t="s">
        <x:v>564</x:v>
      </x:c>
      <x:c r="AH89" s="302">
        <x:v>8</x:v>
      </x:c>
      <x:c r="AI89" s="302">
        <x:v>1.55</x:v>
      </x:c>
      <x:c r="AJ89" s="302">
        <x:f t="shared" si="4"/>
        <x:v>1.5</x:v>
      </x:c>
      <x:c r="AK89" s="302">
        <x:f t="shared" si="5"/>
        <x:v>2.3250000000000002</x:v>
      </x:c>
      <x:c r="AL89" s="301" t="s">
        <x:v>577</x:v>
      </x:c>
      <x:c r="AM89" s="301" t="s">
        <x:v>587</x:v>
      </x:c>
      <x:c r="AN89" s="301" t="s">
        <x:v>559</x:v>
      </x:c>
      <x:c r="AO89" s="301" t="s">
        <x:v>309</x:v>
      </x:c>
      <x:c r="AP89" s="301" t="str">
        <x:v>T-086</x:v>
      </x:c>
      <x:c r="AQ89" s="301" t="str">
        <x:v>T-087</x:v>
      </x:c>
    </x:row>
    <x:row r="90" ht="45.95000076293945" hidden="1" customHeight="1">
      <x:c r="A90" s="307" t="s">
        <x:v>588</x:v>
      </x:c>
      <x:c r="B90" s="307" t="s">
        <x:v>546</x:v>
      </x:c>
      <x:c r="C90" s="307" t="s">
        <x:v>547</x:v>
      </x:c>
      <x:c r="D90" s="308" t="s">
        <x:v>589</x:v>
      </x:c>
      <x:c r="E90" s="307" t="s">
        <x:v>86</x:v>
      </x:c>
      <x:c r="F90" s="307" t="s">
        <x:v>241</x:v>
      </x:c>
      <x:c r="G90" s="307" t="s">
        <x:v>46</x:v>
      </x:c>
      <x:c r="H90" s="308" t="s">
        <x:v>590</x:v>
      </x:c>
      <x:c r="I90" s="308" t="s">
        <x:v>591</x:v>
      </x:c>
      <x:c r="J90" s="307">
        <x:v>12</x:v>
      </x:c>
      <x:c r="K90" s="307" t="s">
        <x:v>328</x:v>
      </x:c>
      <x:c r="L90" s="303" t="s">
        <x:v>551</x:v>
      </x:c>
      <x:c r="M90" s="304" t="s">
        <x:v>552</x:v>
      </x:c>
      <x:c r="N90" s="304" t="s">
        <x:v>553</x:v>
      </x:c>
      <x:c r="O90" s="304" t="s">
        <x:v>592</x:v>
      </x:c>
      <x:c r="P90" s="305" t="s">
        <x:v>593</x:v>
      </x:c>
      <x:c r="Q90" s="300" t="str">
        <x:v>Not Started</x:v>
      </x:c>
      <x:c r="R90" s="300"/>
      <x:c r="S90" s="309" t="s">
        <x:v>356</x:v>
      </x:c>
      <x:c r="T90" s="309" t="s">
        <x:v>594</x:v>
      </x:c>
      <x:c r="U90" s="309" t="s">
        <x:v>595</x:v>
      </x:c>
      <x:c r="V90" s="300" t="s">
        <x:v>592</x:v>
      </x:c>
      <x:c r="W90" s="300" t="s">
        <x:v>552</x:v>
      </x:c>
      <x:c r="X90" s="310" t="s">
        <x:v>360</x:v>
      </x:c>
      <x:c r="Y90" s="300" t="str">
        <x:v>Deep design reconciliation 16-Aug-2026; Chapter 3/4 + Layer-B architecture + latest source/audit evidence</x:v>
      </x:c>
      <x:c r="Z90" s="301" t="s">
        <x:v>555</x:v>
      </x:c>
      <x:c r="AA90" s="301" t="s">
        <x:v>566</x:v>
      </x:c>
      <x:c r="AB90" s="301" t="s">
        <x:v>567</x:v>
      </x:c>
      <x:c r="AC90" s="301" t="s">
        <x:v>596</x:v>
      </x:c>
      <x:c r="AD90" s="301" t="s">
        <x:v>362</x:v>
      </x:c>
      <x:c r="AE90" s="301" t="s">
        <x:v>336</x:v>
      </x:c>
      <x:c r="AF90" s="301" t="s">
        <x:v>556</x:v>
      </x:c>
      <x:c r="AG90" s="301" t="s">
        <x:v>564</x:v>
      </x:c>
      <x:c r="AH90" s="302">
        <x:v>8</x:v>
      </x:c>
      <x:c r="AI90" s="302">
        <x:v>1.55</x:v>
      </x:c>
      <x:c r="AJ90" s="302">
        <x:f t="shared" si="4"/>
        <x:v>1.5</x:v>
      </x:c>
      <x:c r="AK90" s="302">
        <x:f t="shared" si="5"/>
        <x:v>2.3250000000000002</x:v>
      </x:c>
      <x:c r="AL90" s="301" t="s">
        <x:v>577</x:v>
      </x:c>
      <x:c r="AM90" s="301" t="s">
        <x:v>597</x:v>
      </x:c>
      <x:c r="AN90" s="301" t="s">
        <x:v>559</x:v>
      </x:c>
      <x:c r="AO90" s="301" t="s">
        <x:v>309</x:v>
      </x:c>
      <x:c r="AP90" s="301" t="str">
        <x:v>T-087; T-088</x:v>
      </x:c>
      <x:c r="AQ90" s="301"/>
    </x:row>
    <x:row r="91" ht="45.95000076293945" hidden="1" customHeight="1">
      <x:c r="A91" s="307" t="s">
        <x:v>598</x:v>
      </x:c>
      <x:c r="B91" s="307" t="s">
        <x:v>546</x:v>
      </x:c>
      <x:c r="C91" s="307" t="s">
        <x:v>547</x:v>
      </x:c>
      <x:c r="D91" s="308" t="s">
        <x:v>599</x:v>
      </x:c>
      <x:c r="E91" s="307" t="s">
        <x:v>106</x:v>
      </x:c>
      <x:c r="F91" s="307" t="s">
        <x:v>241</x:v>
      </x:c>
      <x:c r="G91" s="307" t="s">
        <x:v>46</x:v>
      </x:c>
      <x:c r="H91" s="308" t="s">
        <x:v>600</x:v>
      </x:c>
      <x:c r="I91" s="308" t="s">
        <x:v>601</x:v>
      </x:c>
      <x:c r="J91" s="307">
        <x:v>12</x:v>
      </x:c>
      <x:c r="K91" s="307" t="s">
        <x:v>328</x:v>
      </x:c>
      <x:c r="L91" s="303" t="s">
        <x:v>551</x:v>
      </x:c>
      <x:c r="M91" s="304" t="s">
        <x:v>552</x:v>
      </x:c>
      <x:c r="N91" s="304" t="s">
        <x:v>553</x:v>
      </x:c>
      <x:c r="O91" s="304" t="s">
        <x:v>602</x:v>
      </x:c>
      <x:c r="P91" s="305" t="s">
        <x:v>603</x:v>
      </x:c>
      <x:c r="Q91" s="300" t="str">
        <x:v>Not Started</x:v>
      </x:c>
      <x:c r="R91" s="300"/>
      <x:c r="S91" s="309" t="s">
        <x:v>356</x:v>
      </x:c>
      <x:c r="T91" s="309" t="s">
        <x:v>604</x:v>
      </x:c>
      <x:c r="U91" s="309" t="s">
        <x:v>605</x:v>
      </x:c>
      <x:c r="V91" s="300" t="s">
        <x:v>602</x:v>
      </x:c>
      <x:c r="W91" s="300" t="s">
        <x:v>552</x:v>
      </x:c>
      <x:c r="X91" s="310" t="s">
        <x:v>360</x:v>
      </x:c>
      <x:c r="Y91" s="300" t="str">
        <x:v>Deep design reconciliation 16-Aug-2026; Chapter 3/4 + Layer-B architecture + latest source/audit evidence</x:v>
      </x:c>
      <x:c r="Z91" s="301" t="s">
        <x:v>555</x:v>
      </x:c>
      <x:c r="AA91" s="301" t="s">
        <x:v>566</x:v>
      </x:c>
      <x:c r="AB91" s="301" t="s">
        <x:v>567</x:v>
      </x:c>
      <x:c r="AC91" s="301" t="s">
        <x:v>596</x:v>
      </x:c>
      <x:c r="AD91" s="301" t="s">
        <x:v>362</x:v>
      </x:c>
      <x:c r="AE91" s="301" t="s">
        <x:v>336</x:v>
      </x:c>
      <x:c r="AF91" s="301" t="s">
        <x:v>556</x:v>
      </x:c>
      <x:c r="AG91" s="301" t="s">
        <x:v>363</x:v>
      </x:c>
      <x:c r="AH91" s="302">
        <x:v>10</x:v>
      </x:c>
      <x:c r="AI91" s="302">
        <x:v>1.5</x:v>
      </x:c>
      <x:c r="AJ91" s="302">
        <x:f t="shared" si="4"/>
        <x:v>1.2</x:v>
      </x:c>
      <x:c r="AK91" s="302">
        <x:f t="shared" si="5"/>
        <x:v>1.7999999999999998</x:v>
      </x:c>
      <x:c r="AL91" s="301" t="s">
        <x:v>577</x:v>
      </x:c>
      <x:c r="AM91" s="301" t="s">
        <x:v>606</x:v>
      </x:c>
      <x:c r="AN91" s="301" t="s">
        <x:v>559</x:v>
      </x:c>
      <x:c r="AO91" s="301" t="s">
        <x:v>309</x:v>
      </x:c>
      <x:c r="AP91" s="301" t="str">
        <x:v>T-089</x:v>
      </x:c>
      <x:c r="AQ91" s="301"/>
    </x:row>
    <x:row r="92" ht="45.95000076293945" hidden="1" customHeight="1">
      <x:c r="A92" s="307" t="s">
        <x:v>607</x:v>
      </x:c>
      <x:c r="B92" s="307" t="s">
        <x:v>546</x:v>
      </x:c>
      <x:c r="C92" s="307" t="s">
        <x:v>547</x:v>
      </x:c>
      <x:c r="D92" s="308" t="s">
        <x:v>608</x:v>
      </x:c>
      <x:c r="E92" s="307" t="s">
        <x:v>106</x:v>
      </x:c>
      <x:c r="F92" s="307" t="s">
        <x:v>241</x:v>
      </x:c>
      <x:c r="G92" s="307" t="s">
        <x:v>118</x:v>
      </x:c>
      <x:c r="H92" s="308" t="s">
        <x:v>609</x:v>
      </x:c>
      <x:c r="I92" s="308" t="s">
        <x:v>610</x:v>
      </x:c>
      <x:c r="J92" s="307">
        <x:v>12</x:v>
      </x:c>
      <x:c r="K92" s="307" t="s">
        <x:v>328</x:v>
      </x:c>
      <x:c r="L92" s="303" t="s">
        <x:v>551</x:v>
      </x:c>
      <x:c r="M92" s="304" t="s">
        <x:v>552</x:v>
      </x:c>
      <x:c r="N92" s="304" t="s">
        <x:v>553</x:v>
      </x:c>
      <x:c r="O92" s="304" t="s">
        <x:v>611</x:v>
      </x:c>
      <x:c r="P92" s="305" t="s">
        <x:v>612</x:v>
      </x:c>
      <x:c r="Q92" s="300" t="str">
        <x:v>Not Started</x:v>
      </x:c>
      <x:c r="R92" s="300"/>
      <x:c r="S92" s="300" t="s">
        <x:v>55</x:v>
      </x:c>
      <x:c r="T92" s="300"/>
      <x:c r="U92" s="300"/>
      <x:c r="V92" s="300" t="s">
        <x:v>611</x:v>
      </x:c>
      <x:c r="W92" s="300" t="s">
        <x:v>552</x:v>
      </x:c>
      <x:c r="X92" s="300" t="s">
        <x:v>56</x:v>
      </x:c>
      <x:c r="Y92" s="300" t="str">
        <x:v>Deep design reconciliation 16-Aug-2026; Chapter 3/4 + Layer-B architecture + latest source/audit evidence</x:v>
      </x:c>
      <x:c r="Z92" s="301" t="s">
        <x:v>555</x:v>
      </x:c>
      <x:c r="AA92" s="301" t="s">
        <x:v>566</x:v>
      </x:c>
      <x:c r="AB92" s="301" t="s">
        <x:v>567</x:v>
      </x:c>
      <x:c r="AC92" s="301" t="s">
        <x:v>613</x:v>
      </x:c>
      <x:c r="AD92" s="301" t="s">
        <x:v>362</x:v>
      </x:c>
      <x:c r="AE92" s="301" t="s">
        <x:v>336</x:v>
      </x:c>
      <x:c r="AF92" s="301" t="s">
        <x:v>556</x:v>
      </x:c>
      <x:c r="AG92" s="301" t="s">
        <x:v>363</x:v>
      </x:c>
      <x:c r="AH92" s="302">
        <x:v>10</x:v>
      </x:c>
      <x:c r="AI92" s="302">
        <x:v>1.5</x:v>
      </x:c>
      <x:c r="AJ92" s="302">
        <x:f t="shared" si="4"/>
        <x:v>1.2</x:v>
      </x:c>
      <x:c r="AK92" s="302">
        <x:f t="shared" si="5"/>
        <x:v>1.7999999999999998</x:v>
      </x:c>
      <x:c r="AL92" s="301" t="s">
        <x:v>577</x:v>
      </x:c>
      <x:c r="AM92" s="301" t="s">
        <x:v>614</x:v>
      </x:c>
      <x:c r="AN92" s="301" t="s">
        <x:v>559</x:v>
      </x:c>
      <x:c r="AO92" s="301" t="s">
        <x:v>309</x:v>
      </x:c>
      <x:c r="AP92" s="301" t="str">
        <x:v>T-090</x:v>
      </x:c>
      <x:c r="AQ92" s="301"/>
    </x:row>
    <x:row r="93" ht="45.95000076293945" hidden="1" customHeight="1">
      <x:c r="A93" s="307" t="s">
        <x:v>615</x:v>
      </x:c>
      <x:c r="B93" s="307" t="s">
        <x:v>546</x:v>
      </x:c>
      <x:c r="C93" s="307" t="s">
        <x:v>547</x:v>
      </x:c>
      <x:c r="D93" s="308" t="s">
        <x:v>616</x:v>
      </x:c>
      <x:c r="E93" s="307" t="s">
        <x:v>106</x:v>
      </x:c>
      <x:c r="F93" s="307" t="s">
        <x:v>277</x:v>
      </x:c>
      <x:c r="G93" s="307" t="s">
        <x:v>46</x:v>
      </x:c>
      <x:c r="H93" s="308" t="str">
        <x:v>Replace compiled dimension/measure catalogues with canonical registry projections over published definition versions. Registry rows must support customer-defined dimensions/measures without rebuild, plus analysis-grain metadata, signal/aggregation semantics and reference-derived measure roles. It remains a projection/serving authority, not a competing mutable definition store.</x:v>
      </x:c>
      <x:c r="I93" s="308" t="str">
        <x:v>Using the same binary, add a customer-shaped dimension and measure through definitions/registry data only and use them in an authored widget. No C#/React/product-SQL edit. Registry exposes declared grain and aggregation/reference metadata and rejects unresolved semantics.</x:v>
      </x:c>
      <x:c r="J93" s="307">
        <x:v>12</x:v>
      </x:c>
      <x:c r="K93" s="307" t="s">
        <x:v>328</x:v>
      </x:c>
      <x:c r="L93" s="303" t="s">
        <x:v>551</x:v>
      </x:c>
      <x:c r="M93" s="304" t="s">
        <x:v>552</x:v>
      </x:c>
      <x:c r="N93" s="304" t="s">
        <x:v>553</x:v>
      </x:c>
      <x:c r="O93" s="304" t="str">
        <x:v>T-089; T-090; T-210; T-231</x:v>
      </x:c>
      <x:c r="P93" s="305" t="s">
        <x:v>617</x:v>
      </x:c>
      <x:c r="Q93" s="300" t="str">
        <x:v>Not Started</x:v>
      </x:c>
      <x:c r="R93" s="300"/>
      <x:c r="S93" s="309" t="s">
        <x:v>356</x:v>
      </x:c>
      <x:c r="T93" s="309" t="s">
        <x:v>618</x:v>
      </x:c>
      <x:c r="U93" s="309" t="str">
        <x:v>This is the decisive genericity gate: customer dimensions become data/definitions, never source-code entries.</x:v>
      </x:c>
      <x:c r="V93" s="300" t="str">
        <x:v>T-089 + T-090 + T-210 + T-231. Generated capability-matrix tests begin only after this task is green.</x:v>
      </x:c>
      <x:c r="W93" s="300" t="s">
        <x:v>552</x:v>
      </x:c>
      <x:c r="X93" s="310" t="s">
        <x:v>360</x:v>
      </x:c>
      <x:c r="Y93" s="300" t="str">
        <x:v>Deep design reconciliation 16-Aug-2026; Chapter 3/4 + Layer-B architecture + latest source/audit evidence</x:v>
      </x:c>
      <x:c r="Z93" s="301" t="s">
        <x:v>555</x:v>
      </x:c>
      <x:c r="AA93" s="301" t="s">
        <x:v>566</x:v>
      </x:c>
      <x:c r="AB93" s="301" t="s">
        <x:v>567</x:v>
      </x:c>
      <x:c r="AC93" s="301" t="s">
        <x:v>613</x:v>
      </x:c>
      <x:c r="AD93" s="301" t="s">
        <x:v>362</x:v>
      </x:c>
      <x:c r="AE93" s="301" t="s">
        <x:v>336</x:v>
      </x:c>
      <x:c r="AF93" s="301" t="s">
        <x:v>556</x:v>
      </x:c>
      <x:c r="AG93" s="301" t="s">
        <x:v>363</x:v>
      </x:c>
      <x:c r="AH93" s="302">
        <x:v>10</x:v>
      </x:c>
      <x:c r="AI93" s="302">
        <x:v>1.5</x:v>
      </x:c>
      <x:c r="AJ93" s="302">
        <x:f t="shared" si="4"/>
        <x:v>1.2</x:v>
      </x:c>
      <x:c r="AK93" s="302">
        <x:f t="shared" si="5"/>
        <x:v>1.7999999999999998</x:v>
      </x:c>
      <x:c r="AL93" s="301" t="s">
        <x:v>577</x:v>
      </x:c>
      <x:c r="AM93" s="301" t="s">
        <x:v>619</x:v>
      </x:c>
      <x:c r="AN93" s="301" t="s">
        <x:v>559</x:v>
      </x:c>
      <x:c r="AO93" s="301" t="s">
        <x:v>309</x:v>
      </x:c>
      <x:c r="AP93" s="301" t="str">
        <x:v>T-089; T-090; T-210; T-231</x:v>
      </x:c>
      <x:c r="AQ93" s="301"/>
    </x:row>
    <x:row r="94" ht="45.95000076293945" hidden="1" customHeight="1">
      <x:c r="A94" s="307" t="s">
        <x:v>620</x:v>
      </x:c>
      <x:c r="B94" s="307" t="s">
        <x:v>546</x:v>
      </x:c>
      <x:c r="C94" s="307" t="s">
        <x:v>547</x:v>
      </x:c>
      <x:c r="D94" s="308" t="s">
        <x:v>621</x:v>
      </x:c>
      <x:c r="E94" s="307" t="s">
        <x:v>106</x:v>
      </x:c>
      <x:c r="F94" s="307" t="s">
        <x:v>277</x:v>
      </x:c>
      <x:c r="G94" s="307" t="s">
        <x:v>118</x:v>
      </x:c>
      <x:c r="H94" s="308" t="s">
        <x:v>622</x:v>
      </x:c>
      <x:c r="I94" s="308" t="s">
        <x:v>623</x:v>
      </x:c>
      <x:c r="J94" s="307">
        <x:v>6</x:v>
      </x:c>
      <x:c r="K94" s="307" t="s">
        <x:v>328</x:v>
      </x:c>
      <x:c r="L94" s="303" t="s">
        <x:v>551</x:v>
      </x:c>
      <x:c r="M94" s="304" t="s">
        <x:v>552</x:v>
      </x:c>
      <x:c r="N94" s="304" t="s">
        <x:v>553</x:v>
      </x:c>
      <x:c r="O94" s="304" t="str">
        <x:v>T-092 + T-206 scope-aware genericity architecture gate.</x:v>
      </x:c>
      <x:c r="P94" s="305" t="s">
        <x:v>624</x:v>
      </x:c>
      <x:c r="Q94" s="300" t="str">
        <x:v>Not Started</x:v>
      </x:c>
      <x:c r="R94" s="300"/>
      <x:c r="S94" s="300" t="s">
        <x:v>55</x:v>
      </x:c>
      <x:c r="T94" s="300"/>
      <x:c r="U94" s="300" t="str">
        <x:v>Do not use broad negative grep. The gate is scope-aware: demo/fixture nouns may exist in fixtures; generic runtime/Layer B/API contracts must not depend on them.</x:v>
      </x:c>
      <x:c r="V94" s="300" t="str">
        <x:v>T-092 + T-206; term inventory distinguishes fixture/example vocabulary from forbidden generic-runtime authority.</x:v>
      </x:c>
      <x:c r="W94" s="300" t="s">
        <x:v>552</x:v>
      </x:c>
      <x:c r="X94" s="300" t="s">
        <x:v>56</x:v>
      </x:c>
      <x:c r="Y94" s="300" t="str">
        <x:v>Deep design reconciliation 16-Aug-2026; Chapter 3/4 + Layer-B architecture + latest source/audit evidence</x:v>
      </x:c>
      <x:c r="Z94" s="301" t="s">
        <x:v>555</x:v>
      </x:c>
      <x:c r="AA94" s="301" t="s">
        <x:v>566</x:v>
      </x:c>
      <x:c r="AB94" s="301" t="s">
        <x:v>567</x:v>
      </x:c>
      <x:c r="AC94" s="301" t="s">
        <x:v>613</x:v>
      </x:c>
      <x:c r="AD94" s="301" t="s">
        <x:v>362</x:v>
      </x:c>
      <x:c r="AE94" s="301" t="s">
        <x:v>336</x:v>
      </x:c>
      <x:c r="AF94" s="301" t="s">
        <x:v>556</x:v>
      </x:c>
      <x:c r="AG94" s="301" t="s">
        <x:v>363</x:v>
      </x:c>
      <x:c r="AH94" s="302">
        <x:v>10</x:v>
      </x:c>
      <x:c r="AI94" s="302">
        <x:v>1.5</x:v>
      </x:c>
      <x:c r="AJ94" s="302">
        <x:f t="shared" si="4"/>
        <x:v>0.6</x:v>
      </x:c>
      <x:c r="AK94" s="302">
        <x:f t="shared" si="5"/>
        <x:v>0.89999999999999991</x:v>
      </x:c>
      <x:c r="AL94" s="301" t="s">
        <x:v>577</x:v>
      </x:c>
      <x:c r="AM94" s="301" t="s">
        <x:v>625</x:v>
      </x:c>
      <x:c r="AN94" s="301" t="s">
        <x:v>559</x:v>
      </x:c>
      <x:c r="AO94" s="301" t="s">
        <x:v>309</x:v>
      </x:c>
      <x:c r="AP94" s="301" t="str">
        <x:v>T-092; T-206</x:v>
      </x:c>
      <x:c r="AQ94" s="301"/>
    </x:row>
    <x:row r="95" ht="45.95000076293945" hidden="1" customHeight="1">
      <x:c r="A95" s="307" t="s">
        <x:v>626</x:v>
      </x:c>
      <x:c r="B95" s="307" t="s">
        <x:v>546</x:v>
      </x:c>
      <x:c r="C95" s="307" t="s">
        <x:v>547</x:v>
      </x:c>
      <x:c r="D95" s="308" t="str">
        <x:v>Plant-vocabulary sweep, part 2: remove hardcoded universal grain and industry vocabulary</x:v>
      </x:c>
      <x:c r="E95" s="307" t="s">
        <x:v>106</x:v>
      </x:c>
      <x:c r="F95" s="307" t="s">
        <x:v>277</x:v>
      </x:c>
      <x:c r="G95" s="307" t="s">
        <x:v>118</x:v>
      </x:c>
      <x:c r="H95" s="308" t="str">
        <x:v>Clear generic-runtime/demo-vocabulary violations. Do not replace 'coil' with one universal material word. Runtime consumes analysis subject + declared grain semantics. Material-unit terminology remains only where the semantic subject truly is a material unit. No oil/tank/batch noun becomes the new hardcoded product vocabulary.</x:v>
      </x:c>
      <x:c r="I95" s="308" t="str">
        <x:v>Same binary handles discrete, continuous and customer-shaped fixtures with only mapping/definitions/relationships/registry/configuration changes. No implicit 'coil', 'material' or oil-specific universal grain remains in generic paths.</x:v>
      </x:c>
      <x:c r="J95" s="307">
        <x:v>8</x:v>
      </x:c>
      <x:c r="K95" s="307" t="s">
        <x:v>328</x:v>
      </x:c>
      <x:c r="L95" s="303" t="s">
        <x:v>551</x:v>
      </x:c>
      <x:c r="M95" s="304" t="s">
        <x:v>552</x:v>
      </x:c>
      <x:c r="N95" s="304" t="s">
        <x:v>553</x:v>
      </x:c>
      <x:c r="O95" s="304" t="str">
        <x:v>T-092 + T-093 + T-209. Canonical multi-grain/analysis-subject authority available.</x:v>
      </x:c>
      <x:c r="P95" s="305" t="s">
        <x:v>627</x:v>
      </x:c>
      <x:c r="Q95" s="300" t="str">
        <x:v>Not Started</x:v>
      </x:c>
      <x:c r="R95" s="300"/>
      <x:c r="S95" s="309" t="s">
        <x:v>356</x:v>
      </x:c>
      <x:c r="T95" s="309" t="s">
        <x:v>628</x:v>
      </x:c>
      <x:c r="U95" s="309" t="str">
        <x:v>Genericity means no universal industry noun. T-209 is the authority for AnalysisSubject/GrainDefinition.</x:v>
      </x:c>
      <x:c r="V95" s="300" t="str">
        <x:v>T-092 + T-093 + T-209 + T-206.</x:v>
      </x:c>
      <x:c r="W95" s="300" t="s">
        <x:v>552</x:v>
      </x:c>
      <x:c r="X95" s="310" t="s">
        <x:v>360</x:v>
      </x:c>
      <x:c r="Y95" s="300" t="str">
        <x:v>Deep design reconciliation 16-Aug-2026; Chapter 3/4 + Layer-B architecture + latest source/audit evidence</x:v>
      </x:c>
      <x:c r="Z95" s="301" t="s">
        <x:v>555</x:v>
      </x:c>
      <x:c r="AA95" s="301" t="s">
        <x:v>566</x:v>
      </x:c>
      <x:c r="AB95" s="301" t="s">
        <x:v>567</x:v>
      </x:c>
      <x:c r="AC95" s="301" t="s">
        <x:v>613</x:v>
      </x:c>
      <x:c r="AD95" s="301" t="s">
        <x:v>362</x:v>
      </x:c>
      <x:c r="AE95" s="301" t="s">
        <x:v>336</x:v>
      </x:c>
      <x:c r="AF95" s="301" t="s">
        <x:v>556</x:v>
      </x:c>
      <x:c r="AG95" s="301" t="s">
        <x:v>363</x:v>
      </x:c>
      <x:c r="AH95" s="302">
        <x:v>10</x:v>
      </x:c>
      <x:c r="AI95" s="302">
        <x:v>1.5</x:v>
      </x:c>
      <x:c r="AJ95" s="302">
        <x:f t="shared" si="4"/>
        <x:v>0.8</x:v>
      </x:c>
      <x:c r="AK95" s="302">
        <x:f t="shared" si="5"/>
        <x:v>1.2000000000000002</x:v>
      </x:c>
      <x:c r="AL95" s="301" t="s">
        <x:v>577</x:v>
      </x:c>
      <x:c r="AM95" s="301" t="s">
        <x:v>629</x:v>
      </x:c>
      <x:c r="AN95" s="301" t="s">
        <x:v>559</x:v>
      </x:c>
      <x:c r="AO95" s="301" t="s">
        <x:v>309</x:v>
      </x:c>
      <x:c r="AP95" s="301" t="str">
        <x:v>T-092; T-093; T-209</x:v>
      </x:c>
      <x:c r="AQ95" s="301"/>
    </x:row>
    <x:row r="96" ht="45.95000076293945" hidden="1" customHeight="1">
      <x:c r="A96" s="307" t="s">
        <x:v>630</x:v>
      </x:c>
      <x:c r="B96" s="307" t="s">
        <x:v>546</x:v>
      </x:c>
      <x:c r="C96" s="307" t="s">
        <x:v>631</x:v>
      </x:c>
      <x:c r="D96" s="308" t="s">
        <x:v>632</x:v>
      </x:c>
      <x:c r="E96" s="307" t="s">
        <x:v>106</x:v>
      </x:c>
      <x:c r="F96" s="307" t="s">
        <x:v>351</x:v>
      </x:c>
      <x:c r="G96" s="307" t="s">
        <x:v>46</x:v>
      </x:c>
      <x:c r="H96" s="308" t="s">
        <x:v>633</x:v>
      </x:c>
      <x:c r="I96" s="308" t="s">
        <x:v>634</x:v>
      </x:c>
      <x:c r="J96" s="307">
        <x:v>12</x:v>
      </x:c>
      <x:c r="K96" s="307" t="s">
        <x:v>328</x:v>
      </x:c>
      <x:c r="L96" s="303" t="s">
        <x:v>551</x:v>
      </x:c>
      <x:c r="M96" s="304" t="s">
        <x:v>552</x:v>
      </x:c>
      <x:c r="N96" s="304" t="s">
        <x:v>553</x:v>
      </x:c>
      <x:c r="O96" s="304" t="s">
        <x:v>635</x:v>
      </x:c>
      <x:c r="P96" s="305" t="s">
        <x:v>636</x:v>
      </x:c>
      <x:c r="Q96" s="300" t="str">
        <x:v>Not Started</x:v>
      </x:c>
      <x:c r="R96" s="300"/>
      <x:c r="S96" s="309" t="s">
        <x:v>356</x:v>
      </x:c>
      <x:c r="T96" s="309" t="s">
        <x:v>637</x:v>
      </x:c>
      <x:c r="U96" s="309" t="s">
        <x:v>638</x:v>
      </x:c>
      <x:c r="V96" s="300" t="s">
        <x:v>635</x:v>
      </x:c>
      <x:c r="W96" s="300" t="s">
        <x:v>552</x:v>
      </x:c>
      <x:c r="X96" s="310" t="s">
        <x:v>360</x:v>
      </x:c>
      <x:c r="Y96" s="300" t="str">
        <x:v>Deep design reconciliation 16-Aug-2026; Chapter 3/4 + Layer-B architecture + latest source/audit evidence</x:v>
      </x:c>
      <x:c r="Z96" s="301" t="s">
        <x:v>555</x:v>
      </x:c>
      <x:c r="AA96" s="301" t="s">
        <x:v>566</x:v>
      </x:c>
      <x:c r="AB96" s="301" t="s">
        <x:v>567</x:v>
      </x:c>
      <x:c r="AC96" s="301" t="s">
        <x:v>596</x:v>
      </x:c>
      <x:c r="AD96" s="301" t="s">
        <x:v>362</x:v>
      </x:c>
      <x:c r="AE96" s="301" t="s">
        <x:v>336</x:v>
      </x:c>
      <x:c r="AF96" s="301" t="s">
        <x:v>556</x:v>
      </x:c>
      <x:c r="AG96" s="301" t="s">
        <x:v>363</x:v>
      </x:c>
      <x:c r="AH96" s="302">
        <x:v>10</x:v>
      </x:c>
      <x:c r="AI96" s="302">
        <x:v>1.5</x:v>
      </x:c>
      <x:c r="AJ96" s="302">
        <x:f t="shared" si="4"/>
        <x:v>1.2</x:v>
      </x:c>
      <x:c r="AK96" s="302">
        <x:f t="shared" si="5"/>
        <x:v>1.7999999999999998</x:v>
      </x:c>
      <x:c r="AL96" s="301" t="s">
        <x:v>639</x:v>
      </x:c>
      <x:c r="AM96" s="301" t="s">
        <x:v>640</x:v>
      </x:c>
      <x:c r="AN96" s="301" t="s">
        <x:v>559</x:v>
      </x:c>
      <x:c r="AO96" s="301" t="s">
        <x:v>309</x:v>
      </x:c>
      <x:c r="AP96" s="301" t="str">
        <x:v>T-057; T-089; T-090; T-094</x:v>
      </x:c>
      <x:c r="AQ96" s="301"/>
    </x:row>
    <x:row r="97" ht="45.95000076293945" hidden="1" customHeight="1">
      <x:c r="A97" s="307" t="s">
        <x:v>641</x:v>
      </x:c>
      <x:c r="B97" s="307" t="s">
        <x:v>546</x:v>
      </x:c>
      <x:c r="C97" s="307" t="s">
        <x:v>631</x:v>
      </x:c>
      <x:c r="D97" s="308" t="s">
        <x:v>642</x:v>
      </x:c>
      <x:c r="E97" s="307" t="s">
        <x:v>106</x:v>
      </x:c>
      <x:c r="F97" s="307" t="s">
        <x:v>351</x:v>
      </x:c>
      <x:c r="G97" s="307" t="s">
        <x:v>46</x:v>
      </x:c>
      <x:c r="H97" s="308" t="s">
        <x:v>643</x:v>
      </x:c>
      <x:c r="I97" s="308" t="s">
        <x:v>644</x:v>
      </x:c>
      <x:c r="J97" s="307">
        <x:v>8</x:v>
      </x:c>
      <x:c r="K97" s="307" t="s">
        <x:v>328</x:v>
      </x:c>
      <x:c r="L97" s="303" t="s">
        <x:v>551</x:v>
      </x:c>
      <x:c r="M97" s="304" t="s">
        <x:v>552</x:v>
      </x:c>
      <x:c r="N97" s="304" t="s">
        <x:v>553</x:v>
      </x:c>
      <x:c r="O97" s="304" t="s">
        <x:v>645</x:v>
      </x:c>
      <x:c r="P97" s="305" t="s">
        <x:v>646</x:v>
      </x:c>
      <x:c r="Q97" s="300" t="str">
        <x:v>Not Started</x:v>
      </x:c>
      <x:c r="R97" s="300"/>
      <x:c r="S97" s="306" t="s">
        <x:v>297</x:v>
      </x:c>
      <x:c r="T97" s="306" t="s">
        <x:v>647</x:v>
      </x:c>
      <x:c r="U97" s="306" t="s">
        <x:v>648</x:v>
      </x:c>
      <x:c r="V97" s="300" t="s">
        <x:v>645</x:v>
      </x:c>
      <x:c r="W97" s="300" t="s">
        <x:v>552</x:v>
      </x:c>
      <x:c r="X97" s="306" t="s">
        <x:v>301</x:v>
      </x:c>
      <x:c r="Y97" s="300" t="str">
        <x:v>Deep design reconciliation 16-Aug-2026; Chapter 3/4 + Layer-B architecture + latest source/audit evidence</x:v>
      </x:c>
      <x:c r="Z97" s="301" t="s">
        <x:v>555</x:v>
      </x:c>
      <x:c r="AA97" s="301" t="s">
        <x:v>566</x:v>
      </x:c>
      <x:c r="AB97" s="301" t="s">
        <x:v>567</x:v>
      </x:c>
      <x:c r="AC97" s="301" t="s">
        <x:v>613</x:v>
      </x:c>
      <x:c r="AD97" s="301" t="s">
        <x:v>362</x:v>
      </x:c>
      <x:c r="AE97" s="301" t="s">
        <x:v>336</x:v>
      </x:c>
      <x:c r="AF97" s="301" t="s">
        <x:v>556</x:v>
      </x:c>
      <x:c r="AG97" s="301" t="s">
        <x:v>363</x:v>
      </x:c>
      <x:c r="AH97" s="302">
        <x:v>10</x:v>
      </x:c>
      <x:c r="AI97" s="302">
        <x:v>1.5</x:v>
      </x:c>
      <x:c r="AJ97" s="302">
        <x:f t="shared" si="4"/>
        <x:v>0.8</x:v>
      </x:c>
      <x:c r="AK97" s="302">
        <x:f t="shared" si="5"/>
        <x:v>1.2000000000000002</x:v>
      </x:c>
      <x:c r="AL97" s="301" t="s">
        <x:v>639</x:v>
      </x:c>
      <x:c r="AM97" s="301" t="s">
        <x:v>649</x:v>
      </x:c>
      <x:c r="AN97" s="301" t="s">
        <x:v>559</x:v>
      </x:c>
      <x:c r="AO97" s="301" t="s">
        <x:v>309</x:v>
      </x:c>
      <x:c r="AP97" s="301" t="str">
        <x:v>T-095</x:v>
      </x:c>
      <x:c r="AQ97" s="301"/>
    </x:row>
    <x:row r="98" ht="45.95000076293945" hidden="1" customHeight="1">
      <x:c r="A98" s="307" t="s">
        <x:v>650</x:v>
      </x:c>
      <x:c r="B98" s="307" t="s">
        <x:v>546</x:v>
      </x:c>
      <x:c r="C98" s="307" t="s">
        <x:v>631</x:v>
      </x:c>
      <x:c r="D98" s="308" t="s">
        <x:v>651</x:v>
      </x:c>
      <x:c r="E98" s="307" t="s">
        <x:v>106</x:v>
      </x:c>
      <x:c r="F98" s="307" t="s">
        <x:v>351</x:v>
      </x:c>
      <x:c r="G98" s="307" t="s">
        <x:v>46</x:v>
      </x:c>
      <x:c r="H98" s="308" t="s">
        <x:v>652</x:v>
      </x:c>
      <x:c r="I98" s="308" t="s">
        <x:v>653</x:v>
      </x:c>
      <x:c r="J98" s="307">
        <x:v>6</x:v>
      </x:c>
      <x:c r="K98" s="307" t="s">
        <x:v>328</x:v>
      </x:c>
      <x:c r="L98" s="303" t="s">
        <x:v>551</x:v>
      </x:c>
      <x:c r="M98" s="304" t="s">
        <x:v>552</x:v>
      </x:c>
      <x:c r="N98" s="304" t="s">
        <x:v>553</x:v>
      </x:c>
      <x:c r="O98" s="304" t="s">
        <x:v>654</x:v>
      </x:c>
      <x:c r="P98" s="305" t="s">
        <x:v>655</x:v>
      </x:c>
      <x:c r="Q98" s="300" t="str">
        <x:v>Not Started</x:v>
      </x:c>
      <x:c r="R98" s="300"/>
      <x:c r="S98" s="306" t="s">
        <x:v>297</x:v>
      </x:c>
      <x:c r="T98" s="306" t="s">
        <x:v>647</x:v>
      </x:c>
      <x:c r="U98" s="306" t="s">
        <x:v>648</x:v>
      </x:c>
      <x:c r="V98" s="300" t="s">
        <x:v>654</x:v>
      </x:c>
      <x:c r="W98" s="300" t="s">
        <x:v>552</x:v>
      </x:c>
      <x:c r="X98" s="306" t="s">
        <x:v>301</x:v>
      </x:c>
      <x:c r="Y98" s="300" t="str">
        <x:v>Deep design reconciliation 16-Aug-2026; Chapter 3/4 + Layer-B architecture + latest source/audit evidence</x:v>
      </x:c>
      <x:c r="Z98" s="301" t="s">
        <x:v>555</x:v>
      </x:c>
      <x:c r="AA98" s="301" t="s">
        <x:v>566</x:v>
      </x:c>
      <x:c r="AB98" s="301" t="s">
        <x:v>567</x:v>
      </x:c>
      <x:c r="AC98" s="301" t="s">
        <x:v>613</x:v>
      </x:c>
      <x:c r="AD98" s="301" t="s">
        <x:v>362</x:v>
      </x:c>
      <x:c r="AE98" s="301" t="s">
        <x:v>336</x:v>
      </x:c>
      <x:c r="AF98" s="301" t="s">
        <x:v>556</x:v>
      </x:c>
      <x:c r="AG98" s="301" t="s">
        <x:v>363</x:v>
      </x:c>
      <x:c r="AH98" s="302">
        <x:v>10</x:v>
      </x:c>
      <x:c r="AI98" s="302">
        <x:v>1.5</x:v>
      </x:c>
      <x:c r="AJ98" s="302" t="n">
        <x:f t="shared" ref="AJ98:AJ129" si="6">IF($K98="Done",0,MAX(0.25,$J98/$AH98))</x:f>
        <x:v>0.6</x:v>
      </x:c>
      <x:c r="AK98" s="302" t="n">
        <x:f t="shared" ref="AK98:AK129" si="7">IF($K98="Done",0,$AJ98*$AI98)</x:f>
        <x:v>0.8999999999999999</x:v>
      </x:c>
      <x:c r="AL98" s="301" t="s">
        <x:v>639</x:v>
      </x:c>
      <x:c r="AM98" s="301" t="s">
        <x:v>656</x:v>
      </x:c>
      <x:c r="AN98" s="301" t="s">
        <x:v>559</x:v>
      </x:c>
      <x:c r="AO98" s="301" t="s">
        <x:v>309</x:v>
      </x:c>
      <x:c r="AP98" s="301" t="str">
        <x:v>T-096</x:v>
      </x:c>
      <x:c r="AQ98" s="301"/>
    </x:row>
    <x:row r="99" ht="45.95000076293945" hidden="1" customHeight="1">
      <x:c r="A99" s="307" t="s">
        <x:v>657</x:v>
      </x:c>
      <x:c r="B99" s="307" t="s">
        <x:v>546</x:v>
      </x:c>
      <x:c r="C99" s="307" t="s">
        <x:v>631</x:v>
      </x:c>
      <x:c r="D99" s="308" t="s">
        <x:v>658</x:v>
      </x:c>
      <x:c r="E99" s="307" t="s">
        <x:v>68</x:v>
      </x:c>
      <x:c r="F99" s="307" t="s">
        <x:v>351</x:v>
      </x:c>
      <x:c r="G99" s="307" t="s">
        <x:v>118</x:v>
      </x:c>
      <x:c r="H99" s="308" t="s">
        <x:v>659</x:v>
      </x:c>
      <x:c r="I99" s="308" t="s">
        <x:v>660</x:v>
      </x:c>
      <x:c r="J99" s="307">
        <x:v>12</x:v>
      </x:c>
      <x:c r="K99" s="307" t="s">
        <x:v>328</x:v>
      </x:c>
      <x:c r="L99" s="303" t="s">
        <x:v>551</x:v>
      </x:c>
      <x:c r="M99" s="304" t="s">
        <x:v>552</x:v>
      </x:c>
      <x:c r="N99" s="304" t="s">
        <x:v>553</x:v>
      </x:c>
      <x:c r="O99" s="304" t="s">
        <x:v>661</x:v>
      </x:c>
      <x:c r="P99" s="305" t="s">
        <x:v>662</x:v>
      </x:c>
      <x:c r="Q99" s="300" t="str">
        <x:v>Not Started</x:v>
      </x:c>
      <x:c r="R99" s="300"/>
      <x:c r="S99" s="306" t="s">
        <x:v>297</x:v>
      </x:c>
      <x:c r="T99" s="306" t="s">
        <x:v>647</x:v>
      </x:c>
      <x:c r="U99" s="306" t="s">
        <x:v>648</x:v>
      </x:c>
      <x:c r="V99" s="300" t="s">
        <x:v>661</x:v>
      </x:c>
      <x:c r="W99" s="300" t="s">
        <x:v>552</x:v>
      </x:c>
      <x:c r="X99" s="306" t="s">
        <x:v>301</x:v>
      </x:c>
      <x:c r="Y99" s="300" t="str">
        <x:v>Deep design reconciliation 16-Aug-2026; Chapter 3/4 + Layer-B architecture + latest source/audit evidence</x:v>
      </x:c>
      <x:c r="Z99" s="301" t="s">
        <x:v>555</x:v>
      </x:c>
      <x:c r="AA99" s="301" t="s">
        <x:v>566</x:v>
      </x:c>
      <x:c r="AB99" s="301" t="s">
        <x:v>567</x:v>
      </x:c>
      <x:c r="AC99" s="301" t="s">
        <x:v>613</x:v>
      </x:c>
      <x:c r="AD99" s="301" t="s">
        <x:v>362</x:v>
      </x:c>
      <x:c r="AE99" s="301" t="s">
        <x:v>303</x:v>
      </x:c>
      <x:c r="AF99" s="301" t="s">
        <x:v>663</x:v>
      </x:c>
      <x:c r="AG99" s="301" t="s">
        <x:v>314</x:v>
      </x:c>
      <x:c r="AH99" s="302">
        <x:v>9</x:v>
      </x:c>
      <x:c r="AI99" s="302">
        <x:v>1.5</x:v>
      </x:c>
      <x:c r="AJ99" s="302">
        <x:f t="shared" si="6"/>
        <x:v>1.3333333333333333</x:v>
      </x:c>
      <x:c r="AK99" s="302">
        <x:f t="shared" si="7"/>
        <x:v>2</x:v>
      </x:c>
      <x:c r="AL99" s="301" t="s">
        <x:v>639</x:v>
      </x:c>
      <x:c r="AM99" s="301" t="s">
        <x:v>664</x:v>
      </x:c>
      <x:c r="AN99" s="301" t="s">
        <x:v>665</x:v>
      </x:c>
      <x:c r="AO99" s="301" t="s">
        <x:v>309</x:v>
      </x:c>
      <x:c r="AP99" s="301" t="str">
        <x:v>T-060; T-095; T-096; T-097</x:v>
      </x:c>
      <x:c r="AQ99" s="301"/>
    </x:row>
    <x:row r="100" ht="45.95000076293945" hidden="1" customHeight="1">
      <x:c r="A100" s="307" t="s">
        <x:v>666</x:v>
      </x:c>
      <x:c r="B100" s="307" t="s">
        <x:v>546</x:v>
      </x:c>
      <x:c r="C100" s="307" t="s">
        <x:v>631</x:v>
      </x:c>
      <x:c r="D100" s="308" t="s">
        <x:v>667</x:v>
      </x:c>
      <x:c r="E100" s="307" t="s">
        <x:v>106</x:v>
      </x:c>
      <x:c r="F100" s="307" t="s">
        <x:v>668</x:v>
      </x:c>
      <x:c r="G100" s="307" t="s">
        <x:v>46</x:v>
      </x:c>
      <x:c r="H100" s="308" t="s">
        <x:v>669</x:v>
      </x:c>
      <x:c r="I100" s="308" t="s">
        <x:v>670</x:v>
      </x:c>
      <x:c r="J100" s="307">
        <x:v>8</x:v>
      </x:c>
      <x:c r="K100" s="307" t="s">
        <x:v>328</x:v>
      </x:c>
      <x:c r="L100" s="303" t="s">
        <x:v>551</x:v>
      </x:c>
      <x:c r="M100" s="304" t="s">
        <x:v>552</x:v>
      </x:c>
      <x:c r="N100" s="304" t="s">
        <x:v>553</x:v>
      </x:c>
      <x:c r="O100" s="304" t="s">
        <x:v>671</x:v>
      </x:c>
      <x:c r="P100" s="305" t="s">
        <x:v>672</x:v>
      </x:c>
      <x:c r="Q100" s="300" t="str">
        <x:v>Not Started</x:v>
      </x:c>
      <x:c r="R100" s="300"/>
      <x:c r="S100" s="309" t="s">
        <x:v>356</x:v>
      </x:c>
      <x:c r="T100" s="309" t="s">
        <x:v>394</x:v>
      </x:c>
      <x:c r="U100" s="309" t="s">
        <x:v>673</x:v>
      </x:c>
      <x:c r="V100" s="300" t="s">
        <x:v>671</x:v>
      </x:c>
      <x:c r="W100" s="300" t="s">
        <x:v>552</x:v>
      </x:c>
      <x:c r="X100" s="310" t="s">
        <x:v>360</x:v>
      </x:c>
      <x:c r="Y100" s="300" t="str">
        <x:v>Deep design reconciliation 16-Aug-2026; Chapter 3/4 + Layer-B architecture + latest source/audit evidence</x:v>
      </x:c>
      <x:c r="Z100" s="301" t="s">
        <x:v>555</x:v>
      </x:c>
      <x:c r="AA100" s="301" t="s">
        <x:v>566</x:v>
      </x:c>
      <x:c r="AB100" s="301" t="s">
        <x:v>567</x:v>
      </x:c>
      <x:c r="AC100" s="301" t="s">
        <x:v>596</x:v>
      </x:c>
      <x:c r="AD100" s="301" t="s">
        <x:v>362</x:v>
      </x:c>
      <x:c r="AE100" s="301" t="s">
        <x:v>336</x:v>
      </x:c>
      <x:c r="AF100" s="301" t="s">
        <x:v>556</x:v>
      </x:c>
      <x:c r="AG100" s="301" t="s">
        <x:v>363</x:v>
      </x:c>
      <x:c r="AH100" s="302">
        <x:v>10</x:v>
      </x:c>
      <x:c r="AI100" s="302">
        <x:v>1.5</x:v>
      </x:c>
      <x:c r="AJ100" s="302">
        <x:f t="shared" si="6"/>
        <x:v>0.8</x:v>
      </x:c>
      <x:c r="AK100" s="302">
        <x:f t="shared" si="7"/>
        <x:v>1.2000000000000002</x:v>
      </x:c>
      <x:c r="AL100" s="301" t="s">
        <x:v>639</x:v>
      </x:c>
      <x:c r="AM100" s="301" t="s">
        <x:v>674</x:v>
      </x:c>
      <x:c r="AN100" s="301" t="s">
        <x:v>559</x:v>
      </x:c>
      <x:c r="AO100" s="301" t="s">
        <x:v>309</x:v>
      </x:c>
      <x:c r="AP100" s="301" t="str">
        <x:v>T-087; T-089; T-090</x:v>
      </x:c>
      <x:c r="AQ100" s="301"/>
    </x:row>
    <x:row r="101" ht="45.95000076293945" hidden="1" customHeight="1">
      <x:c r="A101" s="307" t="s">
        <x:v>675</x:v>
      </x:c>
      <x:c r="B101" s="307" t="s">
        <x:v>546</x:v>
      </x:c>
      <x:c r="C101" s="307" t="s">
        <x:v>631</x:v>
      </x:c>
      <x:c r="D101" s="308" t="s">
        <x:v>676</x:v>
      </x:c>
      <x:c r="E101" s="307" t="s">
        <x:v>106</x:v>
      </x:c>
      <x:c r="F101" s="307" t="s">
        <x:v>668</x:v>
      </x:c>
      <x:c r="G101" s="307" t="s">
        <x:v>46</x:v>
      </x:c>
      <x:c r="H101" s="308" t="s">
        <x:v>677</x:v>
      </x:c>
      <x:c r="I101" s="308" t="s">
        <x:v>678</x:v>
      </x:c>
      <x:c r="J101" s="307">
        <x:v>6</x:v>
      </x:c>
      <x:c r="K101" s="307" t="s">
        <x:v>328</x:v>
      </x:c>
      <x:c r="L101" s="303" t="s">
        <x:v>551</x:v>
      </x:c>
      <x:c r="M101" s="304" t="s">
        <x:v>552</x:v>
      </x:c>
      <x:c r="N101" s="304" t="s">
        <x:v>553</x:v>
      </x:c>
      <x:c r="O101" s="304" t="s">
        <x:v>679</x:v>
      </x:c>
      <x:c r="P101" s="305" t="s">
        <x:v>680</x:v>
      </x:c>
      <x:c r="Q101" s="300" t="str">
        <x:v>Not Started</x:v>
      </x:c>
      <x:c r="R101" s="300"/>
      <x:c r="S101" s="309" t="s">
        <x:v>356</x:v>
      </x:c>
      <x:c r="T101" s="309" t="s">
        <x:v>394</x:v>
      </x:c>
      <x:c r="U101" s="309" t="s">
        <x:v>673</x:v>
      </x:c>
      <x:c r="V101" s="300" t="s">
        <x:v>679</x:v>
      </x:c>
      <x:c r="W101" s="300" t="s">
        <x:v>552</x:v>
      </x:c>
      <x:c r="X101" s="310" t="s">
        <x:v>360</x:v>
      </x:c>
      <x:c r="Y101" s="300" t="str">
        <x:v>Deep design reconciliation 16-Aug-2026; Chapter 3/4 + Layer-B architecture + latest source/audit evidence</x:v>
      </x:c>
      <x:c r="Z101" s="301" t="s">
        <x:v>555</x:v>
      </x:c>
      <x:c r="AA101" s="301" t="s">
        <x:v>566</x:v>
      </x:c>
      <x:c r="AB101" s="301" t="s">
        <x:v>567</x:v>
      </x:c>
      <x:c r="AC101" s="301" t="s">
        <x:v>596</x:v>
      </x:c>
      <x:c r="AD101" s="301" t="s">
        <x:v>362</x:v>
      </x:c>
      <x:c r="AE101" s="301" t="s">
        <x:v>336</x:v>
      </x:c>
      <x:c r="AF101" s="301" t="s">
        <x:v>556</x:v>
      </x:c>
      <x:c r="AG101" s="301" t="s">
        <x:v>363</x:v>
      </x:c>
      <x:c r="AH101" s="302">
        <x:v>10</x:v>
      </x:c>
      <x:c r="AI101" s="302">
        <x:v>1.5</x:v>
      </x:c>
      <x:c r="AJ101" s="302">
        <x:f t="shared" si="6"/>
        <x:v>0.6</x:v>
      </x:c>
      <x:c r="AK101" s="302">
        <x:f t="shared" si="7"/>
        <x:v>0.89999999999999991</x:v>
      </x:c>
      <x:c r="AL101" s="301" t="s">
        <x:v>639</x:v>
      </x:c>
      <x:c r="AM101" s="301" t="s">
        <x:v>681</x:v>
      </x:c>
      <x:c r="AN101" s="301" t="s">
        <x:v>559</x:v>
      </x:c>
      <x:c r="AO101" s="301" t="s">
        <x:v>309</x:v>
      </x:c>
      <x:c r="AP101" s="301" t="str">
        <x:v>T-099</x:v>
      </x:c>
      <x:c r="AQ101" s="301"/>
    </x:row>
    <x:row r="102" ht="45.95000076293945" hidden="1" customHeight="1">
      <x:c r="A102" s="307" t="s">
        <x:v>682</x:v>
      </x:c>
      <x:c r="B102" s="307" t="s">
        <x:v>546</x:v>
      </x:c>
      <x:c r="C102" s="307" t="s">
        <x:v>631</x:v>
      </x:c>
      <x:c r="D102" s="308" t="s">
        <x:v>683</x:v>
      </x:c>
      <x:c r="E102" s="307" t="s">
        <x:v>68</x:v>
      </x:c>
      <x:c r="F102" s="307" t="s">
        <x:v>668</x:v>
      </x:c>
      <x:c r="G102" s="307" t="s">
        <x:v>118</x:v>
      </x:c>
      <x:c r="H102" s="308" t="s">
        <x:v>684</x:v>
      </x:c>
      <x:c r="I102" s="308" t="s">
        <x:v>685</x:v>
      </x:c>
      <x:c r="J102" s="307">
        <x:v>12</x:v>
      </x:c>
      <x:c r="K102" s="307" t="s">
        <x:v>328</x:v>
      </x:c>
      <x:c r="L102" s="303" t="s">
        <x:v>551</x:v>
      </x:c>
      <x:c r="M102" s="304" t="s">
        <x:v>552</x:v>
      </x:c>
      <x:c r="N102" s="304" t="s">
        <x:v>553</x:v>
      </x:c>
      <x:c r="O102" s="304" t="s">
        <x:v>686</x:v>
      </x:c>
      <x:c r="P102" s="305" t="s">
        <x:v>687</x:v>
      </x:c>
      <x:c r="Q102" s="300" t="str">
        <x:v>Not Started</x:v>
      </x:c>
      <x:c r="R102" s="300"/>
      <x:c r="S102" s="309" t="s">
        <x:v>356</x:v>
      </x:c>
      <x:c r="T102" s="309" t="s">
        <x:v>394</x:v>
      </x:c>
      <x:c r="U102" s="309" t="s">
        <x:v>673</x:v>
      </x:c>
      <x:c r="V102" s="300" t="s">
        <x:v>686</x:v>
      </x:c>
      <x:c r="W102" s="300" t="s">
        <x:v>552</x:v>
      </x:c>
      <x:c r="X102" s="310" t="s">
        <x:v>360</x:v>
      </x:c>
      <x:c r="Y102" s="300" t="str">
        <x:v>Deep design reconciliation 16-Aug-2026; Chapter 3/4 + Layer-B architecture + latest source/audit evidence</x:v>
      </x:c>
      <x:c r="Z102" s="301" t="s">
        <x:v>555</x:v>
      </x:c>
      <x:c r="AA102" s="301" t="s">
        <x:v>566</x:v>
      </x:c>
      <x:c r="AB102" s="301" t="s">
        <x:v>567</x:v>
      </x:c>
      <x:c r="AC102" s="301" t="s">
        <x:v>613</x:v>
      </x:c>
      <x:c r="AD102" s="301" t="s">
        <x:v>362</x:v>
      </x:c>
      <x:c r="AE102" s="301" t="s">
        <x:v>303</x:v>
      </x:c>
      <x:c r="AF102" s="301" t="s">
        <x:v>663</x:v>
      </x:c>
      <x:c r="AG102" s="301" t="s">
        <x:v>314</x:v>
      </x:c>
      <x:c r="AH102" s="302">
        <x:v>9</x:v>
      </x:c>
      <x:c r="AI102" s="302">
        <x:v>1.5</x:v>
      </x:c>
      <x:c r="AJ102" s="302">
        <x:f t="shared" si="6"/>
        <x:v>1.3333333333333333</x:v>
      </x:c>
      <x:c r="AK102" s="302">
        <x:f t="shared" si="7"/>
        <x:v>2</x:v>
      </x:c>
      <x:c r="AL102" s="301" t="s">
        <x:v>639</x:v>
      </x:c>
      <x:c r="AM102" s="301" t="s">
        <x:v>688</x:v>
      </x:c>
      <x:c r="AN102" s="301" t="s">
        <x:v>665</x:v>
      </x:c>
      <x:c r="AO102" s="301" t="s">
        <x:v>309</x:v>
      </x:c>
      <x:c r="AP102" s="301" t="str">
        <x:v>T-061; T-099; T-100</x:v>
      </x:c>
      <x:c r="AQ102" s="301"/>
    </x:row>
    <x:row r="103" ht="45.95000076293945" hidden="1" customHeight="1">
      <x:c r="A103" s="307" t="s">
        <x:v>689</x:v>
      </x:c>
      <x:c r="B103" s="307" t="s">
        <x:v>546</x:v>
      </x:c>
      <x:c r="C103" s="307" t="s">
        <x:v>631</x:v>
      </x:c>
      <x:c r="D103" s="308" t="s">
        <x:v>690</x:v>
      </x:c>
      <x:c r="E103" s="307" t="s">
        <x:v>106</x:v>
      </x:c>
      <x:c r="F103" s="307" t="s">
        <x:v>403</x:v>
      </x:c>
      <x:c r="G103" s="307" t="s">
        <x:v>118</x:v>
      </x:c>
      <x:c r="H103" s="308" t="s">
        <x:v>691</x:v>
      </x:c>
      <x:c r="I103" s="308" t="s">
        <x:v>692</x:v>
      </x:c>
      <x:c r="J103" s="307">
        <x:v>8</x:v>
      </x:c>
      <x:c r="K103" s="307" t="s">
        <x:v>328</x:v>
      </x:c>
      <x:c r="L103" s="303" t="s">
        <x:v>551</x:v>
      </x:c>
      <x:c r="M103" s="304" t="s">
        <x:v>552</x:v>
      </x:c>
      <x:c r="N103" s="304" t="s">
        <x:v>553</x:v>
      </x:c>
      <x:c r="O103" s="304" t="s">
        <x:v>693</x:v>
      </x:c>
      <x:c r="P103" s="305" t="s">
        <x:v>694</x:v>
      </x:c>
      <x:c r="Q103" s="300" t="str">
        <x:v>Not Started</x:v>
      </x:c>
      <x:c r="R103" s="300"/>
      <x:c r="S103" s="300" t="s">
        <x:v>55</x:v>
      </x:c>
      <x:c r="T103" s="300"/>
      <x:c r="U103" s="300"/>
      <x:c r="V103" s="300" t="s">
        <x:v>693</x:v>
      </x:c>
      <x:c r="W103" s="300" t="s">
        <x:v>552</x:v>
      </x:c>
      <x:c r="X103" s="300" t="s">
        <x:v>56</x:v>
      </x:c>
      <x:c r="Y103" s="300" t="str">
        <x:v>Deep design reconciliation 16-Aug-2026; Chapter 3/4 + Layer-B architecture + latest source/audit evidence</x:v>
      </x:c>
      <x:c r="Z103" s="301" t="s">
        <x:v>555</x:v>
      </x:c>
      <x:c r="AA103" s="301" t="s">
        <x:v>566</x:v>
      </x:c>
      <x:c r="AB103" s="301" t="s">
        <x:v>567</x:v>
      </x:c>
      <x:c r="AC103" s="301" t="s">
        <x:v>613</x:v>
      </x:c>
      <x:c r="AD103" s="301" t="s">
        <x:v>362</x:v>
      </x:c>
      <x:c r="AE103" s="301" t="s">
        <x:v>336</x:v>
      </x:c>
      <x:c r="AF103" s="301" t="s">
        <x:v>556</x:v>
      </x:c>
      <x:c r="AG103" s="301" t="s">
        <x:v>363</x:v>
      </x:c>
      <x:c r="AH103" s="302">
        <x:v>10</x:v>
      </x:c>
      <x:c r="AI103" s="302">
        <x:v>1.5</x:v>
      </x:c>
      <x:c r="AJ103" s="302">
        <x:f t="shared" si="6"/>
        <x:v>0.8</x:v>
      </x:c>
      <x:c r="AK103" s="302">
        <x:f t="shared" si="7"/>
        <x:v>1.2000000000000002</x:v>
      </x:c>
      <x:c r="AL103" s="301" t="s">
        <x:v>639</x:v>
      </x:c>
      <x:c r="AM103" s="301" t="s">
        <x:v>695</x:v>
      </x:c>
      <x:c r="AN103" s="301" t="s">
        <x:v>559</x:v>
      </x:c>
      <x:c r="AO103" s="301" t="s">
        <x:v>309</x:v>
      </x:c>
      <x:c r="AP103" s="301" t="str">
        <x:v>T-087; T-095</x:v>
      </x:c>
      <x:c r="AQ103" s="301"/>
    </x:row>
    <x:row r="104" ht="45.95000076293945" hidden="1" customHeight="1">
      <x:c r="A104" s="307" t="s">
        <x:v>696</x:v>
      </x:c>
      <x:c r="B104" s="307" t="s">
        <x:v>546</x:v>
      </x:c>
      <x:c r="C104" s="307" t="s">
        <x:v>631</x:v>
      </x:c>
      <x:c r="D104" s="308" t="s">
        <x:v>697</x:v>
      </x:c>
      <x:c r="E104" s="307" t="s">
        <x:v>106</x:v>
      </x:c>
      <x:c r="F104" s="307" t="s">
        <x:v>403</x:v>
      </x:c>
      <x:c r="G104" s="307" t="s">
        <x:v>118</x:v>
      </x:c>
      <x:c r="H104" s="308" t="s">
        <x:v>698</x:v>
      </x:c>
      <x:c r="I104" s="308" t="s">
        <x:v>699</x:v>
      </x:c>
      <x:c r="J104" s="307">
        <x:v>6</x:v>
      </x:c>
      <x:c r="K104" s="307" t="s">
        <x:v>328</x:v>
      </x:c>
      <x:c r="L104" s="303" t="s">
        <x:v>551</x:v>
      </x:c>
      <x:c r="M104" s="304" t="s">
        <x:v>552</x:v>
      </x:c>
      <x:c r="N104" s="304" t="s">
        <x:v>553</x:v>
      </x:c>
      <x:c r="O104" s="304" t="s">
        <x:v>700</x:v>
      </x:c>
      <x:c r="P104" s="305" t="s">
        <x:v>701</x:v>
      </x:c>
      <x:c r="Q104" s="300" t="str">
        <x:v>Not Started</x:v>
      </x:c>
      <x:c r="R104" s="300"/>
      <x:c r="S104" s="300" t="s">
        <x:v>55</x:v>
      </x:c>
      <x:c r="T104" s="300"/>
      <x:c r="U104" s="300"/>
      <x:c r="V104" s="300" t="s">
        <x:v>700</x:v>
      </x:c>
      <x:c r="W104" s="300" t="s">
        <x:v>552</x:v>
      </x:c>
      <x:c r="X104" s="300" t="s">
        <x:v>56</x:v>
      </x:c>
      <x:c r="Y104" s="300" t="str">
        <x:v>Deep design reconciliation 16-Aug-2026; Chapter 3/4 + Layer-B architecture + latest source/audit evidence</x:v>
      </x:c>
      <x:c r="Z104" s="301" t="s">
        <x:v>555</x:v>
      </x:c>
      <x:c r="AA104" s="301" t="s">
        <x:v>566</x:v>
      </x:c>
      <x:c r="AB104" s="301" t="s">
        <x:v>567</x:v>
      </x:c>
      <x:c r="AC104" s="301" t="s">
        <x:v>613</x:v>
      </x:c>
      <x:c r="AD104" s="301" t="s">
        <x:v>362</x:v>
      </x:c>
      <x:c r="AE104" s="301" t="s">
        <x:v>336</x:v>
      </x:c>
      <x:c r="AF104" s="301" t="s">
        <x:v>556</x:v>
      </x:c>
      <x:c r="AG104" s="301" t="s">
        <x:v>363</x:v>
      </x:c>
      <x:c r="AH104" s="302">
        <x:v>10</x:v>
      </x:c>
      <x:c r="AI104" s="302">
        <x:v>1.5</x:v>
      </x:c>
      <x:c r="AJ104" s="302">
        <x:f t="shared" si="6"/>
        <x:v>0.6</x:v>
      </x:c>
      <x:c r="AK104" s="302">
        <x:f t="shared" si="7"/>
        <x:v>0.89999999999999991</x:v>
      </x:c>
      <x:c r="AL104" s="301" t="s">
        <x:v>639</x:v>
      </x:c>
      <x:c r="AM104" s="301" t="s">
        <x:v>702</x:v>
      </x:c>
      <x:c r="AN104" s="301" t="s">
        <x:v>559</x:v>
      </x:c>
      <x:c r="AO104" s="301" t="s">
        <x:v>309</x:v>
      </x:c>
      <x:c r="AP104" s="301" t="str">
        <x:v>T-095; T-102</x:v>
      </x:c>
      <x:c r="AQ104" s="301"/>
    </x:row>
    <x:row r="105" ht="45.95000076293945" hidden="1" customHeight="1">
      <x:c r="A105" s="307" t="s">
        <x:v>703</x:v>
      </x:c>
      <x:c r="B105" s="307" t="s">
        <x:v>546</x:v>
      </x:c>
      <x:c r="C105" s="307" t="s">
        <x:v>631</x:v>
      </x:c>
      <x:c r="D105" s="308" t="s">
        <x:v>704</x:v>
      </x:c>
      <x:c r="E105" s="307" t="s">
        <x:v>106</x:v>
      </x:c>
      <x:c r="F105" s="307" t="s">
        <x:v>705</x:v>
      </x:c>
      <x:c r="G105" s="307" t="s">
        <x:v>46</x:v>
      </x:c>
      <x:c r="H105" s="308" t="s">
        <x:v>706</x:v>
      </x:c>
      <x:c r="I105" s="308" t="s">
        <x:v>707</x:v>
      </x:c>
      <x:c r="J105" s="307">
        <x:v>8</x:v>
      </x:c>
      <x:c r="K105" s="307" t="s">
        <x:v>328</x:v>
      </x:c>
      <x:c r="L105" s="303" t="s">
        <x:v>551</x:v>
      </x:c>
      <x:c r="M105" s="304" t="s">
        <x:v>552</x:v>
      </x:c>
      <x:c r="N105" s="304" t="s">
        <x:v>553</x:v>
      </x:c>
      <x:c r="O105" s="304" t="s">
        <x:v>708</x:v>
      </x:c>
      <x:c r="P105" s="305" t="s">
        <x:v>709</x:v>
      </x:c>
      <x:c r="Q105" s="300" t="str">
        <x:v>Not Started</x:v>
      </x:c>
      <x:c r="R105" s="300"/>
      <x:c r="S105" s="300" t="s">
        <x:v>55</x:v>
      </x:c>
      <x:c r="T105" s="300"/>
      <x:c r="U105" s="300"/>
      <x:c r="V105" s="300" t="s">
        <x:v>708</x:v>
      </x:c>
      <x:c r="W105" s="300" t="s">
        <x:v>552</x:v>
      </x:c>
      <x:c r="X105" s="300" t="s">
        <x:v>56</x:v>
      </x:c>
      <x:c r="Y105" s="300" t="str">
        <x:v>Deep design reconciliation 16-Aug-2026; Chapter 3/4 + Layer-B architecture + latest source/audit evidence</x:v>
      </x:c>
      <x:c r="Z105" s="301" t="s">
        <x:v>555</x:v>
      </x:c>
      <x:c r="AA105" s="301" t="s">
        <x:v>566</x:v>
      </x:c>
      <x:c r="AB105" s="301" t="s">
        <x:v>567</x:v>
      </x:c>
      <x:c r="AC105" s="301" t="s">
        <x:v>613</x:v>
      </x:c>
      <x:c r="AD105" s="301" t="s">
        <x:v>362</x:v>
      </x:c>
      <x:c r="AE105" s="301" t="s">
        <x:v>336</x:v>
      </x:c>
      <x:c r="AF105" s="301" t="s">
        <x:v>556</x:v>
      </x:c>
      <x:c r="AG105" s="301" t="s">
        <x:v>363</x:v>
      </x:c>
      <x:c r="AH105" s="302">
        <x:v>10</x:v>
      </x:c>
      <x:c r="AI105" s="302">
        <x:v>1.5</x:v>
      </x:c>
      <x:c r="AJ105" s="302">
        <x:f t="shared" si="6"/>
        <x:v>0.8</x:v>
      </x:c>
      <x:c r="AK105" s="302">
        <x:f t="shared" si="7"/>
        <x:v>1.2000000000000002</x:v>
      </x:c>
      <x:c r="AL105" s="301" t="s">
        <x:v>639</x:v>
      </x:c>
      <x:c r="AM105" s="301" t="s">
        <x:v>710</x:v>
      </x:c>
      <x:c r="AN105" s="301" t="s">
        <x:v>559</x:v>
      </x:c>
      <x:c r="AO105" s="301" t="s">
        <x:v>309</x:v>
      </x:c>
      <x:c r="AP105" s="301" t="str">
        <x:v>T-090; T-095; T-099</x:v>
      </x:c>
      <x:c r="AQ105" s="301"/>
    </x:row>
    <x:row r="106" ht="45.95000076293945" hidden="1" customHeight="1">
      <x:c r="A106" s="307" t="s">
        <x:v>711</x:v>
      </x:c>
      <x:c r="B106" s="307" t="s">
        <x:v>546</x:v>
      </x:c>
      <x:c r="C106" s="307" t="s">
        <x:v>631</x:v>
      </x:c>
      <x:c r="D106" s="308" t="s">
        <x:v>712</x:v>
      </x:c>
      <x:c r="E106" s="307" t="s">
        <x:v>106</x:v>
      </x:c>
      <x:c r="F106" s="307" t="s">
        <x:v>705</x:v>
      </x:c>
      <x:c r="G106" s="307" t="s">
        <x:v>46</x:v>
      </x:c>
      <x:c r="H106" s="308" t="s">
        <x:v>713</x:v>
      </x:c>
      <x:c r="I106" s="308" t="s">
        <x:v>714</x:v>
      </x:c>
      <x:c r="J106" s="307">
        <x:v>6</x:v>
      </x:c>
      <x:c r="K106" s="307" t="s">
        <x:v>328</x:v>
      </x:c>
      <x:c r="L106" s="303" t="s">
        <x:v>551</x:v>
      </x:c>
      <x:c r="M106" s="304" t="s">
        <x:v>552</x:v>
      </x:c>
      <x:c r="N106" s="304" t="s">
        <x:v>553</x:v>
      </x:c>
      <x:c r="O106" s="304" t="s">
        <x:v>715</x:v>
      </x:c>
      <x:c r="P106" s="305" t="s">
        <x:v>716</x:v>
      </x:c>
      <x:c r="Q106" s="300" t="str">
        <x:v>Not Started</x:v>
      </x:c>
      <x:c r="R106" s="300"/>
      <x:c r="S106" s="300" t="s">
        <x:v>55</x:v>
      </x:c>
      <x:c r="T106" s="300"/>
      <x:c r="U106" s="300"/>
      <x:c r="V106" s="300" t="s">
        <x:v>715</x:v>
      </x:c>
      <x:c r="W106" s="300" t="s">
        <x:v>552</x:v>
      </x:c>
      <x:c r="X106" s="300" t="s">
        <x:v>56</x:v>
      </x:c>
      <x:c r="Y106" s="300" t="str">
        <x:v>Deep design reconciliation 16-Aug-2026; Chapter 3/4 + Layer-B architecture + latest source/audit evidence</x:v>
      </x:c>
      <x:c r="Z106" s="301" t="s">
        <x:v>555</x:v>
      </x:c>
      <x:c r="AA106" s="301" t="s">
        <x:v>566</x:v>
      </x:c>
      <x:c r="AB106" s="301" t="s">
        <x:v>567</x:v>
      </x:c>
      <x:c r="AC106" s="301" t="s">
        <x:v>613</x:v>
      </x:c>
      <x:c r="AD106" s="301" t="s">
        <x:v>362</x:v>
      </x:c>
      <x:c r="AE106" s="301" t="s">
        <x:v>336</x:v>
      </x:c>
      <x:c r="AF106" s="301" t="s">
        <x:v>556</x:v>
      </x:c>
      <x:c r="AG106" s="301" t="s">
        <x:v>363</x:v>
      </x:c>
      <x:c r="AH106" s="302">
        <x:v>10</x:v>
      </x:c>
      <x:c r="AI106" s="302">
        <x:v>1.5</x:v>
      </x:c>
      <x:c r="AJ106" s="302">
        <x:f t="shared" si="6"/>
        <x:v>0.6</x:v>
      </x:c>
      <x:c r="AK106" s="302">
        <x:f t="shared" si="7"/>
        <x:v>0.89999999999999991</x:v>
      </x:c>
      <x:c r="AL106" s="301" t="s">
        <x:v>639</x:v>
      </x:c>
      <x:c r="AM106" s="301" t="s">
        <x:v>717</x:v>
      </x:c>
      <x:c r="AN106" s="301" t="s">
        <x:v>559</x:v>
      </x:c>
      <x:c r="AO106" s="301" t="s">
        <x:v>718</x:v>
      </x:c>
      <x:c r="AP106" s="301" t="str">
        <x:v>T-104</x:v>
      </x:c>
      <x:c r="AQ106" s="301"/>
    </x:row>
    <x:row r="107" ht="45.95000076293945" hidden="1" customHeight="1">
      <x:c r="A107" s="307" t="s">
        <x:v>719</x:v>
      </x:c>
      <x:c r="B107" s="307" t="s">
        <x:v>546</x:v>
      </x:c>
      <x:c r="C107" s="307" t="s">
        <x:v>720</x:v>
      </x:c>
      <x:c r="D107" s="308" t="s">
        <x:v>721</x:v>
      </x:c>
      <x:c r="E107" s="307" t="s">
        <x:v>106</x:v>
      </x:c>
      <x:c r="F107" s="307" t="s">
        <x:v>410</x:v>
      </x:c>
      <x:c r="G107" s="307" t="s">
        <x:v>46</x:v>
      </x:c>
      <x:c r="H107" s="308" t="s">
        <x:v>722</x:v>
      </x:c>
      <x:c r="I107" s="308" t="s">
        <x:v>723</x:v>
      </x:c>
      <x:c r="J107" s="307">
        <x:v>12</x:v>
      </x:c>
      <x:c r="K107" s="307" t="s">
        <x:v>328</x:v>
      </x:c>
      <x:c r="L107" s="303" t="s">
        <x:v>551</x:v>
      </x:c>
      <x:c r="M107" s="304" t="s">
        <x:v>552</x:v>
      </x:c>
      <x:c r="N107" s="304" t="s">
        <x:v>553</x:v>
      </x:c>
      <x:c r="O107" s="304" t="s">
        <x:v>724</x:v>
      </x:c>
      <x:c r="P107" s="305" t="s">
        <x:v>725</x:v>
      </x:c>
      <x:c r="Q107" s="300" t="str">
        <x:v>Not Started</x:v>
      </x:c>
      <x:c r="R107" s="300"/>
      <x:c r="S107" s="309" t="s">
        <x:v>356</x:v>
      </x:c>
      <x:c r="T107" s="309" t="s">
        <x:v>415</x:v>
      </x:c>
      <x:c r="U107" s="309" t="s">
        <x:v>416</x:v>
      </x:c>
      <x:c r="V107" s="300" t="s">
        <x:v>724</x:v>
      </x:c>
      <x:c r="W107" s="300" t="s">
        <x:v>552</x:v>
      </x:c>
      <x:c r="X107" s="310" t="s">
        <x:v>360</x:v>
      </x:c>
      <x:c r="Y107" s="300" t="str">
        <x:v>Deep design reconciliation 16-Aug-2026; Chapter 3/4 + Layer-B architecture + latest source/audit evidence</x:v>
      </x:c>
      <x:c r="Z107" s="301" t="s">
        <x:v>555</x:v>
      </x:c>
      <x:c r="AA107" s="301" t="s">
        <x:v>566</x:v>
      </x:c>
      <x:c r="AB107" s="301" t="s">
        <x:v>567</x:v>
      </x:c>
      <x:c r="AC107" s="301" t="s">
        <x:v>596</x:v>
      </x:c>
      <x:c r="AD107" s="301" t="s">
        <x:v>362</x:v>
      </x:c>
      <x:c r="AE107" s="301" t="s">
        <x:v>417</x:v>
      </x:c>
      <x:c r="AF107" s="301" t="s">
        <x:v>726</x:v>
      </x:c>
      <x:c r="AG107" s="301" t="s">
        <x:v>363</x:v>
      </x:c>
      <x:c r="AH107" s="302">
        <x:v>10</x:v>
      </x:c>
      <x:c r="AI107" s="302">
        <x:v>1.5</x:v>
      </x:c>
      <x:c r="AJ107" s="302">
        <x:f t="shared" si="6"/>
        <x:v>1.2</x:v>
      </x:c>
      <x:c r="AK107" s="302">
        <x:f t="shared" si="7"/>
        <x:v>1.7999999999999998</x:v>
      </x:c>
      <x:c r="AL107" s="301" t="s">
        <x:v>727</x:v>
      </x:c>
      <x:c r="AM107" s="301" t="s">
        <x:v>728</x:v>
      </x:c>
      <x:c r="AN107" s="301" t="s">
        <x:v>729</x:v>
      </x:c>
      <x:c r="AO107" s="301" t="s">
        <x:v>309</x:v>
      </x:c>
      <x:c r="AP107" s="301" t="str">
        <x:v>T-064; T-089; T-090</x:v>
      </x:c>
      <x:c r="AQ107" s="301"/>
    </x:row>
    <x:row r="108" ht="45.95000076293945" hidden="1" customHeight="1">
      <x:c r="A108" s="307" t="s">
        <x:v>730</x:v>
      </x:c>
      <x:c r="B108" s="307" t="s">
        <x:v>546</x:v>
      </x:c>
      <x:c r="C108" s="307" t="s">
        <x:v>720</x:v>
      </x:c>
      <x:c r="D108" s="308" t="s">
        <x:v>731</x:v>
      </x:c>
      <x:c r="E108" s="307" t="s">
        <x:v>106</x:v>
      </x:c>
      <x:c r="F108" s="307" t="s">
        <x:v>410</x:v>
      </x:c>
      <x:c r="G108" s="307" t="s">
        <x:v>46</x:v>
      </x:c>
      <x:c r="H108" s="308" t="s">
        <x:v>732</x:v>
      </x:c>
      <x:c r="I108" s="308" t="s">
        <x:v>733</x:v>
      </x:c>
      <x:c r="J108" s="307">
        <x:v>12</x:v>
      </x:c>
      <x:c r="K108" s="307" t="s">
        <x:v>328</x:v>
      </x:c>
      <x:c r="L108" s="303" t="s">
        <x:v>734</x:v>
      </x:c>
      <x:c r="M108" s="304" t="s">
        <x:v>735</x:v>
      </x:c>
      <x:c r="N108" s="304" t="s">
        <x:v>736</x:v>
      </x:c>
      <x:c r="O108" s="304" t="s">
        <x:v>737</x:v>
      </x:c>
      <x:c r="P108" s="305" t="s">
        <x:v>738</x:v>
      </x:c>
      <x:c r="Q108" s="300" t="str">
        <x:v>Not Started</x:v>
      </x:c>
      <x:c r="R108" s="300"/>
      <x:c r="S108" s="306" t="s">
        <x:v>297</x:v>
      </x:c>
      <x:c r="T108" s="306" t="s">
        <x:v>739</x:v>
      </x:c>
      <x:c r="U108" s="306" t="s">
        <x:v>740</x:v>
      </x:c>
      <x:c r="V108" s="300" t="s">
        <x:v>737</x:v>
      </x:c>
      <x:c r="W108" s="300" t="s">
        <x:v>735</x:v>
      </x:c>
      <x:c r="X108" s="306" t="s">
        <x:v>301</x:v>
      </x:c>
      <x:c r="Y108" s="300" t="str">
        <x:v>Deep design reconciliation 16-Aug-2026; Chapter 3/4 + Layer-B architecture + latest source/audit evidence</x:v>
      </x:c>
      <x:c r="Z108" s="301" t="s">
        <x:v>555</x:v>
      </x:c>
      <x:c r="AA108" s="301" t="s">
        <x:v>566</x:v>
      </x:c>
      <x:c r="AB108" s="301" t="s">
        <x:v>567</x:v>
      </x:c>
      <x:c r="AC108" s="301" t="s">
        <x:v>613</x:v>
      </x:c>
      <x:c r="AD108" s="301" t="s">
        <x:v>362</x:v>
      </x:c>
      <x:c r="AE108" s="301" t="s">
        <x:v>417</x:v>
      </x:c>
      <x:c r="AF108" s="301" t="s">
        <x:v>726</x:v>
      </x:c>
      <x:c r="AG108" s="301" t="s">
        <x:v>363</x:v>
      </x:c>
      <x:c r="AH108" s="302">
        <x:v>10</x:v>
      </x:c>
      <x:c r="AI108" s="302">
        <x:v>1.5</x:v>
      </x:c>
      <x:c r="AJ108" s="302">
        <x:f t="shared" si="6"/>
        <x:v>1.2</x:v>
      </x:c>
      <x:c r="AK108" s="302">
        <x:f t="shared" si="7"/>
        <x:v>1.7999999999999998</x:v>
      </x:c>
      <x:c r="AL108" s="301" t="s">
        <x:v>727</x:v>
      </x:c>
      <x:c r="AM108" s="301" t="s">
        <x:v>741</x:v>
      </x:c>
      <x:c r="AN108" s="301" t="s">
        <x:v>729</x:v>
      </x:c>
      <x:c r="AO108" s="301" t="s">
        <x:v>309</x:v>
      </x:c>
      <x:c r="AP108" s="301" t="str">
        <x:v>T-095; T-096; T-097; T-098; T-099; T-100; T-101; T-102; T-103; T-104; T-105; T-106</x:v>
      </x:c>
      <x:c r="AQ108" s="301"/>
    </x:row>
    <x:row r="109" ht="45.95000076293945" hidden="1" customHeight="1">
      <x:c r="A109" s="307" t="s">
        <x:v>742</x:v>
      </x:c>
      <x:c r="B109" s="307" t="s">
        <x:v>546</x:v>
      </x:c>
      <x:c r="C109" s="307" t="s">
        <x:v>720</x:v>
      </x:c>
      <x:c r="D109" s="308" t="s">
        <x:v>743</x:v>
      </x:c>
      <x:c r="E109" s="307" t="s">
        <x:v>106</x:v>
      </x:c>
      <x:c r="F109" s="307" t="s">
        <x:v>744</x:v>
      </x:c>
      <x:c r="G109" s="307" t="s">
        <x:v>46</x:v>
      </x:c>
      <x:c r="H109" s="308" t="s">
        <x:v>745</x:v>
      </x:c>
      <x:c r="I109" s="308" t="s">
        <x:v>746</x:v>
      </x:c>
      <x:c r="J109" s="307">
        <x:v>8</x:v>
      </x:c>
      <x:c r="K109" s="307" t="s">
        <x:v>328</x:v>
      </x:c>
      <x:c r="L109" s="303" t="s">
        <x:v>551</x:v>
      </x:c>
      <x:c r="M109" s="304" t="s">
        <x:v>552</x:v>
      </x:c>
      <x:c r="N109" s="304" t="s">
        <x:v>553</x:v>
      </x:c>
      <x:c r="O109" s="304" t="s">
        <x:v>554</x:v>
      </x:c>
      <x:c r="P109" s="305" t="s">
        <x:v>54</x:v>
      </x:c>
      <x:c r="Q109" s="300" t="str">
        <x:v>Not Started</x:v>
      </x:c>
      <x:c r="R109" s="300"/>
      <x:c r="S109" s="300" t="s">
        <x:v>55</x:v>
      </x:c>
      <x:c r="T109" s="300"/>
      <x:c r="U109" s="300"/>
      <x:c r="V109" s="300" t="s">
        <x:v>554</x:v>
      </x:c>
      <x:c r="W109" s="300" t="s">
        <x:v>552</x:v>
      </x:c>
      <x:c r="X109" s="300" t="s">
        <x:v>56</x:v>
      </x:c>
      <x:c r="Y109" s="300" t="str">
        <x:v>Deep design reconciliation 16-Aug-2026; Chapter 3/4 + Layer-B architecture + latest source/audit evidence</x:v>
      </x:c>
      <x:c r="Z109" s="301" t="s">
        <x:v>555</x:v>
      </x:c>
      <x:c r="AA109" s="301" t="s">
        <x:v>566</x:v>
      </x:c>
      <x:c r="AB109" s="301" t="s">
        <x:v>567</x:v>
      </x:c>
      <x:c r="AC109" s="301" t="s">
        <x:v>613</x:v>
      </x:c>
      <x:c r="AD109" s="301" t="s">
        <x:v>362</x:v>
      </x:c>
      <x:c r="AE109" s="301" t="s">
        <x:v>336</x:v>
      </x:c>
      <x:c r="AF109" s="301" t="s">
        <x:v>556</x:v>
      </x:c>
      <x:c r="AG109" s="301" t="s">
        <x:v>363</x:v>
      </x:c>
      <x:c r="AH109" s="302">
        <x:v>10</x:v>
      </x:c>
      <x:c r="AI109" s="302">
        <x:v>1.5</x:v>
      </x:c>
      <x:c r="AJ109" s="302">
        <x:f t="shared" si="6"/>
        <x:v>0.8</x:v>
      </x:c>
      <x:c r="AK109" s="302">
        <x:f t="shared" si="7"/>
        <x:v>1.2000000000000002</x:v>
      </x:c>
      <x:c r="AL109" s="301" t="s">
        <x:v>727</x:v>
      </x:c>
      <x:c r="AM109" s="301" t="s">
        <x:v>558</x:v>
      </x:c>
      <x:c r="AN109" s="301" t="s">
        <x:v>559</x:v>
      </x:c>
      <x:c r="AO109" s="301" t="s">
        <x:v>309</x:v>
      </x:c>
      <x:c r="AP109" s="301"/>
      <x:c r="AQ109" s="301"/>
    </x:row>
    <x:row r="110" ht="45.95000076293945" hidden="1" customHeight="1">
      <x:c r="A110" s="307" t="s">
        <x:v>747</x:v>
      </x:c>
      <x:c r="B110" s="307" t="s">
        <x:v>546</x:v>
      </x:c>
      <x:c r="C110" s="307" t="s">
        <x:v>720</x:v>
      </x:c>
      <x:c r="D110" s="308" t="s">
        <x:v>748</x:v>
      </x:c>
      <x:c r="E110" s="307" t="s">
        <x:v>106</x:v>
      </x:c>
      <x:c r="F110" s="307" t="s">
        <x:v>744</x:v>
      </x:c>
      <x:c r="G110" s="307" t="s">
        <x:v>46</x:v>
      </x:c>
      <x:c r="H110" s="308" t="s">
        <x:v>749</x:v>
      </x:c>
      <x:c r="I110" s="308" t="s">
        <x:v>750</x:v>
      </x:c>
      <x:c r="J110" s="307">
        <x:v>6</x:v>
      </x:c>
      <x:c r="K110" s="307" t="s">
        <x:v>328</x:v>
      </x:c>
      <x:c r="L110" s="303" t="s">
        <x:v>417</x:v>
      </x:c>
      <x:c r="M110" s="304" t="s">
        <x:v>751</x:v>
      </x:c>
      <x:c r="N110" s="304" t="s">
        <x:v>752</x:v>
      </x:c>
      <x:c r="O110" s="304" t="s">
        <x:v>753</x:v>
      </x:c>
      <x:c r="P110" s="305" t="s">
        <x:v>754</x:v>
      </x:c>
      <x:c r="Q110" s="300" t="str">
        <x:v>Not Started</x:v>
      </x:c>
      <x:c r="R110" s="300"/>
      <x:c r="S110" s="300" t="s">
        <x:v>55</x:v>
      </x:c>
      <x:c r="T110" s="300"/>
      <x:c r="U110" s="300"/>
      <x:c r="V110" s="300" t="s">
        <x:v>753</x:v>
      </x:c>
      <x:c r="W110" s="300" t="s">
        <x:v>755</x:v>
      </x:c>
      <x:c r="X110" s="300" t="s">
        <x:v>56</x:v>
      </x:c>
      <x:c r="Y110" s="300" t="str">
        <x:v>Deep design reconciliation 16-Aug-2026; Chapter 3/4 + Layer-B architecture + latest source/audit evidence</x:v>
      </x:c>
      <x:c r="Z110" s="301" t="s">
        <x:v>555</x:v>
      </x:c>
      <x:c r="AA110" s="301" t="s">
        <x:v>566</x:v>
      </x:c>
      <x:c r="AB110" s="301" t="s">
        <x:v>567</x:v>
      </x:c>
      <x:c r="AC110" s="301" t="s">
        <x:v>613</x:v>
      </x:c>
      <x:c r="AD110" s="301" t="s">
        <x:v>362</x:v>
      </x:c>
      <x:c r="AE110" s="301" t="s">
        <x:v>417</x:v>
      </x:c>
      <x:c r="AF110" s="301" t="s">
        <x:v>726</x:v>
      </x:c>
      <x:c r="AG110" s="301" t="s">
        <x:v>363</x:v>
      </x:c>
      <x:c r="AH110" s="302">
        <x:v>10</x:v>
      </x:c>
      <x:c r="AI110" s="302">
        <x:v>1.5</x:v>
      </x:c>
      <x:c r="AJ110" s="302">
        <x:f t="shared" si="6"/>
        <x:v>0.6</x:v>
      </x:c>
      <x:c r="AK110" s="302">
        <x:f t="shared" si="7"/>
        <x:v>0.89999999999999991</x:v>
      </x:c>
      <x:c r="AL110" s="301" t="s">
        <x:v>727</x:v>
      </x:c>
      <x:c r="AM110" s="301" t="s">
        <x:v>756</x:v>
      </x:c>
      <x:c r="AN110" s="301" t="s">
        <x:v>729</x:v>
      </x:c>
      <x:c r="AO110" s="301" t="s">
        <x:v>309</x:v>
      </x:c>
      <x:c r="AP110" s="301" t="str">
        <x:v>T-095; T-096; T-097; T-098; T-099; T-100; T-101; T-102; T-103; T-104; T-105; T-108</x:v>
      </x:c>
      <x:c r="AQ110" s="301"/>
    </x:row>
    <x:row r="111" ht="45.95000076293945" hidden="1" customHeight="1">
      <x:c r="A111" s="307" t="s">
        <x:v>757</x:v>
      </x:c>
      <x:c r="B111" s="307" t="s">
        <x:v>546</x:v>
      </x:c>
      <x:c r="C111" s="307" t="s">
        <x:v>720</x:v>
      </x:c>
      <x:c r="D111" s="308" t="s">
        <x:v>758</x:v>
      </x:c>
      <x:c r="E111" s="307" t="s">
        <x:v>106</x:v>
      </x:c>
      <x:c r="F111" s="307" t="s">
        <x:v>744</x:v>
      </x:c>
      <x:c r="G111" s="307" t="s">
        <x:v>46</x:v>
      </x:c>
      <x:c r="H111" s="308" t="s">
        <x:v>759</x:v>
      </x:c>
      <x:c r="I111" s="308" t="s">
        <x:v>760</x:v>
      </x:c>
      <x:c r="J111" s="307">
        <x:v>12</x:v>
      </x:c>
      <x:c r="K111" s="307" t="s">
        <x:v>328</x:v>
      </x:c>
      <x:c r="L111" s="303" t="s">
        <x:v>551</x:v>
      </x:c>
      <x:c r="M111" s="304" t="s">
        <x:v>552</x:v>
      </x:c>
      <x:c r="N111" s="304" t="s">
        <x:v>553</x:v>
      </x:c>
      <x:c r="O111" s="304" t="s">
        <x:v>554</x:v>
      </x:c>
      <x:c r="P111" s="305" t="s">
        <x:v>54</x:v>
      </x:c>
      <x:c r="Q111" s="300" t="str">
        <x:v>Not Started</x:v>
      </x:c>
      <x:c r="R111" s="300"/>
      <x:c r="S111" s="300" t="s">
        <x:v>55</x:v>
      </x:c>
      <x:c r="T111" s="300"/>
      <x:c r="U111" s="300"/>
      <x:c r="V111" s="300" t="s">
        <x:v>554</x:v>
      </x:c>
      <x:c r="W111" s="300" t="s">
        <x:v>552</x:v>
      </x:c>
      <x:c r="X111" s="300" t="s">
        <x:v>56</x:v>
      </x:c>
      <x:c r="Y111" s="300" t="str">
        <x:v>Deep design reconciliation 16-Aug-2026; Chapter 3/4 + Layer-B architecture + latest source/audit evidence</x:v>
      </x:c>
      <x:c r="Z111" s="301" t="s">
        <x:v>555</x:v>
      </x:c>
      <x:c r="AA111" s="301" t="s">
        <x:v>566</x:v>
      </x:c>
      <x:c r="AB111" s="301" t="s">
        <x:v>567</x:v>
      </x:c>
      <x:c r="AC111" s="301" t="s">
        <x:v>613</x:v>
      </x:c>
      <x:c r="AD111" s="301" t="s">
        <x:v>362</x:v>
      </x:c>
      <x:c r="AE111" s="301" t="s">
        <x:v>336</x:v>
      </x:c>
      <x:c r="AF111" s="301" t="s">
        <x:v>556</x:v>
      </x:c>
      <x:c r="AG111" s="301" t="s">
        <x:v>363</x:v>
      </x:c>
      <x:c r="AH111" s="302">
        <x:v>10</x:v>
      </x:c>
      <x:c r="AI111" s="302">
        <x:v>1.5</x:v>
      </x:c>
      <x:c r="AJ111" s="302">
        <x:f t="shared" si="6"/>
        <x:v>1.2</x:v>
      </x:c>
      <x:c r="AK111" s="302">
        <x:f t="shared" si="7"/>
        <x:v>1.7999999999999998</x:v>
      </x:c>
      <x:c r="AL111" s="301" t="s">
        <x:v>727</x:v>
      </x:c>
      <x:c r="AM111" s="301" t="s">
        <x:v>558</x:v>
      </x:c>
      <x:c r="AN111" s="301" t="s">
        <x:v>559</x:v>
      </x:c>
      <x:c r="AO111" s="301" t="s">
        <x:v>309</x:v>
      </x:c>
      <x:c r="AP111" s="301"/>
      <x:c r="AQ111" s="301"/>
    </x:row>
    <x:row r="112" ht="45.95000076293945" hidden="1" customHeight="1">
      <x:c r="A112" s="307" t="s">
        <x:v>761</x:v>
      </x:c>
      <x:c r="B112" s="307" t="s">
        <x:v>546</x:v>
      </x:c>
      <x:c r="C112" s="307" t="s">
        <x:v>720</x:v>
      </x:c>
      <x:c r="D112" s="308" t="s">
        <x:v>762</x:v>
      </x:c>
      <x:c r="E112" s="307" t="s">
        <x:v>73</x:v>
      </x:c>
      <x:c r="F112" s="307" t="s">
        <x:v>763</x:v>
      </x:c>
      <x:c r="G112" s="307" t="s">
        <x:v>118</x:v>
      </x:c>
      <x:c r="H112" s="308" t="s">
        <x:v>764</x:v>
      </x:c>
      <x:c r="I112" s="308" t="s">
        <x:v>765</x:v>
      </x:c>
      <x:c r="J112" s="307">
        <x:v>12</x:v>
      </x:c>
      <x:c r="K112" s="307" t="s">
        <x:v>328</x:v>
      </x:c>
      <x:c r="L112" s="303" t="s">
        <x:v>551</x:v>
      </x:c>
      <x:c r="M112" s="304" t="s">
        <x:v>552</x:v>
      </x:c>
      <x:c r="N112" s="304" t="s">
        <x:v>553</x:v>
      </x:c>
      <x:c r="O112" s="304" t="s">
        <x:v>554</x:v>
      </x:c>
      <x:c r="P112" s="305" t="s">
        <x:v>54</x:v>
      </x:c>
      <x:c r="Q112" s="300" t="str">
        <x:v>Not Started</x:v>
      </x:c>
      <x:c r="R112" s="300"/>
      <x:c r="S112" s="300" t="s">
        <x:v>55</x:v>
      </x:c>
      <x:c r="T112" s="300"/>
      <x:c r="U112" s="300"/>
      <x:c r="V112" s="300" t="s">
        <x:v>554</x:v>
      </x:c>
      <x:c r="W112" s="300" t="s">
        <x:v>552</x:v>
      </x:c>
      <x:c r="X112" s="300" t="s">
        <x:v>56</x:v>
      </x:c>
      <x:c r="Y112" s="300" t="str">
        <x:v>Deep design reconciliation 16-Aug-2026; Chapter 3/4 + Layer-B architecture + latest source/audit evidence</x:v>
      </x:c>
      <x:c r="Z112" s="301" t="s">
        <x:v>555</x:v>
      </x:c>
      <x:c r="AA112" s="301" t="s">
        <x:v>566</x:v>
      </x:c>
      <x:c r="AB112" s="301" t="s">
        <x:v>567</x:v>
      </x:c>
      <x:c r="AC112" s="301" t="s">
        <x:v>613</x:v>
      </x:c>
      <x:c r="AD112" s="301" t="s">
        <x:v>362</x:v>
      </x:c>
      <x:c r="AE112" s="301" t="s">
        <x:v>336</x:v>
      </x:c>
      <x:c r="AF112" s="301" t="s">
        <x:v>556</x:v>
      </x:c>
      <x:c r="AG112" s="301" t="s">
        <x:v>538</x:v>
      </x:c>
      <x:c r="AH112" s="302">
        <x:v>6</x:v>
      </x:c>
      <x:c r="AI112" s="302">
        <x:v>1.6</x:v>
      </x:c>
      <x:c r="AJ112" s="302">
        <x:f t="shared" si="6"/>
        <x:v>2</x:v>
      </x:c>
      <x:c r="AK112" s="302">
        <x:f t="shared" si="7"/>
        <x:v>3.2</x:v>
      </x:c>
      <x:c r="AL112" s="301" t="s">
        <x:v>727</x:v>
      </x:c>
      <x:c r="AM112" s="301" t="s">
        <x:v>558</x:v>
      </x:c>
      <x:c r="AN112" s="301" t="s">
        <x:v>559</x:v>
      </x:c>
      <x:c r="AO112" s="301" t="s">
        <x:v>309</x:v>
      </x:c>
      <x:c r="AP112" s="301"/>
      <x:c r="AQ112" s="301"/>
    </x:row>
    <x:row r="113" ht="45.95000076293945" hidden="1" customHeight="1">
      <x:c r="A113" s="307" t="s">
        <x:v>766</x:v>
      </x:c>
      <x:c r="B113" s="307" t="s">
        <x:v>546</x:v>
      </x:c>
      <x:c r="C113" s="307" t="s">
        <x:v>720</x:v>
      </x:c>
      <x:c r="D113" s="308" t="s">
        <x:v>767</x:v>
      </x:c>
      <x:c r="E113" s="307" t="s">
        <x:v>86</x:v>
      </x:c>
      <x:c r="F113" s="307" t="s">
        <x:v>768</x:v>
      </x:c>
      <x:c r="G113" s="307" t="s">
        <x:v>46</x:v>
      </x:c>
      <x:c r="H113" s="308" t="s">
        <x:v>769</x:v>
      </x:c>
      <x:c r="I113" s="308" t="s">
        <x:v>770</x:v>
      </x:c>
      <x:c r="J113" s="307">
        <x:v>12</x:v>
      </x:c>
      <x:c r="K113" s="307" t="s">
        <x:v>328</x:v>
      </x:c>
      <x:c r="L113" s="303" t="s">
        <x:v>551</x:v>
      </x:c>
      <x:c r="M113" s="304" t="s">
        <x:v>552</x:v>
      </x:c>
      <x:c r="N113" s="304" t="s">
        <x:v>553</x:v>
      </x:c>
      <x:c r="O113" s="304" t="str">
        <x:v>T-087; T-088</x:v>
      </x:c>
      <x:c r="P113" s="305" t="s">
        <x:v>771</x:v>
      </x:c>
      <x:c r="Q113" s="300" t="str">
        <x:v>Not Started</x:v>
      </x:c>
      <x:c r="R113" s="300"/>
      <x:c r="S113" s="309" t="s">
        <x:v>356</x:v>
      </x:c>
      <x:c r="T113" s="309" t="s">
        <x:v>772</x:v>
      </x:c>
      <x:c r="U113" s="309" t="s">
        <x:v>773</x:v>
      </x:c>
      <x:c r="V113" s="300" t="s">
        <x:v>774</x:v>
      </x:c>
      <x:c r="W113" s="300" t="s">
        <x:v>552</x:v>
      </x:c>
      <x:c r="X113" s="310" t="s">
        <x:v>360</x:v>
      </x:c>
      <x:c r="Y113" s="300" t="str">
        <x:v>Deep design reconciliation 16-Aug-2026; Chapter 3/4 + Layer-B architecture + latest source/audit evidence</x:v>
      </x:c>
      <x:c r="Z113" s="301" t="s">
        <x:v>555</x:v>
      </x:c>
      <x:c r="AA113" s="301" t="s">
        <x:v>566</x:v>
      </x:c>
      <x:c r="AB113" s="301" t="s">
        <x:v>567</x:v>
      </x:c>
      <x:c r="AC113" s="301" t="s">
        <x:v>775</x:v>
      </x:c>
      <x:c r="AD113" s="301" t="s">
        <x:v>362</x:v>
      </x:c>
      <x:c r="AE113" s="301" t="s">
        <x:v>336</x:v>
      </x:c>
      <x:c r="AF113" s="301" t="s">
        <x:v>556</x:v>
      </x:c>
      <x:c r="AG113" s="301" t="s">
        <x:v>564</x:v>
      </x:c>
      <x:c r="AH113" s="302">
        <x:v>8</x:v>
      </x:c>
      <x:c r="AI113" s="302">
        <x:v>1.55</x:v>
      </x:c>
      <x:c r="AJ113" s="302">
        <x:f t="shared" si="6"/>
        <x:v>1.5</x:v>
      </x:c>
      <x:c r="AK113" s="302">
        <x:f t="shared" si="7"/>
        <x:v>2.3250000000000002</x:v>
      </x:c>
      <x:c r="AL113" s="301" t="s">
        <x:v>727</x:v>
      </x:c>
      <x:c r="AM113" s="301" t="s">
        <x:v>776</x:v>
      </x:c>
      <x:c r="AN113" s="301" t="s">
        <x:v>559</x:v>
      </x:c>
      <x:c r="AO113" s="301" t="s">
        <x:v>718</x:v>
      </x:c>
      <x:c r="AP113" s="301" t="str">
        <x:v>T-087; T-088</x:v>
      </x:c>
      <x:c r="AQ113" s="301" t="str">
        <x:v>T-128; T-129; T-130; T-135; T-139; T-221; T-230</x:v>
      </x:c>
    </x:row>
    <x:row r="114" ht="45.95000076293945" hidden="1" customHeight="1">
      <x:c r="A114" s="307" t="s">
        <x:v>777</x:v>
      </x:c>
      <x:c r="B114" s="307" t="s">
        <x:v>546</x:v>
      </x:c>
      <x:c r="C114" s="307" t="s">
        <x:v>720</x:v>
      </x:c>
      <x:c r="D114" s="308" t="s">
        <x:v>778</x:v>
      </x:c>
      <x:c r="E114" s="307" t="s">
        <x:v>106</x:v>
      </x:c>
      <x:c r="F114" s="307" t="s">
        <x:v>768</x:v>
      </x:c>
      <x:c r="G114" s="307" t="s">
        <x:v>118</x:v>
      </x:c>
      <x:c r="H114" s="308" t="s">
        <x:v>779</x:v>
      </x:c>
      <x:c r="I114" s="308" t="s">
        <x:v>780</x:v>
      </x:c>
      <x:c r="J114" s="307">
        <x:v>8</x:v>
      </x:c>
      <x:c r="K114" s="307" t="s">
        <x:v>328</x:v>
      </x:c>
      <x:c r="L114" s="303" t="s">
        <x:v>551</x:v>
      </x:c>
      <x:c r="M114" s="304" t="s">
        <x:v>552</x:v>
      </x:c>
      <x:c r="N114" s="304" t="s">
        <x:v>553</x:v>
      </x:c>
      <x:c r="O114" s="304" t="s">
        <x:v>554</x:v>
      </x:c>
      <x:c r="P114" s="305" t="s">
        <x:v>54</x:v>
      </x:c>
      <x:c r="Q114" s="300" t="str">
        <x:v>Not Started</x:v>
      </x:c>
      <x:c r="R114" s="300"/>
      <x:c r="S114" s="309" t="s">
        <x:v>356</x:v>
      </x:c>
      <x:c r="T114" s="309" t="s">
        <x:v>781</x:v>
      </x:c>
      <x:c r="U114" s="309" t="s">
        <x:v>782</x:v>
      </x:c>
      <x:c r="V114" s="300" t="s">
        <x:v>554</x:v>
      </x:c>
      <x:c r="W114" s="300" t="s">
        <x:v>552</x:v>
      </x:c>
      <x:c r="X114" s="310" t="s">
        <x:v>360</x:v>
      </x:c>
      <x:c r="Y114" s="300" t="str">
        <x:v>Deep design reconciliation 16-Aug-2026; Chapter 3/4 + Layer-B architecture + latest source/audit evidence</x:v>
      </x:c>
      <x:c r="Z114" s="301" t="s">
        <x:v>555</x:v>
      </x:c>
      <x:c r="AA114" s="301" t="s">
        <x:v>566</x:v>
      </x:c>
      <x:c r="AB114" s="301" t="s">
        <x:v>567</x:v>
      </x:c>
      <x:c r="AC114" s="301" t="s">
        <x:v>613</x:v>
      </x:c>
      <x:c r="AD114" s="301" t="s">
        <x:v>362</x:v>
      </x:c>
      <x:c r="AE114" s="301" t="s">
        <x:v>336</x:v>
      </x:c>
      <x:c r="AF114" s="301" t="s">
        <x:v>556</x:v>
      </x:c>
      <x:c r="AG114" s="301" t="s">
        <x:v>363</x:v>
      </x:c>
      <x:c r="AH114" s="302">
        <x:v>10</x:v>
      </x:c>
      <x:c r="AI114" s="302">
        <x:v>1.5</x:v>
      </x:c>
      <x:c r="AJ114" s="302">
        <x:f t="shared" si="6"/>
        <x:v>0.8</x:v>
      </x:c>
      <x:c r="AK114" s="302">
        <x:f t="shared" si="7"/>
        <x:v>1.2000000000000002</x:v>
      </x:c>
      <x:c r="AL114" s="301" t="s">
        <x:v>727</x:v>
      </x:c>
      <x:c r="AM114" s="301" t="s">
        <x:v>558</x:v>
      </x:c>
      <x:c r="AN114" s="301" t="s">
        <x:v>559</x:v>
      </x:c>
      <x:c r="AO114" s="301" t="s">
        <x:v>309</x:v>
      </x:c>
      <x:c r="AP114" s="301"/>
      <x:c r="AQ114" s="301"/>
    </x:row>
    <x:row r="115" ht="45.95000076293945" hidden="1" customHeight="1">
      <x:c r="A115" s="307" t="s">
        <x:v>783</x:v>
      </x:c>
      <x:c r="B115" s="307" t="s">
        <x:v>546</x:v>
      </x:c>
      <x:c r="C115" s="307" t="s">
        <x:v>720</x:v>
      </x:c>
      <x:c r="D115" s="308" t="s">
        <x:v>784</x:v>
      </x:c>
      <x:c r="E115" s="307" t="s">
        <x:v>106</x:v>
      </x:c>
      <x:c r="F115" s="307" t="s">
        <x:v>768</x:v>
      </x:c>
      <x:c r="G115" s="307" t="s">
        <x:v>118</x:v>
      </x:c>
      <x:c r="H115" s="308" t="s">
        <x:v>785</x:v>
      </x:c>
      <x:c r="I115" s="308" t="s">
        <x:v>786</x:v>
      </x:c>
      <x:c r="J115" s="307">
        <x:v>6</x:v>
      </x:c>
      <x:c r="K115" s="307" t="s">
        <x:v>328</x:v>
      </x:c>
      <x:c r="L115" s="303" t="s">
        <x:v>551</x:v>
      </x:c>
      <x:c r="M115" s="304" t="s">
        <x:v>552</x:v>
      </x:c>
      <x:c r="N115" s="304" t="s">
        <x:v>553</x:v>
      </x:c>
      <x:c r="O115" s="304" t="str">
        <x:v>T-087; T-089; T-090; T-095; T-099</x:v>
      </x:c>
      <x:c r="P115" s="305" t="s">
        <x:v>771</x:v>
      </x:c>
      <x:c r="Q115" s="300" t="str">
        <x:v>Not Started</x:v>
      </x:c>
      <x:c r="R115" s="300"/>
      <x:c r="S115" s="309" t="s">
        <x:v>356</x:v>
      </x:c>
      <x:c r="T115" s="309" t="s">
        <x:v>772</x:v>
      </x:c>
      <x:c r="U115" s="309" t="s">
        <x:v>773</x:v>
      </x:c>
      <x:c r="V115" s="300" t="s">
        <x:v>787</x:v>
      </x:c>
      <x:c r="W115" s="300" t="s">
        <x:v>552</x:v>
      </x:c>
      <x:c r="X115" s="310" t="s">
        <x:v>360</x:v>
      </x:c>
      <x:c r="Y115" s="300" t="str">
        <x:v>Deep design reconciliation 16-Aug-2026; Chapter 3/4 + Layer-B architecture + latest source/audit evidence</x:v>
      </x:c>
      <x:c r="Z115" s="301" t="s">
        <x:v>555</x:v>
      </x:c>
      <x:c r="AA115" s="301" t="s">
        <x:v>566</x:v>
      </x:c>
      <x:c r="AB115" s="301" t="s">
        <x:v>567</x:v>
      </x:c>
      <x:c r="AC115" s="301" t="s">
        <x:v>775</x:v>
      </x:c>
      <x:c r="AD115" s="301" t="s">
        <x:v>362</x:v>
      </x:c>
      <x:c r="AE115" s="301" t="s">
        <x:v>336</x:v>
      </x:c>
      <x:c r="AF115" s="301" t="s">
        <x:v>556</x:v>
      </x:c>
      <x:c r="AG115" s="301" t="s">
        <x:v>363</x:v>
      </x:c>
      <x:c r="AH115" s="302">
        <x:v>10</x:v>
      </x:c>
      <x:c r="AI115" s="302">
        <x:v>1.5</x:v>
      </x:c>
      <x:c r="AJ115" s="302">
        <x:f t="shared" si="6"/>
        <x:v>0.6</x:v>
      </x:c>
      <x:c r="AK115" s="302">
        <x:f t="shared" si="7"/>
        <x:v>0.89999999999999991</x:v>
      </x:c>
      <x:c r="AL115" s="301" t="s">
        <x:v>727</x:v>
      </x:c>
      <x:c r="AM115" s="301" t="s">
        <x:v>788</x:v>
      </x:c>
      <x:c r="AN115" s="301" t="s">
        <x:v>559</x:v>
      </x:c>
      <x:c r="AO115" s="301" t="s">
        <x:v>718</x:v>
      </x:c>
      <x:c r="AP115" s="301" t="str">
        <x:v>T-087; T-089; T-090; T-095; T-099</x:v>
      </x:c>
      <x:c r="AQ115" s="301" t="str">
        <x:v>T-128; T-129; T-130; T-135; T-139; T-221; T-230</x:v>
      </x:c>
    </x:row>
    <x:row r="116" ht="45.95000076293945" hidden="1" customHeight="1">
      <x:c r="A116" s="307" t="s">
        <x:v>789</x:v>
      </x:c>
      <x:c r="B116" s="307" t="s">
        <x:v>546</x:v>
      </x:c>
      <x:c r="C116" s="307" t="s">
        <x:v>720</x:v>
      </x:c>
      <x:c r="D116" s="308" t="s">
        <x:v>790</x:v>
      </x:c>
      <x:c r="E116" s="307" t="s">
        <x:v>86</x:v>
      </x:c>
      <x:c r="F116" s="307" t="s">
        <x:v>570</x:v>
      </x:c>
      <x:c r="G116" s="307" t="s">
        <x:v>118</x:v>
      </x:c>
      <x:c r="H116" s="308" t="s">
        <x:v>791</x:v>
      </x:c>
      <x:c r="I116" s="308" t="s">
        <x:v>792</x:v>
      </x:c>
      <x:c r="J116" s="307">
        <x:v>4</x:v>
      </x:c>
      <x:c r="K116" s="307" t="s">
        <x:v>328</x:v>
      </x:c>
      <x:c r="L116" s="303" t="s">
        <x:v>551</x:v>
      </x:c>
      <x:c r="M116" s="304" t="s">
        <x:v>552</x:v>
      </x:c>
      <x:c r="N116" s="304" t="s">
        <x:v>553</x:v>
      </x:c>
      <x:c r="O116" s="304" t="s">
        <x:v>554</x:v>
      </x:c>
      <x:c r="P116" s="305" t="s">
        <x:v>54</x:v>
      </x:c>
      <x:c r="Q116" s="300" t="str">
        <x:v>Not Started</x:v>
      </x:c>
      <x:c r="R116" s="300"/>
      <x:c r="S116" s="309" t="s">
        <x:v>356</x:v>
      </x:c>
      <x:c r="T116" s="309" t="s">
        <x:v>584</x:v>
      </x:c>
      <x:c r="U116" s="309" t="s">
        <x:v>585</x:v>
      </x:c>
      <x:c r="V116" s="300" t="s">
        <x:v>554</x:v>
      </x:c>
      <x:c r="W116" s="300" t="s">
        <x:v>552</x:v>
      </x:c>
      <x:c r="X116" s="310" t="s">
        <x:v>360</x:v>
      </x:c>
      <x:c r="Y116" s="300" t="str">
        <x:v>Deep design reconciliation 16-Aug-2026; Chapter 3/4 + Layer-B architecture + latest source/audit evidence</x:v>
      </x:c>
      <x:c r="Z116" s="301" t="s">
        <x:v>555</x:v>
      </x:c>
      <x:c r="AA116" s="301" t="s">
        <x:v>566</x:v>
      </x:c>
      <x:c r="AB116" s="301" t="s">
        <x:v>567</x:v>
      </x:c>
      <x:c r="AC116" s="301" t="s">
        <x:v>613</x:v>
      </x:c>
      <x:c r="AD116" s="301" t="s">
        <x:v>362</x:v>
      </x:c>
      <x:c r="AE116" s="301" t="s">
        <x:v>336</x:v>
      </x:c>
      <x:c r="AF116" s="301" t="s">
        <x:v>556</x:v>
      </x:c>
      <x:c r="AG116" s="301" t="s">
        <x:v>564</x:v>
      </x:c>
      <x:c r="AH116" s="302">
        <x:v>8</x:v>
      </x:c>
      <x:c r="AI116" s="302">
        <x:v>1.55</x:v>
      </x:c>
      <x:c r="AJ116" s="302">
        <x:f t="shared" si="6"/>
        <x:v>0.5</x:v>
      </x:c>
      <x:c r="AK116" s="302">
        <x:f t="shared" si="7"/>
        <x:v>0.77500000000000002</x:v>
      </x:c>
      <x:c r="AL116" s="301" t="s">
        <x:v>727</x:v>
      </x:c>
      <x:c r="AM116" s="301" t="s">
        <x:v>558</x:v>
      </x:c>
      <x:c r="AN116" s="301" t="s">
        <x:v>559</x:v>
      </x:c>
      <x:c r="AO116" s="301" t="s">
        <x:v>309</x:v>
      </x:c>
      <x:c r="AP116" s="301"/>
      <x:c r="AQ116" s="301"/>
    </x:row>
    <x:row r="117" ht="45.95000076293945" hidden="1" customHeight="1">
      <x:c r="A117" s="307" t="s">
        <x:v>793</x:v>
      </x:c>
      <x:c r="B117" s="307" t="s">
        <x:v>546</x:v>
      </x:c>
      <x:c r="C117" s="307" t="s">
        <x:v>720</x:v>
      </x:c>
      <x:c r="D117" s="308" t="s">
        <x:v>794</x:v>
      </x:c>
      <x:c r="E117" s="307" t="s">
        <x:v>106</x:v>
      </x:c>
      <x:c r="F117" s="307" t="s">
        <x:v>795</x:v>
      </x:c>
      <x:c r="G117" s="307" t="s">
        <x:v>118</x:v>
      </x:c>
      <x:c r="H117" s="308" t="s">
        <x:v>796</x:v>
      </x:c>
      <x:c r="I117" s="308" t="s">
        <x:v>797</x:v>
      </x:c>
      <x:c r="J117" s="307">
        <x:v>8</x:v>
      </x:c>
      <x:c r="K117" s="307" t="s">
        <x:v>328</x:v>
      </x:c>
      <x:c r="L117" s="303" t="s">
        <x:v>551</x:v>
      </x:c>
      <x:c r="M117" s="304" t="s">
        <x:v>552</x:v>
      </x:c>
      <x:c r="N117" s="304" t="s">
        <x:v>553</x:v>
      </x:c>
      <x:c r="O117" s="304" t="s">
        <x:v>554</x:v>
      </x:c>
      <x:c r="P117" s="305" t="s">
        <x:v>54</x:v>
      </x:c>
      <x:c r="Q117" s="300" t="str">
        <x:v>Not Started</x:v>
      </x:c>
      <x:c r="R117" s="300"/>
      <x:c r="S117" s="309" t="s">
        <x:v>356</x:v>
      </x:c>
      <x:c r="T117" s="309" t="s">
        <x:v>798</x:v>
      </x:c>
      <x:c r="U117" s="309" t="s">
        <x:v>799</x:v>
      </x:c>
      <x:c r="V117" s="300" t="s">
        <x:v>554</x:v>
      </x:c>
      <x:c r="W117" s="300" t="s">
        <x:v>552</x:v>
      </x:c>
      <x:c r="X117" s="310" t="s">
        <x:v>360</x:v>
      </x:c>
      <x:c r="Y117" s="300" t="str">
        <x:v>Deep design reconciliation 16-Aug-2026; Chapter 3/4 + Layer-B architecture + latest source/audit evidence</x:v>
      </x:c>
      <x:c r="Z117" s="301" t="s">
        <x:v>555</x:v>
      </x:c>
      <x:c r="AA117" s="301" t="s">
        <x:v>566</x:v>
      </x:c>
      <x:c r="AB117" s="301" t="s">
        <x:v>567</x:v>
      </x:c>
      <x:c r="AC117" s="301" t="s">
        <x:v>613</x:v>
      </x:c>
      <x:c r="AD117" s="301" t="s">
        <x:v>362</x:v>
      </x:c>
      <x:c r="AE117" s="301" t="s">
        <x:v>336</x:v>
      </x:c>
      <x:c r="AF117" s="301" t="s">
        <x:v>556</x:v>
      </x:c>
      <x:c r="AG117" s="301" t="s">
        <x:v>363</x:v>
      </x:c>
      <x:c r="AH117" s="302">
        <x:v>10</x:v>
      </x:c>
      <x:c r="AI117" s="302">
        <x:v>1.5</x:v>
      </x:c>
      <x:c r="AJ117" s="302">
        <x:f t="shared" si="6"/>
        <x:v>0.8</x:v>
      </x:c>
      <x:c r="AK117" s="302">
        <x:f t="shared" si="7"/>
        <x:v>1.2000000000000002</x:v>
      </x:c>
      <x:c r="AL117" s="301" t="s">
        <x:v>727</x:v>
      </x:c>
      <x:c r="AM117" s="301" t="s">
        <x:v>558</x:v>
      </x:c>
      <x:c r="AN117" s="301" t="s">
        <x:v>559</x:v>
      </x:c>
      <x:c r="AO117" s="301" t="s">
        <x:v>309</x:v>
      </x:c>
      <x:c r="AP117" s="301"/>
      <x:c r="AQ117" s="301"/>
    </x:row>
    <x:row r="118" ht="45.95000076293945" hidden="1" customHeight="1">
      <x:c r="A118" s="307" t="s">
        <x:v>800</x:v>
      </x:c>
      <x:c r="B118" s="307" t="s">
        <x:v>546</x:v>
      </x:c>
      <x:c r="C118" s="307" t="s">
        <x:v>720</x:v>
      </x:c>
      <x:c r="D118" s="308" t="s">
        <x:v>801</x:v>
      </x:c>
      <x:c r="E118" s="307" t="s">
        <x:v>106</x:v>
      </x:c>
      <x:c r="F118" s="307" t="s">
        <x:v>795</x:v>
      </x:c>
      <x:c r="G118" s="307" t="s">
        <x:v>118</x:v>
      </x:c>
      <x:c r="H118" s="308" t="s">
        <x:v>802</x:v>
      </x:c>
      <x:c r="I118" s="308" t="s">
        <x:v>803</x:v>
      </x:c>
      <x:c r="J118" s="307">
        <x:v>6</x:v>
      </x:c>
      <x:c r="K118" s="307" t="s">
        <x:v>328</x:v>
      </x:c>
      <x:c r="L118" s="303" t="s">
        <x:v>551</x:v>
      </x:c>
      <x:c r="M118" s="304" t="s">
        <x:v>552</x:v>
      </x:c>
      <x:c r="N118" s="304" t="s">
        <x:v>553</x:v>
      </x:c>
      <x:c r="O118" s="304" t="s">
        <x:v>554</x:v>
      </x:c>
      <x:c r="P118" s="305" t="s">
        <x:v>54</x:v>
      </x:c>
      <x:c r="Q118" s="300" t="str">
        <x:v>Not Started</x:v>
      </x:c>
      <x:c r="R118" s="300"/>
      <x:c r="S118" s="309" t="s">
        <x:v>356</x:v>
      </x:c>
      <x:c r="T118" s="309" t="s">
        <x:v>798</x:v>
      </x:c>
      <x:c r="U118" s="309" t="s">
        <x:v>799</x:v>
      </x:c>
      <x:c r="V118" s="300" t="s">
        <x:v>554</x:v>
      </x:c>
      <x:c r="W118" s="300" t="s">
        <x:v>552</x:v>
      </x:c>
      <x:c r="X118" s="310" t="s">
        <x:v>360</x:v>
      </x:c>
      <x:c r="Y118" s="300" t="str">
        <x:v>Deep design reconciliation 16-Aug-2026; Chapter 3/4 + Layer-B architecture + latest source/audit evidence</x:v>
      </x:c>
      <x:c r="Z118" s="301" t="s">
        <x:v>555</x:v>
      </x:c>
      <x:c r="AA118" s="301" t="s">
        <x:v>566</x:v>
      </x:c>
      <x:c r="AB118" s="301" t="s">
        <x:v>567</x:v>
      </x:c>
      <x:c r="AC118" s="301" t="s">
        <x:v>613</x:v>
      </x:c>
      <x:c r="AD118" s="301" t="s">
        <x:v>362</x:v>
      </x:c>
      <x:c r="AE118" s="301" t="s">
        <x:v>336</x:v>
      </x:c>
      <x:c r="AF118" s="301" t="s">
        <x:v>556</x:v>
      </x:c>
      <x:c r="AG118" s="301" t="s">
        <x:v>363</x:v>
      </x:c>
      <x:c r="AH118" s="302">
        <x:v>10</x:v>
      </x:c>
      <x:c r="AI118" s="302">
        <x:v>1.5</x:v>
      </x:c>
      <x:c r="AJ118" s="302">
        <x:f t="shared" si="6"/>
        <x:v>0.6</x:v>
      </x:c>
      <x:c r="AK118" s="302">
        <x:f t="shared" si="7"/>
        <x:v>0.89999999999999991</x:v>
      </x:c>
      <x:c r="AL118" s="301" t="s">
        <x:v>727</x:v>
      </x:c>
      <x:c r="AM118" s="301" t="s">
        <x:v>558</x:v>
      </x:c>
      <x:c r="AN118" s="301" t="s">
        <x:v>559</x:v>
      </x:c>
      <x:c r="AO118" s="301" t="s">
        <x:v>309</x:v>
      </x:c>
      <x:c r="AP118" s="301"/>
      <x:c r="AQ118" s="301"/>
    </x:row>
    <x:row r="119" ht="45.95000076293945" hidden="1" customHeight="1">
      <x:c r="A119" s="307" t="s">
        <x:v>804</x:v>
      </x:c>
      <x:c r="B119" s="307" t="s">
        <x:v>546</x:v>
      </x:c>
      <x:c r="C119" s="307" t="s">
        <x:v>805</x:v>
      </x:c>
      <x:c r="D119" s="308" t="s">
        <x:v>806</x:v>
      </x:c>
      <x:c r="E119" s="307" t="s">
        <x:v>106</x:v>
      </x:c>
      <x:c r="F119" s="307" t="s">
        <x:v>807</x:v>
      </x:c>
      <x:c r="G119" s="307" t="s">
        <x:v>46</x:v>
      </x:c>
      <x:c r="H119" s="308" t="s">
        <x:v>808</x:v>
      </x:c>
      <x:c r="I119" s="308" t="s">
        <x:v>809</x:v>
      </x:c>
      <x:c r="J119" s="307">
        <x:v>12</x:v>
      </x:c>
      <x:c r="K119" s="307" t="s">
        <x:v>328</x:v>
      </x:c>
      <x:c r="L119" s="303" t="s">
        <x:v>551</x:v>
      </x:c>
      <x:c r="M119" s="304" t="s">
        <x:v>552</x:v>
      </x:c>
      <x:c r="N119" s="304" t="s">
        <x:v>553</x:v>
      </x:c>
      <x:c r="O119" s="304" t="s">
        <x:v>554</x:v>
      </x:c>
      <x:c r="P119" s="305" t="s">
        <x:v>54</x:v>
      </x:c>
      <x:c r="Q119" s="300" t="str">
        <x:v>Not Started</x:v>
      </x:c>
      <x:c r="R119" s="300"/>
      <x:c r="S119" s="300" t="s">
        <x:v>55</x:v>
      </x:c>
      <x:c r="T119" s="300"/>
      <x:c r="U119" s="300" t="str">
        <x:v>KEEP bounded to installation/licence/initial users. Customer Data Intake is a separate authority T-213; do not widen T-118.</x:v>
      </x:c>
      <x:c r="V119" s="300" t="s">
        <x:v>554</x:v>
      </x:c>
      <x:c r="W119" s="300" t="s">
        <x:v>552</x:v>
      </x:c>
      <x:c r="X119" s="300" t="s">
        <x:v>56</x:v>
      </x:c>
      <x:c r="Y119" s="300" t="str">
        <x:v>Deep design reconciliation 16-Aug-2026; Chapter 3/4 + Layer-B architecture + latest source/audit evidence</x:v>
      </x:c>
      <x:c r="Z119" s="301" t="s">
        <x:v>555</x:v>
      </x:c>
      <x:c r="AA119" s="301" t="s">
        <x:v>566</x:v>
      </x:c>
      <x:c r="AB119" s="301" t="s">
        <x:v>567</x:v>
      </x:c>
      <x:c r="AC119" s="301" t="str">
        <x:v>Site/application commissioning only; no semantic data-onboarding authority.</x:v>
      </x:c>
      <x:c r="AD119" s="301" t="s">
        <x:v>362</x:v>
      </x:c>
      <x:c r="AE119" s="301" t="s">
        <x:v>336</x:v>
      </x:c>
      <x:c r="AF119" s="301" t="s">
        <x:v>556</x:v>
      </x:c>
      <x:c r="AG119" s="301" t="s">
        <x:v>363</x:v>
      </x:c>
      <x:c r="AH119" s="302">
        <x:v>10</x:v>
      </x:c>
      <x:c r="AI119" s="302">
        <x:v>1.5</x:v>
      </x:c>
      <x:c r="AJ119" s="302">
        <x:f t="shared" si="6"/>
        <x:v>1.2</x:v>
      </x:c>
      <x:c r="AK119" s="302">
        <x:f t="shared" si="7"/>
        <x:v>1.7999999999999998</x:v>
      </x:c>
      <x:c r="AL119" s="301" t="s">
        <x:v>810</x:v>
      </x:c>
      <x:c r="AM119" s="301" t="s">
        <x:v>558</x:v>
      </x:c>
      <x:c r="AN119" s="301" t="s">
        <x:v>559</x:v>
      </x:c>
      <x:c r="AO119" s="301" t="s">
        <x:v>309</x:v>
      </x:c>
      <x:c r="AP119" s="301"/>
      <x:c r="AQ119" s="301"/>
    </x:row>
    <x:row r="120" ht="45.95000076293945" hidden="1" customHeight="1">
      <x:c r="A120" s="307" t="s">
        <x:v>811</x:v>
      </x:c>
      <x:c r="B120" s="307" t="s">
        <x:v>546</x:v>
      </x:c>
      <x:c r="C120" s="307" t="s">
        <x:v>805</x:v>
      </x:c>
      <x:c r="D120" s="308" t="s">
        <x:v>812</x:v>
      </x:c>
      <x:c r="E120" s="307" t="s">
        <x:v>106</x:v>
      </x:c>
      <x:c r="F120" s="307" t="s">
        <x:v>813</x:v>
      </x:c>
      <x:c r="G120" s="307" t="s">
        <x:v>46</x:v>
      </x:c>
      <x:c r="H120" s="308" t="s">
        <x:v>814</x:v>
      </x:c>
      <x:c r="I120" s="308" t="s">
        <x:v>815</x:v>
      </x:c>
      <x:c r="J120" s="307">
        <x:v>12</x:v>
      </x:c>
      <x:c r="K120" s="307" t="s">
        <x:v>328</x:v>
      </x:c>
      <x:c r="L120" s="303" t="s">
        <x:v>551</x:v>
      </x:c>
      <x:c r="M120" s="304" t="s">
        <x:v>552</x:v>
      </x:c>
      <x:c r="N120" s="304" t="s">
        <x:v>553</x:v>
      </x:c>
      <x:c r="O120" s="304" t="s">
        <x:v>554</x:v>
      </x:c>
      <x:c r="P120" s="305" t="s">
        <x:v>54</x:v>
      </x:c>
      <x:c r="Q120" s="300" t="str">
        <x:v>Not Started</x:v>
      </x:c>
      <x:c r="R120" s="300"/>
      <x:c r="S120" s="300" t="s">
        <x:v>55</x:v>
      </x:c>
      <x:c r="T120" s="300"/>
      <x:c r="U120" s="300"/>
      <x:c r="V120" s="300" t="s">
        <x:v>554</x:v>
      </x:c>
      <x:c r="W120" s="300" t="s">
        <x:v>552</x:v>
      </x:c>
      <x:c r="X120" s="300" t="s">
        <x:v>56</x:v>
      </x:c>
      <x:c r="Y120" s="300" t="str">
        <x:v>Deep design reconciliation 16-Aug-2026; Chapter 3/4 + Layer-B architecture + latest source/audit evidence</x:v>
      </x:c>
      <x:c r="Z120" s="301" t="s">
        <x:v>555</x:v>
      </x:c>
      <x:c r="AA120" s="301" t="s">
        <x:v>566</x:v>
      </x:c>
      <x:c r="AB120" s="301" t="s">
        <x:v>567</x:v>
      </x:c>
      <x:c r="AC120" s="301" t="s">
        <x:v>775</x:v>
      </x:c>
      <x:c r="AD120" s="301" t="s">
        <x:v>362</x:v>
      </x:c>
      <x:c r="AE120" s="301" t="s">
        <x:v>336</x:v>
      </x:c>
      <x:c r="AF120" s="301" t="s">
        <x:v>556</x:v>
      </x:c>
      <x:c r="AG120" s="301" t="s">
        <x:v>363</x:v>
      </x:c>
      <x:c r="AH120" s="302">
        <x:v>10</x:v>
      </x:c>
      <x:c r="AI120" s="302">
        <x:v>1.5</x:v>
      </x:c>
      <x:c r="AJ120" s="302">
        <x:f t="shared" si="6"/>
        <x:v>1.2</x:v>
      </x:c>
      <x:c r="AK120" s="302">
        <x:f t="shared" si="7"/>
        <x:v>1.7999999999999998</x:v>
      </x:c>
      <x:c r="AL120" s="301" t="s">
        <x:v>810</x:v>
      </x:c>
      <x:c r="AM120" s="301" t="s">
        <x:v>558</x:v>
      </x:c>
      <x:c r="AN120" s="301" t="s">
        <x:v>559</x:v>
      </x:c>
      <x:c r="AO120" s="301" t="s">
        <x:v>309</x:v>
      </x:c>
      <x:c r="AP120" s="301"/>
      <x:c r="AQ120" s="301"/>
    </x:row>
    <x:row r="121" ht="45.95000076293945" hidden="1" customHeight="1">
      <x:c r="A121" s="307" t="s">
        <x:v>816</x:v>
      </x:c>
      <x:c r="B121" s="307" t="s">
        <x:v>546</x:v>
      </x:c>
      <x:c r="C121" s="307" t="s">
        <x:v>805</x:v>
      </x:c>
      <x:c r="D121" s="308" t="s">
        <x:v>817</x:v>
      </x:c>
      <x:c r="E121" s="307" t="s">
        <x:v>68</x:v>
      </x:c>
      <x:c r="F121" s="307" t="s">
        <x:v>813</x:v>
      </x:c>
      <x:c r="G121" s="307" t="s">
        <x:v>118</x:v>
      </x:c>
      <x:c r="H121" s="308" t="s">
        <x:v>818</x:v>
      </x:c>
      <x:c r="I121" s="308" t="s">
        <x:v>819</x:v>
      </x:c>
      <x:c r="J121" s="307">
        <x:v>12</x:v>
      </x:c>
      <x:c r="K121" s="307" t="s">
        <x:v>328</x:v>
      </x:c>
      <x:c r="L121" s="303" t="s">
        <x:v>551</x:v>
      </x:c>
      <x:c r="M121" s="304" t="s">
        <x:v>552</x:v>
      </x:c>
      <x:c r="N121" s="304" t="s">
        <x:v>553</x:v>
      </x:c>
      <x:c r="O121" s="304" t="s">
        <x:v>554</x:v>
      </x:c>
      <x:c r="P121" s="305" t="s">
        <x:v>54</x:v>
      </x:c>
      <x:c r="Q121" s="300" t="str">
        <x:v>Not Started</x:v>
      </x:c>
      <x:c r="R121" s="300"/>
      <x:c r="S121" s="300" t="s">
        <x:v>55</x:v>
      </x:c>
      <x:c r="T121" s="300"/>
      <x:c r="U121" s="300"/>
      <x:c r="V121" s="300" t="s">
        <x:v>554</x:v>
      </x:c>
      <x:c r="W121" s="300" t="s">
        <x:v>552</x:v>
      </x:c>
      <x:c r="X121" s="300" t="s">
        <x:v>56</x:v>
      </x:c>
      <x:c r="Y121" s="300" t="str">
        <x:v>Deep design reconciliation 16-Aug-2026; Chapter 3/4 + Layer-B architecture + latest source/audit evidence</x:v>
      </x:c>
      <x:c r="Z121" s="301" t="s">
        <x:v>555</x:v>
      </x:c>
      <x:c r="AA121" s="301" t="s">
        <x:v>566</x:v>
      </x:c>
      <x:c r="AB121" s="301" t="s">
        <x:v>567</x:v>
      </x:c>
      <x:c r="AC121" s="301" t="s">
        <x:v>775</x:v>
      </x:c>
      <x:c r="AD121" s="301" t="s">
        <x:v>362</x:v>
      </x:c>
      <x:c r="AE121" s="301" t="s">
        <x:v>303</x:v>
      </x:c>
      <x:c r="AF121" s="301" t="s">
        <x:v>663</x:v>
      </x:c>
      <x:c r="AG121" s="301" t="s">
        <x:v>314</x:v>
      </x:c>
      <x:c r="AH121" s="302">
        <x:v>9</x:v>
      </x:c>
      <x:c r="AI121" s="302">
        <x:v>1.5</x:v>
      </x:c>
      <x:c r="AJ121" s="302">
        <x:f t="shared" si="6"/>
        <x:v>1.3333333333333333</x:v>
      </x:c>
      <x:c r="AK121" s="302">
        <x:f t="shared" si="7"/>
        <x:v>2</x:v>
      </x:c>
      <x:c r="AL121" s="301" t="s">
        <x:v>810</x:v>
      </x:c>
      <x:c r="AM121" s="301" t="s">
        <x:v>558</x:v>
      </x:c>
      <x:c r="AN121" s="301" t="s">
        <x:v>665</x:v>
      </x:c>
      <x:c r="AO121" s="301" t="s">
        <x:v>309</x:v>
      </x:c>
      <x:c r="AP121" s="301"/>
      <x:c r="AQ121" s="301"/>
    </x:row>
    <x:row r="122" ht="45.95000076293945" hidden="1" customHeight="1">
      <x:c r="A122" s="307" t="s">
        <x:v>820</x:v>
      </x:c>
      <x:c r="B122" s="307" t="s">
        <x:v>546</x:v>
      </x:c>
      <x:c r="C122" s="307" t="s">
        <x:v>805</x:v>
      </x:c>
      <x:c r="D122" s="308" t="s">
        <x:v>821</x:v>
      </x:c>
      <x:c r="E122" s="307" t="s">
        <x:v>106</x:v>
      </x:c>
      <x:c r="F122" s="307" t="s">
        <x:v>822</x:v>
      </x:c>
      <x:c r="G122" s="307" t="s">
        <x:v>46</x:v>
      </x:c>
      <x:c r="H122" s="308" t="s">
        <x:v>823</x:v>
      </x:c>
      <x:c r="I122" s="308" t="s">
        <x:v>824</x:v>
      </x:c>
      <x:c r="J122" s="307">
        <x:v>12</x:v>
      </x:c>
      <x:c r="K122" s="307" t="s">
        <x:v>328</x:v>
      </x:c>
      <x:c r="L122" s="303" t="s">
        <x:v>551</x:v>
      </x:c>
      <x:c r="M122" s="304" t="s">
        <x:v>552</x:v>
      </x:c>
      <x:c r="N122" s="304" t="s">
        <x:v>553</x:v>
      </x:c>
      <x:c r="O122" s="304" t="s">
        <x:v>825</x:v>
      </x:c>
      <x:c r="P122" s="305" t="s">
        <x:v>826</x:v>
      </x:c>
      <x:c r="Q122" s="300" t="str">
        <x:v>Not Started</x:v>
      </x:c>
      <x:c r="R122" s="300"/>
      <x:c r="S122" s="306" t="s">
        <x:v>297</x:v>
      </x:c>
      <x:c r="T122" s="306" t="s">
        <x:v>827</x:v>
      </x:c>
      <x:c r="U122" s="306" t="s">
        <x:v>828</x:v>
      </x:c>
      <x:c r="V122" s="300" t="s">
        <x:v>825</x:v>
      </x:c>
      <x:c r="W122" s="300" t="s">
        <x:v>552</x:v>
      </x:c>
      <x:c r="X122" s="306" t="s">
        <x:v>301</x:v>
      </x:c>
      <x:c r="Y122" s="300" t="str">
        <x:v>Deep design reconciliation 16-Aug-2026; Chapter 3/4 + Layer-B architecture + latest source/audit evidence</x:v>
      </x:c>
      <x:c r="Z122" s="301" t="s">
        <x:v>555</x:v>
      </x:c>
      <x:c r="AA122" s="301" t="s">
        <x:v>566</x:v>
      </x:c>
      <x:c r="AB122" s="301" t="s">
        <x:v>567</x:v>
      </x:c>
      <x:c r="AC122" s="301" t="s">
        <x:v>775</x:v>
      </x:c>
      <x:c r="AD122" s="301" t="s">
        <x:v>362</x:v>
      </x:c>
      <x:c r="AE122" s="301" t="s">
        <x:v>336</x:v>
      </x:c>
      <x:c r="AF122" s="301" t="s">
        <x:v>556</x:v>
      </x:c>
      <x:c r="AG122" s="301" t="s">
        <x:v>363</x:v>
      </x:c>
      <x:c r="AH122" s="302">
        <x:v>10</x:v>
      </x:c>
      <x:c r="AI122" s="302">
        <x:v>1.5</x:v>
      </x:c>
      <x:c r="AJ122" s="302">
        <x:f t="shared" si="6"/>
        <x:v>1.2</x:v>
      </x:c>
      <x:c r="AK122" s="302">
        <x:f t="shared" si="7"/>
        <x:v>1.7999999999999998</x:v>
      </x:c>
      <x:c r="AL122" s="301" t="s">
        <x:v>810</x:v>
      </x:c>
      <x:c r="AM122" s="301" t="s">
        <x:v>829</x:v>
      </x:c>
      <x:c r="AN122" s="301" t="s">
        <x:v>559</x:v>
      </x:c>
      <x:c r="AO122" s="301" t="s">
        <x:v>309</x:v>
      </x:c>
      <x:c r="AP122" s="301" t="str">
        <x:v>T-119</x:v>
      </x:c>
      <x:c r="AQ122" s="301"/>
    </x:row>
    <x:row r="123" ht="45.95000076293945" hidden="1" customHeight="1">
      <x:c r="A123" s="307" t="s">
        <x:v>830</x:v>
      </x:c>
      <x:c r="B123" s="307" t="s">
        <x:v>546</x:v>
      </x:c>
      <x:c r="C123" s="307" t="s">
        <x:v>805</x:v>
      </x:c>
      <x:c r="D123" s="308" t="s">
        <x:v>831</x:v>
      </x:c>
      <x:c r="E123" s="307" t="s">
        <x:v>73</x:v>
      </x:c>
      <x:c r="F123" s="307" t="s">
        <x:v>832</x:v>
      </x:c>
      <x:c r="G123" s="307" t="s">
        <x:v>46</x:v>
      </x:c>
      <x:c r="H123" s="308" t="s">
        <x:v>833</x:v>
      </x:c>
      <x:c r="I123" s="308" t="s">
        <x:v>834</x:v>
      </x:c>
      <x:c r="J123" s="307">
        <x:v>12</x:v>
      </x:c>
      <x:c r="K123" s="307" t="s">
        <x:v>328</x:v>
      </x:c>
      <x:c r="L123" s="303" t="s">
        <x:v>835</x:v>
      </x:c>
      <x:c r="M123" s="304" t="s">
        <x:v>836</x:v>
      </x:c>
      <x:c r="N123" s="304" t="s">
        <x:v>837</x:v>
      </x:c>
      <x:c r="O123" s="304" t="s">
        <x:v>838</x:v>
      </x:c>
      <x:c r="P123" s="305" t="s">
        <x:v>839</x:v>
      </x:c>
      <x:c r="Q123" s="300" t="str">
        <x:v>Not Started</x:v>
      </x:c>
      <x:c r="R123" s="300"/>
      <x:c r="S123" s="300" t="s">
        <x:v>55</x:v>
      </x:c>
      <x:c r="T123" s="300"/>
      <x:c r="U123" s="300"/>
      <x:c r="V123" s="300" t="s">
        <x:v>838</x:v>
      </x:c>
      <x:c r="W123" s="300" t="s">
        <x:v>836</x:v>
      </x:c>
      <x:c r="X123" s="300" t="s">
        <x:v>56</x:v>
      </x:c>
      <x:c r="Y123" s="300" t="str">
        <x:v>Deep design reconciliation 16-Aug-2026; Chapter 3/4 + Layer-B architecture + latest source/audit evidence</x:v>
      </x:c>
      <x:c r="Z123" s="301" t="s">
        <x:v>555</x:v>
      </x:c>
      <x:c r="AA123" s="301" t="s">
        <x:v>566</x:v>
      </x:c>
      <x:c r="AB123" s="301" t="s">
        <x:v>567</x:v>
      </x:c>
      <x:c r="AC123" s="301" t="s">
        <x:v>775</x:v>
      </x:c>
      <x:c r="AD123" s="301" t="s">
        <x:v>362</x:v>
      </x:c>
      <x:c r="AE123" s="301" t="s">
        <x:v>336</x:v>
      </x:c>
      <x:c r="AF123" s="301" t="s">
        <x:v>556</x:v>
      </x:c>
      <x:c r="AG123" s="301" t="s">
        <x:v>538</x:v>
      </x:c>
      <x:c r="AH123" s="302">
        <x:v>6</x:v>
      </x:c>
      <x:c r="AI123" s="302">
        <x:v>1.6</x:v>
      </x:c>
      <x:c r="AJ123" s="302">
        <x:f t="shared" si="6"/>
        <x:v>2</x:v>
      </x:c>
      <x:c r="AK123" s="302">
        <x:f t="shared" si="7"/>
        <x:v>3.2</x:v>
      </x:c>
      <x:c r="AL123" s="301" t="s">
        <x:v>810</x:v>
      </x:c>
      <x:c r="AM123" s="301" t="s">
        <x:v>840</x:v>
      </x:c>
      <x:c r="AN123" s="301" t="s">
        <x:v>559</x:v>
      </x:c>
      <x:c r="AO123" s="301" t="s">
        <x:v>309</x:v>
      </x:c>
      <x:c r="AP123" s="301" t="str">
        <x:v>T-106; T-107; T-112; T-113; T-114; T-117; T-137; T-168</x:v>
      </x:c>
      <x:c r="AQ123" s="301"/>
    </x:row>
    <x:row r="124" ht="45.95000076293945" hidden="1" customHeight="1">
      <x:c r="A124" s="307" t="s">
        <x:v>841</x:v>
      </x:c>
      <x:c r="B124" s="307" t="s">
        <x:v>546</x:v>
      </x:c>
      <x:c r="C124" s="307" t="s">
        <x:v>805</x:v>
      </x:c>
      <x:c r="D124" s="308" t="s">
        <x:v>842</x:v>
      </x:c>
      <x:c r="E124" s="307" t="s">
        <x:v>73</x:v>
      </x:c>
      <x:c r="F124" s="307" t="s">
        <x:v>832</x:v>
      </x:c>
      <x:c r="G124" s="307" t="s">
        <x:v>46</x:v>
      </x:c>
      <x:c r="H124" s="308" t="s">
        <x:v>843</x:v>
      </x:c>
      <x:c r="I124" s="308" t="s">
        <x:v>844</x:v>
      </x:c>
      <x:c r="J124" s="307">
        <x:v>12</x:v>
      </x:c>
      <x:c r="K124" s="307" t="s">
        <x:v>328</x:v>
      </x:c>
      <x:c r="L124" s="303" t="s">
        <x:v>551</x:v>
      </x:c>
      <x:c r="M124" s="304" t="s">
        <x:v>552</x:v>
      </x:c>
      <x:c r="N124" s="304" t="s">
        <x:v>553</x:v>
      </x:c>
      <x:c r="O124" s="304" t="s">
        <x:v>554</x:v>
      </x:c>
      <x:c r="P124" s="305" t="s">
        <x:v>54</x:v>
      </x:c>
      <x:c r="Q124" s="300" t="str">
        <x:v>Not Started</x:v>
      </x:c>
      <x:c r="R124" s="300"/>
      <x:c r="S124" s="309" t="s">
        <x:v>356</x:v>
      </x:c>
      <x:c r="T124" s="309" t="s">
        <x:v>584</x:v>
      </x:c>
      <x:c r="U124" s="309" t="s">
        <x:v>585</x:v>
      </x:c>
      <x:c r="V124" s="300" t="s">
        <x:v>554</x:v>
      </x:c>
      <x:c r="W124" s="300" t="s">
        <x:v>552</x:v>
      </x:c>
      <x:c r="X124" s="310" t="s">
        <x:v>360</x:v>
      </x:c>
      <x:c r="Y124" s="300" t="str">
        <x:v>Deep design reconciliation 16-Aug-2026; Chapter 3/4 + Layer-B architecture + latest source/audit evidence</x:v>
      </x:c>
      <x:c r="Z124" s="301" t="s">
        <x:v>555</x:v>
      </x:c>
      <x:c r="AA124" s="301" t="s">
        <x:v>566</x:v>
      </x:c>
      <x:c r="AB124" s="301" t="s">
        <x:v>567</x:v>
      </x:c>
      <x:c r="AC124" s="301" t="s">
        <x:v>613</x:v>
      </x:c>
      <x:c r="AD124" s="301" t="s">
        <x:v>362</x:v>
      </x:c>
      <x:c r="AE124" s="301" t="s">
        <x:v>336</x:v>
      </x:c>
      <x:c r="AF124" s="301" t="s">
        <x:v>556</x:v>
      </x:c>
      <x:c r="AG124" s="301" t="s">
        <x:v>538</x:v>
      </x:c>
      <x:c r="AH124" s="302">
        <x:v>6</x:v>
      </x:c>
      <x:c r="AI124" s="302">
        <x:v>1.6</x:v>
      </x:c>
      <x:c r="AJ124" s="302">
        <x:f t="shared" si="6"/>
        <x:v>2</x:v>
      </x:c>
      <x:c r="AK124" s="302">
        <x:f t="shared" si="7"/>
        <x:v>3.2</x:v>
      </x:c>
      <x:c r="AL124" s="301" t="s">
        <x:v>810</x:v>
      </x:c>
      <x:c r="AM124" s="301" t="s">
        <x:v>558</x:v>
      </x:c>
      <x:c r="AN124" s="301" t="s">
        <x:v>559</x:v>
      </x:c>
      <x:c r="AO124" s="301" t="s">
        <x:v>309</x:v>
      </x:c>
      <x:c r="AP124" s="301"/>
      <x:c r="AQ124" s="301"/>
    </x:row>
    <x:row r="125" ht="45.95000076293945" hidden="1" customHeight="1">
      <x:c r="A125" s="307" t="s">
        <x:v>845</x:v>
      </x:c>
      <x:c r="B125" s="307" t="s">
        <x:v>546</x:v>
      </x:c>
      <x:c r="C125" s="307" t="s">
        <x:v>805</x:v>
      </x:c>
      <x:c r="D125" s="308" t="s">
        <x:v>846</x:v>
      </x:c>
      <x:c r="E125" s="307" t="s">
        <x:v>73</x:v>
      </x:c>
      <x:c r="F125" s="307" t="s">
        <x:v>847</x:v>
      </x:c>
      <x:c r="G125" s="307" t="s">
        <x:v>46</x:v>
      </x:c>
      <x:c r="H125" s="308" t="s">
        <x:v>848</x:v>
      </x:c>
      <x:c r="I125" s="308" t="s">
        <x:v>849</x:v>
      </x:c>
      <x:c r="J125" s="307">
        <x:v>12</x:v>
      </x:c>
      <x:c r="K125" s="307" t="s">
        <x:v>328</x:v>
      </x:c>
      <x:c r="L125" s="303" t="s">
        <x:v>551</x:v>
      </x:c>
      <x:c r="M125" s="304" t="s">
        <x:v>552</x:v>
      </x:c>
      <x:c r="N125" s="304" t="s">
        <x:v>553</x:v>
      </x:c>
      <x:c r="O125" s="304" t="s">
        <x:v>554</x:v>
      </x:c>
      <x:c r="P125" s="305" t="s">
        <x:v>54</x:v>
      </x:c>
      <x:c r="Q125" s="300" t="str">
        <x:v>Not Started</x:v>
      </x:c>
      <x:c r="R125" s="300"/>
      <x:c r="S125" s="309" t="s">
        <x:v>356</x:v>
      </x:c>
      <x:c r="T125" s="309" t="s">
        <x:v>850</x:v>
      </x:c>
      <x:c r="U125" s="309" t="s">
        <x:v>851</x:v>
      </x:c>
      <x:c r="V125" s="300" t="s">
        <x:v>554</x:v>
      </x:c>
      <x:c r="W125" s="300" t="s">
        <x:v>552</x:v>
      </x:c>
      <x:c r="X125" s="310" t="s">
        <x:v>360</x:v>
      </x:c>
      <x:c r="Y125" s="300" t="str">
        <x:v>Deep design reconciliation 16-Aug-2026; Chapter 3/4 + Layer-B architecture + latest source/audit evidence</x:v>
      </x:c>
      <x:c r="Z125" s="301" t="s">
        <x:v>555</x:v>
      </x:c>
      <x:c r="AA125" s="301" t="s">
        <x:v>566</x:v>
      </x:c>
      <x:c r="AB125" s="301" t="s">
        <x:v>567</x:v>
      </x:c>
      <x:c r="AC125" s="301" t="s">
        <x:v>613</x:v>
      </x:c>
      <x:c r="AD125" s="301" t="s">
        <x:v>362</x:v>
      </x:c>
      <x:c r="AE125" s="301" t="s">
        <x:v>336</x:v>
      </x:c>
      <x:c r="AF125" s="301" t="s">
        <x:v>556</x:v>
      </x:c>
      <x:c r="AG125" s="301" t="s">
        <x:v>538</x:v>
      </x:c>
      <x:c r="AH125" s="302">
        <x:v>6</x:v>
      </x:c>
      <x:c r="AI125" s="302">
        <x:v>1.6</x:v>
      </x:c>
      <x:c r="AJ125" s="302">
        <x:f t="shared" si="6"/>
        <x:v>2</x:v>
      </x:c>
      <x:c r="AK125" s="302">
        <x:f t="shared" si="7"/>
        <x:v>3.2</x:v>
      </x:c>
      <x:c r="AL125" s="301" t="s">
        <x:v>810</x:v>
      </x:c>
      <x:c r="AM125" s="301" t="s">
        <x:v>558</x:v>
      </x:c>
      <x:c r="AN125" s="301" t="s">
        <x:v>559</x:v>
      </x:c>
      <x:c r="AO125" s="301" t="s">
        <x:v>309</x:v>
      </x:c>
      <x:c r="AP125" s="301"/>
      <x:c r="AQ125" s="301"/>
    </x:row>
    <x:row r="126" ht="45.95000076293945" hidden="1" customHeight="1">
      <x:c r="A126" s="307" t="s">
        <x:v>852</x:v>
      </x:c>
      <x:c r="B126" s="307" t="s">
        <x:v>546</x:v>
      </x:c>
      <x:c r="C126" s="307" t="s">
        <x:v>805</x:v>
      </x:c>
      <x:c r="D126" s="308" t="s">
        <x:v>853</x:v>
      </x:c>
      <x:c r="E126" s="307" t="s">
        <x:v>73</x:v>
      </x:c>
      <x:c r="F126" s="307" t="s">
        <x:v>763</x:v>
      </x:c>
      <x:c r="G126" s="307" t="s">
        <x:v>118</x:v>
      </x:c>
      <x:c r="H126" s="308" t="s">
        <x:v>854</x:v>
      </x:c>
      <x:c r="I126" s="308" t="s">
        <x:v>855</x:v>
      </x:c>
      <x:c r="J126" s="307">
        <x:v>12</x:v>
      </x:c>
      <x:c r="K126" s="307" t="s">
        <x:v>328</x:v>
      </x:c>
      <x:c r="L126" s="303" t="s">
        <x:v>551</x:v>
      </x:c>
      <x:c r="M126" s="304" t="s">
        <x:v>552</x:v>
      </x:c>
      <x:c r="N126" s="304" t="s">
        <x:v>553</x:v>
      </x:c>
      <x:c r="O126" s="304" t="s">
        <x:v>554</x:v>
      </x:c>
      <x:c r="P126" s="305" t="s">
        <x:v>54</x:v>
      </x:c>
      <x:c r="Q126" s="300" t="str">
        <x:v>Not Started</x:v>
      </x:c>
      <x:c r="R126" s="300"/>
      <x:c r="S126" s="309" t="s">
        <x:v>356</x:v>
      </x:c>
      <x:c r="T126" s="309" t="s">
        <x:v>856</x:v>
      </x:c>
      <x:c r="U126" s="309" t="s">
        <x:v>857</x:v>
      </x:c>
      <x:c r="V126" s="300" t="s">
        <x:v>554</x:v>
      </x:c>
      <x:c r="W126" s="300" t="s">
        <x:v>552</x:v>
      </x:c>
      <x:c r="X126" s="310" t="s">
        <x:v>360</x:v>
      </x:c>
      <x:c r="Y126" s="300" t="str">
        <x:v>Deep design reconciliation 16-Aug-2026; Chapter 3/4 + Layer-B architecture + latest source/audit evidence</x:v>
      </x:c>
      <x:c r="Z126" s="301" t="s">
        <x:v>555</x:v>
      </x:c>
      <x:c r="AA126" s="301" t="s">
        <x:v>566</x:v>
      </x:c>
      <x:c r="AB126" s="301" t="s">
        <x:v>567</x:v>
      </x:c>
      <x:c r="AC126" s="301" t="s">
        <x:v>613</x:v>
      </x:c>
      <x:c r="AD126" s="301" t="s">
        <x:v>362</x:v>
      </x:c>
      <x:c r="AE126" s="301" t="s">
        <x:v>336</x:v>
      </x:c>
      <x:c r="AF126" s="301" t="s">
        <x:v>556</x:v>
      </x:c>
      <x:c r="AG126" s="301" t="s">
        <x:v>538</x:v>
      </x:c>
      <x:c r="AH126" s="302">
        <x:v>6</x:v>
      </x:c>
      <x:c r="AI126" s="302">
        <x:v>1.6</x:v>
      </x:c>
      <x:c r="AJ126" s="302">
        <x:f t="shared" si="6"/>
        <x:v>2</x:v>
      </x:c>
      <x:c r="AK126" s="302">
        <x:f t="shared" si="7"/>
        <x:v>3.2</x:v>
      </x:c>
      <x:c r="AL126" s="301" t="s">
        <x:v>810</x:v>
      </x:c>
      <x:c r="AM126" s="301" t="s">
        <x:v>558</x:v>
      </x:c>
      <x:c r="AN126" s="301" t="s">
        <x:v>559</x:v>
      </x:c>
      <x:c r="AO126" s="301" t="s">
        <x:v>309</x:v>
      </x:c>
      <x:c r="AP126" s="301"/>
      <x:c r="AQ126" s="301"/>
    </x:row>
    <x:row r="127" ht="45.95000076293945" hidden="1" customHeight="1">
      <x:c r="A127" s="307" t="s">
        <x:v>858</x:v>
      </x:c>
      <x:c r="B127" s="307" t="s">
        <x:v>546</x:v>
      </x:c>
      <x:c r="C127" s="307" t="s">
        <x:v>805</x:v>
      </x:c>
      <x:c r="D127" s="308" t="s">
        <x:v>859</x:v>
      </x:c>
      <x:c r="E127" s="307" t="s">
        <x:v>44</x:v>
      </x:c>
      <x:c r="F127" s="307" t="s">
        <x:v>860</x:v>
      </x:c>
      <x:c r="G127" s="307" t="s">
        <x:v>118</x:v>
      </x:c>
      <x:c r="H127" s="308" t="s">
        <x:v>861</x:v>
      </x:c>
      <x:c r="I127" s="308" t="s">
        <x:v>862</x:v>
      </x:c>
      <x:c r="J127" s="307">
        <x:v>12</x:v>
      </x:c>
      <x:c r="K127" s="307" t="s">
        <x:v>328</x:v>
      </x:c>
      <x:c r="L127" s="303" t="s">
        <x:v>551</x:v>
      </x:c>
      <x:c r="M127" s="304" t="s">
        <x:v>552</x:v>
      </x:c>
      <x:c r="N127" s="304" t="s">
        <x:v>553</x:v>
      </x:c>
      <x:c r="O127" s="304" t="s">
        <x:v>554</x:v>
      </x:c>
      <x:c r="P127" s="305" t="s">
        <x:v>54</x:v>
      </x:c>
      <x:c r="Q127" s="300" t="str">
        <x:v>Not Started</x:v>
      </x:c>
      <x:c r="R127" s="300"/>
      <x:c r="S127" s="300" t="s">
        <x:v>55</x:v>
      </x:c>
      <x:c r="T127" s="300"/>
      <x:c r="U127" s="300"/>
      <x:c r="V127" s="300" t="s">
        <x:v>554</x:v>
      </x:c>
      <x:c r="W127" s="300" t="s">
        <x:v>552</x:v>
      </x:c>
      <x:c r="X127" s="300" t="s">
        <x:v>56</x:v>
      </x:c>
      <x:c r="Y127" s="300" t="str">
        <x:v>Deep design reconciliation 16-Aug-2026; Chapter 3/4 + Layer-B architecture + latest source/audit evidence</x:v>
      </x:c>
      <x:c r="Z127" s="301" t="s">
        <x:v>555</x:v>
      </x:c>
      <x:c r="AA127" s="301" t="s">
        <x:v>566</x:v>
      </x:c>
      <x:c r="AB127" s="301" t="s">
        <x:v>567</x:v>
      </x:c>
      <x:c r="AC127" s="301" t="s">
        <x:v>613</x:v>
      </x:c>
      <x:c r="AD127" s="301" t="s">
        <x:v>362</x:v>
      </x:c>
      <x:c r="AE127" s="301" t="s">
        <x:v>336</x:v>
      </x:c>
      <x:c r="AF127" s="301" t="s">
        <x:v>556</x:v>
      </x:c>
      <x:c r="AG127" s="301" t="s">
        <x:v>495</x:v>
      </x:c>
      <x:c r="AH127" s="302">
        <x:v>18</x:v>
      </x:c>
      <x:c r="AI127" s="302">
        <x:v>1.35</x:v>
      </x:c>
      <x:c r="AJ127" s="302">
        <x:f t="shared" si="6"/>
        <x:v>0.66666666666666663</x:v>
      </x:c>
      <x:c r="AK127" s="302">
        <x:f t="shared" si="7"/>
        <x:v>0.9</x:v>
      </x:c>
      <x:c r="AL127" s="301" t="s">
        <x:v>810</x:v>
      </x:c>
      <x:c r="AM127" s="301" t="s">
        <x:v>558</x:v>
      </x:c>
      <x:c r="AN127" s="301" t="s">
        <x:v>559</x:v>
      </x:c>
      <x:c r="AO127" s="301" t="s">
        <x:v>309</x:v>
      </x:c>
      <x:c r="AP127" s="301"/>
      <x:c r="AQ127" s="301"/>
    </x:row>
    <x:row r="128" ht="45.95000076293945" hidden="1" customHeight="1">
      <x:c r="A128" s="307" t="s">
        <x:v>863</x:v>
      </x:c>
      <x:c r="B128" s="307" t="s">
        <x:v>546</x:v>
      </x:c>
      <x:c r="C128" s="307" t="s">
        <x:v>805</x:v>
      </x:c>
      <x:c r="D128" s="308" t="s">
        <x:v>864</x:v>
      </x:c>
      <x:c r="E128" s="307" t="s">
        <x:v>100</x:v>
      </x:c>
      <x:c r="F128" s="307" t="s">
        <x:v>520</x:v>
      </x:c>
      <x:c r="G128" s="307" t="s">
        <x:v>46</x:v>
      </x:c>
      <x:c r="H128" s="308" t="s">
        <x:v>865</x:v>
      </x:c>
      <x:c r="I128" s="308" t="s">
        <x:v>866</x:v>
      </x:c>
      <x:c r="J128" s="307">
        <x:v>12</x:v>
      </x:c>
      <x:c r="K128" s="307" t="s">
        <x:v>328</x:v>
      </x:c>
      <x:c r="L128" s="303" t="s">
        <x:v>551</x:v>
      </x:c>
      <x:c r="M128" s="304" t="s">
        <x:v>552</x:v>
      </x:c>
      <x:c r="N128" s="304" t="s">
        <x:v>553</x:v>
      </x:c>
      <x:c r="O128" s="304" t="s">
        <x:v>867</x:v>
      </x:c>
      <x:c r="P128" s="305" t="s">
        <x:v>868</x:v>
      </x:c>
      <x:c r="Q128" s="300" t="str">
        <x:v>Not Started</x:v>
      </x:c>
      <x:c r="R128" s="300"/>
      <x:c r="S128" s="309" t="s">
        <x:v>356</x:v>
      </x:c>
      <x:c r="T128" s="309" t="s">
        <x:v>869</x:v>
      </x:c>
      <x:c r="U128" s="309" t="s">
        <x:v>870</x:v>
      </x:c>
      <x:c r="V128" s="300" t="s">
        <x:v>867</x:v>
      </x:c>
      <x:c r="W128" s="300" t="s">
        <x:v>552</x:v>
      </x:c>
      <x:c r="X128" s="310" t="s">
        <x:v>360</x:v>
      </x:c>
      <x:c r="Y128" s="300" t="str">
        <x:v>Deep design reconciliation 16-Aug-2026; Chapter 3/4 + Layer-B architecture + latest source/audit evidence</x:v>
      </x:c>
      <x:c r="Z128" s="301" t="s">
        <x:v>555</x:v>
      </x:c>
      <x:c r="AA128" s="301" t="s">
        <x:v>566</x:v>
      </x:c>
      <x:c r="AB128" s="301" t="s">
        <x:v>567</x:v>
      </x:c>
      <x:c r="AC128" s="301" t="s">
        <x:v>613</x:v>
      </x:c>
      <x:c r="AD128" s="301" t="s">
        <x:v>362</x:v>
      </x:c>
      <x:c r="AE128" s="301" t="s">
        <x:v>303</x:v>
      </x:c>
      <x:c r="AF128" s="301" t="s">
        <x:v>663</x:v>
      </x:c>
      <x:c r="AG128" s="301" t="s">
        <x:v>504</x:v>
      </x:c>
      <x:c r="AH128" s="302">
        <x:v>5</x:v>
      </x:c>
      <x:c r="AI128" s="302">
        <x:v>1.7</x:v>
      </x:c>
      <x:c r="AJ128" s="302">
        <x:f t="shared" si="6"/>
        <x:v>2.4</x:v>
      </x:c>
      <x:c r="AK128" s="302">
        <x:f t="shared" si="7"/>
        <x:v>4.08</x:v>
      </x:c>
      <x:c r="AL128" s="301" t="s">
        <x:v>810</x:v>
      </x:c>
      <x:c r="AM128" s="301" t="s">
        <x:v>871</x:v>
      </x:c>
      <x:c r="AN128" s="301" t="s">
        <x:v>665</x:v>
      </x:c>
      <x:c r="AO128" s="301" t="s">
        <x:v>872</x:v>
      </x:c>
      <x:c r="AP128" s="301" t="str">
        <x:v>T-196; T-197; T-198; T-199; T-200; T-121</x:v>
      </x:c>
      <x:c r="AQ128" s="301" t="str">
        <x:v>T-194</x:v>
      </x:c>
    </x:row>
    <x:row r="129" ht="45.95000076293945" hidden="1" customHeight="1">
      <x:c r="A129" s="307" t="s">
        <x:v>873</x:v>
      </x:c>
      <x:c r="B129" s="307" t="s">
        <x:v>874</x:v>
      </x:c>
      <x:c r="C129" s="307" t="s">
        <x:v>875</x:v>
      </x:c>
      <x:c r="D129" s="308" t="s">
        <x:v>876</x:v>
      </x:c>
      <x:c r="E129" s="307" t="s">
        <x:v>478</x:v>
      </x:c>
      <x:c r="F129" s="307" t="s">
        <x:v>877</x:v>
      </x:c>
      <x:c r="G129" s="307" t="s">
        <x:v>46</x:v>
      </x:c>
      <x:c r="H129" s="308" t="str">
        <x:v>Implement canonical feature/outcome stores and immutable snapshot metadata using generic analysis_subject_id + grain_code identity, never a universal material_unit_id. Persist semantic-manifest lineage, feature-set/outcome definitions and dirty/incremental state. Training still consumes sealed typed snapshot artifacts, not live JSONB.</x:v>
      </x:c>
      <x:c r="I129" s="308" t="str">
        <x:v>Persist features/outcomes for at least one discrete subject and one equipment/process-window subject using the same schema/runtime. No material-unit FK is mandatory for non-material subjects. Snapshot/hash/reproducibility and tenant/RLS gates pass.</x:v>
      </x:c>
      <x:c r="J129" s="307">
        <x:v>10</x:v>
      </x:c>
      <x:c r="K129" s="307" t="s">
        <x:v>328</x:v>
      </x:c>
      <x:c r="L129" s="303" t="s">
        <x:v>417</x:v>
      </x:c>
      <x:c r="M129" s="304" t="s">
        <x:v>751</x:v>
      </x:c>
      <x:c r="N129" s="304" t="s">
        <x:v>878</x:v>
      </x:c>
      <x:c r="O129" s="304" t="str">
        <x:v>T-087; T-088; T-089; T-090; T-091; T-092; T-093; T-094; T-095; T-096; T-097; T-098; T-099; T-100; T-101; T-102; T-103; T-104; T-105; T-112; T-114; T-231; T-210</x:v>
      </x:c>
      <x:c r="P129" s="305" t="s">
        <x:v>879</x:v>
      </x:c>
      <x:c r="Q129" s="300" t="str">
        <x:v>Not Started</x:v>
      </x:c>
      <x:c r="R129" s="300"/>
      <x:c r="S129" s="309" t="s">
        <x:v>356</x:v>
      </x:c>
      <x:c r="T129" s="309" t="s">
        <x:v>880</x:v>
      </x:c>
      <x:c r="U129" s="309" t="str">
        <x:v>Canonical Layer-B state is subject/grain generic. material_unit_id may be an optional entity link, never universal identity.</x:v>
      </x:c>
      <x:c r="V129" s="300" t="str">
        <x:v>Canonical M2a authorities + T-231/T-210. Temporal contract T-216 applies only where timestamped sequence/continuous semantics are required.</x:v>
      </x:c>
      <x:c r="W129" s="300" t="s">
        <x:v>755</x:v>
      </x:c>
      <x:c r="X129" s="310" t="s">
        <x:v>360</x:v>
      </x:c>
      <x:c r="Y129" s="300" t="str">
        <x:v>Deep design reconciliation 16-Aug-2026; Chapter 3/4 + Layer-B architecture + latest source/audit evidence</x:v>
      </x:c>
      <x:c r="Z129" s="301" t="s">
        <x:v>555</x:v>
      </x:c>
      <x:c r="AA129" s="301" t="s">
        <x:v>566</x:v>
      </x:c>
      <x:c r="AB129" s="301" t="s">
        <x:v>567</x:v>
      </x:c>
      <x:c r="AC129" s="301" t="s">
        <x:v>613</x:v>
      </x:c>
      <x:c r="AD129" s="301" t="s">
        <x:v>362</x:v>
      </x:c>
      <x:c r="AE129" s="301" t="s">
        <x:v>417</x:v>
      </x:c>
      <x:c r="AF129" s="301" t="s">
        <x:v>881</x:v>
      </x:c>
      <x:c r="AG129" s="301" t="s">
        <x:v>882</x:v>
      </x:c>
      <x:c r="AH129" s="302">
        <x:v>10</x:v>
      </x:c>
      <x:c r="AI129" s="302">
        <x:v>1.5</x:v>
      </x:c>
      <x:c r="AJ129" s="302">
        <x:f t="shared" si="6"/>
        <x:v>1</x:v>
      </x:c>
      <x:c r="AK129" s="302">
        <x:f t="shared" si="7"/>
        <x:v>1.5</x:v>
      </x:c>
      <x:c r="AL129" s="301" t="s">
        <x:v>883</x:v>
      </x:c>
      <x:c r="AM129" s="301" t="s">
        <x:v>884</x:v>
      </x:c>
      <x:c r="AN129" s="301" t="s">
        <x:v>885</x:v>
      </x:c>
      <x:c r="AO129" s="301" t="s">
        <x:v>309</x:v>
      </x:c>
      <x:c r="AP129" s="301" t="str">
        <x:v>T-087; T-088; T-089; T-090; T-091; T-092; T-093; T-094; T-095; T-096; T-097; T-098; T-099; T-100; T-101; T-102; T-103; T-104; T-105; T-112; T-114; T-231; T-210</x:v>
      </x:c>
      <x:c r="AQ129" s="301"/>
    </x:row>
    <x:row r="130" ht="45.95000076293945" hidden="1" customHeight="1">
      <x:c r="A130" s="307" t="s">
        <x:v>886</x:v>
      </x:c>
      <x:c r="B130" s="307" t="s">
        <x:v>874</x:v>
      </x:c>
      <x:c r="C130" s="307" t="s">
        <x:v>875</x:v>
      </x:c>
      <x:c r="D130" s="308" t="s">
        <x:v>887</x:v>
      </x:c>
      <x:c r="E130" s="307" t="s">
        <x:v>478</x:v>
      </x:c>
      <x:c r="F130" s="307" t="s">
        <x:v>877</x:v>
      </x:c>
      <x:c r="G130" s="307" t="s">
        <x:v>46</x:v>
      </x:c>
      <x:c r="H130" s="308" t="s">
        <x:v>888</x:v>
      </x:c>
      <x:c r="I130" s="308" t="s">
        <x:v>889</x:v>
      </x:c>
      <x:c r="J130" s="307">
        <x:v>12</x:v>
      </x:c>
      <x:c r="K130" s="307" t="s">
        <x:v>328</x:v>
      </x:c>
      <x:c r="L130" s="303" t="s">
        <x:v>417</x:v>
      </x:c>
      <x:c r="M130" s="304" t="s">
        <x:v>751</x:v>
      </x:c>
      <x:c r="N130" s="304" t="s">
        <x:v>878</x:v>
      </x:c>
      <x:c r="O130" s="304" t="s">
        <x:v>890</x:v>
      </x:c>
      <x:c r="P130" s="305" t="s">
        <x:v>891</x:v>
      </x:c>
      <x:c r="Q130" s="300" t="str">
        <x:v>Not Started</x:v>
      </x:c>
      <x:c r="R130" s="300"/>
      <x:c r="S130" s="309" t="s">
        <x:v>356</x:v>
      </x:c>
      <x:c r="T130" s="309" t="s">
        <x:v>892</x:v>
      </x:c>
      <x:c r="U130" s="309" t="s">
        <x:v>893</x:v>
      </x:c>
      <x:c r="V130" s="300" t="s">
        <x:v>890</x:v>
      </x:c>
      <x:c r="W130" s="300" t="s">
        <x:v>755</x:v>
      </x:c>
      <x:c r="X130" s="310" t="s">
        <x:v>360</x:v>
      </x:c>
      <x:c r="Y130" s="300" t="str">
        <x:v>Deep design reconciliation 16-Aug-2026; Chapter 3/4 + Layer-B architecture + latest source/audit evidence</x:v>
      </x:c>
      <x:c r="Z130" s="301" t="s">
        <x:v>555</x:v>
      </x:c>
      <x:c r="AA130" s="301" t="s">
        <x:v>566</x:v>
      </x:c>
      <x:c r="AB130" s="301" t="s">
        <x:v>567</x:v>
      </x:c>
      <x:c r="AC130" s="301" t="s">
        <x:v>613</x:v>
      </x:c>
      <x:c r="AD130" s="301" t="s">
        <x:v>362</x:v>
      </x:c>
      <x:c r="AE130" s="301" t="s">
        <x:v>417</x:v>
      </x:c>
      <x:c r="AF130" s="301" t="s">
        <x:v>881</x:v>
      </x:c>
      <x:c r="AG130" s="301" t="s">
        <x:v>882</x:v>
      </x:c>
      <x:c r="AH130" s="302">
        <x:v>10</x:v>
      </x:c>
      <x:c r="AI130" s="302">
        <x:v>1.5</x:v>
      </x:c>
      <x:c r="AJ130" s="302" t="n">
        <x:f t="shared" ref="AJ130:AJ161" si="8">IF($K130="Done",0,MAX(0.25,$J130/$AH130))</x:f>
        <x:v>1.2</x:v>
      </x:c>
      <x:c r="AK130" s="302" t="n">
        <x:f t="shared" ref="AK130:AK161" si="9">IF($K130="Done",0,$AJ130*$AI130)</x:f>
        <x:v>1.7999999999999998</x:v>
      </x:c>
      <x:c r="AL130" s="301" t="s">
        <x:v>883</x:v>
      </x:c>
      <x:c r="AM130" s="301" t="s">
        <x:v>890</x:v>
      </x:c>
      <x:c r="AN130" s="301" t="s">
        <x:v>885</x:v>
      </x:c>
      <x:c r="AO130" s="301" t="s">
        <x:v>309</x:v>
      </x:c>
      <x:c r="AP130" s="301" t="str">
        <x:v>T-128; T-183; T-112; T-114</x:v>
      </x:c>
      <x:c r="AQ130" s="301"/>
    </x:row>
    <x:row r="131" ht="45.95000076293945" hidden="1" customHeight="1">
      <x:c r="A131" s="307" t="s">
        <x:v>894</x:v>
      </x:c>
      <x:c r="B131" s="307" t="s">
        <x:v>874</x:v>
      </x:c>
      <x:c r="C131" s="307" t="s">
        <x:v>875</x:v>
      </x:c>
      <x:c r="D131" s="308" t="s">
        <x:v>895</x:v>
      </x:c>
      <x:c r="E131" s="307" t="s">
        <x:v>478</x:v>
      </x:c>
      <x:c r="F131" s="307" t="s">
        <x:v>896</x:v>
      </x:c>
      <x:c r="G131" s="307" t="s">
        <x:v>46</x:v>
      </x:c>
      <x:c r="H131" s="308" t="s">
        <x:v>897</x:v>
      </x:c>
      <x:c r="I131" s="308" t="s">
        <x:v>898</x:v>
      </x:c>
      <x:c r="J131" s="307">
        <x:v>12</x:v>
      </x:c>
      <x:c r="K131" s="307" t="s">
        <x:v>328</x:v>
      </x:c>
      <x:c r="L131" s="303" t="s">
        <x:v>417</x:v>
      </x:c>
      <x:c r="M131" s="304" t="s">
        <x:v>751</x:v>
      </x:c>
      <x:c r="N131" s="304" t="s">
        <x:v>878</x:v>
      </x:c>
      <x:c r="O131" s="304" t="s">
        <x:v>890</x:v>
      </x:c>
      <x:c r="P131" s="305" t="s">
        <x:v>891</x:v>
      </x:c>
      <x:c r="Q131" s="300" t="str">
        <x:v>Not Started</x:v>
      </x:c>
      <x:c r="R131" s="300"/>
      <x:c r="S131" s="309" t="s">
        <x:v>356</x:v>
      </x:c>
      <x:c r="T131" s="309" t="s">
        <x:v>892</x:v>
      </x:c>
      <x:c r="U131" s="309" t="s">
        <x:v>893</x:v>
      </x:c>
      <x:c r="V131" s="300" t="s">
        <x:v>890</x:v>
      </x:c>
      <x:c r="W131" s="300" t="s">
        <x:v>755</x:v>
      </x:c>
      <x:c r="X131" s="310" t="s">
        <x:v>360</x:v>
      </x:c>
      <x:c r="Y131" s="300" t="str">
        <x:v>Deep design reconciliation 16-Aug-2026; Chapter 3/4 + Layer-B architecture + latest source/audit evidence</x:v>
      </x:c>
      <x:c r="Z131" s="301" t="s">
        <x:v>555</x:v>
      </x:c>
      <x:c r="AA131" s="301" t="s">
        <x:v>566</x:v>
      </x:c>
      <x:c r="AB131" s="301" t="s">
        <x:v>567</x:v>
      </x:c>
      <x:c r="AC131" s="301" t="s">
        <x:v>613</x:v>
      </x:c>
      <x:c r="AD131" s="301" t="s">
        <x:v>362</x:v>
      </x:c>
      <x:c r="AE131" s="301" t="s">
        <x:v>417</x:v>
      </x:c>
      <x:c r="AF131" s="301" t="s">
        <x:v>881</x:v>
      </x:c>
      <x:c r="AG131" s="301" t="s">
        <x:v>882</x:v>
      </x:c>
      <x:c r="AH131" s="302">
        <x:v>10</x:v>
      </x:c>
      <x:c r="AI131" s="302">
        <x:v>1.5</x:v>
      </x:c>
      <x:c r="AJ131" s="302">
        <x:f t="shared" si="8"/>
        <x:v>1.2</x:v>
      </x:c>
      <x:c r="AK131" s="302">
        <x:f t="shared" si="9"/>
        <x:v>1.7999999999999998</x:v>
      </x:c>
      <x:c r="AL131" s="301" t="s">
        <x:v>883</x:v>
      </x:c>
      <x:c r="AM131" s="301" t="s">
        <x:v>890</x:v>
      </x:c>
      <x:c r="AN131" s="301" t="s">
        <x:v>885</x:v>
      </x:c>
      <x:c r="AO131" s="301" t="s">
        <x:v>309</x:v>
      </x:c>
      <x:c r="AP131" s="301" t="str">
        <x:v>T-128; T-183; T-112; T-114</x:v>
      </x:c>
      <x:c r="AQ131" s="301"/>
    </x:row>
    <x:row r="132" ht="45.95000076293945" hidden="1" customHeight="1">
      <x:c r="A132" s="307" t="s">
        <x:v>899</x:v>
      </x:c>
      <x:c r="B132" s="307" t="s">
        <x:v>874</x:v>
      </x:c>
      <x:c r="C132" s="307" t="s">
        <x:v>875</x:v>
      </x:c>
      <x:c r="D132" s="308" t="s">
        <x:v>900</x:v>
      </x:c>
      <x:c r="E132" s="307" t="s">
        <x:v>478</x:v>
      </x:c>
      <x:c r="F132" s="307" t="s">
        <x:v>901</x:v>
      </x:c>
      <x:c r="G132" s="307" t="s">
        <x:v>46</x:v>
      </x:c>
      <x:c r="H132" s="308" t="s">
        <x:v>902</x:v>
      </x:c>
      <x:c r="I132" s="308" t="s">
        <x:v>903</x:v>
      </x:c>
      <x:c r="J132" s="307">
        <x:v>12</x:v>
      </x:c>
      <x:c r="K132" s="307" t="s">
        <x:v>328</x:v>
      </x:c>
      <x:c r="L132" s="303" t="s">
        <x:v>417</x:v>
      </x:c>
      <x:c r="M132" s="304" t="s">
        <x:v>751</x:v>
      </x:c>
      <x:c r="N132" s="304" t="s">
        <x:v>878</x:v>
      </x:c>
      <x:c r="O132" s="304" t="s">
        <x:v>904</x:v>
      </x:c>
      <x:c r="P132" s="305" t="s">
        <x:v>754</x:v>
      </x:c>
      <x:c r="Q132" s="300" t="str">
        <x:v>Not Started</x:v>
      </x:c>
      <x:c r="R132" s="300"/>
      <x:c r="S132" s="300" t="s">
        <x:v>55</x:v>
      </x:c>
      <x:c r="T132" s="300"/>
      <x:c r="U132" s="300"/>
      <x:c r="V132" s="300" t="s">
        <x:v>904</x:v>
      </x:c>
      <x:c r="W132" s="300" t="s">
        <x:v>755</x:v>
      </x:c>
      <x:c r="X132" s="300" t="s">
        <x:v>56</x:v>
      </x:c>
      <x:c r="Y132" s="300" t="str">
        <x:v>Deep design reconciliation 16-Aug-2026; Chapter 3/4 + Layer-B architecture + latest source/audit evidence</x:v>
      </x:c>
      <x:c r="Z132" s="301" t="s">
        <x:v>555</x:v>
      </x:c>
      <x:c r="AA132" s="301" t="s">
        <x:v>566</x:v>
      </x:c>
      <x:c r="AB132" s="301" t="s">
        <x:v>567</x:v>
      </x:c>
      <x:c r="AC132" s="301" t="s">
        <x:v>613</x:v>
      </x:c>
      <x:c r="AD132" s="301" t="s">
        <x:v>362</x:v>
      </x:c>
      <x:c r="AE132" s="301" t="s">
        <x:v>417</x:v>
      </x:c>
      <x:c r="AF132" s="301" t="s">
        <x:v>881</x:v>
      </x:c>
      <x:c r="AG132" s="301" t="s">
        <x:v>882</x:v>
      </x:c>
      <x:c r="AH132" s="302">
        <x:v>10</x:v>
      </x:c>
      <x:c r="AI132" s="302">
        <x:v>1.5</x:v>
      </x:c>
      <x:c r="AJ132" s="302">
        <x:f t="shared" si="8"/>
        <x:v>1.2</x:v>
      </x:c>
      <x:c r="AK132" s="302">
        <x:f t="shared" si="9"/>
        <x:v>1.7999999999999998</x:v>
      </x:c>
      <x:c r="AL132" s="301" t="s">
        <x:v>883</x:v>
      </x:c>
      <x:c r="AM132" s="301" t="s">
        <x:v>904</x:v>
      </x:c>
      <x:c r="AN132" s="301" t="s">
        <x:v>885</x:v>
      </x:c>
      <x:c r="AO132" s="301" t="s">
        <x:v>309</x:v>
      </x:c>
      <x:c r="AP132" s="301" t="str">
        <x:v>T-086; T-128; T-171</x:v>
      </x:c>
      <x:c r="AQ132" s="301"/>
    </x:row>
    <x:row r="133" ht="45.95000076293945" hidden="1" customHeight="1">
      <x:c r="A133" s="307" t="s">
        <x:v>905</x:v>
      </x:c>
      <x:c r="B133" s="307" t="s">
        <x:v>874</x:v>
      </x:c>
      <x:c r="C133" s="307" t="s">
        <x:v>875</x:v>
      </x:c>
      <x:c r="D133" s="308" t="s">
        <x:v>906</x:v>
      </x:c>
      <x:c r="E133" s="307" t="s">
        <x:v>478</x:v>
      </x:c>
      <x:c r="F133" s="307" t="s">
        <x:v>901</x:v>
      </x:c>
      <x:c r="G133" s="307" t="s">
        <x:v>46</x:v>
      </x:c>
      <x:c r="H133" s="308" t="s">
        <x:v>907</x:v>
      </x:c>
      <x:c r="I133" s="308" t="s">
        <x:v>908</x:v>
      </x:c>
      <x:c r="J133" s="307">
        <x:v>12</x:v>
      </x:c>
      <x:c r="K133" s="307" t="s">
        <x:v>328</x:v>
      </x:c>
      <x:c r="L133" s="303" t="s">
        <x:v>417</x:v>
      </x:c>
      <x:c r="M133" s="304" t="s">
        <x:v>751</x:v>
      </x:c>
      <x:c r="N133" s="304" t="s">
        <x:v>878</x:v>
      </x:c>
      <x:c r="O133" s="304" t="s">
        <x:v>899</x:v>
      </x:c>
      <x:c r="P133" s="305" t="s">
        <x:v>754</x:v>
      </x:c>
      <x:c r="Q133" s="300" t="str">
        <x:v>Not Started</x:v>
      </x:c>
      <x:c r="R133" s="300"/>
      <x:c r="S133" s="300" t="s">
        <x:v>55</x:v>
      </x:c>
      <x:c r="T133" s="300"/>
      <x:c r="U133" s="300"/>
      <x:c r="V133" s="300" t="s">
        <x:v>899</x:v>
      </x:c>
      <x:c r="W133" s="300" t="s">
        <x:v>755</x:v>
      </x:c>
      <x:c r="X133" s="300" t="s">
        <x:v>56</x:v>
      </x:c>
      <x:c r="Y133" s="300" t="str">
        <x:v>Deep design reconciliation 16-Aug-2026; Chapter 3/4 + Layer-B architecture + latest source/audit evidence</x:v>
      </x:c>
      <x:c r="Z133" s="301" t="s">
        <x:v>555</x:v>
      </x:c>
      <x:c r="AA133" s="301" t="s">
        <x:v>566</x:v>
      </x:c>
      <x:c r="AB133" s="301" t="s">
        <x:v>567</x:v>
      </x:c>
      <x:c r="AC133" s="301" t="s">
        <x:v>613</x:v>
      </x:c>
      <x:c r="AD133" s="301" t="s">
        <x:v>362</x:v>
      </x:c>
      <x:c r="AE133" s="301" t="s">
        <x:v>417</x:v>
      </x:c>
      <x:c r="AF133" s="301" t="s">
        <x:v>881</x:v>
      </x:c>
      <x:c r="AG133" s="301" t="s">
        <x:v>882</x:v>
      </x:c>
      <x:c r="AH133" s="302">
        <x:v>10</x:v>
      </x:c>
      <x:c r="AI133" s="302">
        <x:v>1.5</x:v>
      </x:c>
      <x:c r="AJ133" s="302">
        <x:f t="shared" si="8"/>
        <x:v>1.2</x:v>
      </x:c>
      <x:c r="AK133" s="302">
        <x:f t="shared" si="9"/>
        <x:v>1.7999999999999998</x:v>
      </x:c>
      <x:c r="AL133" s="301" t="s">
        <x:v>883</x:v>
      </x:c>
      <x:c r="AM133" s="301" t="s">
        <x:v>899</x:v>
      </x:c>
      <x:c r="AN133" s="301" t="s">
        <x:v>885</x:v>
      </x:c>
      <x:c r="AO133" s="301" t="s">
        <x:v>309</x:v>
      </x:c>
      <x:c r="AP133" s="301" t="str">
        <x:v>T-131</x:v>
      </x:c>
      <x:c r="AQ133" s="301"/>
    </x:row>
    <x:row r="134" ht="45.95000076293945" hidden="1" customHeight="1">
      <x:c r="A134" s="307" t="s">
        <x:v>909</x:v>
      </x:c>
      <x:c r="B134" s="307" t="s">
        <x:v>874</x:v>
      </x:c>
      <x:c r="C134" s="307" t="s">
        <x:v>910</x:v>
      </x:c>
      <x:c r="D134" s="308" t="s">
        <x:v>911</x:v>
      </x:c>
      <x:c r="E134" s="307" t="s">
        <x:v>478</x:v>
      </x:c>
      <x:c r="F134" s="307" t="s">
        <x:v>901</x:v>
      </x:c>
      <x:c r="G134" s="307" t="s">
        <x:v>118</x:v>
      </x:c>
      <x:c r="H134" s="308" t="s">
        <x:v>912</x:v>
      </x:c>
      <x:c r="I134" s="308" t="s">
        <x:v>913</x:v>
      </x:c>
      <x:c r="J134" s="307">
        <x:v>12</x:v>
      </x:c>
      <x:c r="K134" s="307" t="s">
        <x:v>328</x:v>
      </x:c>
      <x:c r="L134" s="303" t="s">
        <x:v>417</x:v>
      </x:c>
      <x:c r="M134" s="304" t="s">
        <x:v>914</x:v>
      </x:c>
      <x:c r="N134" s="304" t="s">
        <x:v>915</x:v>
      </x:c>
      <x:c r="O134" s="304" t="s">
        <x:v>916</x:v>
      </x:c>
      <x:c r="P134" s="305" t="s">
        <x:v>754</x:v>
      </x:c>
      <x:c r="Q134" s="300" t="str">
        <x:v>Not Started</x:v>
      </x:c>
      <x:c r="R134" s="300"/>
      <x:c r="S134" s="300" t="s">
        <x:v>55</x:v>
      </x:c>
      <x:c r="T134" s="300"/>
      <x:c r="U134" s="300"/>
      <x:c r="V134" s="300" t="s">
        <x:v>916</x:v>
      </x:c>
      <x:c r="W134" s="300" t="s">
        <x:v>917</x:v>
      </x:c>
      <x:c r="X134" s="300" t="s">
        <x:v>56</x:v>
      </x:c>
      <x:c r="Y134" s="300" t="str">
        <x:v>Deep design reconciliation 16-Aug-2026; Chapter 3/4 + Layer-B architecture + latest source/audit evidence</x:v>
      </x:c>
      <x:c r="Z134" s="301" t="s">
        <x:v>555</x:v>
      </x:c>
      <x:c r="AA134" s="301" t="s">
        <x:v>566</x:v>
      </x:c>
      <x:c r="AB134" s="301" t="s">
        <x:v>567</x:v>
      </x:c>
      <x:c r="AC134" s="301" t="s">
        <x:v>613</x:v>
      </x:c>
      <x:c r="AD134" s="301" t="s">
        <x:v>362</x:v>
      </x:c>
      <x:c r="AE134" s="301" t="s">
        <x:v>417</x:v>
      </x:c>
      <x:c r="AF134" s="301" t="s">
        <x:v>881</x:v>
      </x:c>
      <x:c r="AG134" s="301" t="s">
        <x:v>882</x:v>
      </x:c>
      <x:c r="AH134" s="302">
        <x:v>10</x:v>
      </x:c>
      <x:c r="AI134" s="302">
        <x:v>1.5</x:v>
      </x:c>
      <x:c r="AJ134" s="302">
        <x:f t="shared" si="8"/>
        <x:v>1.2</x:v>
      </x:c>
      <x:c r="AK134" s="302">
        <x:f t="shared" si="9"/>
        <x:v>1.7999999999999998</x:v>
      </x:c>
      <x:c r="AL134" s="301" t="s">
        <x:v>883</x:v>
      </x:c>
      <x:c r="AM134" s="301" t="s">
        <x:v>916</x:v>
      </x:c>
      <x:c r="AN134" s="301" t="s">
        <x:v>885</x:v>
      </x:c>
      <x:c r="AO134" s="301" t="s">
        <x:v>309</x:v>
      </x:c>
      <x:c r="AP134" s="301" t="str">
        <x:v>T-131; T-132; T-183</x:v>
      </x:c>
      <x:c r="AQ134" s="301"/>
    </x:row>
    <x:row r="135" ht="45.95000076293945" hidden="1" customHeight="1">
      <x:c r="A135" s="307" t="s">
        <x:v>918</x:v>
      </x:c>
      <x:c r="B135" s="307" t="s">
        <x:v>874</x:v>
      </x:c>
      <x:c r="C135" s="307" t="s">
        <x:v>910</x:v>
      </x:c>
      <x:c r="D135" s="308" t="s">
        <x:v>919</x:v>
      </x:c>
      <x:c r="E135" s="307" t="s">
        <x:v>478</x:v>
      </x:c>
      <x:c r="F135" s="307" t="s">
        <x:v>877</x:v>
      </x:c>
      <x:c r="G135" s="307" t="s">
        <x:v>46</x:v>
      </x:c>
      <x:c r="H135" s="308" t="s">
        <x:v>920</x:v>
      </x:c>
      <x:c r="I135" s="308" t="s">
        <x:v>921</x:v>
      </x:c>
      <x:c r="J135" s="307">
        <x:v>12</x:v>
      </x:c>
      <x:c r="K135" s="307" t="s">
        <x:v>328</x:v>
      </x:c>
      <x:c r="L135" s="303" t="s">
        <x:v>417</x:v>
      </x:c>
      <x:c r="M135" s="304" t="s">
        <x:v>914</x:v>
      </x:c>
      <x:c r="N135" s="304" t="s">
        <x:v>915</x:v>
      </x:c>
      <x:c r="O135" s="304" t="s">
        <x:v>922</x:v>
      </x:c>
      <x:c r="P135" s="305" t="s">
        <x:v>923</x:v>
      </x:c>
      <x:c r="Q135" s="300" t="str">
        <x:v>Not Started</x:v>
      </x:c>
      <x:c r="R135" s="300"/>
      <x:c r="S135" s="309" t="s">
        <x:v>356</x:v>
      </x:c>
      <x:c r="T135" s="309" t="s">
        <x:v>924</x:v>
      </x:c>
      <x:c r="U135" s="309" t="s">
        <x:v>925</x:v>
      </x:c>
      <x:c r="V135" s="300" t="s">
        <x:v>922</x:v>
      </x:c>
      <x:c r="W135" s="300" t="s">
        <x:v>917</x:v>
      </x:c>
      <x:c r="X135" s="310" t="s">
        <x:v>360</x:v>
      </x:c>
      <x:c r="Y135" s="300" t="str">
        <x:v>Deep design reconciliation 16-Aug-2026; Chapter 3/4 + Layer-B architecture + latest source/audit evidence</x:v>
      </x:c>
      <x:c r="Z135" s="301" t="s">
        <x:v>555</x:v>
      </x:c>
      <x:c r="AA135" s="301" t="s">
        <x:v>566</x:v>
      </x:c>
      <x:c r="AB135" s="301" t="s">
        <x:v>567</x:v>
      </x:c>
      <x:c r="AC135" s="301" t="s">
        <x:v>613</x:v>
      </x:c>
      <x:c r="AD135" s="301" t="s">
        <x:v>362</x:v>
      </x:c>
      <x:c r="AE135" s="301" t="s">
        <x:v>417</x:v>
      </x:c>
      <x:c r="AF135" s="301" t="s">
        <x:v>881</x:v>
      </x:c>
      <x:c r="AG135" s="301" t="s">
        <x:v>882</x:v>
      </x:c>
      <x:c r="AH135" s="302">
        <x:v>10</x:v>
      </x:c>
      <x:c r="AI135" s="302">
        <x:v>1.5</x:v>
      </x:c>
      <x:c r="AJ135" s="302">
        <x:f t="shared" si="8"/>
        <x:v>1.2</x:v>
      </x:c>
      <x:c r="AK135" s="302">
        <x:f t="shared" si="9"/>
        <x:v>1.7999999999999998</x:v>
      </x:c>
      <x:c r="AL135" s="301" t="s">
        <x:v>883</x:v>
      </x:c>
      <x:c r="AM135" s="301" t="s">
        <x:v>926</x:v>
      </x:c>
      <x:c r="AN135" s="301" t="s">
        <x:v>885</x:v>
      </x:c>
      <x:c r="AO135" s="301" t="s">
        <x:v>309</x:v>
      </x:c>
      <x:c r="AP135" s="301" t="str">
        <x:v>T-090; T-095; T-096; T-129; T-130; T-133; T-186; T-139</x:v>
      </x:c>
      <x:c r="AQ135" s="301"/>
    </x:row>
    <x:row r="136" ht="45.95000076293945" hidden="1" customHeight="1">
      <x:c r="A136" s="307" t="s">
        <x:v>927</x:v>
      </x:c>
      <x:c r="B136" s="307" t="s">
        <x:v>874</x:v>
      </x:c>
      <x:c r="C136" s="307" t="s">
        <x:v>875</x:v>
      </x:c>
      <x:c r="D136" s="308" t="s">
        <x:v>928</x:v>
      </x:c>
      <x:c r="E136" s="307" t="s">
        <x:v>86</x:v>
      </x:c>
      <x:c r="F136" s="307" t="s">
        <x:v>877</x:v>
      </x:c>
      <x:c r="G136" s="307" t="s">
        <x:v>118</x:v>
      </x:c>
      <x:c r="H136" s="308" t="s">
        <x:v>929</x:v>
      </x:c>
      <x:c r="I136" s="308" t="s">
        <x:v>930</x:v>
      </x:c>
      <x:c r="J136" s="307">
        <x:v>10</x:v>
      </x:c>
      <x:c r="K136" s="307" t="s">
        <x:v>328</x:v>
      </x:c>
      <x:c r="L136" s="303" t="s">
        <x:v>417</x:v>
      </x:c>
      <x:c r="M136" s="304" t="s">
        <x:v>751</x:v>
      </x:c>
      <x:c r="N136" s="304" t="s">
        <x:v>878</x:v>
      </x:c>
      <x:c r="O136" s="304" t="s">
        <x:v>931</x:v>
      </x:c>
      <x:c r="P136" s="305" t="s">
        <x:v>932</x:v>
      </x:c>
      <x:c r="Q136" s="300" t="str">
        <x:v>Not Started</x:v>
      </x:c>
      <x:c r="R136" s="300"/>
      <x:c r="S136" s="309" t="s">
        <x:v>356</x:v>
      </x:c>
      <x:c r="T136" s="309" t="s">
        <x:v>933</x:v>
      </x:c>
      <x:c r="U136" s="309" t="s">
        <x:v>934</x:v>
      </x:c>
      <x:c r="V136" s="300" t="s">
        <x:v>931</x:v>
      </x:c>
      <x:c r="W136" s="300" t="s">
        <x:v>755</x:v>
      </x:c>
      <x:c r="X136" s="310" t="s">
        <x:v>360</x:v>
      </x:c>
      <x:c r="Y136" s="300" t="str">
        <x:v>Deep design reconciliation 16-Aug-2026; Chapter 3/4 + Layer-B architecture + latest source/audit evidence</x:v>
      </x:c>
      <x:c r="Z136" s="301" t="s">
        <x:v>555</x:v>
      </x:c>
      <x:c r="AA136" s="301" t="s">
        <x:v>566</x:v>
      </x:c>
      <x:c r="AB136" s="301" t="s">
        <x:v>567</x:v>
      </x:c>
      <x:c r="AC136" s="301" t="s">
        <x:v>613</x:v>
      </x:c>
      <x:c r="AD136" s="301" t="s">
        <x:v>362</x:v>
      </x:c>
      <x:c r="AE136" s="301" t="s">
        <x:v>417</x:v>
      </x:c>
      <x:c r="AF136" s="301" t="s">
        <x:v>881</x:v>
      </x:c>
      <x:c r="AG136" s="301" t="s">
        <x:v>564</x:v>
      </x:c>
      <x:c r="AH136" s="302">
        <x:v>8</x:v>
      </x:c>
      <x:c r="AI136" s="302">
        <x:v>1.55</x:v>
      </x:c>
      <x:c r="AJ136" s="302">
        <x:f t="shared" si="8"/>
        <x:v>1.25</x:v>
      </x:c>
      <x:c r="AK136" s="302">
        <x:f t="shared" si="9"/>
        <x:v>1.9375</x:v>
      </x:c>
      <x:c r="AL136" s="301" t="s">
        <x:v>883</x:v>
      </x:c>
      <x:c r="AM136" s="301" t="s">
        <x:v>935</x:v>
      </x:c>
      <x:c r="AN136" s="301" t="s">
        <x:v>885</x:v>
      </x:c>
      <x:c r="AO136" s="301" t="s">
        <x:v>309</x:v>
      </x:c>
      <x:c r="AP136" s="301" t="str">
        <x:v>T-112; T-114; T-128; T-129; T-130; T-183</x:v>
      </x:c>
      <x:c r="AQ136" s="301"/>
    </x:row>
    <x:row r="137" ht="45.95000076293945" hidden="1" customHeight="1">
      <x:c r="A137" s="307" t="s">
        <x:v>936</x:v>
      </x:c>
      <x:c r="B137" s="307" t="s">
        <x:v>874</x:v>
      </x:c>
      <x:c r="C137" s="307" t="s">
        <x:v>910</x:v>
      </x:c>
      <x:c r="D137" s="308" t="s">
        <x:v>937</x:v>
      </x:c>
      <x:c r="E137" s="307" t="s">
        <x:v>478</x:v>
      </x:c>
      <x:c r="F137" s="307" t="s">
        <x:v>901</x:v>
      </x:c>
      <x:c r="G137" s="307" t="s">
        <x:v>81</x:v>
      </x:c>
      <x:c r="H137" s="308" t="s">
        <x:v>938</x:v>
      </x:c>
      <x:c r="I137" s="308" t="s">
        <x:v>939</x:v>
      </x:c>
      <x:c r="J137" s="307">
        <x:v>10</x:v>
      </x:c>
      <x:c r="K137" s="307" t="s">
        <x:v>328</x:v>
      </x:c>
      <x:c r="L137" s="303" t="s">
        <x:v>417</x:v>
      </x:c>
      <x:c r="M137" s="304" t="s">
        <x:v>914</x:v>
      </x:c>
      <x:c r="N137" s="304" t="s">
        <x:v>915</x:v>
      </x:c>
      <x:c r="O137" s="304" t="s">
        <x:v>940</x:v>
      </x:c>
      <x:c r="P137" s="305" t="s">
        <x:v>754</x:v>
      </x:c>
      <x:c r="Q137" s="300" t="str">
        <x:v>Not Started</x:v>
      </x:c>
      <x:c r="R137" s="300"/>
      <x:c r="S137" s="300" t="s">
        <x:v>55</x:v>
      </x:c>
      <x:c r="T137" s="300"/>
      <x:c r="U137" s="300"/>
      <x:c r="V137" s="300" t="s">
        <x:v>940</x:v>
      </x:c>
      <x:c r="W137" s="300" t="s">
        <x:v>917</x:v>
      </x:c>
      <x:c r="X137" s="300" t="s">
        <x:v>56</x:v>
      </x:c>
      <x:c r="Y137" s="300" t="str">
        <x:v>Deep design reconciliation 16-Aug-2026; Chapter 3/4 + Layer-B architecture + latest source/audit evidence</x:v>
      </x:c>
      <x:c r="Z137" s="301" t="s">
        <x:v>555</x:v>
      </x:c>
      <x:c r="AA137" s="301" t="s">
        <x:v>566</x:v>
      </x:c>
      <x:c r="AB137" s="301" t="s">
        <x:v>567</x:v>
      </x:c>
      <x:c r="AC137" s="301" t="s">
        <x:v>613</x:v>
      </x:c>
      <x:c r="AD137" s="301" t="s">
        <x:v>362</x:v>
      </x:c>
      <x:c r="AE137" s="301" t="s">
        <x:v>417</x:v>
      </x:c>
      <x:c r="AF137" s="301" t="s">
        <x:v>881</x:v>
      </x:c>
      <x:c r="AG137" s="301" t="s">
        <x:v>882</x:v>
      </x:c>
      <x:c r="AH137" s="302">
        <x:v>10</x:v>
      </x:c>
      <x:c r="AI137" s="302">
        <x:v>1.5</x:v>
      </x:c>
      <x:c r="AJ137" s="302">
        <x:f t="shared" si="8"/>
        <x:v>1</x:v>
      </x:c>
      <x:c r="AK137" s="302">
        <x:f t="shared" si="9"/>
        <x:v>1.5</x:v>
      </x:c>
      <x:c r="AL137" s="301" t="s">
        <x:v>941</x:v>
      </x:c>
      <x:c r="AM137" s="301" t="s">
        <x:v>940</x:v>
      </x:c>
      <x:c r="AN137" s="301" t="s">
        <x:v>885</x:v>
      </x:c>
      <x:c r="AO137" s="301" t="s">
        <x:v>309</x:v>
      </x:c>
      <x:c r="AP137" s="301" t="str">
        <x:v>T-131; T-132; T-133; T-109</x:v>
      </x:c>
      <x:c r="AQ137" s="301"/>
    </x:row>
    <x:row r="138" ht="45.95000076293945" hidden="1" customHeight="1">
      <x:c r="A138" s="293" t="s">
        <x:v>942</x:v>
      </x:c>
      <x:c r="B138" s="293" t="s">
        <x:v>874</x:v>
      </x:c>
      <x:c r="C138" s="293" t="s">
        <x:v>943</x:v>
      </x:c>
      <x:c r="D138" s="294" t="s">
        <x:v>944</x:v>
      </x:c>
      <x:c r="E138" s="293" t="s">
        <x:v>478</x:v>
      </x:c>
      <x:c r="F138" s="293" t="s">
        <x:v>945</x:v>
      </x:c>
      <x:c r="G138" s="293" t="s">
        <x:v>118</x:v>
      </x:c>
      <x:c r="H138" s="294" t="s">
        <x:v>946</x:v>
      </x:c>
      <x:c r="I138" s="294" t="s">
        <x:v>947</x:v>
      </x:c>
      <x:c r="J138" s="293">
        <x:v>10</x:v>
      </x:c>
      <x:c r="K138" s="295" t="s">
        <x:v>49</x:v>
      </x:c>
      <x:c r="L138" s="303" t="s">
        <x:v>417</x:v>
      </x:c>
      <x:c r="M138" s="297" t="s">
        <x:v>51</x:v>
      </x:c>
      <x:c r="N138" s="304" t="s">
        <x:v>948</x:v>
      </x:c>
      <x:c r="O138" s="304" t="s">
        <x:v>949</x:v>
      </x:c>
      <x:c r="P138" s="305" t="s">
        <x:v>754</x:v>
      </x:c>
      <x:c r="Q138" s="300" t="str">
        <x:v>Done — evidenced</x:v>
      </x:c>
      <x:c r="R138" s="300" t="s">
        <x:v>950</x:v>
      </x:c>
      <x:c r="S138" s="300" t="s">
        <x:v>266</x:v>
      </x:c>
      <x:c r="T138" s="300"/>
      <x:c r="U138" s="300"/>
      <x:c r="V138" s="300" t="s">
        <x:v>949</x:v>
      </x:c>
      <x:c r="W138" s="300" t="s">
        <x:v>951</x:v>
      </x:c>
      <x:c r="X138" s="300" t="s">
        <x:v>56</x:v>
      </x:c>
      <x:c r="Y138" s="300" t="str">
        <x:v>Deep design reconciliation 16-Aug-2026; Chapter 3/4 + Layer-B architecture + latest source/audit evidence</x:v>
      </x:c>
      <x:c r="Z138" s="301" t="s">
        <x:v>555</x:v>
      </x:c>
      <x:c r="AA138" s="301" t="s">
        <x:v>566</x:v>
      </x:c>
      <x:c r="AB138" s="301" t="s">
        <x:v>952</x:v>
      </x:c>
      <x:c r="AC138" s="301" t="s">
        <x:v>953</x:v>
      </x:c>
      <x:c r="AD138" s="301" t="s">
        <x:v>61</x:v>
      </x:c>
      <x:c r="AE138" s="301" t="s">
        <x:v>51</x:v>
      </x:c>
      <x:c r="AF138" s="301" t="s">
        <x:v>62</x:v>
      </x:c>
      <x:c r="AG138" s="301" t="s">
        <x:v>61</x:v>
      </x:c>
      <x:c r="AH138" s="302">
        <x:v>0</x:v>
      </x:c>
      <x:c r="AI138" s="302">
        <x:v>0</x:v>
      </x:c>
      <x:c r="AJ138" s="302">
        <x:f t="shared" si="8"/>
        <x:v>0</x:v>
      </x:c>
      <x:c r="AK138" s="302">
        <x:f t="shared" si="9"/>
        <x:v>0</x:v>
      </x:c>
      <x:c r="AL138" s="301" t="s">
        <x:v>51</x:v>
      </x:c>
      <x:c r="AM138" s="301" t="s">
        <x:v>63</x:v>
      </x:c>
      <x:c r="AN138" s="301" t="s">
        <x:v>64</x:v>
      </x:c>
      <x:c r="AO138" s="301" t="s">
        <x:v>65</x:v>
      </x:c>
      <x:c r="AP138" s="301"/>
      <x:c r="AQ138" s="301"/>
    </x:row>
    <x:row r="139" ht="45.95000076293945" hidden="1" customHeight="1">
      <x:c r="A139" s="307" t="s">
        <x:v>954</x:v>
      </x:c>
      <x:c r="B139" s="307" t="s">
        <x:v>874</x:v>
      </x:c>
      <x:c r="C139" s="307" t="s">
        <x:v>955</x:v>
      </x:c>
      <x:c r="D139" s="308" t="s">
        <x:v>956</x:v>
      </x:c>
      <x:c r="E139" s="307" t="s">
        <x:v>478</x:v>
      </x:c>
      <x:c r="F139" s="307" t="s">
        <x:v>468</x:v>
      </x:c>
      <x:c r="G139" s="307" t="s">
        <x:v>46</x:v>
      </x:c>
      <x:c r="H139" s="308" t="str">
        <x:v>After M1 continuity is frozen and canonical intelligence is available, replace M1 retrieval/prepared-state internals behind the unchanged dock. Wire T-179 planner, T-180 retrieval/evidence packer, T-137 ModelServingRuntime and T-181 verifier. Structured Layer A/B tools take precedence. Expose stable CompareOperationalPeriods (T-237) and GetCompositePractices (T-240) when those producer contracts are complete; their absence must degrade honestly rather than block the core Assistant cutover.</x:v>
      </x:c>
      <x:c r="I139" s="308" t="s">
        <x:v>957</x:v>
      </x:c>
      <x:c r="J139" s="307">
        <x:v>12</x:v>
      </x:c>
      <x:c r="K139" s="307" t="s">
        <x:v>328</x:v>
      </x:c>
      <x:c r="L139" s="303" t="s">
        <x:v>417</x:v>
      </x:c>
      <x:c r="M139" s="304" t="s">
        <x:v>958</x:v>
      </x:c>
      <x:c r="N139" s="304" t="s">
        <x:v>959</x:v>
      </x:c>
      <x:c r="O139" s="304" t="s">
        <x:v>960</x:v>
      </x:c>
      <x:c r="P139" s="305" t="s">
        <x:v>754</x:v>
      </x:c>
      <x:c r="Q139" s="300" t="str">
        <x:v>Not Started</x:v>
      </x:c>
      <x:c r="R139" s="300"/>
      <x:c r="S139" s="300" t="s">
        <x:v>55</x:v>
      </x:c>
      <x:c r="T139" s="300"/>
      <x:c r="U139" s="300"/>
      <x:c r="V139" s="300" t="s">
        <x:v>960</x:v>
      </x:c>
      <x:c r="W139" s="300" t="s">
        <x:v>961</x:v>
      </x:c>
      <x:c r="X139" s="300" t="s">
        <x:v>56</x:v>
      </x:c>
      <x:c r="Y139" s="300" t="str">
        <x:v>Deep design reconciliation 16-Aug-2026; Chapter 3/4 + Layer-B architecture + latest source/audit evidence</x:v>
      </x:c>
      <x:c r="Z139" s="301" t="s">
        <x:v>555</x:v>
      </x:c>
      <x:c r="AA139" s="301" t="s">
        <x:v>566</x:v>
      </x:c>
      <x:c r="AB139" s="301" t="s">
        <x:v>567</x:v>
      </x:c>
      <x:c r="AC139" s="301" t="s">
        <x:v>962</x:v>
      </x:c>
      <x:c r="AD139" s="301" t="s">
        <x:v>362</x:v>
      </x:c>
      <x:c r="AE139" s="301" t="s">
        <x:v>417</x:v>
      </x:c>
      <x:c r="AF139" s="301" t="s">
        <x:v>881</x:v>
      </x:c>
      <x:c r="AG139" s="301" t="s">
        <x:v>882</x:v>
      </x:c>
      <x:c r="AH139" s="302">
        <x:v>10</x:v>
      </x:c>
      <x:c r="AI139" s="302">
        <x:v>1.5</x:v>
      </x:c>
      <x:c r="AJ139" s="302">
        <x:f t="shared" si="8"/>
        <x:v>1.2</x:v>
      </x:c>
      <x:c r="AK139" s="302">
        <x:f t="shared" si="9"/>
        <x:v>1.7999999999999998</x:v>
      </x:c>
      <x:c r="AL139" s="301" t="s">
        <x:v>963</x:v>
      </x:c>
      <x:c r="AM139" s="301" t="s">
        <x:v>960</x:v>
      </x:c>
      <x:c r="AN139" s="301" t="s">
        <x:v>885</x:v>
      </x:c>
      <x:c r="AO139" s="301" t="s">
        <x:v>309</x:v>
      </x:c>
      <x:c r="AP139" s="301" t="str">
        <x:v>T-179; T-180; T-181; T-137; T-134; T-188</x:v>
      </x:c>
      <x:c r="AQ139" s="301"/>
    </x:row>
    <x:row r="140" ht="45.95000076293945" hidden="1" customHeight="1">
      <x:c r="A140" s="307" t="s">
        <x:v>964</x:v>
      </x:c>
      <x:c r="B140" s="307" t="s">
        <x:v>874</x:v>
      </x:c>
      <x:c r="C140" s="307" t="s">
        <x:v>965</x:v>
      </x:c>
      <x:c r="D140" s="308" t="s">
        <x:v>966</x:v>
      </x:c>
      <x:c r="E140" s="307" t="s">
        <x:v>478</x:v>
      </x:c>
      <x:c r="F140" s="307" t="s">
        <x:v>967</x:v>
      </x:c>
      <x:c r="G140" s="307" t="s">
        <x:v>46</x:v>
      </x:c>
      <x:c r="H140" s="308" t="str">
        <x:v>Persist prediction_runs, predictions and prediction_current per serving identity and generic analysis_subject_id + grain_code. A prediction may target a material unit, equipment state, campaign, batch or process window according to the published grain definition; no universal CoilId/material-unit assumption.</x:v>
      </x:c>
      <x:c r="I140" s="308" t="str">
        <x:v>Same prediction contract stores and retrieves at least one discrete subject and one non-material equipment/process-window subject, preserving evidence, horizon, uncertainty and tenant isolation.</x:v>
      </x:c>
      <x:c r="J140" s="307">
        <x:v>12</x:v>
      </x:c>
      <x:c r="K140" s="307" t="s">
        <x:v>328</x:v>
      </x:c>
      <x:c r="L140" s="303" t="s">
        <x:v>417</x:v>
      </x:c>
      <x:c r="M140" s="304" t="s">
        <x:v>958</x:v>
      </x:c>
      <x:c r="N140" s="304" t="s">
        <x:v>968</x:v>
      </x:c>
      <x:c r="O140" s="304" t="str">
        <x:v>T-130; T-187; T-231</x:v>
      </x:c>
      <x:c r="P140" s="305" t="s">
        <x:v>754</x:v>
      </x:c>
      <x:c r="Q140" s="300" t="str">
        <x:v>Not Started</x:v>
      </x:c>
      <x:c r="R140" s="300"/>
      <x:c r="S140" s="309" t="s">
        <x:v>356</x:v>
      </x:c>
      <x:c r="T140" s="309" t="s">
        <x:v>933</x:v>
      </x:c>
      <x:c r="U140" s="309" t="str">
        <x:v>Prediction identity is generic analysis subject + declared grain, not a steel/material shortcut.</x:v>
      </x:c>
      <x:c r="V140" s="300" t="str">
        <x:v>T-130 + T-187 + T-231. T-216 contract applies for temporal serving subjects where required.</x:v>
      </x:c>
      <x:c r="W140" s="300" t="s">
        <x:v>961</x:v>
      </x:c>
      <x:c r="X140" s="310" t="s">
        <x:v>360</x:v>
      </x:c>
      <x:c r="Y140" s="300" t="str">
        <x:v>Deep design reconciliation 16-Aug-2026; Chapter 3/4 + Layer-B architecture + latest source/audit evidence</x:v>
      </x:c>
      <x:c r="Z140" s="301" t="s">
        <x:v>555</x:v>
      </x:c>
      <x:c r="AA140" s="301" t="s">
        <x:v>566</x:v>
      </x:c>
      <x:c r="AB140" s="301" t="s">
        <x:v>567</x:v>
      </x:c>
      <x:c r="AC140" s="301" t="s">
        <x:v>613</x:v>
      </x:c>
      <x:c r="AD140" s="301" t="s">
        <x:v>362</x:v>
      </x:c>
      <x:c r="AE140" s="301" t="s">
        <x:v>417</x:v>
      </x:c>
      <x:c r="AF140" s="301" t="s">
        <x:v>881</x:v>
      </x:c>
      <x:c r="AG140" s="301" t="s">
        <x:v>882</x:v>
      </x:c>
      <x:c r="AH140" s="302">
        <x:v>10</x:v>
      </x:c>
      <x:c r="AI140" s="302">
        <x:v>1.5</x:v>
      </x:c>
      <x:c r="AJ140" s="302">
        <x:f t="shared" si="8"/>
        <x:v>1.2</x:v>
      </x:c>
      <x:c r="AK140" s="302">
        <x:f t="shared" si="9"/>
        <x:v>1.7999999999999998</x:v>
      </x:c>
      <x:c r="AL140" s="301" t="s">
        <x:v>969</x:v>
      </x:c>
      <x:c r="AM140" s="301" t="s">
        <x:v>970</x:v>
      </x:c>
      <x:c r="AN140" s="301" t="s">
        <x:v>885</x:v>
      </x:c>
      <x:c r="AO140" s="301" t="s">
        <x:v>309</x:v>
      </x:c>
      <x:c r="AP140" s="301" t="str">
        <x:v>T-130; T-187; T-231</x:v>
      </x:c>
      <x:c r="AQ140" s="301"/>
    </x:row>
    <x:row r="141" ht="45.95000076293945" hidden="1" customHeight="1">
      <x:c r="A141" s="307" t="s">
        <x:v>971</x:v>
      </x:c>
      <x:c r="B141" s="307" t="s">
        <x:v>874</x:v>
      </x:c>
      <x:c r="C141" s="307" t="s">
        <x:v>965</x:v>
      </x:c>
      <x:c r="D141" s="308" t="s">
        <x:v>972</x:v>
      </x:c>
      <x:c r="E141" s="307" t="s">
        <x:v>478</x:v>
      </x:c>
      <x:c r="F141" s="307" t="s">
        <x:v>967</x:v>
      </x:c>
      <x:c r="G141" s="307" t="s">
        <x:v>46</x:v>
      </x:c>
      <x:c r="H141" s="308" t="s">
        <x:v>973</x:v>
      </x:c>
      <x:c r="I141" s="308" t="s">
        <x:v>974</x:v>
      </x:c>
      <x:c r="J141" s="307">
        <x:v>12</x:v>
      </x:c>
      <x:c r="K141" s="307" t="s">
        <x:v>328</x:v>
      </x:c>
      <x:c r="L141" s="303" t="s">
        <x:v>417</x:v>
      </x:c>
      <x:c r="M141" s="304" t="s">
        <x:v>958</x:v>
      </x:c>
      <x:c r="N141" s="304" t="s">
        <x:v>968</x:v>
      </x:c>
      <x:c r="O141" s="304" t="s">
        <x:v>975</x:v>
      </x:c>
      <x:c r="P141" s="305" t="s">
        <x:v>754</x:v>
      </x:c>
      <x:c r="Q141" s="300" t="str">
        <x:v>Not Started</x:v>
      </x:c>
      <x:c r="R141" s="300"/>
      <x:c r="S141" s="300" t="s">
        <x:v>55</x:v>
      </x:c>
      <x:c r="T141" s="300"/>
      <x:c r="U141" s="300"/>
      <x:c r="V141" s="300" t="s">
        <x:v>975</x:v>
      </x:c>
      <x:c r="W141" s="300" t="s">
        <x:v>961</x:v>
      </x:c>
      <x:c r="X141" s="300" t="s">
        <x:v>56</x:v>
      </x:c>
      <x:c r="Y141" s="300" t="str">
        <x:v>Deep design reconciliation 16-Aug-2026; Chapter 3/4 + Layer-B architecture + latest source/audit evidence</x:v>
      </x:c>
      <x:c r="Z141" s="301" t="s">
        <x:v>555</x:v>
      </x:c>
      <x:c r="AA141" s="301" t="s">
        <x:v>566</x:v>
      </x:c>
      <x:c r="AB141" s="301" t="s">
        <x:v>567</x:v>
      </x:c>
      <x:c r="AC141" s="301" t="s">
        <x:v>613</x:v>
      </x:c>
      <x:c r="AD141" s="301" t="s">
        <x:v>362</x:v>
      </x:c>
      <x:c r="AE141" s="301" t="s">
        <x:v>417</x:v>
      </x:c>
      <x:c r="AF141" s="301" t="s">
        <x:v>881</x:v>
      </x:c>
      <x:c r="AG141" s="301" t="s">
        <x:v>882</x:v>
      </x:c>
      <x:c r="AH141" s="302">
        <x:v>10</x:v>
      </x:c>
      <x:c r="AI141" s="302">
        <x:v>1.5</x:v>
      </x:c>
      <x:c r="AJ141" s="302">
        <x:f t="shared" si="8"/>
        <x:v>1.2</x:v>
      </x:c>
      <x:c r="AK141" s="302">
        <x:f t="shared" si="9"/>
        <x:v>1.7999999999999998</x:v>
      </x:c>
      <x:c r="AL141" s="301" t="s">
        <x:v>969</x:v>
      </x:c>
      <x:c r="AM141" s="301" t="s">
        <x:v>975</x:v>
      </x:c>
      <x:c r="AN141" s="301" t="s">
        <x:v>885</x:v>
      </x:c>
      <x:c r="AO141" s="301" t="s">
        <x:v>309</x:v>
      </x:c>
      <x:c r="AP141" s="301" t="str">
        <x:v>T-139; T-173; T-176</x:v>
      </x:c>
      <x:c r="AQ141" s="301"/>
    </x:row>
    <x:row r="142" ht="45.95000076293945" hidden="1" customHeight="1">
      <x:c r="A142" s="307" t="s">
        <x:v>976</x:v>
      </x:c>
      <x:c r="B142" s="307" t="s">
        <x:v>874</x:v>
      </x:c>
      <x:c r="C142" s="307" t="s">
        <x:v>965</x:v>
      </x:c>
      <x:c r="D142" s="308" t="s">
        <x:v>977</x:v>
      </x:c>
      <x:c r="E142" s="307" t="s">
        <x:v>478</x:v>
      </x:c>
      <x:c r="F142" s="307" t="s">
        <x:v>967</x:v>
      </x:c>
      <x:c r="G142" s="307" t="s">
        <x:v>118</x:v>
      </x:c>
      <x:c r="H142" s="308" t="s">
        <x:v>978</x:v>
      </x:c>
      <x:c r="I142" s="308" t="s">
        <x:v>979</x:v>
      </x:c>
      <x:c r="J142" s="307">
        <x:v>12</x:v>
      </x:c>
      <x:c r="K142" s="307" t="s">
        <x:v>328</x:v>
      </x:c>
      <x:c r="L142" s="303" t="s">
        <x:v>417</x:v>
      </x:c>
      <x:c r="M142" s="304" t="s">
        <x:v>980</x:v>
      </x:c>
      <x:c r="N142" s="304" t="s">
        <x:v>981</x:v>
      </x:c>
      <x:c r="O142" s="304" t="s">
        <x:v>982</x:v>
      </x:c>
      <x:c r="P142" s="305" t="s">
        <x:v>754</x:v>
      </x:c>
      <x:c r="Q142" s="300" t="str">
        <x:v>Not Started</x:v>
      </x:c>
      <x:c r="R142" s="300"/>
      <x:c r="S142" s="300" t="s">
        <x:v>55</x:v>
      </x:c>
      <x:c r="T142" s="300"/>
      <x:c r="U142" s="300"/>
      <x:c r="V142" s="300" t="s">
        <x:v>982</x:v>
      </x:c>
      <x:c r="W142" s="300" t="s">
        <x:v>983</x:v>
      </x:c>
      <x:c r="X142" s="300" t="s">
        <x:v>56</x:v>
      </x:c>
      <x:c r="Y142" s="300" t="str">
        <x:v>Deep design reconciliation 16-Aug-2026; Chapter 3/4 + Layer-B architecture + latest source/audit evidence</x:v>
      </x:c>
      <x:c r="Z142" s="301" t="s">
        <x:v>555</x:v>
      </x:c>
      <x:c r="AA142" s="301" t="s">
        <x:v>566</x:v>
      </x:c>
      <x:c r="AB142" s="301" t="s">
        <x:v>567</x:v>
      </x:c>
      <x:c r="AC142" s="301" t="s">
        <x:v>613</x:v>
      </x:c>
      <x:c r="AD142" s="301" t="s">
        <x:v>362</x:v>
      </x:c>
      <x:c r="AE142" s="301" t="s">
        <x:v>417</x:v>
      </x:c>
      <x:c r="AF142" s="301" t="s">
        <x:v>881</x:v>
      </x:c>
      <x:c r="AG142" s="301" t="s">
        <x:v>882</x:v>
      </x:c>
      <x:c r="AH142" s="302">
        <x:v>10</x:v>
      </x:c>
      <x:c r="AI142" s="302">
        <x:v>1.5</x:v>
      </x:c>
      <x:c r="AJ142" s="302">
        <x:f t="shared" si="8"/>
        <x:v>1.2</x:v>
      </x:c>
      <x:c r="AK142" s="302">
        <x:f t="shared" si="9"/>
        <x:v>1.7999999999999998</x:v>
      </x:c>
      <x:c r="AL142" s="301" t="s">
        <x:v>969</x:v>
      </x:c>
      <x:c r="AM142" s="301" t="s">
        <x:v>982</x:v>
      </x:c>
      <x:c r="AN142" s="301" t="s">
        <x:v>885</x:v>
      </x:c>
      <x:c r="AO142" s="301" t="s">
        <x:v>309</x:v>
      </x:c>
      <x:c r="AP142" s="301" t="str">
        <x:v>T-107; T-122; T-139; T-187</x:v>
      </x:c>
      <x:c r="AQ142" s="301"/>
    </x:row>
    <x:row r="143" ht="45.95000076293945" hidden="1" customHeight="1">
      <x:c r="A143" s="307" t="s">
        <x:v>984</x:v>
      </x:c>
      <x:c r="B143" s="307" t="s">
        <x:v>874</x:v>
      </x:c>
      <x:c r="C143" s="307" t="s">
        <x:v>965</x:v>
      </x:c>
      <x:c r="D143" s="308" t="s">
        <x:v>985</x:v>
      </x:c>
      <x:c r="E143" s="307" t="s">
        <x:v>478</x:v>
      </x:c>
      <x:c r="F143" s="307" t="s">
        <x:v>986</x:v>
      </x:c>
      <x:c r="G143" s="307" t="s">
        <x:v>46</x:v>
      </x:c>
      <x:c r="H143" s="308" t="s">
        <x:v>987</x:v>
      </x:c>
      <x:c r="I143" s="308" t="s">
        <x:v>988</x:v>
      </x:c>
      <x:c r="J143" s="307">
        <x:v>8</x:v>
      </x:c>
      <x:c r="K143" s="307" t="s">
        <x:v>328</x:v>
      </x:c>
      <x:c r="L143" s="303" t="s">
        <x:v>417</x:v>
      </x:c>
      <x:c r="M143" s="304" t="s">
        <x:v>958</x:v>
      </x:c>
      <x:c r="N143" s="304" t="s">
        <x:v>968</x:v>
      </x:c>
      <x:c r="O143" s="304" t="s">
        <x:v>989</x:v>
      </x:c>
      <x:c r="P143" s="305" t="s">
        <x:v>754</x:v>
      </x:c>
      <x:c r="Q143" s="300" t="str">
        <x:v>Not Started</x:v>
      </x:c>
      <x:c r="R143" s="300"/>
      <x:c r="S143" s="300" t="s">
        <x:v>55</x:v>
      </x:c>
      <x:c r="T143" s="300"/>
      <x:c r="U143" s="300"/>
      <x:c r="V143" s="300" t="s">
        <x:v>989</x:v>
      </x:c>
      <x:c r="W143" s="300" t="s">
        <x:v>961</x:v>
      </x:c>
      <x:c r="X143" s="300" t="s">
        <x:v>56</x:v>
      </x:c>
      <x:c r="Y143" s="300" t="str">
        <x:v>Deep design reconciliation 16-Aug-2026; Chapter 3/4 + Layer-B architecture + latest source/audit evidence</x:v>
      </x:c>
      <x:c r="Z143" s="301" t="s">
        <x:v>555</x:v>
      </x:c>
      <x:c r="AA143" s="301" t="s">
        <x:v>566</x:v>
      </x:c>
      <x:c r="AB143" s="301" t="s">
        <x:v>567</x:v>
      </x:c>
      <x:c r="AC143" s="301" t="s">
        <x:v>613</x:v>
      </x:c>
      <x:c r="AD143" s="301" t="s">
        <x:v>362</x:v>
      </x:c>
      <x:c r="AE143" s="301" t="s">
        <x:v>417</x:v>
      </x:c>
      <x:c r="AF143" s="301" t="s">
        <x:v>881</x:v>
      </x:c>
      <x:c r="AG143" s="301" t="s">
        <x:v>882</x:v>
      </x:c>
      <x:c r="AH143" s="302">
        <x:v>10</x:v>
      </x:c>
      <x:c r="AI143" s="302">
        <x:v>1.5</x:v>
      </x:c>
      <x:c r="AJ143" s="302">
        <x:f t="shared" si="8"/>
        <x:v>0.8</x:v>
      </x:c>
      <x:c r="AK143" s="302">
        <x:f t="shared" si="9"/>
        <x:v>1.2000000000000002</x:v>
      </x:c>
      <x:c r="AL143" s="301" t="s">
        <x:v>969</x:v>
      </x:c>
      <x:c r="AM143" s="301" t="s">
        <x:v>989</x:v>
      </x:c>
      <x:c r="AN143" s="301" t="s">
        <x:v>885</x:v>
      </x:c>
      <x:c r="AO143" s="301" t="s">
        <x:v>309</x:v>
      </x:c>
      <x:c r="AP143" s="301" t="str">
        <x:v>T-131; T-132; T-139; T-140</x:v>
      </x:c>
      <x:c r="AQ143" s="301"/>
    </x:row>
    <x:row r="144" ht="45.95000076293945" hidden="1" customHeight="1">
      <x:c r="A144" s="307" t="s">
        <x:v>990</x:v>
      </x:c>
      <x:c r="B144" s="307" t="s">
        <x:v>874</x:v>
      </x:c>
      <x:c r="C144" s="307" t="s">
        <x:v>965</x:v>
      </x:c>
      <x:c r="D144" s="308" t="s">
        <x:v>991</x:v>
      </x:c>
      <x:c r="E144" s="307" t="s">
        <x:v>478</x:v>
      </x:c>
      <x:c r="F144" s="307" t="s">
        <x:v>986</x:v>
      </x:c>
      <x:c r="G144" s="307" t="s">
        <x:v>46</x:v>
      </x:c>
      <x:c r="H144" s="308" t="s">
        <x:v>992</x:v>
      </x:c>
      <x:c r="I144" s="308" t="s">
        <x:v>993</x:v>
      </x:c>
      <x:c r="J144" s="307">
        <x:v>8</x:v>
      </x:c>
      <x:c r="K144" s="307" t="s">
        <x:v>328</x:v>
      </x:c>
      <x:c r="L144" s="303" t="s">
        <x:v>417</x:v>
      </x:c>
      <x:c r="M144" s="304" t="s">
        <x:v>958</x:v>
      </x:c>
      <x:c r="N144" s="304" t="s">
        <x:v>968</x:v>
      </x:c>
      <x:c r="O144" s="304" t="s">
        <x:v>994</x:v>
      </x:c>
      <x:c r="P144" s="305" t="s">
        <x:v>754</x:v>
      </x:c>
      <x:c r="Q144" s="300" t="str">
        <x:v>Not Started</x:v>
      </x:c>
      <x:c r="R144" s="300"/>
      <x:c r="S144" s="300" t="s">
        <x:v>55</x:v>
      </x:c>
      <x:c r="T144" s="300"/>
      <x:c r="U144" s="300"/>
      <x:c r="V144" s="300" t="s">
        <x:v>994</x:v>
      </x:c>
      <x:c r="W144" s="300" t="s">
        <x:v>961</x:v>
      </x:c>
      <x:c r="X144" s="300" t="s">
        <x:v>56</x:v>
      </x:c>
      <x:c r="Y144" s="300" t="str">
        <x:v>Deep design reconciliation 16-Aug-2026; Chapter 3/4 + Layer-B architecture + latest source/audit evidence</x:v>
      </x:c>
      <x:c r="Z144" s="301" t="s">
        <x:v>555</x:v>
      </x:c>
      <x:c r="AA144" s="301" t="s">
        <x:v>566</x:v>
      </x:c>
      <x:c r="AB144" s="301" t="s">
        <x:v>567</x:v>
      </x:c>
      <x:c r="AC144" s="301" t="s">
        <x:v>613</x:v>
      </x:c>
      <x:c r="AD144" s="301" t="s">
        <x:v>362</x:v>
      </x:c>
      <x:c r="AE144" s="301" t="s">
        <x:v>417</x:v>
      </x:c>
      <x:c r="AF144" s="301" t="s">
        <x:v>881</x:v>
      </x:c>
      <x:c r="AG144" s="301" t="s">
        <x:v>882</x:v>
      </x:c>
      <x:c r="AH144" s="302">
        <x:v>10</x:v>
      </x:c>
      <x:c r="AI144" s="302">
        <x:v>1.5</x:v>
      </x:c>
      <x:c r="AJ144" s="302">
        <x:f t="shared" si="8"/>
        <x:v>0.8</x:v>
      </x:c>
      <x:c r="AK144" s="302">
        <x:f t="shared" si="9"/>
        <x:v>1.2000000000000002</x:v>
      </x:c>
      <x:c r="AL144" s="301" t="s">
        <x:v>969</x:v>
      </x:c>
      <x:c r="AM144" s="301" t="s">
        <x:v>994</x:v>
      </x:c>
      <x:c r="AN144" s="301" t="s">
        <x:v>885</x:v>
      </x:c>
      <x:c r="AO144" s="301" t="s">
        <x:v>309</x:v>
      </x:c>
      <x:c r="AP144" s="301" t="str">
        <x:v>T-178; T-142</x:v>
      </x:c>
      <x:c r="AQ144" s="301"/>
    </x:row>
    <x:row r="145" ht="45.95000076293945" hidden="1" customHeight="1">
      <x:c r="A145" s="307" t="s">
        <x:v>995</x:v>
      </x:c>
      <x:c r="B145" s="307" t="s">
        <x:v>874</x:v>
      </x:c>
      <x:c r="C145" s="307" t="s">
        <x:v>965</x:v>
      </x:c>
      <x:c r="D145" s="308" t="s">
        <x:v>996</x:v>
      </x:c>
      <x:c r="E145" s="307" t="s">
        <x:v>478</x:v>
      </x:c>
      <x:c r="F145" s="307" t="s">
        <x:v>997</x:v>
      </x:c>
      <x:c r="G145" s="307" t="s">
        <x:v>46</x:v>
      </x:c>
      <x:c r="H145" s="308" t="s">
        <x:v>998</x:v>
      </x:c>
      <x:c r="I145" s="308" t="s">
        <x:v>999</x:v>
      </x:c>
      <x:c r="J145" s="307">
        <x:v>8</x:v>
      </x:c>
      <x:c r="K145" s="307" t="s">
        <x:v>328</x:v>
      </x:c>
      <x:c r="L145" s="303" t="s">
        <x:v>417</x:v>
      </x:c>
      <x:c r="M145" s="304" t="s">
        <x:v>958</x:v>
      </x:c>
      <x:c r="N145" s="304" t="s">
        <x:v>968</x:v>
      </x:c>
      <x:c r="O145" s="304" t="s">
        <x:v>990</x:v>
      </x:c>
      <x:c r="P145" s="305" t="s">
        <x:v>754</x:v>
      </x:c>
      <x:c r="Q145" s="300" t="str">
        <x:v>Not Started</x:v>
      </x:c>
      <x:c r="R145" s="300"/>
      <x:c r="S145" s="300" t="s">
        <x:v>55</x:v>
      </x:c>
      <x:c r="T145" s="300"/>
      <x:c r="U145" s="300"/>
      <x:c r="V145" s="300" t="s">
        <x:v>990</x:v>
      </x:c>
      <x:c r="W145" s="300" t="s">
        <x:v>961</x:v>
      </x:c>
      <x:c r="X145" s="300" t="s">
        <x:v>56</x:v>
      </x:c>
      <x:c r="Y145" s="300" t="str">
        <x:v>Deep design reconciliation 16-Aug-2026; Chapter 3/4 + Layer-B architecture + latest source/audit evidence</x:v>
      </x:c>
      <x:c r="Z145" s="301" t="s">
        <x:v>555</x:v>
      </x:c>
      <x:c r="AA145" s="301" t="s">
        <x:v>566</x:v>
      </x:c>
      <x:c r="AB145" s="301" t="s">
        <x:v>567</x:v>
      </x:c>
      <x:c r="AC145" s="301" t="s">
        <x:v>613</x:v>
      </x:c>
      <x:c r="AD145" s="301" t="s">
        <x:v>362</x:v>
      </x:c>
      <x:c r="AE145" s="301" t="s">
        <x:v>417</x:v>
      </x:c>
      <x:c r="AF145" s="301" t="s">
        <x:v>881</x:v>
      </x:c>
      <x:c r="AG145" s="301" t="s">
        <x:v>882</x:v>
      </x:c>
      <x:c r="AH145" s="302">
        <x:v>10</x:v>
      </x:c>
      <x:c r="AI145" s="302">
        <x:v>1.5</x:v>
      </x:c>
      <x:c r="AJ145" s="302">
        <x:f t="shared" si="8"/>
        <x:v>0.8</x:v>
      </x:c>
      <x:c r="AK145" s="302">
        <x:f t="shared" si="9"/>
        <x:v>1.2000000000000002</x:v>
      </x:c>
      <x:c r="AL145" s="301" t="s">
        <x:v>969</x:v>
      </x:c>
      <x:c r="AM145" s="301" t="s">
        <x:v>990</x:v>
      </x:c>
      <x:c r="AN145" s="301" t="s">
        <x:v>885</x:v>
      </x:c>
      <x:c r="AO145" s="301" t="s">
        <x:v>309</x:v>
      </x:c>
      <x:c r="AP145" s="301" t="str">
        <x:v>T-143</x:v>
      </x:c>
      <x:c r="AQ145" s="301"/>
    </x:row>
    <x:row r="146" ht="45.95000076293945" hidden="1" customHeight="1">
      <x:c r="A146" s="307" t="s">
        <x:v>1000</x:v>
      </x:c>
      <x:c r="B146" s="307" t="s">
        <x:v>874</x:v>
      </x:c>
      <x:c r="C146" s="307" t="s">
        <x:v>965</x:v>
      </x:c>
      <x:c r="D146" s="308" t="s">
        <x:v>1001</x:v>
      </x:c>
      <x:c r="E146" s="307" t="s">
        <x:v>478</x:v>
      </x:c>
      <x:c r="F146" s="307" t="s">
        <x:v>997</x:v>
      </x:c>
      <x:c r="G146" s="307" t="s">
        <x:v>46</x:v>
      </x:c>
      <x:c r="H146" s="308" t="s">
        <x:v>1002</x:v>
      </x:c>
      <x:c r="I146" s="308" t="s">
        <x:v>1003</x:v>
      </x:c>
      <x:c r="J146" s="307">
        <x:v>8</x:v>
      </x:c>
      <x:c r="K146" s="307" t="s">
        <x:v>328</x:v>
      </x:c>
      <x:c r="L146" s="303" t="s">
        <x:v>417</x:v>
      </x:c>
      <x:c r="M146" s="304" t="s">
        <x:v>958</x:v>
      </x:c>
      <x:c r="N146" s="304" t="s">
        <x:v>968</x:v>
      </x:c>
      <x:c r="O146" s="304" t="s">
        <x:v>995</x:v>
      </x:c>
      <x:c r="P146" s="305" t="s">
        <x:v>754</x:v>
      </x:c>
      <x:c r="Q146" s="300" t="str">
        <x:v>Not Started</x:v>
      </x:c>
      <x:c r="R146" s="300"/>
      <x:c r="S146" s="300" t="s">
        <x:v>55</x:v>
      </x:c>
      <x:c r="T146" s="300"/>
      <x:c r="U146" s="300"/>
      <x:c r="V146" s="300" t="s">
        <x:v>995</x:v>
      </x:c>
      <x:c r="W146" s="300" t="s">
        <x:v>961</x:v>
      </x:c>
      <x:c r="X146" s="300" t="s">
        <x:v>56</x:v>
      </x:c>
      <x:c r="Y146" s="300" t="str">
        <x:v>Deep design reconciliation 16-Aug-2026; Chapter 3/4 + Layer-B architecture + latest source/audit evidence</x:v>
      </x:c>
      <x:c r="Z146" s="301" t="s">
        <x:v>555</x:v>
      </x:c>
      <x:c r="AA146" s="301" t="s">
        <x:v>566</x:v>
      </x:c>
      <x:c r="AB146" s="301" t="s">
        <x:v>567</x:v>
      </x:c>
      <x:c r="AC146" s="301" t="s">
        <x:v>613</x:v>
      </x:c>
      <x:c r="AD146" s="301" t="s">
        <x:v>362</x:v>
      </x:c>
      <x:c r="AE146" s="301" t="s">
        <x:v>417</x:v>
      </x:c>
      <x:c r="AF146" s="301" t="s">
        <x:v>881</x:v>
      </x:c>
      <x:c r="AG146" s="301" t="s">
        <x:v>882</x:v>
      </x:c>
      <x:c r="AH146" s="302">
        <x:v>10</x:v>
      </x:c>
      <x:c r="AI146" s="302">
        <x:v>1.5</x:v>
      </x:c>
      <x:c r="AJ146" s="302">
        <x:f t="shared" si="8"/>
        <x:v>0.8</x:v>
      </x:c>
      <x:c r="AK146" s="302">
        <x:f t="shared" si="9"/>
        <x:v>1.2000000000000002</x:v>
      </x:c>
      <x:c r="AL146" s="301" t="s">
        <x:v>969</x:v>
      </x:c>
      <x:c r="AM146" s="301" t="s">
        <x:v>995</x:v>
      </x:c>
      <x:c r="AN146" s="301" t="s">
        <x:v>885</x:v>
      </x:c>
      <x:c r="AO146" s="301" t="s">
        <x:v>309</x:v>
      </x:c>
      <x:c r="AP146" s="301" t="str">
        <x:v>T-144</x:v>
      </x:c>
      <x:c r="AQ146" s="301"/>
    </x:row>
    <x:row r="147" ht="45.95000076293945" hidden="1" customHeight="1">
      <x:c r="A147" s="307" t="s">
        <x:v>1004</x:v>
      </x:c>
      <x:c r="B147" s="307" t="s">
        <x:v>874</x:v>
      </x:c>
      <x:c r="C147" s="307" t="s">
        <x:v>955</x:v>
      </x:c>
      <x:c r="D147" s="308" t="s">
        <x:v>1005</x:v>
      </x:c>
      <x:c r="E147" s="307" t="s">
        <x:v>112</x:v>
      </x:c>
      <x:c r="F147" s="307" t="s">
        <x:v>1006</x:v>
      </x:c>
      <x:c r="G147" s="307" t="s">
        <x:v>118</x:v>
      </x:c>
      <x:c r="H147" s="308" t="s">
        <x:v>1007</x:v>
      </x:c>
      <x:c r="I147" s="308" t="s">
        <x:v>1008</x:v>
      </x:c>
      <x:c r="J147" s="307">
        <x:v>10</x:v>
      </x:c>
      <x:c r="K147" s="307" t="s">
        <x:v>328</x:v>
      </x:c>
      <x:c r="L147" s="303" t="s">
        <x:v>417</x:v>
      </x:c>
      <x:c r="M147" s="304" t="s">
        <x:v>1009</x:v>
      </x:c>
      <x:c r="N147" s="304" t="s">
        <x:v>1010</x:v>
      </x:c>
      <x:c r="O147" s="304" t="s">
        <x:v>1011</x:v>
      </x:c>
      <x:c r="P147" s="305" t="s">
        <x:v>1012</x:v>
      </x:c>
      <x:c r="Q147" s="300" t="str">
        <x:v>Not Started</x:v>
      </x:c>
      <x:c r="R147" s="300"/>
      <x:c r="S147" s="306" t="s">
        <x:v>297</x:v>
      </x:c>
      <x:c r="T147" s="306" t="s">
        <x:v>1013</x:v>
      </x:c>
      <x:c r="U147" s="306" t="s">
        <x:v>1014</x:v>
      </x:c>
      <x:c r="V147" s="300" t="s">
        <x:v>1011</x:v>
      </x:c>
      <x:c r="W147" s="300" t="s">
        <x:v>1015</x:v>
      </x:c>
      <x:c r="X147" s="306" t="s">
        <x:v>301</x:v>
      </x:c>
      <x:c r="Y147" s="300" t="str">
        <x:v>Deep design reconciliation 16-Aug-2026; Chapter 3/4 + Layer-B architecture + latest source/audit evidence</x:v>
      </x:c>
      <x:c r="Z147" s="301" t="s">
        <x:v>555</x:v>
      </x:c>
      <x:c r="AA147" s="301" t="s">
        <x:v>566</x:v>
      </x:c>
      <x:c r="AB147" s="301" t="s">
        <x:v>567</x:v>
      </x:c>
      <x:c r="AC147" s="301" t="s">
        <x:v>613</x:v>
      </x:c>
      <x:c r="AD147" s="301" t="s">
        <x:v>362</x:v>
      </x:c>
      <x:c r="AE147" s="301" t="s">
        <x:v>417</x:v>
      </x:c>
      <x:c r="AF147" s="301" t="s">
        <x:v>881</x:v>
      </x:c>
      <x:c r="AG147" s="301" t="s">
        <x:v>882</x:v>
      </x:c>
      <x:c r="AH147" s="302">
        <x:v>10</x:v>
      </x:c>
      <x:c r="AI147" s="302">
        <x:v>1.5</x:v>
      </x:c>
      <x:c r="AJ147" s="302">
        <x:f t="shared" si="8"/>
        <x:v>1</x:v>
      </x:c>
      <x:c r="AK147" s="302">
        <x:f t="shared" si="9"/>
        <x:v>1.5</x:v>
      </x:c>
      <x:c r="AL147" s="301" t="s">
        <x:v>963</x:v>
      </x:c>
      <x:c r="AM147" s="301" t="s">
        <x:v>1011</x:v>
      </x:c>
      <x:c r="AN147" s="301" t="s">
        <x:v>885</x:v>
      </x:c>
      <x:c r="AO147" s="301" t="s">
        <x:v>309</x:v>
      </x:c>
      <x:c r="AP147" s="301" t="str">
        <x:v>T-147; T-177; T-128; T-129</x:v>
      </x:c>
      <x:c r="AQ147" s="301"/>
    </x:row>
    <x:row r="148" ht="45.95000076293945" hidden="1" customHeight="1">
      <x:c r="A148" s="307" t="s">
        <x:v>1016</x:v>
      </x:c>
      <x:c r="B148" s="307" t="s">
        <x:v>874</x:v>
      </x:c>
      <x:c r="C148" s="307" t="s">
        <x:v>955</x:v>
      </x:c>
      <x:c r="D148" s="308" t="s">
        <x:v>1017</x:v>
      </x:c>
      <x:c r="E148" s="307" t="s">
        <x:v>112</x:v>
      </x:c>
      <x:c r="F148" s="307" t="s">
        <x:v>1006</x:v>
      </x:c>
      <x:c r="G148" s="307" t="s">
        <x:v>46</x:v>
      </x:c>
      <x:c r="H148" s="308" t="s">
        <x:v>1018</x:v>
      </x:c>
      <x:c r="I148" s="308" t="s">
        <x:v>1019</x:v>
      </x:c>
      <x:c r="J148" s="307">
        <x:v>12</x:v>
      </x:c>
      <x:c r="K148" s="307" t="s">
        <x:v>328</x:v>
      </x:c>
      <x:c r="L148" s="303" t="s">
        <x:v>417</x:v>
      </x:c>
      <x:c r="M148" s="304" t="s">
        <x:v>1009</x:v>
      </x:c>
      <x:c r="N148" s="304" t="s">
        <x:v>1010</x:v>
      </x:c>
      <x:c r="O148" s="304" t="str">
        <x:v>T-090; T-128; T-129; T-177</x:v>
      </x:c>
      <x:c r="P148" s="305" t="s">
        <x:v>1020</x:v>
      </x:c>
      <x:c r="Q148" s="300" t="str">
        <x:v>Not Started</x:v>
      </x:c>
      <x:c r="R148" s="300"/>
      <x:c r="S148" s="309" t="s">
        <x:v>356</x:v>
      </x:c>
      <x:c r="T148" s="309" t="s">
        <x:v>1021</x:v>
      </x:c>
      <x:c r="U148" s="309" t="s">
        <x:v>1022</x:v>
      </x:c>
      <x:c r="V148" s="300" t="s">
        <x:v>1023</x:v>
      </x:c>
      <x:c r="W148" s="300" t="s">
        <x:v>1015</x:v>
      </x:c>
      <x:c r="X148" s="310" t="s">
        <x:v>360</x:v>
      </x:c>
      <x:c r="Y148" s="300" t="str">
        <x:v>Deep design reconciliation 16-Aug-2026; Chapter 3/4 + Layer-B architecture + latest source/audit evidence</x:v>
      </x:c>
      <x:c r="Z148" s="301" t="s">
        <x:v>555</x:v>
      </x:c>
      <x:c r="AA148" s="301" t="s">
        <x:v>566</x:v>
      </x:c>
      <x:c r="AB148" s="301" t="s">
        <x:v>567</x:v>
      </x:c>
      <x:c r="AC148" s="301" t="s">
        <x:v>613</x:v>
      </x:c>
      <x:c r="AD148" s="301" t="s">
        <x:v>362</x:v>
      </x:c>
      <x:c r="AE148" s="301" t="s">
        <x:v>417</x:v>
      </x:c>
      <x:c r="AF148" s="301" t="s">
        <x:v>881</x:v>
      </x:c>
      <x:c r="AG148" s="301" t="s">
        <x:v>882</x:v>
      </x:c>
      <x:c r="AH148" s="302">
        <x:v>10</x:v>
      </x:c>
      <x:c r="AI148" s="302">
        <x:v>1.5</x:v>
      </x:c>
      <x:c r="AJ148" s="302">
        <x:f t="shared" si="8"/>
        <x:v>1.2</x:v>
      </x:c>
      <x:c r="AK148" s="302">
        <x:f t="shared" si="9"/>
        <x:v>1.7999999999999998</x:v>
      </x:c>
      <x:c r="AL148" s="301" t="s">
        <x:v>963</x:v>
      </x:c>
      <x:c r="AM148" s="301" t="s">
        <x:v>1024</x:v>
      </x:c>
      <x:c r="AN148" s="301" t="s">
        <x:v>885</x:v>
      </x:c>
      <x:c r="AO148" s="301" t="s">
        <x:v>309</x:v>
      </x:c>
      <x:c r="AP148" s="301" t="str">
        <x:v>T-090; T-128; T-129; T-177</x:v>
      </x:c>
      <x:c r="AQ148" s="301" t="str">
        <x:v>T-146</x:v>
      </x:c>
    </x:row>
    <x:row r="149" ht="45.95000076293945" hidden="1" customHeight="1">
      <x:c r="A149" s="307" t="s">
        <x:v>1025</x:v>
      </x:c>
      <x:c r="B149" s="307" t="s">
        <x:v>874</x:v>
      </x:c>
      <x:c r="C149" s="307" t="s">
        <x:v>955</x:v>
      </x:c>
      <x:c r="D149" s="308" t="s">
        <x:v>1026</x:v>
      </x:c>
      <x:c r="E149" s="307" t="s">
        <x:v>68</x:v>
      </x:c>
      <x:c r="F149" s="307" t="s">
        <x:v>795</x:v>
      </x:c>
      <x:c r="G149" s="307" t="s">
        <x:v>118</x:v>
      </x:c>
      <x:c r="H149" s="308" t="s">
        <x:v>1027</x:v>
      </x:c>
      <x:c r="I149" s="308" t="s">
        <x:v>1028</x:v>
      </x:c>
      <x:c r="J149" s="307">
        <x:v>8</x:v>
      </x:c>
      <x:c r="K149" s="307" t="s">
        <x:v>328</x:v>
      </x:c>
      <x:c r="L149" s="303" t="s">
        <x:v>1029</x:v>
      </x:c>
      <x:c r="M149" s="304" t="s">
        <x:v>329</x:v>
      </x:c>
      <x:c r="N149" s="304" t="s">
        <x:v>1030</x:v>
      </x:c>
      <x:c r="O149" s="304" t="s">
        <x:v>1031</x:v>
      </x:c>
      <x:c r="P149" s="305" t="s">
        <x:v>1032</x:v>
      </x:c>
      <x:c r="Q149" s="300" t="str">
        <x:v>Not Started</x:v>
      </x:c>
      <x:c r="R149" s="300"/>
      <x:c r="S149" s="309" t="s">
        <x:v>356</x:v>
      </x:c>
      <x:c r="T149" s="309" t="s">
        <x:v>1033</x:v>
      </x:c>
      <x:c r="U149" s="309" t="s">
        <x:v>1034</x:v>
      </x:c>
      <x:c r="V149" s="300" t="s">
        <x:v>1031</x:v>
      </x:c>
      <x:c r="W149" s="300" t="s">
        <x:v>300</x:v>
      </x:c>
      <x:c r="X149" s="310" t="s">
        <x:v>360</x:v>
      </x:c>
      <x:c r="Y149" s="300" t="str">
        <x:v>Deep design reconciliation 16-Aug-2026; Chapter 3/4 + Layer-B architecture + latest source/audit evidence</x:v>
      </x:c>
      <x:c r="Z149" s="301" t="s">
        <x:v>555</x:v>
      </x:c>
      <x:c r="AA149" s="301" t="s">
        <x:v>566</x:v>
      </x:c>
      <x:c r="AB149" s="301" t="s">
        <x:v>567</x:v>
      </x:c>
      <x:c r="AC149" s="301" t="s">
        <x:v>613</x:v>
      </x:c>
      <x:c r="AD149" s="301" t="s">
        <x:v>362</x:v>
      </x:c>
      <x:c r="AE149" s="301" t="s">
        <x:v>303</x:v>
      </x:c>
      <x:c r="AF149" s="301" t="s">
        <x:v>1035</x:v>
      </x:c>
      <x:c r="AG149" s="301" t="s">
        <x:v>314</x:v>
      </x:c>
      <x:c r="AH149" s="302">
        <x:v>9</x:v>
      </x:c>
      <x:c r="AI149" s="302">
        <x:v>1.5</x:v>
      </x:c>
      <x:c r="AJ149" s="302">
        <x:f t="shared" si="8"/>
        <x:v>0.88888888888888884</x:v>
      </x:c>
      <x:c r="AK149" s="302">
        <x:f t="shared" si="9"/>
        <x:v>1.3333333333333333</x:v>
      </x:c>
      <x:c r="AL149" s="301" t="s">
        <x:v>963</x:v>
      </x:c>
      <x:c r="AM149" s="301" t="s">
        <x:v>1036</x:v>
      </x:c>
      <x:c r="AN149" s="301" t="s">
        <x:v>1037</x:v>
      </x:c>
      <x:c r="AO149" s="301" t="s">
        <x:v>309</x:v>
      </x:c>
      <x:c r="AP149" s="301" t="str">
        <x:v>T-196; T-197; T-198; T-199; T-200</x:v>
      </x:c>
      <x:c r="AQ149" s="301"/>
    </x:row>
    <x:row r="150" ht="45.95000076293945" hidden="1" customHeight="1">
      <x:c r="A150" s="307" t="s">
        <x:v>1038</x:v>
      </x:c>
      <x:c r="B150" s="307" t="s">
        <x:v>874</x:v>
      </x:c>
      <x:c r="C150" s="307" t="s">
        <x:v>955</x:v>
      </x:c>
      <x:c r="D150" s="308" t="s">
        <x:v>1039</x:v>
      </x:c>
      <x:c r="E150" s="307" t="s">
        <x:v>68</x:v>
      </x:c>
      <x:c r="F150" s="307" t="s">
        <x:v>795</x:v>
      </x:c>
      <x:c r="G150" s="307" t="s">
        <x:v>118</x:v>
      </x:c>
      <x:c r="H150" s="308" t="s">
        <x:v>1040</x:v>
      </x:c>
      <x:c r="I150" s="308" t="s">
        <x:v>1041</x:v>
      </x:c>
      <x:c r="J150" s="307">
        <x:v>6</x:v>
      </x:c>
      <x:c r="K150" s="307" t="s">
        <x:v>328</x:v>
      </x:c>
      <x:c r="L150" s="303" t="s">
        <x:v>1029</x:v>
      </x:c>
      <x:c r="M150" s="304" t="s">
        <x:v>329</x:v>
      </x:c>
      <x:c r="N150" s="304" t="s">
        <x:v>1030</x:v>
      </x:c>
      <x:c r="O150" s="304" t="s">
        <x:v>1042</x:v>
      </x:c>
      <x:c r="P150" s="305" t="s">
        <x:v>754</x:v>
      </x:c>
      <x:c r="Q150" s="300" t="str">
        <x:v>Not Started</x:v>
      </x:c>
      <x:c r="R150" s="300"/>
      <x:c r="S150" s="300" t="s">
        <x:v>55</x:v>
      </x:c>
      <x:c r="T150" s="300"/>
      <x:c r="U150" s="300"/>
      <x:c r="V150" s="300" t="s">
        <x:v>1042</x:v>
      </x:c>
      <x:c r="W150" s="300" t="s">
        <x:v>300</x:v>
      </x:c>
      <x:c r="X150" s="300" t="s">
        <x:v>56</x:v>
      </x:c>
      <x:c r="Y150" s="300" t="str">
        <x:v>Deep design reconciliation 16-Aug-2026; Chapter 3/4 + Layer-B architecture + latest source/audit evidence</x:v>
      </x:c>
      <x:c r="Z150" s="301" t="s">
        <x:v>555</x:v>
      </x:c>
      <x:c r="AA150" s="301" t="s">
        <x:v>566</x:v>
      </x:c>
      <x:c r="AB150" s="301" t="s">
        <x:v>567</x:v>
      </x:c>
      <x:c r="AC150" s="301" t="s">
        <x:v>613</x:v>
      </x:c>
      <x:c r="AD150" s="301" t="s">
        <x:v>362</x:v>
      </x:c>
      <x:c r="AE150" s="301" t="s">
        <x:v>303</x:v>
      </x:c>
      <x:c r="AF150" s="301" t="s">
        <x:v>1035</x:v>
      </x:c>
      <x:c r="AG150" s="301" t="s">
        <x:v>314</x:v>
      </x:c>
      <x:c r="AH150" s="302">
        <x:v>9</x:v>
      </x:c>
      <x:c r="AI150" s="302">
        <x:v>1.5</x:v>
      </x:c>
      <x:c r="AJ150" s="302">
        <x:f t="shared" si="8"/>
        <x:v>0.66666666666666663</x:v>
      </x:c>
      <x:c r="AK150" s="302">
        <x:f t="shared" si="9"/>
        <x:v>1</x:v>
      </x:c>
      <x:c r="AL150" s="301" t="s">
        <x:v>963</x:v>
      </x:c>
      <x:c r="AM150" s="301" t="s">
        <x:v>1042</x:v>
      </x:c>
      <x:c r="AN150" s="301" t="s">
        <x:v>1037</x:v>
      </x:c>
      <x:c r="AO150" s="301" t="s">
        <x:v>309</x:v>
      </x:c>
      <x:c r="AP150" s="301"/>
      <x:c r="AQ150" s="301"/>
    </x:row>
    <x:row r="151" ht="45.95000076293945" hidden="1" customHeight="1">
      <x:c r="A151" s="307" t="s">
        <x:v>1043</x:v>
      </x:c>
      <x:c r="B151" s="307" t="s">
        <x:v>874</x:v>
      </x:c>
      <x:c r="C151" s="307" t="s">
        <x:v>955</x:v>
      </x:c>
      <x:c r="D151" s="308" t="s">
        <x:v>1044</x:v>
      </x:c>
      <x:c r="E151" s="307" t="s">
        <x:v>100</x:v>
      </x:c>
      <x:c r="F151" s="307" t="s">
        <x:v>117</x:v>
      </x:c>
      <x:c r="G151" s="307" t="s">
        <x:v>46</x:v>
      </x:c>
      <x:c r="H151" s="308" t="str">
        <x:v>Final CI composition gate. Wire every mandatory validator — including v2.11 Release Truth, persisted-definition replay, customer-session semantics, genericity, aggregation known answers, canonical AI/ML gates and route/alias gates — as executed unbypassable pipeline truth. This remains a terminal composition owner, not the task that invents those earlier gates.</x:v>
      </x:c>
      <x:c r="I151" s="308" t="s">
        <x:v>1045</x:v>
      </x:c>
      <x:c r="J151" s="307">
        <x:v>12</x:v>
      </x:c>
      <x:c r="K151" s="307" t="s">
        <x:v>328</x:v>
      </x:c>
      <x:c r="L151" s="303" t="s">
        <x:v>1046</x:v>
      </x:c>
      <x:c r="M151" s="304" t="s">
        <x:v>1047</x:v>
      </x:c>
      <x:c r="N151" s="304" t="s">
        <x:v>1048</x:v>
      </x:c>
      <x:c r="O151" s="304" t="str">
        <x:v>T-192 + T-148 + T-194 + T-202..T-208 + all mandatory v2.11 gate owners.</x:v>
      </x:c>
      <x:c r="P151" s="305" t="s">
        <x:v>1049</x:v>
      </x:c>
      <x:c r="Q151" s="300" t="str">
        <x:v>Not Started</x:v>
      </x:c>
      <x:c r="R151" s="300"/>
      <x:c r="S151" s="309" t="s">
        <x:v>356</x:v>
      </x:c>
      <x:c r="T151" s="309" t="s">
        <x:v>1050</x:v>
      </x:c>
      <x:c r="U151" s="309" t="str">
        <x:v>KEEP as final CI closure. T-202..T-205 build Release Truth; T-236 owns mixed-regime correctness/RG01; T-238/T-240 own multi-objective MO01/MO02 truth. T-150 must compose all applicable gates and prove none is list-only, skipped, swallowed or vacuous.</x:v>
      </x:c>
      <x:c r="V151" s="300" t="str">
        <x:v>Terminal CI composition after all component gate owners, including T-202..T-208 and applicable T-211/T-212/T-221/T-223.</x:v>
      </x:c>
      <x:c r="W151" s="300" t="s">
        <x:v>1047</x:v>
      </x:c>
      <x:c r="X151" s="310" t="s">
        <x:v>360</x:v>
      </x:c>
      <x:c r="Y151" s="300" t="str">
        <x:v>Deep design reconciliation 16-Aug-2026; Chapter 3/4 + Layer-B architecture + latest source/audit evidence</x:v>
      </x:c>
      <x:c r="Z151" s="301" t="s">
        <x:v>555</x:v>
      </x:c>
      <x:c r="AA151" s="301" t="s">
        <x:v>566</x:v>
      </x:c>
      <x:c r="AB151" s="301" t="s">
        <x:v>567</x:v>
      </x:c>
      <x:c r="AC151" s="301" t="s">
        <x:v>613</x:v>
      </x:c>
      <x:c r="AD151" s="301" t="s">
        <x:v>362</x:v>
      </x:c>
      <x:c r="AE151" s="301" t="s">
        <x:v>336</x:v>
      </x:c>
      <x:c r="AF151" s="301" t="s">
        <x:v>1051</x:v>
      </x:c>
      <x:c r="AG151" s="301" t="s">
        <x:v>504</x:v>
      </x:c>
      <x:c r="AH151" s="302">
        <x:v>5</x:v>
      </x:c>
      <x:c r="AI151" s="302">
        <x:v>1.7</x:v>
      </x:c>
      <x:c r="AJ151" s="302">
        <x:f t="shared" si="8"/>
        <x:v>2.4</x:v>
      </x:c>
      <x:c r="AK151" s="302">
        <x:f t="shared" si="9"/>
        <x:v>4.08</x:v>
      </x:c>
      <x:c r="AL151" s="301" t="s">
        <x:v>963</x:v>
      </x:c>
      <x:c r="AM151" s="301" t="s">
        <x:v>1052</x:v>
      </x:c>
      <x:c r="AN151" s="301" t="s">
        <x:v>1053</x:v>
      </x:c>
      <x:c r="AO151" s="301" t="s">
        <x:v>1054</x:v>
      </x:c>
      <x:c r="AP151" s="301" t="str">
        <x:v>T-202; T-203; T-204; T-205; T-206; T-207; T-208; T-192; T-148; T-194</x:v>
      </x:c>
      <x:c r="AQ151" s="301"/>
    </x:row>
    <x:row r="152" ht="45.95000076293945" hidden="1" customHeight="1">
      <x:c r="A152" s="307" t="s">
        <x:v>1055</x:v>
      </x:c>
      <x:c r="B152" s="307" t="s">
        <x:v>1056</x:v>
      </x:c>
      <x:c r="C152" s="307" t="s">
        <x:v>1057</x:v>
      </x:c>
      <x:c r="D152" s="308" t="s">
        <x:v>1058</x:v>
      </x:c>
      <x:c r="E152" s="307" t="s">
        <x:v>106</x:v>
      </x:c>
      <x:c r="F152" s="307" t="s">
        <x:v>1059</x:v>
      </x:c>
      <x:c r="G152" s="307" t="s">
        <x:v>46</x:v>
      </x:c>
      <x:c r="H152" s="308" t="s">
        <x:v>1060</x:v>
      </x:c>
      <x:c r="I152" s="308" t="s">
        <x:v>1061</x:v>
      </x:c>
      <x:c r="J152" s="307">
        <x:v>12</x:v>
      </x:c>
      <x:c r="K152" s="307" t="s">
        <x:v>328</x:v>
      </x:c>
      <x:c r="L152" s="303" t="s">
        <x:v>1062</x:v>
      </x:c>
      <x:c r="M152" s="304" t="s">
        <x:v>552</x:v>
      </x:c>
      <x:c r="N152" s="304" t="s">
        <x:v>1063</x:v>
      </x:c>
      <x:c r="O152" s="304" t="s">
        <x:v>1064</x:v>
      </x:c>
      <x:c r="P152" s="305" t="s">
        <x:v>54</x:v>
      </x:c>
      <x:c r="Q152" s="300" t="str">
        <x:v>Not Started</x:v>
      </x:c>
      <x:c r="R152" s="300"/>
      <x:c r="S152" s="300" t="s">
        <x:v>55</x:v>
      </x:c>
      <x:c r="T152" s="300"/>
      <x:c r="U152" s="300"/>
      <x:c r="V152" s="300" t="s">
        <x:v>1064</x:v>
      </x:c>
      <x:c r="W152" s="300" t="s">
        <x:v>552</x:v>
      </x:c>
      <x:c r="X152" s="300" t="s">
        <x:v>56</x:v>
      </x:c>
      <x:c r="Y152" s="300" t="str">
        <x:v>Deep design reconciliation 16-Aug-2026; Chapter 3/4 + Layer-B architecture + latest source/audit evidence</x:v>
      </x:c>
      <x:c r="Z152" s="301" t="s">
        <x:v>1065</x:v>
      </x:c>
      <x:c r="AA152" s="301" t="s">
        <x:v>1066</x:v>
      </x:c>
      <x:c r="AB152" s="301" t="s">
        <x:v>1067</x:v>
      </x:c>
      <x:c r="AC152" s="301" t="s">
        <x:v>1068</x:v>
      </x:c>
      <x:c r="AD152" s="301" t="s">
        <x:v>362</x:v>
      </x:c>
      <x:c r="AE152" s="301" t="s">
        <x:v>336</x:v>
      </x:c>
      <x:c r="AF152" s="301" t="s">
        <x:v>1069</x:v>
      </x:c>
      <x:c r="AG152" s="301" t="s">
        <x:v>1070</x:v>
      </x:c>
      <x:c r="AH152" s="302">
        <x:v>3</x:v>
      </x:c>
      <x:c r="AI152" s="302">
        <x:v>1.8</x:v>
      </x:c>
      <x:c r="AJ152" s="302">
        <x:f t="shared" si="8"/>
        <x:v>4</x:v>
      </x:c>
      <x:c r="AK152" s="302">
        <x:f t="shared" si="9"/>
        <x:v>7.2</x:v>
      </x:c>
      <x:c r="AL152" s="301" t="s">
        <x:v>1071</x:v>
      </x:c>
      <x:c r="AM152" s="301" t="s">
        <x:v>1072</x:v>
      </x:c>
      <x:c r="AN152" s="301" t="s">
        <x:v>1073</x:v>
      </x:c>
      <x:c r="AO152" s="301" t="s">
        <x:v>309</x:v>
      </x:c>
      <x:c r="AP152" s="301"/>
      <x:c r="AQ152" s="301"/>
    </x:row>
    <x:row r="153" ht="45.95000076293945" hidden="1" customHeight="1">
      <x:c r="A153" s="307" t="s">
        <x:v>1074</x:v>
      </x:c>
      <x:c r="B153" s="307" t="s">
        <x:v>1056</x:v>
      </x:c>
      <x:c r="C153" s="307" t="s">
        <x:v>1057</x:v>
      </x:c>
      <x:c r="D153" s="308" t="s">
        <x:v>1075</x:v>
      </x:c>
      <x:c r="E153" s="307" t="s">
        <x:v>86</x:v>
      </x:c>
      <x:c r="F153" s="307" t="s">
        <x:v>1059</x:v>
      </x:c>
      <x:c r="G153" s="307" t="s">
        <x:v>46</x:v>
      </x:c>
      <x:c r="H153" s="308" t="s">
        <x:v>1076</x:v>
      </x:c>
      <x:c r="I153" s="308" t="s">
        <x:v>1077</x:v>
      </x:c>
      <x:c r="J153" s="307">
        <x:v>12</x:v>
      </x:c>
      <x:c r="K153" s="307" t="s">
        <x:v>328</x:v>
      </x:c>
      <x:c r="L153" s="303" t="s">
        <x:v>1062</x:v>
      </x:c>
      <x:c r="M153" s="304" t="s">
        <x:v>552</x:v>
      </x:c>
      <x:c r="N153" s="304" t="s">
        <x:v>1063</x:v>
      </x:c>
      <x:c r="O153" s="304" t="s">
        <x:v>1064</x:v>
      </x:c>
      <x:c r="P153" s="305" t="s">
        <x:v>54</x:v>
      </x:c>
      <x:c r="Q153" s="300" t="str">
        <x:v>Not Started</x:v>
      </x:c>
      <x:c r="R153" s="300"/>
      <x:c r="S153" s="300" t="s">
        <x:v>55</x:v>
      </x:c>
      <x:c r="T153" s="300"/>
      <x:c r="U153" s="300"/>
      <x:c r="V153" s="300" t="s">
        <x:v>1064</x:v>
      </x:c>
      <x:c r="W153" s="300" t="s">
        <x:v>552</x:v>
      </x:c>
      <x:c r="X153" s="300" t="s">
        <x:v>56</x:v>
      </x:c>
      <x:c r="Y153" s="300" t="str">
        <x:v>Deep design reconciliation 16-Aug-2026; Chapter 3/4 + Layer-B architecture + latest source/audit evidence</x:v>
      </x:c>
      <x:c r="Z153" s="301" t="s">
        <x:v>1065</x:v>
      </x:c>
      <x:c r="AA153" s="301" t="s">
        <x:v>1066</x:v>
      </x:c>
      <x:c r="AB153" s="301" t="s">
        <x:v>1067</x:v>
      </x:c>
      <x:c r="AC153" s="301" t="s">
        <x:v>1068</x:v>
      </x:c>
      <x:c r="AD153" s="301" t="s">
        <x:v>362</x:v>
      </x:c>
      <x:c r="AE153" s="301" t="s">
        <x:v>336</x:v>
      </x:c>
      <x:c r="AF153" s="301" t="s">
        <x:v>1069</x:v>
      </x:c>
      <x:c r="AG153" s="301" t="s">
        <x:v>1070</x:v>
      </x:c>
      <x:c r="AH153" s="302">
        <x:v>3</x:v>
      </x:c>
      <x:c r="AI153" s="302">
        <x:v>1.8</x:v>
      </x:c>
      <x:c r="AJ153" s="302">
        <x:f t="shared" si="8"/>
        <x:v>4</x:v>
      </x:c>
      <x:c r="AK153" s="302">
        <x:f t="shared" si="9"/>
        <x:v>7.2</x:v>
      </x:c>
      <x:c r="AL153" s="301" t="s">
        <x:v>1071</x:v>
      </x:c>
      <x:c r="AM153" s="301" t="s">
        <x:v>1072</x:v>
      </x:c>
      <x:c r="AN153" s="301" t="s">
        <x:v>1073</x:v>
      </x:c>
      <x:c r="AO153" s="301" t="s">
        <x:v>309</x:v>
      </x:c>
      <x:c r="AP153" s="301"/>
      <x:c r="AQ153" s="301"/>
    </x:row>
    <x:row r="154" ht="45.95000076293945" hidden="1" customHeight="1">
      <x:c r="A154" s="307" t="s">
        <x:v>1078</x:v>
      </x:c>
      <x:c r="B154" s="307" t="s">
        <x:v>1056</x:v>
      </x:c>
      <x:c r="C154" s="307" t="s">
        <x:v>1057</x:v>
      </x:c>
      <x:c r="D154" s="308" t="s">
        <x:v>1079</x:v>
      </x:c>
      <x:c r="E154" s="307" t="s">
        <x:v>106</x:v>
      </x:c>
      <x:c r="F154" s="307" t="s">
        <x:v>1080</x:v>
      </x:c>
      <x:c r="G154" s="307" t="s">
        <x:v>46</x:v>
      </x:c>
      <x:c r="H154" s="308" t="s">
        <x:v>1081</x:v>
      </x:c>
      <x:c r="I154" s="308" t="s">
        <x:v>1082</x:v>
      </x:c>
      <x:c r="J154" s="307">
        <x:v>12</x:v>
      </x:c>
      <x:c r="K154" s="307" t="s">
        <x:v>328</x:v>
      </x:c>
      <x:c r="L154" s="303" t="s">
        <x:v>1062</x:v>
      </x:c>
      <x:c r="M154" s="304" t="s">
        <x:v>552</x:v>
      </x:c>
      <x:c r="N154" s="304" t="s">
        <x:v>1063</x:v>
      </x:c>
      <x:c r="O154" s="304" t="str">
        <x:v>M3 sequence + T-224 + T-225 + T-226 for OPC-capable deployment certification.</x:v>
      </x:c>
      <x:c r="P154" s="305" t="s">
        <x:v>54</x:v>
      </x:c>
      <x:c r="Q154" s="300" t="str">
        <x:v>Not Started</x:v>
      </x:c>
      <x:c r="R154" s="300"/>
      <x:c r="S154" s="300" t="s">
        <x:v>55</x:v>
      </x:c>
      <x:c r="T154" s="300"/>
      <x:c r="U154" s="300" t="str">
        <x:v>Connector certification must distinguish configuration metadata from executable protocol capability.</x:v>
      </x:c>
      <x:c r="V154" s="300" t="str">
        <x:v>Connector-family certification consumes real protocol/runtime owners. OPC site certification requires T-224..T-226; no metadata-only claim satisfies this task.</x:v>
      </x:c>
      <x:c r="W154" s="300" t="s">
        <x:v>552</x:v>
      </x:c>
      <x:c r="X154" s="300" t="s">
        <x:v>56</x:v>
      </x:c>
      <x:c r="Y154" s="300" t="str">
        <x:v>Deep design reconciliation 16-Aug-2026; Chapter 3/4 + Layer-B architecture + latest source/audit evidence</x:v>
      </x:c>
      <x:c r="Z154" s="301" t="s">
        <x:v>1065</x:v>
      </x:c>
      <x:c r="AA154" s="301" t="s">
        <x:v>1066</x:v>
      </x:c>
      <x:c r="AB154" s="301" t="s">
        <x:v>1067</x:v>
      </x:c>
      <x:c r="AC154" s="301" t="s">
        <x:v>1068</x:v>
      </x:c>
      <x:c r="AD154" s="301" t="s">
        <x:v>362</x:v>
      </x:c>
      <x:c r="AE154" s="301" t="s">
        <x:v>336</x:v>
      </x:c>
      <x:c r="AF154" s="301" t="s">
        <x:v>1069</x:v>
      </x:c>
      <x:c r="AG154" s="301" t="s">
        <x:v>1070</x:v>
      </x:c>
      <x:c r="AH154" s="302">
        <x:v>3</x:v>
      </x:c>
      <x:c r="AI154" s="302">
        <x:v>1.8</x:v>
      </x:c>
      <x:c r="AJ154" s="302">
        <x:f t="shared" si="8"/>
        <x:v>4</x:v>
      </x:c>
      <x:c r="AK154" s="302">
        <x:f t="shared" si="9"/>
        <x:v>7.2</x:v>
      </x:c>
      <x:c r="AL154" s="301" t="s">
        <x:v>1071</x:v>
      </x:c>
      <x:c r="AM154" s="301" t="s">
        <x:v>1072</x:v>
      </x:c>
      <x:c r="AN154" s="301" t="s">
        <x:v>1073</x:v>
      </x:c>
      <x:c r="AO154" s="301" t="s">
        <x:v>309</x:v>
      </x:c>
      <x:c r="AP154" s="301" t="str">
        <x:v>T-224; T-225; T-226</x:v>
      </x:c>
      <x:c r="AQ154" s="301"/>
    </x:row>
    <x:row r="155" ht="45.95000076293945" hidden="1" customHeight="1">
      <x:c r="A155" s="307" t="s">
        <x:v>1083</x:v>
      </x:c>
      <x:c r="B155" s="307" t="s">
        <x:v>1056</x:v>
      </x:c>
      <x:c r="C155" s="307" t="s">
        <x:v>1057</x:v>
      </x:c>
      <x:c r="D155" s="308" t="s">
        <x:v>1084</x:v>
      </x:c>
      <x:c r="E155" s="307" t="s">
        <x:v>86</x:v>
      </x:c>
      <x:c r="F155" s="307" t="s">
        <x:v>1085</x:v>
      </x:c>
      <x:c r="G155" s="307" t="s">
        <x:v>118</x:v>
      </x:c>
      <x:c r="H155" s="308" t="s">
        <x:v>1086</x:v>
      </x:c>
      <x:c r="I155" s="308" t="s">
        <x:v>1087</x:v>
      </x:c>
      <x:c r="J155" s="307">
        <x:v>12</x:v>
      </x:c>
      <x:c r="K155" s="307" t="s">
        <x:v>328</x:v>
      </x:c>
      <x:c r="L155" s="303" t="s">
        <x:v>1062</x:v>
      </x:c>
      <x:c r="M155" s="304" t="s">
        <x:v>552</x:v>
      </x:c>
      <x:c r="N155" s="304" t="s">
        <x:v>1063</x:v>
      </x:c>
      <x:c r="O155" s="304" t="s">
        <x:v>1064</x:v>
      </x:c>
      <x:c r="P155" s="305" t="s">
        <x:v>54</x:v>
      </x:c>
      <x:c r="Q155" s="300" t="str">
        <x:v>Not Started</x:v>
      </x:c>
      <x:c r="R155" s="300"/>
      <x:c r="S155" s="300" t="s">
        <x:v>55</x:v>
      </x:c>
      <x:c r="T155" s="300"/>
      <x:c r="U155" s="300"/>
      <x:c r="V155" s="300" t="s">
        <x:v>1064</x:v>
      </x:c>
      <x:c r="W155" s="300" t="s">
        <x:v>552</x:v>
      </x:c>
      <x:c r="X155" s="300" t="s">
        <x:v>56</x:v>
      </x:c>
      <x:c r="Y155" s="300" t="str">
        <x:v>Deep design reconciliation 16-Aug-2026; Chapter 3/4 + Layer-B architecture + latest source/audit evidence</x:v>
      </x:c>
      <x:c r="Z155" s="301" t="s">
        <x:v>1065</x:v>
      </x:c>
      <x:c r="AA155" s="301" t="s">
        <x:v>1066</x:v>
      </x:c>
      <x:c r="AB155" s="301" t="s">
        <x:v>1067</x:v>
      </x:c>
      <x:c r="AC155" s="301" t="s">
        <x:v>1068</x:v>
      </x:c>
      <x:c r="AD155" s="301" t="s">
        <x:v>362</x:v>
      </x:c>
      <x:c r="AE155" s="301" t="s">
        <x:v>336</x:v>
      </x:c>
      <x:c r="AF155" s="301" t="s">
        <x:v>1069</x:v>
      </x:c>
      <x:c r="AG155" s="301" t="s">
        <x:v>1070</x:v>
      </x:c>
      <x:c r="AH155" s="302">
        <x:v>3</x:v>
      </x:c>
      <x:c r="AI155" s="302">
        <x:v>1.8</x:v>
      </x:c>
      <x:c r="AJ155" s="302">
        <x:f t="shared" si="8"/>
        <x:v>4</x:v>
      </x:c>
      <x:c r="AK155" s="302">
        <x:f t="shared" si="9"/>
        <x:v>7.2</x:v>
      </x:c>
      <x:c r="AL155" s="301" t="s">
        <x:v>1071</x:v>
      </x:c>
      <x:c r="AM155" s="301" t="s">
        <x:v>1072</x:v>
      </x:c>
      <x:c r="AN155" s="301" t="s">
        <x:v>1073</x:v>
      </x:c>
      <x:c r="AO155" s="301" t="s">
        <x:v>309</x:v>
      </x:c>
      <x:c r="AP155" s="301"/>
      <x:c r="AQ155" s="301"/>
    </x:row>
    <x:row r="156" ht="45.95000076293945" hidden="1" customHeight="1">
      <x:c r="A156" s="307" t="s">
        <x:v>1088</x:v>
      </x:c>
      <x:c r="B156" s="307" t="s">
        <x:v>1056</x:v>
      </x:c>
      <x:c r="C156" s="307" t="s">
        <x:v>1057</x:v>
      </x:c>
      <x:c r="D156" s="308" t="s">
        <x:v>1089</x:v>
      </x:c>
      <x:c r="E156" s="307" t="s">
        <x:v>73</x:v>
      </x:c>
      <x:c r="F156" s="307" t="s">
        <x:v>1085</x:v>
      </x:c>
      <x:c r="G156" s="307" t="s">
        <x:v>118</x:v>
      </x:c>
      <x:c r="H156" s="308" t="s">
        <x:v>1090</x:v>
      </x:c>
      <x:c r="I156" s="308" t="s">
        <x:v>1091</x:v>
      </x:c>
      <x:c r="J156" s="307">
        <x:v>12</x:v>
      </x:c>
      <x:c r="K156" s="307" t="s">
        <x:v>328</x:v>
      </x:c>
      <x:c r="L156" s="303" t="s">
        <x:v>835</x:v>
      </x:c>
      <x:c r="M156" s="304" t="s">
        <x:v>1092</x:v>
      </x:c>
      <x:c r="N156" s="304" t="s">
        <x:v>1093</x:v>
      </x:c>
      <x:c r="O156" s="304" t="s">
        <x:v>1094</x:v>
      </x:c>
      <x:c r="P156" s="305" t="s">
        <x:v>754</x:v>
      </x:c>
      <x:c r="Q156" s="300" t="str">
        <x:v>Not Started</x:v>
      </x:c>
      <x:c r="R156" s="300"/>
      <x:c r="S156" s="306" t="s">
        <x:v>297</x:v>
      </x:c>
      <x:c r="T156" s="306" t="s">
        <x:v>739</x:v>
      </x:c>
      <x:c r="U156" s="306" t="s">
        <x:v>740</x:v>
      </x:c>
      <x:c r="V156" s="300" t="s">
        <x:v>1094</x:v>
      </x:c>
      <x:c r="W156" s="300" t="s">
        <x:v>1092</x:v>
      </x:c>
      <x:c r="X156" s="306" t="s">
        <x:v>301</x:v>
      </x:c>
      <x:c r="Y156" s="300" t="str">
        <x:v>Deep design reconciliation 16-Aug-2026; Chapter 3/4 + Layer-B architecture + latest source/audit evidence</x:v>
      </x:c>
      <x:c r="Z156" s="301" t="s">
        <x:v>1065</x:v>
      </x:c>
      <x:c r="AA156" s="301" t="s">
        <x:v>1066</x:v>
      </x:c>
      <x:c r="AB156" s="301" t="s">
        <x:v>1067</x:v>
      </x:c>
      <x:c r="AC156" s="301" t="s">
        <x:v>1068</x:v>
      </x:c>
      <x:c r="AD156" s="301" t="s">
        <x:v>362</x:v>
      </x:c>
      <x:c r="AE156" s="301" t="s">
        <x:v>417</x:v>
      </x:c>
      <x:c r="AF156" s="301" t="s">
        <x:v>1095</x:v>
      </x:c>
      <x:c r="AG156" s="301" t="s">
        <x:v>1096</x:v>
      </x:c>
      <x:c r="AH156" s="302">
        <x:v>5</x:v>
      </x:c>
      <x:c r="AI156" s="302">
        <x:v>1.8</x:v>
      </x:c>
      <x:c r="AJ156" s="302">
        <x:f t="shared" si="8"/>
        <x:v>2.4</x:v>
      </x:c>
      <x:c r="AK156" s="302">
        <x:f t="shared" si="9"/>
        <x:v>4.32</x:v>
      </x:c>
      <x:c r="AL156" s="301" t="s">
        <x:v>1071</x:v>
      </x:c>
      <x:c r="AM156" s="301" t="s">
        <x:v>1097</x:v>
      </x:c>
      <x:c r="AN156" s="301" t="s">
        <x:v>1098</x:v>
      </x:c>
      <x:c r="AO156" s="301" t="s">
        <x:v>309</x:v>
      </x:c>
      <x:c r="AP156" s="301"/>
      <x:c r="AQ156" s="301"/>
    </x:row>
    <x:row r="157" ht="45.95000076293945" hidden="1" customHeight="1">
      <x:c r="A157" s="307" t="s">
        <x:v>1099</x:v>
      </x:c>
      <x:c r="B157" s="307" t="s">
        <x:v>1056</x:v>
      </x:c>
      <x:c r="C157" s="307" t="s">
        <x:v>1057</x:v>
      </x:c>
      <x:c r="D157" s="308" t="s">
        <x:v>1100</x:v>
      </x:c>
      <x:c r="E157" s="307" t="s">
        <x:v>68</x:v>
      </x:c>
      <x:c r="F157" s="307" t="s">
        <x:v>1101</x:v>
      </x:c>
      <x:c r="G157" s="307" t="s">
        <x:v>118</x:v>
      </x:c>
      <x:c r="H157" s="308" t="s">
        <x:v>1102</x:v>
      </x:c>
      <x:c r="I157" s="308" t="s">
        <x:v>1103</x:v>
      </x:c>
      <x:c r="J157" s="307">
        <x:v>12</x:v>
      </x:c>
      <x:c r="K157" s="307" t="s">
        <x:v>328</x:v>
      </x:c>
      <x:c r="L157" s="303" t="s">
        <x:v>1062</x:v>
      </x:c>
      <x:c r="M157" s="304" t="s">
        <x:v>552</x:v>
      </x:c>
      <x:c r="N157" s="304" t="s">
        <x:v>1063</x:v>
      </x:c>
      <x:c r="O157" s="304" t="s">
        <x:v>1064</x:v>
      </x:c>
      <x:c r="P157" s="305" t="s">
        <x:v>54</x:v>
      </x:c>
      <x:c r="Q157" s="300" t="str">
        <x:v>Not Started</x:v>
      </x:c>
      <x:c r="R157" s="300"/>
      <x:c r="S157" s="300" t="s">
        <x:v>55</x:v>
      </x:c>
      <x:c r="T157" s="300"/>
      <x:c r="U157" s="300"/>
      <x:c r="V157" s="300" t="s">
        <x:v>1064</x:v>
      </x:c>
      <x:c r="W157" s="300" t="s">
        <x:v>552</x:v>
      </x:c>
      <x:c r="X157" s="300" t="s">
        <x:v>56</x:v>
      </x:c>
      <x:c r="Y157" s="300" t="str">
        <x:v>Deep design reconciliation 16-Aug-2026; Chapter 3/4 + Layer-B architecture + latest source/audit evidence</x:v>
      </x:c>
      <x:c r="Z157" s="301" t="s">
        <x:v>1065</x:v>
      </x:c>
      <x:c r="AA157" s="301" t="s">
        <x:v>1066</x:v>
      </x:c>
      <x:c r="AB157" s="301" t="s">
        <x:v>1067</x:v>
      </x:c>
      <x:c r="AC157" s="301" t="s">
        <x:v>1068</x:v>
      </x:c>
      <x:c r="AD157" s="301" t="s">
        <x:v>362</x:v>
      </x:c>
      <x:c r="AE157" s="301" t="s">
        <x:v>303</x:v>
      </x:c>
      <x:c r="AF157" s="301" t="s">
        <x:v>1104</x:v>
      </x:c>
      <x:c r="AG157" s="301" t="s">
        <x:v>1070</x:v>
      </x:c>
      <x:c r="AH157" s="302">
        <x:v>3</x:v>
      </x:c>
      <x:c r="AI157" s="302">
        <x:v>1.8</x:v>
      </x:c>
      <x:c r="AJ157" s="302">
        <x:f t="shared" si="8"/>
        <x:v>4</x:v>
      </x:c>
      <x:c r="AK157" s="302">
        <x:f t="shared" si="9"/>
        <x:v>7.2</x:v>
      </x:c>
      <x:c r="AL157" s="301" t="s">
        <x:v>1071</x:v>
      </x:c>
      <x:c r="AM157" s="301" t="s">
        <x:v>1072</x:v>
      </x:c>
      <x:c r="AN157" s="301" t="s">
        <x:v>1105</x:v>
      </x:c>
      <x:c r="AO157" s="301" t="s">
        <x:v>309</x:v>
      </x:c>
      <x:c r="AP157" s="301"/>
      <x:c r="AQ157" s="301"/>
    </x:row>
    <x:row r="158" ht="45.95000076293945" hidden="1" customHeight="1">
      <x:c r="A158" s="307" t="s">
        <x:v>1106</x:v>
      </x:c>
      <x:c r="B158" s="307" t="s">
        <x:v>1056</x:v>
      </x:c>
      <x:c r="C158" s="307" t="s">
        <x:v>1057</x:v>
      </x:c>
      <x:c r="D158" s="308" t="s">
        <x:v>1107</x:v>
      </x:c>
      <x:c r="E158" s="307" t="s">
        <x:v>478</x:v>
      </x:c>
      <x:c r="F158" s="307" t="s">
        <x:v>1108</x:v>
      </x:c>
      <x:c r="G158" s="307" t="s">
        <x:v>118</x:v>
      </x:c>
      <x:c r="H158" s="308" t="s">
        <x:v>1109</x:v>
      </x:c>
      <x:c r="I158" s="308" t="s">
        <x:v>1110</x:v>
      </x:c>
      <x:c r="J158" s="307">
        <x:v>12</x:v>
      </x:c>
      <x:c r="K158" s="307" t="s">
        <x:v>328</x:v>
      </x:c>
      <x:c r="L158" s="303" t="s">
        <x:v>417</x:v>
      </x:c>
      <x:c r="M158" s="304" t="s">
        <x:v>1111</x:v>
      </x:c>
      <x:c r="N158" s="304" t="s">
        <x:v>1112</x:v>
      </x:c>
      <x:c r="O158" s="304" t="s">
        <x:v>1113</x:v>
      </x:c>
      <x:c r="P158" s="305" t="s">
        <x:v>754</x:v>
      </x:c>
      <x:c r="Q158" s="300" t="str">
        <x:v>Not Started</x:v>
      </x:c>
      <x:c r="R158" s="300"/>
      <x:c r="S158" s="306" t="s">
        <x:v>297</x:v>
      </x:c>
      <x:c r="T158" s="306" t="s">
        <x:v>1114</x:v>
      </x:c>
      <x:c r="U158" s="306" t="s">
        <x:v>1115</x:v>
      </x:c>
      <x:c r="V158" s="300" t="s">
        <x:v>1113</x:v>
      </x:c>
      <x:c r="W158" s="300" t="s">
        <x:v>1111</x:v>
      </x:c>
      <x:c r="X158" s="306" t="s">
        <x:v>301</x:v>
      </x:c>
      <x:c r="Y158" s="300" t="str">
        <x:v>Deep design reconciliation 16-Aug-2026; Chapter 3/4 + Layer-B architecture + latest source/audit evidence</x:v>
      </x:c>
      <x:c r="Z158" s="301" t="s">
        <x:v>1065</x:v>
      </x:c>
      <x:c r="AA158" s="301" t="s">
        <x:v>1066</x:v>
      </x:c>
      <x:c r="AB158" s="301" t="s">
        <x:v>1067</x:v>
      </x:c>
      <x:c r="AC158" s="301" t="s">
        <x:v>1068</x:v>
      </x:c>
      <x:c r="AD158" s="301" t="s">
        <x:v>362</x:v>
      </x:c>
      <x:c r="AE158" s="301" t="s">
        <x:v>417</x:v>
      </x:c>
      <x:c r="AF158" s="301" t="s">
        <x:v>1095</x:v>
      </x:c>
      <x:c r="AG158" s="301" t="s">
        <x:v>1096</x:v>
      </x:c>
      <x:c r="AH158" s="302">
        <x:v>5</x:v>
      </x:c>
      <x:c r="AI158" s="302">
        <x:v>1.8</x:v>
      </x:c>
      <x:c r="AJ158" s="302">
        <x:f t="shared" si="8"/>
        <x:v>2.4</x:v>
      </x:c>
      <x:c r="AK158" s="302">
        <x:f t="shared" si="9"/>
        <x:v>4.32</x:v>
      </x:c>
      <x:c r="AL158" s="301" t="s">
        <x:v>1071</x:v>
      </x:c>
      <x:c r="AM158" s="301" t="s">
        <x:v>1116</x:v>
      </x:c>
      <x:c r="AN158" s="301" t="s">
        <x:v>1098</x:v>
      </x:c>
      <x:c r="AO158" s="301" t="s">
        <x:v>309</x:v>
      </x:c>
      <x:c r="AP158" s="301"/>
      <x:c r="AQ158" s="301"/>
    </x:row>
    <x:row r="159" ht="45.95000076293945" hidden="1" customHeight="1">
      <x:c r="A159" s="307" t="s">
        <x:v>1117</x:v>
      </x:c>
      <x:c r="B159" s="307" t="s">
        <x:v>1056</x:v>
      </x:c>
      <x:c r="C159" s="307" t="s">
        <x:v>1057</x:v>
      </x:c>
      <x:c r="D159" s="308" t="s">
        <x:v>1118</x:v>
      </x:c>
      <x:c r="E159" s="307" t="s">
        <x:v>478</x:v>
      </x:c>
      <x:c r="F159" s="307" t="s">
        <x:v>986</x:v>
      </x:c>
      <x:c r="G159" s="307" t="s">
        <x:v>118</x:v>
      </x:c>
      <x:c r="H159" s="308" t="s">
        <x:v>1119</x:v>
      </x:c>
      <x:c r="I159" s="308" t="s">
        <x:v>1120</x:v>
      </x:c>
      <x:c r="J159" s="307">
        <x:v>12</x:v>
      </x:c>
      <x:c r="K159" s="307" t="s">
        <x:v>328</x:v>
      </x:c>
      <x:c r="L159" s="303" t="s">
        <x:v>417</x:v>
      </x:c>
      <x:c r="M159" s="304" t="s">
        <x:v>1111</x:v>
      </x:c>
      <x:c r="N159" s="304" t="s">
        <x:v>1112</x:v>
      </x:c>
      <x:c r="O159" s="304" t="s">
        <x:v>1113</x:v>
      </x:c>
      <x:c r="P159" s="305" t="s">
        <x:v>754</x:v>
      </x:c>
      <x:c r="Q159" s="300" t="str">
        <x:v>Not Started</x:v>
      </x:c>
      <x:c r="R159" s="300"/>
      <x:c r="S159" s="300" t="s">
        <x:v>55</x:v>
      </x:c>
      <x:c r="T159" s="300"/>
      <x:c r="U159" s="300"/>
      <x:c r="V159" s="300" t="s">
        <x:v>1113</x:v>
      </x:c>
      <x:c r="W159" s="300" t="s">
        <x:v>1111</x:v>
      </x:c>
      <x:c r="X159" s="300" t="s">
        <x:v>56</x:v>
      </x:c>
      <x:c r="Y159" s="300" t="str">
        <x:v>Deep design reconciliation 16-Aug-2026; Chapter 3/4 + Layer-B architecture + latest source/audit evidence</x:v>
      </x:c>
      <x:c r="Z159" s="301" t="s">
        <x:v>1065</x:v>
      </x:c>
      <x:c r="AA159" s="301" t="s">
        <x:v>1066</x:v>
      </x:c>
      <x:c r="AB159" s="301" t="s">
        <x:v>1067</x:v>
      </x:c>
      <x:c r="AC159" s="301" t="s">
        <x:v>1068</x:v>
      </x:c>
      <x:c r="AD159" s="301" t="s">
        <x:v>362</x:v>
      </x:c>
      <x:c r="AE159" s="301" t="s">
        <x:v>417</x:v>
      </x:c>
      <x:c r="AF159" s="301" t="s">
        <x:v>1095</x:v>
      </x:c>
      <x:c r="AG159" s="301" t="s">
        <x:v>1096</x:v>
      </x:c>
      <x:c r="AH159" s="302">
        <x:v>5</x:v>
      </x:c>
      <x:c r="AI159" s="302">
        <x:v>1.8</x:v>
      </x:c>
      <x:c r="AJ159" s="302">
        <x:f t="shared" si="8"/>
        <x:v>2.4</x:v>
      </x:c>
      <x:c r="AK159" s="302">
        <x:f t="shared" si="9"/>
        <x:v>4.32</x:v>
      </x:c>
      <x:c r="AL159" s="301" t="s">
        <x:v>1071</x:v>
      </x:c>
      <x:c r="AM159" s="301" t="s">
        <x:v>1116</x:v>
      </x:c>
      <x:c r="AN159" s="301" t="s">
        <x:v>1098</x:v>
      </x:c>
      <x:c r="AO159" s="301" t="s">
        <x:v>309</x:v>
      </x:c>
      <x:c r="AP159" s="301"/>
      <x:c r="AQ159" s="301"/>
    </x:row>
    <x:row r="160" ht="45.95000076293945" hidden="1" customHeight="1">
      <x:c r="A160" s="307" t="s">
        <x:v>1121</x:v>
      </x:c>
      <x:c r="B160" s="307" t="s">
        <x:v>1056</x:v>
      </x:c>
      <x:c r="C160" s="307" t="s">
        <x:v>1122</x:v>
      </x:c>
      <x:c r="D160" s="308" t="s">
        <x:v>1123</x:v>
      </x:c>
      <x:c r="E160" s="307" t="s">
        <x:v>73</x:v>
      </x:c>
      <x:c r="F160" s="307" t="s">
        <x:v>1124</x:v>
      </x:c>
      <x:c r="G160" s="307" t="s">
        <x:v>46</x:v>
      </x:c>
      <x:c r="H160" s="308" t="s">
        <x:v>1125</x:v>
      </x:c>
      <x:c r="I160" s="308" t="s">
        <x:v>1126</x:v>
      </x:c>
      <x:c r="J160" s="307">
        <x:v>12</x:v>
      </x:c>
      <x:c r="K160" s="307" t="s">
        <x:v>328</x:v>
      </x:c>
      <x:c r="L160" s="303" t="s">
        <x:v>835</x:v>
      </x:c>
      <x:c r="M160" s="304" t="s">
        <x:v>1092</x:v>
      </x:c>
      <x:c r="N160" s="304" t="s">
        <x:v>1093</x:v>
      </x:c>
      <x:c r="O160" s="304" t="s">
        <x:v>1094</x:v>
      </x:c>
      <x:c r="P160" s="305" t="s">
        <x:v>754</x:v>
      </x:c>
      <x:c r="Q160" s="300" t="str">
        <x:v>Not Started</x:v>
      </x:c>
      <x:c r="R160" s="300"/>
      <x:c r="S160" s="306" t="s">
        <x:v>297</x:v>
      </x:c>
      <x:c r="T160" s="306" t="s">
        <x:v>1127</x:v>
      </x:c>
      <x:c r="U160" s="306" t="s">
        <x:v>1128</x:v>
      </x:c>
      <x:c r="V160" s="300" t="s">
        <x:v>1094</x:v>
      </x:c>
      <x:c r="W160" s="300" t="s">
        <x:v>1092</x:v>
      </x:c>
      <x:c r="X160" s="306" t="s">
        <x:v>301</x:v>
      </x:c>
      <x:c r="Y160" s="300" t="str">
        <x:v>Deep design reconciliation 16-Aug-2026; Chapter 3/4 + Layer-B architecture + latest source/audit evidence</x:v>
      </x:c>
      <x:c r="Z160" s="301" t="s">
        <x:v>1065</x:v>
      </x:c>
      <x:c r="AA160" s="301" t="s">
        <x:v>1066</x:v>
      </x:c>
      <x:c r="AB160" s="301" t="s">
        <x:v>1067</x:v>
      </x:c>
      <x:c r="AC160" s="301" t="s">
        <x:v>1068</x:v>
      </x:c>
      <x:c r="AD160" s="301" t="s">
        <x:v>362</x:v>
      </x:c>
      <x:c r="AE160" s="301" t="s">
        <x:v>417</x:v>
      </x:c>
      <x:c r="AF160" s="301" t="s">
        <x:v>1095</x:v>
      </x:c>
      <x:c r="AG160" s="301" t="s">
        <x:v>1096</x:v>
      </x:c>
      <x:c r="AH160" s="302">
        <x:v>5</x:v>
      </x:c>
      <x:c r="AI160" s="302">
        <x:v>1.8</x:v>
      </x:c>
      <x:c r="AJ160" s="302">
        <x:f t="shared" si="8"/>
        <x:v>2.4</x:v>
      </x:c>
      <x:c r="AK160" s="302">
        <x:f t="shared" si="9"/>
        <x:v>4.32</x:v>
      </x:c>
      <x:c r="AL160" s="301" t="s">
        <x:v>1071</x:v>
      </x:c>
      <x:c r="AM160" s="301" t="s">
        <x:v>1097</x:v>
      </x:c>
      <x:c r="AN160" s="301" t="s">
        <x:v>1098</x:v>
      </x:c>
      <x:c r="AO160" s="301" t="s">
        <x:v>309</x:v>
      </x:c>
      <x:c r="AP160" s="301"/>
      <x:c r="AQ160" s="301"/>
    </x:row>
    <x:row r="161" ht="45.95000076293945" hidden="1" customHeight="1">
      <x:c r="A161" s="307" t="s">
        <x:v>1129</x:v>
      </x:c>
      <x:c r="B161" s="307" t="s">
        <x:v>1056</x:v>
      </x:c>
      <x:c r="C161" s="307" t="s">
        <x:v>1122</x:v>
      </x:c>
      <x:c r="D161" s="308" t="s">
        <x:v>1130</x:v>
      </x:c>
      <x:c r="E161" s="307" t="s">
        <x:v>73</x:v>
      </x:c>
      <x:c r="F161" s="307" t="s">
        <x:v>1131</x:v>
      </x:c>
      <x:c r="G161" s="307" t="s">
        <x:v>46</x:v>
      </x:c>
      <x:c r="H161" s="308" t="s">
        <x:v>1132</x:v>
      </x:c>
      <x:c r="I161" s="308" t="s">
        <x:v>1133</x:v>
      </x:c>
      <x:c r="J161" s="307">
        <x:v>12</x:v>
      </x:c>
      <x:c r="K161" s="307" t="s">
        <x:v>328</x:v>
      </x:c>
      <x:c r="L161" s="303" t="s">
        <x:v>1062</x:v>
      </x:c>
      <x:c r="M161" s="304" t="s">
        <x:v>552</x:v>
      </x:c>
      <x:c r="N161" s="304" t="s">
        <x:v>1063</x:v>
      </x:c>
      <x:c r="O161" s="304" t="s">
        <x:v>1064</x:v>
      </x:c>
      <x:c r="P161" s="305" t="s">
        <x:v>54</x:v>
      </x:c>
      <x:c r="Q161" s="300" t="str">
        <x:v>Not Started</x:v>
      </x:c>
      <x:c r="R161" s="300"/>
      <x:c r="S161" s="300" t="s">
        <x:v>55</x:v>
      </x:c>
      <x:c r="T161" s="300"/>
      <x:c r="U161" s="300"/>
      <x:c r="V161" s="300" t="s">
        <x:v>1064</x:v>
      </x:c>
      <x:c r="W161" s="300" t="s">
        <x:v>552</x:v>
      </x:c>
      <x:c r="X161" s="300" t="s">
        <x:v>56</x:v>
      </x:c>
      <x:c r="Y161" s="300" t="str">
        <x:v>Deep design reconciliation 16-Aug-2026; Chapter 3/4 + Layer-B architecture + latest source/audit evidence</x:v>
      </x:c>
      <x:c r="Z161" s="301" t="s">
        <x:v>1065</x:v>
      </x:c>
      <x:c r="AA161" s="301" t="s">
        <x:v>1066</x:v>
      </x:c>
      <x:c r="AB161" s="301" t="s">
        <x:v>1067</x:v>
      </x:c>
      <x:c r="AC161" s="301" t="s">
        <x:v>1068</x:v>
      </x:c>
      <x:c r="AD161" s="301" t="s">
        <x:v>362</x:v>
      </x:c>
      <x:c r="AE161" s="301" t="s">
        <x:v>336</x:v>
      </x:c>
      <x:c r="AF161" s="301" t="s">
        <x:v>1069</x:v>
      </x:c>
      <x:c r="AG161" s="301" t="s">
        <x:v>1070</x:v>
      </x:c>
      <x:c r="AH161" s="302">
        <x:v>3</x:v>
      </x:c>
      <x:c r="AI161" s="302">
        <x:v>1.8</x:v>
      </x:c>
      <x:c r="AJ161" s="302">
        <x:f t="shared" si="8"/>
        <x:v>4</x:v>
      </x:c>
      <x:c r="AK161" s="302">
        <x:f t="shared" si="9"/>
        <x:v>7.2</x:v>
      </x:c>
      <x:c r="AL161" s="301" t="s">
        <x:v>1071</x:v>
      </x:c>
      <x:c r="AM161" s="301" t="s">
        <x:v>1072</x:v>
      </x:c>
      <x:c r="AN161" s="301" t="s">
        <x:v>1073</x:v>
      </x:c>
      <x:c r="AO161" s="301" t="s">
        <x:v>309</x:v>
      </x:c>
      <x:c r="AP161" s="301"/>
      <x:c r="AQ161" s="301"/>
    </x:row>
    <x:row r="162" ht="45.95000076293945" hidden="1" customHeight="1">
      <x:c r="A162" s="307" t="s">
        <x:v>1134</x:v>
      </x:c>
      <x:c r="B162" s="307" t="s">
        <x:v>1056</x:v>
      </x:c>
      <x:c r="C162" s="307" t="s">
        <x:v>1122</x:v>
      </x:c>
      <x:c r="D162" s="308" t="s">
        <x:v>1135</x:v>
      </x:c>
      <x:c r="E162" s="307" t="s">
        <x:v>106</x:v>
      </x:c>
      <x:c r="F162" s="307" t="s">
        <x:v>768</x:v>
      </x:c>
      <x:c r="G162" s="307" t="s">
        <x:v>118</x:v>
      </x:c>
      <x:c r="H162" s="308" t="s">
        <x:v>1136</x:v>
      </x:c>
      <x:c r="I162" s="308" t="s">
        <x:v>1137</x:v>
      </x:c>
      <x:c r="J162" s="307">
        <x:v>12</x:v>
      </x:c>
      <x:c r="K162" s="307" t="s">
        <x:v>328</x:v>
      </x:c>
      <x:c r="L162" s="303" t="s">
        <x:v>1062</x:v>
      </x:c>
      <x:c r="M162" s="304" t="s">
        <x:v>552</x:v>
      </x:c>
      <x:c r="N162" s="304" t="s">
        <x:v>1063</x:v>
      </x:c>
      <x:c r="O162" s="304" t="s">
        <x:v>1064</x:v>
      </x:c>
      <x:c r="P162" s="305" t="s">
        <x:v>54</x:v>
      </x:c>
      <x:c r="Q162" s="300" t="str">
        <x:v>Not Started</x:v>
      </x:c>
      <x:c r="R162" s="300"/>
      <x:c r="S162" s="300" t="s">
        <x:v>55</x:v>
      </x:c>
      <x:c r="T162" s="300"/>
      <x:c r="U162" s="300"/>
      <x:c r="V162" s="300" t="s">
        <x:v>1064</x:v>
      </x:c>
      <x:c r="W162" s="300" t="s">
        <x:v>552</x:v>
      </x:c>
      <x:c r="X162" s="300" t="s">
        <x:v>56</x:v>
      </x:c>
      <x:c r="Y162" s="300" t="str">
        <x:v>Deep design reconciliation 16-Aug-2026; Chapter 3/4 + Layer-B architecture + latest source/audit evidence</x:v>
      </x:c>
      <x:c r="Z162" s="301" t="s">
        <x:v>1065</x:v>
      </x:c>
      <x:c r="AA162" s="301" t="s">
        <x:v>1066</x:v>
      </x:c>
      <x:c r="AB162" s="301" t="s">
        <x:v>1067</x:v>
      </x:c>
      <x:c r="AC162" s="301" t="s">
        <x:v>1068</x:v>
      </x:c>
      <x:c r="AD162" s="301" t="s">
        <x:v>362</x:v>
      </x:c>
      <x:c r="AE162" s="301" t="s">
        <x:v>336</x:v>
      </x:c>
      <x:c r="AF162" s="301" t="s">
        <x:v>1069</x:v>
      </x:c>
      <x:c r="AG162" s="301" t="s">
        <x:v>1070</x:v>
      </x:c>
      <x:c r="AH162" s="302">
        <x:v>3</x:v>
      </x:c>
      <x:c r="AI162" s="302">
        <x:v>1.8</x:v>
      </x:c>
      <x:c r="AJ162" s="302" t="n">
        <x:f t="shared" ref="AJ162:AJ193" si="10">IF($K162="Done",0,MAX(0.25,$J162/$AH162))</x:f>
        <x:v>4</x:v>
      </x:c>
      <x:c r="AK162" s="302" t="n">
        <x:f t="shared" ref="AK162:AK193" si="11">IF($K162="Done",0,$AJ162*$AI162)</x:f>
        <x:v>7.2</x:v>
      </x:c>
      <x:c r="AL162" s="301" t="s">
        <x:v>1071</x:v>
      </x:c>
      <x:c r="AM162" s="301" t="s">
        <x:v>1072</x:v>
      </x:c>
      <x:c r="AN162" s="301" t="s">
        <x:v>1073</x:v>
      </x:c>
      <x:c r="AO162" s="301" t="s">
        <x:v>309</x:v>
      </x:c>
      <x:c r="AP162" s="301"/>
      <x:c r="AQ162" s="301"/>
    </x:row>
    <x:row r="163" ht="45.95000076293945" hidden="1" customHeight="1">
      <x:c r="A163" s="307" t="s">
        <x:v>1138</x:v>
      </x:c>
      <x:c r="B163" s="307" t="s">
        <x:v>1056</x:v>
      </x:c>
      <x:c r="C163" s="307" t="s">
        <x:v>1122</x:v>
      </x:c>
      <x:c r="D163" s="308" t="s">
        <x:v>1139</x:v>
      </x:c>
      <x:c r="E163" s="307" t="s">
        <x:v>73</x:v>
      </x:c>
      <x:c r="F163" s="307" t="s">
        <x:v>768</x:v>
      </x:c>
      <x:c r="G163" s="307" t="s">
        <x:v>46</x:v>
      </x:c>
      <x:c r="H163" s="308" t="s">
        <x:v>1140</x:v>
      </x:c>
      <x:c r="I163" s="308" t="s">
        <x:v>1141</x:v>
      </x:c>
      <x:c r="J163" s="307">
        <x:v>12</x:v>
      </x:c>
      <x:c r="K163" s="307" t="s">
        <x:v>328</x:v>
      </x:c>
      <x:c r="L163" s="303" t="s">
        <x:v>1062</x:v>
      </x:c>
      <x:c r="M163" s="304" t="s">
        <x:v>552</x:v>
      </x:c>
      <x:c r="N163" s="304" t="s">
        <x:v>1063</x:v>
      </x:c>
      <x:c r="O163" s="304" t="s">
        <x:v>1064</x:v>
      </x:c>
      <x:c r="P163" s="305" t="s">
        <x:v>54</x:v>
      </x:c>
      <x:c r="Q163" s="300" t="str">
        <x:v>Not Started</x:v>
      </x:c>
      <x:c r="R163" s="300"/>
      <x:c r="S163" s="300" t="s">
        <x:v>55</x:v>
      </x:c>
      <x:c r="T163" s="300"/>
      <x:c r="U163" s="300"/>
      <x:c r="V163" s="300" t="s">
        <x:v>1064</x:v>
      </x:c>
      <x:c r="W163" s="300" t="s">
        <x:v>552</x:v>
      </x:c>
      <x:c r="X163" s="300" t="s">
        <x:v>56</x:v>
      </x:c>
      <x:c r="Y163" s="300" t="str">
        <x:v>Deep design reconciliation 16-Aug-2026; Chapter 3/4 + Layer-B architecture + latest source/audit evidence</x:v>
      </x:c>
      <x:c r="Z163" s="301" t="s">
        <x:v>1065</x:v>
      </x:c>
      <x:c r="AA163" s="301" t="s">
        <x:v>1066</x:v>
      </x:c>
      <x:c r="AB163" s="301" t="s">
        <x:v>1067</x:v>
      </x:c>
      <x:c r="AC163" s="301" t="s">
        <x:v>1068</x:v>
      </x:c>
      <x:c r="AD163" s="301" t="s">
        <x:v>362</x:v>
      </x:c>
      <x:c r="AE163" s="301" t="s">
        <x:v>336</x:v>
      </x:c>
      <x:c r="AF163" s="301" t="s">
        <x:v>1069</x:v>
      </x:c>
      <x:c r="AG163" s="301" t="s">
        <x:v>1070</x:v>
      </x:c>
      <x:c r="AH163" s="302">
        <x:v>3</x:v>
      </x:c>
      <x:c r="AI163" s="302">
        <x:v>1.8</x:v>
      </x:c>
      <x:c r="AJ163" s="302">
        <x:f t="shared" si="10"/>
        <x:v>4</x:v>
      </x:c>
      <x:c r="AK163" s="302">
        <x:f t="shared" si="11"/>
        <x:v>7.2</x:v>
      </x:c>
      <x:c r="AL163" s="301" t="s">
        <x:v>1071</x:v>
      </x:c>
      <x:c r="AM163" s="301" t="s">
        <x:v>1072</x:v>
      </x:c>
      <x:c r="AN163" s="301" t="s">
        <x:v>1073</x:v>
      </x:c>
      <x:c r="AO163" s="301" t="s">
        <x:v>309</x:v>
      </x:c>
      <x:c r="AP163" s="301"/>
      <x:c r="AQ163" s="301"/>
    </x:row>
    <x:row r="164" ht="45.95000076293945" hidden="1" customHeight="1">
      <x:c r="A164" s="307" t="s">
        <x:v>1142</x:v>
      </x:c>
      <x:c r="B164" s="307" t="s">
        <x:v>1056</x:v>
      </x:c>
      <x:c r="C164" s="307" t="s">
        <x:v>1122</x:v>
      </x:c>
      <x:c r="D164" s="308" t="s">
        <x:v>1143</x:v>
      </x:c>
      <x:c r="E164" s="307" t="s">
        <x:v>73</x:v>
      </x:c>
      <x:c r="F164" s="307" t="s">
        <x:v>763</x:v>
      </x:c>
      <x:c r="G164" s="307" t="s">
        <x:v>118</x:v>
      </x:c>
      <x:c r="H164" s="308" t="s">
        <x:v>1144</x:v>
      </x:c>
      <x:c r="I164" s="308" t="s">
        <x:v>1145</x:v>
      </x:c>
      <x:c r="J164" s="307">
        <x:v>12</x:v>
      </x:c>
      <x:c r="K164" s="307" t="s">
        <x:v>328</x:v>
      </x:c>
      <x:c r="L164" s="303" t="s">
        <x:v>1062</x:v>
      </x:c>
      <x:c r="M164" s="304" t="s">
        <x:v>552</x:v>
      </x:c>
      <x:c r="N164" s="304" t="s">
        <x:v>1063</x:v>
      </x:c>
      <x:c r="O164" s="304" t="s">
        <x:v>1064</x:v>
      </x:c>
      <x:c r="P164" s="305" t="s">
        <x:v>54</x:v>
      </x:c>
      <x:c r="Q164" s="300" t="str">
        <x:v>Not Started</x:v>
      </x:c>
      <x:c r="R164" s="300"/>
      <x:c r="S164" s="300" t="s">
        <x:v>55</x:v>
      </x:c>
      <x:c r="T164" s="300"/>
      <x:c r="U164" s="300"/>
      <x:c r="V164" s="300" t="s">
        <x:v>1064</x:v>
      </x:c>
      <x:c r="W164" s="300" t="s">
        <x:v>552</x:v>
      </x:c>
      <x:c r="X164" s="300" t="s">
        <x:v>56</x:v>
      </x:c>
      <x:c r="Y164" s="300" t="str">
        <x:v>Deep design reconciliation 16-Aug-2026; Chapter 3/4 + Layer-B architecture + latest source/audit evidence</x:v>
      </x:c>
      <x:c r="Z164" s="301" t="s">
        <x:v>1065</x:v>
      </x:c>
      <x:c r="AA164" s="301" t="s">
        <x:v>1066</x:v>
      </x:c>
      <x:c r="AB164" s="301" t="s">
        <x:v>1067</x:v>
      </x:c>
      <x:c r="AC164" s="301" t="s">
        <x:v>1068</x:v>
      </x:c>
      <x:c r="AD164" s="301" t="s">
        <x:v>362</x:v>
      </x:c>
      <x:c r="AE164" s="301" t="s">
        <x:v>336</x:v>
      </x:c>
      <x:c r="AF164" s="301" t="s">
        <x:v>1069</x:v>
      </x:c>
      <x:c r="AG164" s="301" t="s">
        <x:v>1070</x:v>
      </x:c>
      <x:c r="AH164" s="302">
        <x:v>3</x:v>
      </x:c>
      <x:c r="AI164" s="302">
        <x:v>1.8</x:v>
      </x:c>
      <x:c r="AJ164" s="302">
        <x:f t="shared" si="10"/>
        <x:v>4</x:v>
      </x:c>
      <x:c r="AK164" s="302">
        <x:f t="shared" si="11"/>
        <x:v>7.2</x:v>
      </x:c>
      <x:c r="AL164" s="301" t="s">
        <x:v>1071</x:v>
      </x:c>
      <x:c r="AM164" s="301" t="s">
        <x:v>1072</x:v>
      </x:c>
      <x:c r="AN164" s="301" t="s">
        <x:v>1073</x:v>
      </x:c>
      <x:c r="AO164" s="301" t="s">
        <x:v>309</x:v>
      </x:c>
      <x:c r="AP164" s="301"/>
      <x:c r="AQ164" s="301"/>
    </x:row>
    <x:row r="165" ht="45.95000076293945" hidden="1" customHeight="1">
      <x:c r="A165" s="307" t="s">
        <x:v>1146</x:v>
      </x:c>
      <x:c r="B165" s="307" t="s">
        <x:v>1056</x:v>
      </x:c>
      <x:c r="C165" s="307" t="s">
        <x:v>1122</x:v>
      </x:c>
      <x:c r="D165" s="308" t="s">
        <x:v>1147</x:v>
      </x:c>
      <x:c r="E165" s="307" t="s">
        <x:v>106</x:v>
      </x:c>
      <x:c r="F165" s="307" t="s">
        <x:v>1148</x:v>
      </x:c>
      <x:c r="G165" s="307" t="s">
        <x:v>46</x:v>
      </x:c>
      <x:c r="H165" s="308" t="str">
        <x:v>Build value_impacts, cost_assumptions, the value realisation ledger and D7 Value Dashboard, honouring the two-downtime-quantity rule. Consume exact operational-period driver quantities from T-237 and transition/stabilisation evidence from T-235/T-236 so setup/changeover/ramp-up loss can be priced without inventing quantities. This is the only authority that converts assumption-based operational impact into bounded money.</x:v>
      </x:c>
      <x:c r="I165" s="308" t="s">
        <x:v>1149</x:v>
      </x:c>
      <x:c r="J165" s="307">
        <x:v>12</x:v>
      </x:c>
      <x:c r="K165" s="307" t="s">
        <x:v>328</x:v>
      </x:c>
      <x:c r="L165" s="303" t="s">
        <x:v>1062</x:v>
      </x:c>
      <x:c r="M165" s="304" t="s">
        <x:v>552</x:v>
      </x:c>
      <x:c r="N165" s="304" t="s">
        <x:v>1063</x:v>
      </x:c>
      <x:c r="O165" s="304" t="str">
        <x:v>M3 sequence; T-237; T-235</x:v>
      </x:c>
      <x:c r="P165" s="305" t="s">
        <x:v>54</x:v>
      </x:c>
      <x:c r="Q165" s="300" t="str">
        <x:v>Not Started</x:v>
      </x:c>
      <x:c r="R165" s="300"/>
      <x:c r="S165" s="300" t="s">
        <x:v>55</x:v>
      </x:c>
      <x:c r="T165" s="300"/>
      <x:c r="U165" s="300"/>
      <x:c r="V165" s="300" t="s">
        <x:v>1064</x:v>
      </x:c>
      <x:c r="W165" s="300" t="s">
        <x:v>552</x:v>
      </x:c>
      <x:c r="X165" s="300" t="s">
        <x:v>56</x:v>
      </x:c>
      <x:c r="Y165" s="300" t="str">
        <x:v>Deep design reconciliation 16-Aug-2026; Chapter 3/4 + Layer-B architecture + latest source/audit evidence</x:v>
      </x:c>
      <x:c r="Z165" s="301" t="s">
        <x:v>1065</x:v>
      </x:c>
      <x:c r="AA165" s="301" t="s">
        <x:v>1066</x:v>
      </x:c>
      <x:c r="AB165" s="301" t="s">
        <x:v>1067</x:v>
      </x:c>
      <x:c r="AC165" s="301" t="s">
        <x:v>1068</x:v>
      </x:c>
      <x:c r="AD165" s="301" t="s">
        <x:v>362</x:v>
      </x:c>
      <x:c r="AE165" s="301" t="s">
        <x:v>336</x:v>
      </x:c>
      <x:c r="AF165" s="301" t="s">
        <x:v>1069</x:v>
      </x:c>
      <x:c r="AG165" s="301" t="s">
        <x:v>1070</x:v>
      </x:c>
      <x:c r="AH165" s="302">
        <x:v>3</x:v>
      </x:c>
      <x:c r="AI165" s="302">
        <x:v>1.8</x:v>
      </x:c>
      <x:c r="AJ165" s="302">
        <x:f t="shared" si="10"/>
        <x:v>4</x:v>
      </x:c>
      <x:c r="AK165" s="302">
        <x:f t="shared" si="11"/>
        <x:v>7.2</x:v>
      </x:c>
      <x:c r="AL165" s="301" t="s">
        <x:v>1071</x:v>
      </x:c>
      <x:c r="AM165" s="301" t="s">
        <x:v>1072</x:v>
      </x:c>
      <x:c r="AN165" s="301" t="s">
        <x:v>1073</x:v>
      </x:c>
      <x:c r="AO165" s="301" t="s">
        <x:v>309</x:v>
      </x:c>
      <x:c r="AP165" s="301" t="str">
        <x:v>T-237; T-235</x:v>
      </x:c>
      <x:c r="AQ165" s="301"/>
    </x:row>
    <x:row r="166" ht="45.95000076293945" hidden="1" customHeight="1">
      <x:c r="A166" s="307" t="s">
        <x:v>1150</x:v>
      </x:c>
      <x:c r="B166" s="307" t="s">
        <x:v>1056</x:v>
      </x:c>
      <x:c r="C166" s="307" t="s">
        <x:v>1122</x:v>
      </x:c>
      <x:c r="D166" s="308" t="s">
        <x:v>1151</x:v>
      </x:c>
      <x:c r="E166" s="307" t="s">
        <x:v>106</x:v>
      </x:c>
      <x:c r="F166" s="307" t="s">
        <x:v>1152</x:v>
      </x:c>
      <x:c r="G166" s="307" t="s">
        <x:v>118</x:v>
      </x:c>
      <x:c r="H166" s="308" t="s">
        <x:v>1153</x:v>
      </x:c>
      <x:c r="I166" s="308" t="s">
        <x:v>1154</x:v>
      </x:c>
      <x:c r="J166" s="307">
        <x:v>12</x:v>
      </x:c>
      <x:c r="K166" s="307" t="s">
        <x:v>328</x:v>
      </x:c>
      <x:c r="L166" s="303" t="s">
        <x:v>1062</x:v>
      </x:c>
      <x:c r="M166" s="304" t="s">
        <x:v>552</x:v>
      </x:c>
      <x:c r="N166" s="304" t="s">
        <x:v>1063</x:v>
      </x:c>
      <x:c r="O166" s="304" t="s">
        <x:v>1064</x:v>
      </x:c>
      <x:c r="P166" s="305" t="s">
        <x:v>54</x:v>
      </x:c>
      <x:c r="Q166" s="300" t="str">
        <x:v>Not Started</x:v>
      </x:c>
      <x:c r="R166" s="300"/>
      <x:c r="S166" s="300" t="s">
        <x:v>55</x:v>
      </x:c>
      <x:c r="T166" s="300"/>
      <x:c r="U166" s="300"/>
      <x:c r="V166" s="300" t="s">
        <x:v>1064</x:v>
      </x:c>
      <x:c r="W166" s="300" t="s">
        <x:v>552</x:v>
      </x:c>
      <x:c r="X166" s="300" t="s">
        <x:v>56</x:v>
      </x:c>
      <x:c r="Y166" s="300" t="str">
        <x:v>Deep design reconciliation 16-Aug-2026; Chapter 3/4 + Layer-B architecture + latest source/audit evidence</x:v>
      </x:c>
      <x:c r="Z166" s="301" t="s">
        <x:v>1065</x:v>
      </x:c>
      <x:c r="AA166" s="301" t="s">
        <x:v>1066</x:v>
      </x:c>
      <x:c r="AB166" s="301" t="s">
        <x:v>1067</x:v>
      </x:c>
      <x:c r="AC166" s="301" t="s">
        <x:v>1068</x:v>
      </x:c>
      <x:c r="AD166" s="301" t="s">
        <x:v>362</x:v>
      </x:c>
      <x:c r="AE166" s="301" t="s">
        <x:v>336</x:v>
      </x:c>
      <x:c r="AF166" s="301" t="s">
        <x:v>1069</x:v>
      </x:c>
      <x:c r="AG166" s="301" t="s">
        <x:v>1070</x:v>
      </x:c>
      <x:c r="AH166" s="302">
        <x:v>3</x:v>
      </x:c>
      <x:c r="AI166" s="302">
        <x:v>1.8</x:v>
      </x:c>
      <x:c r="AJ166" s="302">
        <x:f t="shared" si="10"/>
        <x:v>4</x:v>
      </x:c>
      <x:c r="AK166" s="302">
        <x:f t="shared" si="11"/>
        <x:v>7.2</x:v>
      </x:c>
      <x:c r="AL166" s="301" t="s">
        <x:v>1071</x:v>
      </x:c>
      <x:c r="AM166" s="301" t="s">
        <x:v>1072</x:v>
      </x:c>
      <x:c r="AN166" s="301" t="s">
        <x:v>1073</x:v>
      </x:c>
      <x:c r="AO166" s="301" t="s">
        <x:v>309</x:v>
      </x:c>
      <x:c r="AP166" s="301"/>
      <x:c r="AQ166" s="301"/>
    </x:row>
    <x:row r="167" ht="45.95000076293945" hidden="1" customHeight="1">
      <x:c r="A167" s="307" t="s">
        <x:v>1155</x:v>
      </x:c>
      <x:c r="B167" s="307" t="s">
        <x:v>1056</x:v>
      </x:c>
      <x:c r="C167" s="307" t="s">
        <x:v>1122</x:v>
      </x:c>
      <x:c r="D167" s="308" t="s">
        <x:v>1156</x:v>
      </x:c>
      <x:c r="E167" s="307" t="s">
        <x:v>458</x:v>
      </x:c>
      <x:c r="F167" s="307" t="s">
        <x:v>459</x:v>
      </x:c>
      <x:c r="G167" s="307" t="s">
        <x:v>81</x:v>
      </x:c>
      <x:c r="H167" s="308" t="s">
        <x:v>1157</x:v>
      </x:c>
      <x:c r="I167" s="308" t="s">
        <x:v>1158</x:v>
      </x:c>
      <x:c r="J167" s="307">
        <x:v>12</x:v>
      </x:c>
      <x:c r="K167" s="307" t="s">
        <x:v>328</x:v>
      </x:c>
      <x:c r="L167" s="303" t="s">
        <x:v>1062</x:v>
      </x:c>
      <x:c r="M167" s="304" t="s">
        <x:v>552</x:v>
      </x:c>
      <x:c r="N167" s="304" t="s">
        <x:v>1063</x:v>
      </x:c>
      <x:c r="O167" s="304" t="s">
        <x:v>1064</x:v>
      </x:c>
      <x:c r="P167" s="305" t="s">
        <x:v>54</x:v>
      </x:c>
      <x:c r="Q167" s="300" t="str">
        <x:v>Not Started</x:v>
      </x:c>
      <x:c r="R167" s="300"/>
      <x:c r="S167" s="300" t="s">
        <x:v>55</x:v>
      </x:c>
      <x:c r="T167" s="300"/>
      <x:c r="U167" s="300"/>
      <x:c r="V167" s="300" t="s">
        <x:v>1064</x:v>
      </x:c>
      <x:c r="W167" s="300" t="s">
        <x:v>552</x:v>
      </x:c>
      <x:c r="X167" s="300" t="s">
        <x:v>56</x:v>
      </x:c>
      <x:c r="Y167" s="300" t="str">
        <x:v>Deep design reconciliation 16-Aug-2026; Chapter 3/4 + Layer-B architecture + latest source/audit evidence</x:v>
      </x:c>
      <x:c r="Z167" s="301" t="s">
        <x:v>1065</x:v>
      </x:c>
      <x:c r="AA167" s="301" t="s">
        <x:v>1066</x:v>
      </x:c>
      <x:c r="AB167" s="301" t="s">
        <x:v>1067</x:v>
      </x:c>
      <x:c r="AC167" s="301" t="s">
        <x:v>1068</x:v>
      </x:c>
      <x:c r="AD167" s="301" t="s">
        <x:v>362</x:v>
      </x:c>
      <x:c r="AE167" s="301" t="s">
        <x:v>303</x:v>
      </x:c>
      <x:c r="AF167" s="301" t="s">
        <x:v>1104</x:v>
      </x:c>
      <x:c r="AG167" s="301" t="s">
        <x:v>1070</x:v>
      </x:c>
      <x:c r="AH167" s="302">
        <x:v>3</x:v>
      </x:c>
      <x:c r="AI167" s="302">
        <x:v>1.8</x:v>
      </x:c>
      <x:c r="AJ167" s="302">
        <x:f t="shared" si="10"/>
        <x:v>4</x:v>
      </x:c>
      <x:c r="AK167" s="302">
        <x:f t="shared" si="11"/>
        <x:v>7.2</x:v>
      </x:c>
      <x:c r="AL167" s="301" t="s">
        <x:v>1071</x:v>
      </x:c>
      <x:c r="AM167" s="301" t="s">
        <x:v>1072</x:v>
      </x:c>
      <x:c r="AN167" s="301" t="s">
        <x:v>1105</x:v>
      </x:c>
      <x:c r="AO167" s="301" t="s">
        <x:v>309</x:v>
      </x:c>
      <x:c r="AP167" s="301"/>
      <x:c r="AQ167" s="301"/>
    </x:row>
    <x:row r="168" ht="45.95000076293945" hidden="1" customHeight="1">
      <x:c r="A168" s="307" t="s">
        <x:v>1159</x:v>
      </x:c>
      <x:c r="B168" s="307" t="s">
        <x:v>1056</x:v>
      </x:c>
      <x:c r="C168" s="307" t="s">
        <x:v>1122</x:v>
      </x:c>
      <x:c r="D168" s="308" t="s">
        <x:v>1160</x:v>
      </x:c>
      <x:c r="E168" s="307" t="s">
        <x:v>44</x:v>
      </x:c>
      <x:c r="F168" s="307" t="s">
        <x:v>860</x:v>
      </x:c>
      <x:c r="G168" s="307" t="s">
        <x:v>46</x:v>
      </x:c>
      <x:c r="H168" s="308" t="s">
        <x:v>1161</x:v>
      </x:c>
      <x:c r="I168" s="308" t="s">
        <x:v>1162</x:v>
      </x:c>
      <x:c r="J168" s="307">
        <x:v>12</x:v>
      </x:c>
      <x:c r="K168" s="307" t="s">
        <x:v>328</x:v>
      </x:c>
      <x:c r="L168" s="303" t="s">
        <x:v>1062</x:v>
      </x:c>
      <x:c r="M168" s="304" t="s">
        <x:v>552</x:v>
      </x:c>
      <x:c r="N168" s="304" t="s">
        <x:v>1063</x:v>
      </x:c>
      <x:c r="O168" s="304" t="s">
        <x:v>1064</x:v>
      </x:c>
      <x:c r="P168" s="305" t="s">
        <x:v>54</x:v>
      </x:c>
      <x:c r="Q168" s="300" t="str">
        <x:v>Not Started</x:v>
      </x:c>
      <x:c r="R168" s="300"/>
      <x:c r="S168" s="300" t="s">
        <x:v>55</x:v>
      </x:c>
      <x:c r="T168" s="300"/>
      <x:c r="U168" s="300"/>
      <x:c r="V168" s="300" t="s">
        <x:v>1064</x:v>
      </x:c>
      <x:c r="W168" s="300" t="s">
        <x:v>552</x:v>
      </x:c>
      <x:c r="X168" s="300" t="s">
        <x:v>56</x:v>
      </x:c>
      <x:c r="Y168" s="300" t="str">
        <x:v>Deep design reconciliation 16-Aug-2026; Chapter 3/4 + Layer-B architecture + latest source/audit evidence</x:v>
      </x:c>
      <x:c r="Z168" s="301" t="s">
        <x:v>1065</x:v>
      </x:c>
      <x:c r="AA168" s="301" t="s">
        <x:v>1066</x:v>
      </x:c>
      <x:c r="AB168" s="301" t="s">
        <x:v>1067</x:v>
      </x:c>
      <x:c r="AC168" s="301" t="s">
        <x:v>1068</x:v>
      </x:c>
      <x:c r="AD168" s="301" t="s">
        <x:v>362</x:v>
      </x:c>
      <x:c r="AE168" s="301" t="s">
        <x:v>303</x:v>
      </x:c>
      <x:c r="AF168" s="301" t="s">
        <x:v>1104</x:v>
      </x:c>
      <x:c r="AG168" s="301" t="s">
        <x:v>1070</x:v>
      </x:c>
      <x:c r="AH168" s="302">
        <x:v>3</x:v>
      </x:c>
      <x:c r="AI168" s="302">
        <x:v>1.8</x:v>
      </x:c>
      <x:c r="AJ168" s="302">
        <x:f t="shared" si="10"/>
        <x:v>4</x:v>
      </x:c>
      <x:c r="AK168" s="302">
        <x:f t="shared" si="11"/>
        <x:v>7.2</x:v>
      </x:c>
      <x:c r="AL168" s="301" t="s">
        <x:v>1071</x:v>
      </x:c>
      <x:c r="AM168" s="301" t="s">
        <x:v>1072</x:v>
      </x:c>
      <x:c r="AN168" s="301" t="s">
        <x:v>1105</x:v>
      </x:c>
      <x:c r="AO168" s="301" t="s">
        <x:v>309</x:v>
      </x:c>
      <x:c r="AP168" s="301"/>
      <x:c r="AQ168" s="301"/>
    </x:row>
    <x:row r="169" ht="45.95000076293945" hidden="1" customHeight="1">
      <x:c r="A169" s="313" t="s">
        <x:v>1163</x:v>
      </x:c>
      <x:c r="B169" s="313" t="s">
        <x:v>874</x:v>
      </x:c>
      <x:c r="C169" s="313" t="s">
        <x:v>1164</x:v>
      </x:c>
      <x:c r="D169" s="313" t="s">
        <x:v>1165</x:v>
      </x:c>
      <x:c r="E169" s="313" t="s">
        <x:v>478</x:v>
      </x:c>
      <x:c r="F169" s="313" t="s">
        <x:v>1166</x:v>
      </x:c>
      <x:c r="G169" s="313" t="s">
        <x:v>46</x:v>
      </x:c>
      <x:c r="H169" s="313" t="s">
        <x:v>1167</x:v>
      </x:c>
      <x:c r="I169" s="313" t="s">
        <x:v>1168</x:v>
      </x:c>
      <x:c r="J169" s="293">
        <x:v>12</x:v>
      </x:c>
      <x:c r="K169" s="295" t="s">
        <x:v>49</x:v>
      </x:c>
      <x:c r="L169" s="298" t="s">
        <x:v>417</x:v>
      </x:c>
      <x:c r="M169" s="297" t="s">
        <x:v>51</x:v>
      </x:c>
      <x:c r="N169" s="298" t="s">
        <x:v>948</x:v>
      </x:c>
      <x:c r="O169" s="298" t="s">
        <x:v>949</x:v>
      </x:c>
      <x:c r="P169" s="299" t="s">
        <x:v>1169</x:v>
      </x:c>
      <x:c r="Q169" s="300" t="str">
        <x:v>Done — evidenced</x:v>
      </x:c>
      <x:c r="R169" s="300" t="s">
        <x:v>1170</x:v>
      </x:c>
      <x:c r="S169" s="300" t="s">
        <x:v>266</x:v>
      </x:c>
      <x:c r="T169" s="300"/>
      <x:c r="U169" s="300"/>
      <x:c r="V169" s="300" t="s">
        <x:v>949</x:v>
      </x:c>
      <x:c r="W169" s="300" t="s">
        <x:v>951</x:v>
      </x:c>
      <x:c r="X169" s="300" t="s">
        <x:v>56</x:v>
      </x:c>
      <x:c r="Y169" s="300" t="str">
        <x:v>Deep design reconciliation 16-Aug-2026; Chapter 3/4 + Layer-B architecture + latest source/audit evidence</x:v>
      </x:c>
      <x:c r="Z169" s="301" t="s">
        <x:v>555</x:v>
      </x:c>
      <x:c r="AA169" s="301" t="s">
        <x:v>566</x:v>
      </x:c>
      <x:c r="AB169" s="301" t="s">
        <x:v>952</x:v>
      </x:c>
      <x:c r="AC169" s="301" t="s">
        <x:v>953</x:v>
      </x:c>
      <x:c r="AD169" s="301" t="s">
        <x:v>61</x:v>
      </x:c>
      <x:c r="AE169" s="301" t="s">
        <x:v>51</x:v>
      </x:c>
      <x:c r="AF169" s="301" t="s">
        <x:v>62</x:v>
      </x:c>
      <x:c r="AG169" s="301" t="s">
        <x:v>61</x:v>
      </x:c>
      <x:c r="AH169" s="302">
        <x:v>0</x:v>
      </x:c>
      <x:c r="AI169" s="302">
        <x:v>0</x:v>
      </x:c>
      <x:c r="AJ169" s="302">
        <x:f t="shared" si="10"/>
        <x:v>0</x:v>
      </x:c>
      <x:c r="AK169" s="302">
        <x:f t="shared" si="11"/>
        <x:v>0</x:v>
      </x:c>
      <x:c r="AL169" s="301" t="s">
        <x:v>51</x:v>
      </x:c>
      <x:c r="AM169" s="301" t="s">
        <x:v>63</x:v>
      </x:c>
      <x:c r="AN169" s="301" t="s">
        <x:v>64</x:v>
      </x:c>
      <x:c r="AO169" s="301" t="s">
        <x:v>65</x:v>
      </x:c>
      <x:c r="AP169" s="301"/>
      <x:c r="AQ169" s="301"/>
    </x:row>
    <x:row r="170" ht="45.95000076293945" hidden="1" customHeight="1">
      <x:c r="A170" s="313" t="s">
        <x:v>1171</x:v>
      </x:c>
      <x:c r="B170" s="313" t="s">
        <x:v>874</x:v>
      </x:c>
      <x:c r="C170" s="313" t="s">
        <x:v>1164</x:v>
      </x:c>
      <x:c r="D170" s="313" t="s">
        <x:v>1172</x:v>
      </x:c>
      <x:c r="E170" s="313" t="s">
        <x:v>478</x:v>
      </x:c>
      <x:c r="F170" s="313" t="s">
        <x:v>1173</x:v>
      </x:c>
      <x:c r="G170" s="313" t="s">
        <x:v>46</x:v>
      </x:c>
      <x:c r="H170" s="313" t="s">
        <x:v>1174</x:v>
      </x:c>
      <x:c r="I170" s="313" t="s">
        <x:v>1175</x:v>
      </x:c>
      <x:c r="J170" s="293">
        <x:v>10</x:v>
      </x:c>
      <x:c r="K170" s="295" t="s">
        <x:v>49</x:v>
      </x:c>
      <x:c r="L170" s="304" t="s">
        <x:v>417</x:v>
      </x:c>
      <x:c r="M170" s="297" t="s">
        <x:v>51</x:v>
      </x:c>
      <x:c r="N170" s="304" t="s">
        <x:v>948</x:v>
      </x:c>
      <x:c r="O170" s="304" t="s">
        <x:v>949</x:v>
      </x:c>
      <x:c r="P170" s="305" t="s">
        <x:v>1169</x:v>
      </x:c>
      <x:c r="Q170" s="300" t="str">
        <x:v>Done — evidenced</x:v>
      </x:c>
      <x:c r="R170" s="300" t="s">
        <x:v>1176</x:v>
      </x:c>
      <x:c r="S170" s="306" t="s">
        <x:v>297</x:v>
      </x:c>
      <x:c r="T170" s="306" t="s">
        <x:v>1114</x:v>
      </x:c>
      <x:c r="U170" s="306" t="s">
        <x:v>1115</x:v>
      </x:c>
      <x:c r="V170" s="300" t="s">
        <x:v>949</x:v>
      </x:c>
      <x:c r="W170" s="300" t="s">
        <x:v>951</x:v>
      </x:c>
      <x:c r="X170" s="306" t="s">
        <x:v>301</x:v>
      </x:c>
      <x:c r="Y170" s="300" t="str">
        <x:v>Deep design reconciliation 16-Aug-2026; Chapter 3/4 + Layer-B architecture + latest source/audit evidence</x:v>
      </x:c>
      <x:c r="Z170" s="301" t="s">
        <x:v>555</x:v>
      </x:c>
      <x:c r="AA170" s="301" t="s">
        <x:v>566</x:v>
      </x:c>
      <x:c r="AB170" s="301" t="s">
        <x:v>952</x:v>
      </x:c>
      <x:c r="AC170" s="301" t="s">
        <x:v>953</x:v>
      </x:c>
      <x:c r="AD170" s="301" t="s">
        <x:v>61</x:v>
      </x:c>
      <x:c r="AE170" s="301" t="s">
        <x:v>51</x:v>
      </x:c>
      <x:c r="AF170" s="301" t="s">
        <x:v>62</x:v>
      </x:c>
      <x:c r="AG170" s="301" t="s">
        <x:v>61</x:v>
      </x:c>
      <x:c r="AH170" s="302">
        <x:v>0</x:v>
      </x:c>
      <x:c r="AI170" s="302">
        <x:v>0</x:v>
      </x:c>
      <x:c r="AJ170" s="302">
        <x:f t="shared" si="10"/>
        <x:v>0</x:v>
      </x:c>
      <x:c r="AK170" s="302">
        <x:f t="shared" si="11"/>
        <x:v>0</x:v>
      </x:c>
      <x:c r="AL170" s="301" t="s">
        <x:v>51</x:v>
      </x:c>
      <x:c r="AM170" s="301" t="s">
        <x:v>63</x:v>
      </x:c>
      <x:c r="AN170" s="301" t="s">
        <x:v>64</x:v>
      </x:c>
      <x:c r="AO170" s="301" t="s">
        <x:v>65</x:v>
      </x:c>
      <x:c r="AP170" s="301"/>
      <x:c r="AQ170" s="301"/>
    </x:row>
    <x:row r="171" ht="45.95000076293945" hidden="1" customHeight="1">
      <x:c r="A171" s="313" t="s">
        <x:v>1177</x:v>
      </x:c>
      <x:c r="B171" s="313" t="s">
        <x:v>874</x:v>
      </x:c>
      <x:c r="C171" s="313" t="s">
        <x:v>1164</x:v>
      </x:c>
      <x:c r="D171" s="313" t="s">
        <x:v>1178</x:v>
      </x:c>
      <x:c r="E171" s="313" t="s">
        <x:v>478</x:v>
      </x:c>
      <x:c r="F171" s="313" t="s">
        <x:v>1173</x:v>
      </x:c>
      <x:c r="G171" s="313" t="s">
        <x:v>46</x:v>
      </x:c>
      <x:c r="H171" s="313" t="s">
        <x:v>1179</x:v>
      </x:c>
      <x:c r="I171" s="313" t="s">
        <x:v>1180</x:v>
      </x:c>
      <x:c r="J171" s="293">
        <x:v>10</x:v>
      </x:c>
      <x:c r="K171" s="295" t="s">
        <x:v>49</x:v>
      </x:c>
      <x:c r="L171" s="304" t="s">
        <x:v>417</x:v>
      </x:c>
      <x:c r="M171" s="297" t="s">
        <x:v>51</x:v>
      </x:c>
      <x:c r="N171" s="304" t="s">
        <x:v>948</x:v>
      </x:c>
      <x:c r="O171" s="304" t="s">
        <x:v>949</x:v>
      </x:c>
      <x:c r="P171" s="305" t="s">
        <x:v>1169</x:v>
      </x:c>
      <x:c r="Q171" s="300" t="str">
        <x:v>Done — evidenced</x:v>
      </x:c>
      <x:c r="R171" s="300" t="s">
        <x:v>1181</x:v>
      </x:c>
      <x:c r="S171" s="306" t="s">
        <x:v>297</x:v>
      </x:c>
      <x:c r="T171" s="306" t="s">
        <x:v>1114</x:v>
      </x:c>
      <x:c r="U171" s="306" t="s">
        <x:v>1115</x:v>
      </x:c>
      <x:c r="V171" s="300" t="s">
        <x:v>949</x:v>
      </x:c>
      <x:c r="W171" s="300" t="s">
        <x:v>951</x:v>
      </x:c>
      <x:c r="X171" s="306" t="s">
        <x:v>301</x:v>
      </x:c>
      <x:c r="Y171" s="300" t="str">
        <x:v>Deep design reconciliation 16-Aug-2026; Chapter 3/4 + Layer-B architecture + latest source/audit evidence</x:v>
      </x:c>
      <x:c r="Z171" s="301" t="s">
        <x:v>555</x:v>
      </x:c>
      <x:c r="AA171" s="301" t="s">
        <x:v>566</x:v>
      </x:c>
      <x:c r="AB171" s="301" t="s">
        <x:v>952</x:v>
      </x:c>
      <x:c r="AC171" s="301" t="s">
        <x:v>953</x:v>
      </x:c>
      <x:c r="AD171" s="301" t="s">
        <x:v>61</x:v>
      </x:c>
      <x:c r="AE171" s="301" t="s">
        <x:v>51</x:v>
      </x:c>
      <x:c r="AF171" s="301" t="s">
        <x:v>62</x:v>
      </x:c>
      <x:c r="AG171" s="301" t="s">
        <x:v>61</x:v>
      </x:c>
      <x:c r="AH171" s="302">
        <x:v>0</x:v>
      </x:c>
      <x:c r="AI171" s="302">
        <x:v>0</x:v>
      </x:c>
      <x:c r="AJ171" s="302">
        <x:f t="shared" si="10"/>
        <x:v>0</x:v>
      </x:c>
      <x:c r="AK171" s="302">
        <x:f t="shared" si="11"/>
        <x:v>0</x:v>
      </x:c>
      <x:c r="AL171" s="301" t="s">
        <x:v>51</x:v>
      </x:c>
      <x:c r="AM171" s="301" t="s">
        <x:v>63</x:v>
      </x:c>
      <x:c r="AN171" s="301" t="s">
        <x:v>64</x:v>
      </x:c>
      <x:c r="AO171" s="301" t="s">
        <x:v>65</x:v>
      </x:c>
      <x:c r="AP171" s="301"/>
      <x:c r="AQ171" s="301"/>
    </x:row>
    <x:row r="172" ht="45.95000076293945" hidden="1" customHeight="1">
      <x:c r="A172" s="313" t="s">
        <x:v>1182</x:v>
      </x:c>
      <x:c r="B172" s="313" t="s">
        <x:v>874</x:v>
      </x:c>
      <x:c r="C172" s="313" t="s">
        <x:v>1164</x:v>
      </x:c>
      <x:c r="D172" s="313" t="s">
        <x:v>1183</x:v>
      </x:c>
      <x:c r="E172" s="313" t="s">
        <x:v>112</x:v>
      </x:c>
      <x:c r="F172" s="313" t="s">
        <x:v>1184</x:v>
      </x:c>
      <x:c r="G172" s="313" t="s">
        <x:v>46</x:v>
      </x:c>
      <x:c r="H172" s="313" t="s">
        <x:v>1185</x:v>
      </x:c>
      <x:c r="I172" s="313" t="s">
        <x:v>1186</x:v>
      </x:c>
      <x:c r="J172" s="293">
        <x:v>10</x:v>
      </x:c>
      <x:c r="K172" s="295" t="s">
        <x:v>49</x:v>
      </x:c>
      <x:c r="L172" s="304" t="s">
        <x:v>417</x:v>
      </x:c>
      <x:c r="M172" s="297" t="s">
        <x:v>51</x:v>
      </x:c>
      <x:c r="N172" s="304" t="s">
        <x:v>948</x:v>
      </x:c>
      <x:c r="O172" s="304" t="s">
        <x:v>949</x:v>
      </x:c>
      <x:c r="P172" s="305" t="s">
        <x:v>1169</x:v>
      </x:c>
      <x:c r="Q172" s="300" t="str">
        <x:v>Done — evidenced</x:v>
      </x:c>
      <x:c r="R172" s="300" t="s">
        <x:v>1187</x:v>
      </x:c>
      <x:c r="S172" s="300" t="s">
        <x:v>266</x:v>
      </x:c>
      <x:c r="T172" s="300"/>
      <x:c r="U172" s="300"/>
      <x:c r="V172" s="300" t="s">
        <x:v>949</x:v>
      </x:c>
      <x:c r="W172" s="300" t="s">
        <x:v>951</x:v>
      </x:c>
      <x:c r="X172" s="300" t="s">
        <x:v>56</x:v>
      </x:c>
      <x:c r="Y172" s="300" t="str">
        <x:v>Deep design reconciliation 16-Aug-2026; Chapter 3/4 + Layer-B architecture + latest source/audit evidence</x:v>
      </x:c>
      <x:c r="Z172" s="301" t="s">
        <x:v>555</x:v>
      </x:c>
      <x:c r="AA172" s="301" t="s">
        <x:v>566</x:v>
      </x:c>
      <x:c r="AB172" s="301" t="s">
        <x:v>952</x:v>
      </x:c>
      <x:c r="AC172" s="301" t="s">
        <x:v>953</x:v>
      </x:c>
      <x:c r="AD172" s="301" t="s">
        <x:v>61</x:v>
      </x:c>
      <x:c r="AE172" s="301" t="s">
        <x:v>51</x:v>
      </x:c>
      <x:c r="AF172" s="301" t="s">
        <x:v>62</x:v>
      </x:c>
      <x:c r="AG172" s="301" t="s">
        <x:v>61</x:v>
      </x:c>
      <x:c r="AH172" s="302">
        <x:v>0</x:v>
      </x:c>
      <x:c r="AI172" s="302">
        <x:v>0</x:v>
      </x:c>
      <x:c r="AJ172" s="302">
        <x:f t="shared" si="10"/>
        <x:v>0</x:v>
      </x:c>
      <x:c r="AK172" s="302">
        <x:f t="shared" si="11"/>
        <x:v>0</x:v>
      </x:c>
      <x:c r="AL172" s="301" t="s">
        <x:v>51</x:v>
      </x:c>
      <x:c r="AM172" s="301" t="s">
        <x:v>63</x:v>
      </x:c>
      <x:c r="AN172" s="301" t="s">
        <x:v>64</x:v>
      </x:c>
      <x:c r="AO172" s="301" t="s">
        <x:v>65</x:v>
      </x:c>
      <x:c r="AP172" s="301"/>
      <x:c r="AQ172" s="301"/>
    </x:row>
    <x:row r="173" ht="45.95000076293945" hidden="1" customHeight="1">
      <x:c r="A173" s="313" t="s">
        <x:v>1188</x:v>
      </x:c>
      <x:c r="B173" s="313" t="s">
        <x:v>874</x:v>
      </x:c>
      <x:c r="C173" s="313" t="s">
        <x:v>1164</x:v>
      </x:c>
      <x:c r="D173" s="313" t="s">
        <x:v>1189</x:v>
      </x:c>
      <x:c r="E173" s="313" t="s">
        <x:v>478</x:v>
      </x:c>
      <x:c r="F173" s="313" t="s">
        <x:v>1190</x:v>
      </x:c>
      <x:c r="G173" s="313" t="s">
        <x:v>118</x:v>
      </x:c>
      <x:c r="H173" s="313" t="s">
        <x:v>1191</x:v>
      </x:c>
      <x:c r="I173" s="313" t="s">
        <x:v>1192</x:v>
      </x:c>
      <x:c r="J173" s="293">
        <x:v>12</x:v>
      </x:c>
      <x:c r="K173" s="295" t="s">
        <x:v>49</x:v>
      </x:c>
      <x:c r="L173" s="304" t="s">
        <x:v>417</x:v>
      </x:c>
      <x:c r="M173" s="297" t="s">
        <x:v>51</x:v>
      </x:c>
      <x:c r="N173" s="304" t="s">
        <x:v>948</x:v>
      </x:c>
      <x:c r="O173" s="304" t="s">
        <x:v>949</x:v>
      </x:c>
      <x:c r="P173" s="305" t="s">
        <x:v>1169</x:v>
      </x:c>
      <x:c r="Q173" s="300" t="str">
        <x:v>Done — evidenced</x:v>
      </x:c>
      <x:c r="R173" s="300" t="s">
        <x:v>1193</x:v>
      </x:c>
      <x:c r="S173" s="306" t="s">
        <x:v>297</x:v>
      </x:c>
      <x:c r="T173" s="306" t="s">
        <x:v>1114</x:v>
      </x:c>
      <x:c r="U173" s="306" t="s">
        <x:v>1115</x:v>
      </x:c>
      <x:c r="V173" s="300" t="s">
        <x:v>949</x:v>
      </x:c>
      <x:c r="W173" s="300" t="s">
        <x:v>951</x:v>
      </x:c>
      <x:c r="X173" s="306" t="s">
        <x:v>301</x:v>
      </x:c>
      <x:c r="Y173" s="300" t="str">
        <x:v>Deep design reconciliation 16-Aug-2026; Chapter 3/4 + Layer-B architecture + latest source/audit evidence</x:v>
      </x:c>
      <x:c r="Z173" s="301" t="s">
        <x:v>555</x:v>
      </x:c>
      <x:c r="AA173" s="301" t="s">
        <x:v>566</x:v>
      </x:c>
      <x:c r="AB173" s="301" t="s">
        <x:v>952</x:v>
      </x:c>
      <x:c r="AC173" s="301" t="s">
        <x:v>953</x:v>
      </x:c>
      <x:c r="AD173" s="301" t="s">
        <x:v>61</x:v>
      </x:c>
      <x:c r="AE173" s="301" t="s">
        <x:v>51</x:v>
      </x:c>
      <x:c r="AF173" s="301" t="s">
        <x:v>62</x:v>
      </x:c>
      <x:c r="AG173" s="301" t="s">
        <x:v>61</x:v>
      </x:c>
      <x:c r="AH173" s="302">
        <x:v>0</x:v>
      </x:c>
      <x:c r="AI173" s="302">
        <x:v>0</x:v>
      </x:c>
      <x:c r="AJ173" s="302">
        <x:f t="shared" si="10"/>
        <x:v>0</x:v>
      </x:c>
      <x:c r="AK173" s="302">
        <x:f t="shared" si="11"/>
        <x:v>0</x:v>
      </x:c>
      <x:c r="AL173" s="301" t="s">
        <x:v>51</x:v>
      </x:c>
      <x:c r="AM173" s="301" t="s">
        <x:v>63</x:v>
      </x:c>
      <x:c r="AN173" s="301" t="s">
        <x:v>64</x:v>
      </x:c>
      <x:c r="AO173" s="301" t="s">
        <x:v>65</x:v>
      </x:c>
      <x:c r="AP173" s="301"/>
      <x:c r="AQ173" s="301"/>
    </x:row>
    <x:row r="174" ht="45.95000076293945" hidden="1" customHeight="1">
      <x:c r="A174" s="313" t="s">
        <x:v>1194</x:v>
      </x:c>
      <x:c r="B174" s="313" t="s">
        <x:v>874</x:v>
      </x:c>
      <x:c r="C174" s="313" t="s">
        <x:v>1164</x:v>
      </x:c>
      <x:c r="D174" s="313" t="s">
        <x:v>1195</x:v>
      </x:c>
      <x:c r="E174" s="313" t="s">
        <x:v>478</x:v>
      </x:c>
      <x:c r="F174" s="313" t="s">
        <x:v>1196</x:v>
      </x:c>
      <x:c r="G174" s="313" t="s">
        <x:v>46</x:v>
      </x:c>
      <x:c r="H174" s="313" t="s">
        <x:v>1197</x:v>
      </x:c>
      <x:c r="I174" s="313" t="s">
        <x:v>1198</x:v>
      </x:c>
      <x:c r="J174" s="293">
        <x:v>12</x:v>
      </x:c>
      <x:c r="K174" s="295" t="s">
        <x:v>49</x:v>
      </x:c>
      <x:c r="L174" s="304" t="s">
        <x:v>417</x:v>
      </x:c>
      <x:c r="M174" s="297" t="s">
        <x:v>51</x:v>
      </x:c>
      <x:c r="N174" s="304" t="s">
        <x:v>948</x:v>
      </x:c>
      <x:c r="O174" s="304" t="s">
        <x:v>949</x:v>
      </x:c>
      <x:c r="P174" s="305" t="s">
        <x:v>1169</x:v>
      </x:c>
      <x:c r="Q174" s="300" t="str">
        <x:v>Done — evidenced</x:v>
      </x:c>
      <x:c r="R174" s="300" t="s">
        <x:v>1199</x:v>
      </x:c>
      <x:c r="S174" s="306" t="s">
        <x:v>297</x:v>
      </x:c>
      <x:c r="T174" s="306" t="s">
        <x:v>1114</x:v>
      </x:c>
      <x:c r="U174" s="306" t="s">
        <x:v>1115</x:v>
      </x:c>
      <x:c r="V174" s="300" t="s">
        <x:v>949</x:v>
      </x:c>
      <x:c r="W174" s="300" t="s">
        <x:v>951</x:v>
      </x:c>
      <x:c r="X174" s="306" t="s">
        <x:v>301</x:v>
      </x:c>
      <x:c r="Y174" s="300" t="str">
        <x:v>Deep design reconciliation 16-Aug-2026; Chapter 3/4 + Layer-B architecture + latest source/audit evidence</x:v>
      </x:c>
      <x:c r="Z174" s="301" t="s">
        <x:v>555</x:v>
      </x:c>
      <x:c r="AA174" s="301" t="s">
        <x:v>566</x:v>
      </x:c>
      <x:c r="AB174" s="301" t="s">
        <x:v>952</x:v>
      </x:c>
      <x:c r="AC174" s="301" t="s">
        <x:v>953</x:v>
      </x:c>
      <x:c r="AD174" s="301" t="s">
        <x:v>61</x:v>
      </x:c>
      <x:c r="AE174" s="301" t="s">
        <x:v>51</x:v>
      </x:c>
      <x:c r="AF174" s="301" t="s">
        <x:v>62</x:v>
      </x:c>
      <x:c r="AG174" s="301" t="s">
        <x:v>61</x:v>
      </x:c>
      <x:c r="AH174" s="302">
        <x:v>0</x:v>
      </x:c>
      <x:c r="AI174" s="302">
        <x:v>0</x:v>
      </x:c>
      <x:c r="AJ174" s="302">
        <x:f t="shared" si="10"/>
        <x:v>0</x:v>
      </x:c>
      <x:c r="AK174" s="302">
        <x:f t="shared" si="11"/>
        <x:v>0</x:v>
      </x:c>
      <x:c r="AL174" s="301" t="s">
        <x:v>51</x:v>
      </x:c>
      <x:c r="AM174" s="301" t="s">
        <x:v>63</x:v>
      </x:c>
      <x:c r="AN174" s="301" t="s">
        <x:v>64</x:v>
      </x:c>
      <x:c r="AO174" s="301" t="s">
        <x:v>65</x:v>
      </x:c>
      <x:c r="AP174" s="301"/>
      <x:c r="AQ174" s="301"/>
    </x:row>
    <x:row r="175" ht="45.95000076293945" hidden="1" customHeight="1">
      <x:c r="A175" s="313" t="s">
        <x:v>1200</x:v>
      </x:c>
      <x:c r="B175" s="313" t="s">
        <x:v>874</x:v>
      </x:c>
      <x:c r="C175" s="313" t="s">
        <x:v>1164</x:v>
      </x:c>
      <x:c r="D175" s="313" t="s">
        <x:v>1201</x:v>
      </x:c>
      <x:c r="E175" s="313" t="s">
        <x:v>478</x:v>
      </x:c>
      <x:c r="F175" s="313" t="s">
        <x:v>1202</x:v>
      </x:c>
      <x:c r="G175" s="313" t="s">
        <x:v>118</x:v>
      </x:c>
      <x:c r="H175" s="313" t="s">
        <x:v>1203</x:v>
      </x:c>
      <x:c r="I175" s="313" t="s">
        <x:v>1204</x:v>
      </x:c>
      <x:c r="J175" s="293">
        <x:v>10</x:v>
      </x:c>
      <x:c r="K175" s="295" t="s">
        <x:v>49</x:v>
      </x:c>
      <x:c r="L175" s="304" t="s">
        <x:v>417</x:v>
      </x:c>
      <x:c r="M175" s="297" t="s">
        <x:v>51</x:v>
      </x:c>
      <x:c r="N175" s="304" t="s">
        <x:v>948</x:v>
      </x:c>
      <x:c r="O175" s="304" t="s">
        <x:v>949</x:v>
      </x:c>
      <x:c r="P175" s="305" t="s">
        <x:v>1169</x:v>
      </x:c>
      <x:c r="Q175" s="300" t="str">
        <x:v>Done — evidenced</x:v>
      </x:c>
      <x:c r="R175" s="300" t="s">
        <x:v>1205</x:v>
      </x:c>
      <x:c r="S175" s="300" t="s">
        <x:v>266</x:v>
      </x:c>
      <x:c r="T175" s="300"/>
      <x:c r="U175" s="300"/>
      <x:c r="V175" s="300" t="s">
        <x:v>949</x:v>
      </x:c>
      <x:c r="W175" s="300" t="s">
        <x:v>951</x:v>
      </x:c>
      <x:c r="X175" s="300" t="s">
        <x:v>56</x:v>
      </x:c>
      <x:c r="Y175" s="300" t="str">
        <x:v>Deep design reconciliation 16-Aug-2026; Chapter 3/4 + Layer-B architecture + latest source/audit evidence</x:v>
      </x:c>
      <x:c r="Z175" s="301" t="s">
        <x:v>555</x:v>
      </x:c>
      <x:c r="AA175" s="301" t="s">
        <x:v>566</x:v>
      </x:c>
      <x:c r="AB175" s="301" t="s">
        <x:v>952</x:v>
      </x:c>
      <x:c r="AC175" s="301" t="s">
        <x:v>953</x:v>
      </x:c>
      <x:c r="AD175" s="301" t="s">
        <x:v>61</x:v>
      </x:c>
      <x:c r="AE175" s="301" t="s">
        <x:v>51</x:v>
      </x:c>
      <x:c r="AF175" s="301" t="s">
        <x:v>62</x:v>
      </x:c>
      <x:c r="AG175" s="301" t="s">
        <x:v>61</x:v>
      </x:c>
      <x:c r="AH175" s="302">
        <x:v>0</x:v>
      </x:c>
      <x:c r="AI175" s="302">
        <x:v>0</x:v>
      </x:c>
      <x:c r="AJ175" s="302">
        <x:f t="shared" si="10"/>
        <x:v>0</x:v>
      </x:c>
      <x:c r="AK175" s="302">
        <x:f t="shared" si="11"/>
        <x:v>0</x:v>
      </x:c>
      <x:c r="AL175" s="301" t="s">
        <x:v>51</x:v>
      </x:c>
      <x:c r="AM175" s="301" t="s">
        <x:v>63</x:v>
      </x:c>
      <x:c r="AN175" s="301" t="s">
        <x:v>64</x:v>
      </x:c>
      <x:c r="AO175" s="301" t="s">
        <x:v>65</x:v>
      </x:c>
      <x:c r="AP175" s="301"/>
      <x:c r="AQ175" s="301"/>
    </x:row>
    <x:row r="176" ht="45.95000076293945" hidden="1" customHeight="1">
      <x:c r="A176" s="313" t="s">
        <x:v>1206</x:v>
      </x:c>
      <x:c r="B176" s="313" t="s">
        <x:v>874</x:v>
      </x:c>
      <x:c r="C176" s="313" t="s">
        <x:v>943</x:v>
      </x:c>
      <x:c r="D176" s="313" t="s">
        <x:v>1207</x:v>
      </x:c>
      <x:c r="E176" s="313" t="s">
        <x:v>478</x:v>
      </x:c>
      <x:c r="F176" s="313" t="s">
        <x:v>1208</x:v>
      </x:c>
      <x:c r="G176" s="313" t="s">
        <x:v>46</x:v>
      </x:c>
      <x:c r="H176" s="313" t="s">
        <x:v>1209</x:v>
      </x:c>
      <x:c r="I176" s="313" t="s">
        <x:v>1210</x:v>
      </x:c>
      <x:c r="J176" s="293">
        <x:v>12</x:v>
      </x:c>
      <x:c r="K176" s="295" t="s">
        <x:v>49</x:v>
      </x:c>
      <x:c r="L176" s="304" t="s">
        <x:v>417</x:v>
      </x:c>
      <x:c r="M176" s="297" t="s">
        <x:v>51</x:v>
      </x:c>
      <x:c r="N176" s="304" t="s">
        <x:v>1211</x:v>
      </x:c>
      <x:c r="O176" s="304" t="str">
        <x:v>T-168; T-169</x:v>
      </x:c>
      <x:c r="P176" s="305" t="s">
        <x:v>1212</x:v>
      </x:c>
      <x:c r="Q176" s="300" t="str">
        <x:v>Done — evidenced</x:v>
      </x:c>
      <x:c r="R176" s="300" t="s">
        <x:v>1213</x:v>
      </x:c>
      <x:c r="S176" s="300" t="s">
        <x:v>266</x:v>
      </x:c>
      <x:c r="T176" s="300"/>
      <x:c r="U176" s="300"/>
      <x:c r="V176" s="300" t="s">
        <x:v>1214</x:v>
      </x:c>
      <x:c r="W176" s="300" t="s">
        <x:v>951</x:v>
      </x:c>
      <x:c r="X176" s="300" t="s">
        <x:v>56</x:v>
      </x:c>
      <x:c r="Y176" s="300" t="str">
        <x:v>Deep design reconciliation 16-Aug-2026; Chapter 3/4 + Layer-B architecture + latest source/audit evidence</x:v>
      </x:c>
      <x:c r="Z176" s="301" t="s">
        <x:v>555</x:v>
      </x:c>
      <x:c r="AA176" s="301" t="s">
        <x:v>566</x:v>
      </x:c>
      <x:c r="AB176" s="301" t="s">
        <x:v>952</x:v>
      </x:c>
      <x:c r="AC176" s="301" t="s">
        <x:v>953</x:v>
      </x:c>
      <x:c r="AD176" s="301" t="s">
        <x:v>61</x:v>
      </x:c>
      <x:c r="AE176" s="301" t="s">
        <x:v>51</x:v>
      </x:c>
      <x:c r="AF176" s="301" t="s">
        <x:v>62</x:v>
      </x:c>
      <x:c r="AG176" s="301" t="s">
        <x:v>61</x:v>
      </x:c>
      <x:c r="AH176" s="302">
        <x:v>0</x:v>
      </x:c>
      <x:c r="AI176" s="302">
        <x:v>0</x:v>
      </x:c>
      <x:c r="AJ176" s="302">
        <x:f t="shared" si="10"/>
        <x:v>0</x:v>
      </x:c>
      <x:c r="AK176" s="302">
        <x:f t="shared" si="11"/>
        <x:v>0</x:v>
      </x:c>
      <x:c r="AL176" s="301" t="s">
        <x:v>51</x:v>
      </x:c>
      <x:c r="AM176" s="301" t="s">
        <x:v>63</x:v>
      </x:c>
      <x:c r="AN176" s="301" t="s">
        <x:v>64</x:v>
      </x:c>
      <x:c r="AO176" s="301" t="s">
        <x:v>65</x:v>
      </x:c>
      <x:c r="AP176" s="301" t="str">
        <x:v>T-168; T-169</x:v>
      </x:c>
      <x:c r="AQ176" s="301" t="str">
        <x:v>T-187</x:v>
      </x:c>
    </x:row>
    <x:row r="177" ht="45.95000076293945" hidden="1" customHeight="1">
      <x:c r="A177" s="313" t="s">
        <x:v>1215</x:v>
      </x:c>
      <x:c r="B177" s="313" t="s">
        <x:v>874</x:v>
      </x:c>
      <x:c r="C177" s="313" t="s">
        <x:v>943</x:v>
      </x:c>
      <x:c r="D177" s="313" t="s">
        <x:v>1216</x:v>
      </x:c>
      <x:c r="E177" s="313" t="s">
        <x:v>478</x:v>
      </x:c>
      <x:c r="F177" s="313" t="s">
        <x:v>1217</x:v>
      </x:c>
      <x:c r="G177" s="313" t="s">
        <x:v>46</x:v>
      </x:c>
      <x:c r="H177" s="313" t="s">
        <x:v>1218</x:v>
      </x:c>
      <x:c r="I177" s="313" t="s">
        <x:v>1219</x:v>
      </x:c>
      <x:c r="J177" s="293">
        <x:v>12</x:v>
      </x:c>
      <x:c r="K177" s="295" t="s">
        <x:v>49</x:v>
      </x:c>
      <x:c r="L177" s="304" t="s">
        <x:v>417</x:v>
      </x:c>
      <x:c r="M177" s="297" t="s">
        <x:v>51</x:v>
      </x:c>
      <x:c r="N177" s="304" t="s">
        <x:v>948</x:v>
      </x:c>
      <x:c r="O177" s="304" t="s">
        <x:v>949</x:v>
      </x:c>
      <x:c r="P177" s="305" t="s">
        <x:v>1169</x:v>
      </x:c>
      <x:c r="Q177" s="300" t="str">
        <x:v>Done — evidenced</x:v>
      </x:c>
      <x:c r="R177" s="300" t="s">
        <x:v>1220</x:v>
      </x:c>
      <x:c r="S177" s="300" t="s">
        <x:v>266</x:v>
      </x:c>
      <x:c r="T177" s="300"/>
      <x:c r="U177" s="300"/>
      <x:c r="V177" s="300" t="s">
        <x:v>949</x:v>
      </x:c>
      <x:c r="W177" s="300" t="s">
        <x:v>951</x:v>
      </x:c>
      <x:c r="X177" s="300" t="s">
        <x:v>56</x:v>
      </x:c>
      <x:c r="Y177" s="300" t="str">
        <x:v>Deep design reconciliation 16-Aug-2026; Chapter 3/4 + Layer-B architecture + latest source/audit evidence</x:v>
      </x:c>
      <x:c r="Z177" s="301" t="s">
        <x:v>555</x:v>
      </x:c>
      <x:c r="AA177" s="301" t="s">
        <x:v>566</x:v>
      </x:c>
      <x:c r="AB177" s="301" t="s">
        <x:v>952</x:v>
      </x:c>
      <x:c r="AC177" s="301" t="s">
        <x:v>953</x:v>
      </x:c>
      <x:c r="AD177" s="301" t="s">
        <x:v>61</x:v>
      </x:c>
      <x:c r="AE177" s="301" t="s">
        <x:v>51</x:v>
      </x:c>
      <x:c r="AF177" s="301" t="s">
        <x:v>62</x:v>
      </x:c>
      <x:c r="AG177" s="301" t="s">
        <x:v>61</x:v>
      </x:c>
      <x:c r="AH177" s="302">
        <x:v>0</x:v>
      </x:c>
      <x:c r="AI177" s="302">
        <x:v>0</x:v>
      </x:c>
      <x:c r="AJ177" s="302">
        <x:f t="shared" si="10"/>
        <x:v>0</x:v>
      </x:c>
      <x:c r="AK177" s="302">
        <x:f t="shared" si="11"/>
        <x:v>0</x:v>
      </x:c>
      <x:c r="AL177" s="301" t="s">
        <x:v>51</x:v>
      </x:c>
      <x:c r="AM177" s="301" t="s">
        <x:v>63</x:v>
      </x:c>
      <x:c r="AN177" s="301" t="s">
        <x:v>64</x:v>
      </x:c>
      <x:c r="AO177" s="301" t="s">
        <x:v>65</x:v>
      </x:c>
      <x:c r="AP177" s="301"/>
      <x:c r="AQ177" s="301"/>
    </x:row>
    <x:row r="178" ht="45.95000076293945" hidden="1" customHeight="1">
      <x:c r="A178" s="313" t="s">
        <x:v>1221</x:v>
      </x:c>
      <x:c r="B178" s="313" t="s">
        <x:v>874</x:v>
      </x:c>
      <x:c r="C178" s="313" t="s">
        <x:v>943</x:v>
      </x:c>
      <x:c r="D178" s="313" t="s">
        <x:v>1222</x:v>
      </x:c>
      <x:c r="E178" s="313" t="s">
        <x:v>112</x:v>
      </x:c>
      <x:c r="F178" s="313" t="s">
        <x:v>1223</x:v>
      </x:c>
      <x:c r="G178" s="313" t="s">
        <x:v>46</x:v>
      </x:c>
      <x:c r="H178" s="313" t="s">
        <x:v>1224</x:v>
      </x:c>
      <x:c r="I178" s="313" t="s">
        <x:v>1225</x:v>
      </x:c>
      <x:c r="J178" s="293">
        <x:v>10</x:v>
      </x:c>
      <x:c r="K178" s="295" t="s">
        <x:v>49</x:v>
      </x:c>
      <x:c r="L178" s="304" t="s">
        <x:v>417</x:v>
      </x:c>
      <x:c r="M178" s="297" t="s">
        <x:v>51</x:v>
      </x:c>
      <x:c r="N178" s="304" t="s">
        <x:v>1226</x:v>
      </x:c>
      <x:c r="O178" s="304" t="s">
        <x:v>1227</x:v>
      </x:c>
      <x:c r="P178" s="305" t="s">
        <x:v>1228</x:v>
      </x:c>
      <x:c r="Q178" s="300" t="str">
        <x:v>Done — evidenced</x:v>
      </x:c>
      <x:c r="R178" s="300" t="s">
        <x:v>1229</x:v>
      </x:c>
      <x:c r="S178" s="300" t="s">
        <x:v>266</x:v>
      </x:c>
      <x:c r="T178" s="300"/>
      <x:c r="U178" s="300"/>
      <x:c r="V178" s="300" t="str">
        <x:v>SAFE-NOW kernel has no future M2 cutover predecessor. T-147/T-146 are downstream consumers and are recorded only in Must Precede.</x:v>
      </x:c>
      <x:c r="W178" s="300" t="s">
        <x:v>951</x:v>
      </x:c>
      <x:c r="X178" s="300" t="s">
        <x:v>56</x:v>
      </x:c>
      <x:c r="Y178" s="300" t="str">
        <x:v>Deep design reconciliation 16-Aug-2026; Chapter 3/4 + Layer-B architecture + latest source/audit evidence</x:v>
      </x:c>
      <x:c r="Z178" s="301" t="s">
        <x:v>555</x:v>
      </x:c>
      <x:c r="AA178" s="301" t="s">
        <x:v>566</x:v>
      </x:c>
      <x:c r="AB178" s="301" t="s">
        <x:v>952</x:v>
      </x:c>
      <x:c r="AC178" s="301" t="s">
        <x:v>953</x:v>
      </x:c>
      <x:c r="AD178" s="301" t="s">
        <x:v>61</x:v>
      </x:c>
      <x:c r="AE178" s="301" t="s">
        <x:v>51</x:v>
      </x:c>
      <x:c r="AF178" s="301" t="s">
        <x:v>62</x:v>
      </x:c>
      <x:c r="AG178" s="301" t="s">
        <x:v>61</x:v>
      </x:c>
      <x:c r="AH178" s="302">
        <x:v>0</x:v>
      </x:c>
      <x:c r="AI178" s="302">
        <x:v>0</x:v>
      </x:c>
      <x:c r="AJ178" s="302">
        <x:f t="shared" si="10"/>
        <x:v>0</x:v>
      </x:c>
      <x:c r="AK178" s="302">
        <x:f t="shared" si="11"/>
        <x:v>0</x:v>
      </x:c>
      <x:c r="AL178" s="301" t="s">
        <x:v>51</x:v>
      </x:c>
      <x:c r="AM178" s="301" t="s">
        <x:v>63</x:v>
      </x:c>
      <x:c r="AN178" s="301" t="s">
        <x:v>64</x:v>
      </x:c>
      <x:c r="AO178" s="301" t="s">
        <x:v>65</x:v>
      </x:c>
      <x:c r="AP178" s="301"/>
      <x:c r="AQ178" s="301" t="str">
        <x:v>T-147; T-146</x:v>
      </x:c>
    </x:row>
    <x:row r="179" ht="45.95000076293945" hidden="1" customHeight="1">
      <x:c r="A179" s="313" t="s">
        <x:v>1230</x:v>
      </x:c>
      <x:c r="B179" s="313" t="s">
        <x:v>874</x:v>
      </x:c>
      <x:c r="C179" s="313" t="s">
        <x:v>943</x:v>
      </x:c>
      <x:c r="D179" s="313" t="s">
        <x:v>1231</x:v>
      </x:c>
      <x:c r="E179" s="313" t="s">
        <x:v>478</x:v>
      </x:c>
      <x:c r="F179" s="313" t="s">
        <x:v>986</x:v>
      </x:c>
      <x:c r="G179" s="313" t="s">
        <x:v>46</x:v>
      </x:c>
      <x:c r="H179" s="313" t="s">
        <x:v>1232</x:v>
      </x:c>
      <x:c r="I179" s="313" t="s">
        <x:v>1233</x:v>
      </x:c>
      <x:c r="J179" s="293">
        <x:v>8</x:v>
      </x:c>
      <x:c r="K179" s="295" t="s">
        <x:v>49</x:v>
      </x:c>
      <x:c r="L179" s="304" t="s">
        <x:v>417</x:v>
      </x:c>
      <x:c r="M179" s="297" t="s">
        <x:v>51</x:v>
      </x:c>
      <x:c r="N179" s="304" t="s">
        <x:v>948</x:v>
      </x:c>
      <x:c r="O179" s="304" t="s">
        <x:v>949</x:v>
      </x:c>
      <x:c r="P179" s="305" t="s">
        <x:v>1169</x:v>
      </x:c>
      <x:c r="Q179" s="300" t="str">
        <x:v>Done — evidenced</x:v>
      </x:c>
      <x:c r="R179" s="300" t="s">
        <x:v>1234</x:v>
      </x:c>
      <x:c r="S179" s="300" t="s">
        <x:v>266</x:v>
      </x:c>
      <x:c r="T179" s="300"/>
      <x:c r="U179" s="300"/>
      <x:c r="V179" s="300" t="s">
        <x:v>949</x:v>
      </x:c>
      <x:c r="W179" s="300" t="s">
        <x:v>951</x:v>
      </x:c>
      <x:c r="X179" s="300" t="s">
        <x:v>56</x:v>
      </x:c>
      <x:c r="Y179" s="300" t="str">
        <x:v>Deep design reconciliation 16-Aug-2026; Chapter 3/4 + Layer-B architecture + latest source/audit evidence</x:v>
      </x:c>
      <x:c r="Z179" s="301" t="s">
        <x:v>555</x:v>
      </x:c>
      <x:c r="AA179" s="301" t="s">
        <x:v>566</x:v>
      </x:c>
      <x:c r="AB179" s="301" t="s">
        <x:v>952</x:v>
      </x:c>
      <x:c r="AC179" s="301" t="s">
        <x:v>953</x:v>
      </x:c>
      <x:c r="AD179" s="301" t="s">
        <x:v>61</x:v>
      </x:c>
      <x:c r="AE179" s="301" t="s">
        <x:v>51</x:v>
      </x:c>
      <x:c r="AF179" s="301" t="s">
        <x:v>62</x:v>
      </x:c>
      <x:c r="AG179" s="301" t="s">
        <x:v>61</x:v>
      </x:c>
      <x:c r="AH179" s="302">
        <x:v>0</x:v>
      </x:c>
      <x:c r="AI179" s="302">
        <x:v>0</x:v>
      </x:c>
      <x:c r="AJ179" s="302">
        <x:f t="shared" si="10"/>
        <x:v>0</x:v>
      </x:c>
      <x:c r="AK179" s="302">
        <x:f t="shared" si="11"/>
        <x:v>0</x:v>
      </x:c>
      <x:c r="AL179" s="301" t="s">
        <x:v>51</x:v>
      </x:c>
      <x:c r="AM179" s="301" t="s">
        <x:v>63</x:v>
      </x:c>
      <x:c r="AN179" s="301" t="s">
        <x:v>64</x:v>
      </x:c>
      <x:c r="AO179" s="301" t="s">
        <x:v>65</x:v>
      </x:c>
      <x:c r="AP179" s="301"/>
      <x:c r="AQ179" s="301"/>
    </x:row>
    <x:row r="180" ht="45.95000076293945" hidden="1" customHeight="1">
      <x:c r="A180" s="313" t="s">
        <x:v>1235</x:v>
      </x:c>
      <x:c r="B180" s="313" t="s">
        <x:v>874</x:v>
      </x:c>
      <x:c r="C180" s="313" t="s">
        <x:v>943</x:v>
      </x:c>
      <x:c r="D180" s="313" t="s">
        <x:v>1236</x:v>
      </x:c>
      <x:c r="E180" s="313" t="s">
        <x:v>478</x:v>
      </x:c>
      <x:c r="F180" s="313" t="s">
        <x:v>1237</x:v>
      </x:c>
      <x:c r="G180" s="313" t="s">
        <x:v>46</x:v>
      </x:c>
      <x:c r="H180" s="313" t="s">
        <x:v>1238</x:v>
      </x:c>
      <x:c r="I180" s="313" t="s">
        <x:v>1239</x:v>
      </x:c>
      <x:c r="J180" s="293">
        <x:v>10</x:v>
      </x:c>
      <x:c r="K180" s="295" t="s">
        <x:v>49</x:v>
      </x:c>
      <x:c r="L180" s="304" t="s">
        <x:v>417</x:v>
      </x:c>
      <x:c r="M180" s="297" t="s">
        <x:v>51</x:v>
      </x:c>
      <x:c r="N180" s="304" t="s">
        <x:v>948</x:v>
      </x:c>
      <x:c r="O180" s="304" t="s">
        <x:v>949</x:v>
      </x:c>
      <x:c r="P180" s="305" t="s">
        <x:v>1169</x:v>
      </x:c>
      <x:c r="Q180" s="300" t="str">
        <x:v>Done — evidenced</x:v>
      </x:c>
      <x:c r="R180" s="300" t="s">
        <x:v>1240</x:v>
      </x:c>
      <x:c r="S180" s="300" t="s">
        <x:v>266</x:v>
      </x:c>
      <x:c r="T180" s="300"/>
      <x:c r="U180" s="300"/>
      <x:c r="V180" s="300" t="s">
        <x:v>949</x:v>
      </x:c>
      <x:c r="W180" s="300" t="s">
        <x:v>951</x:v>
      </x:c>
      <x:c r="X180" s="300" t="s">
        <x:v>56</x:v>
      </x:c>
      <x:c r="Y180" s="300" t="str">
        <x:v>Deep design reconciliation 16-Aug-2026; Chapter 3/4 + Layer-B architecture + latest source/audit evidence</x:v>
      </x:c>
      <x:c r="Z180" s="301" t="s">
        <x:v>555</x:v>
      </x:c>
      <x:c r="AA180" s="301" t="s">
        <x:v>566</x:v>
      </x:c>
      <x:c r="AB180" s="301" t="s">
        <x:v>952</x:v>
      </x:c>
      <x:c r="AC180" s="301" t="s">
        <x:v>953</x:v>
      </x:c>
      <x:c r="AD180" s="301" t="s">
        <x:v>61</x:v>
      </x:c>
      <x:c r="AE180" s="301" t="s">
        <x:v>51</x:v>
      </x:c>
      <x:c r="AF180" s="301" t="s">
        <x:v>62</x:v>
      </x:c>
      <x:c r="AG180" s="301" t="s">
        <x:v>61</x:v>
      </x:c>
      <x:c r="AH180" s="302">
        <x:v>0</x:v>
      </x:c>
      <x:c r="AI180" s="302">
        <x:v>0</x:v>
      </x:c>
      <x:c r="AJ180" s="302">
        <x:f t="shared" si="10"/>
        <x:v>0</x:v>
      </x:c>
      <x:c r="AK180" s="302">
        <x:f t="shared" si="11"/>
        <x:v>0</x:v>
      </x:c>
      <x:c r="AL180" s="301" t="s">
        <x:v>51</x:v>
      </x:c>
      <x:c r="AM180" s="301" t="s">
        <x:v>63</x:v>
      </x:c>
      <x:c r="AN180" s="301" t="s">
        <x:v>64</x:v>
      </x:c>
      <x:c r="AO180" s="301" t="s">
        <x:v>65</x:v>
      </x:c>
      <x:c r="AP180" s="301"/>
      <x:c r="AQ180" s="301"/>
    </x:row>
    <x:row r="181" ht="45.95000076293945" hidden="1" customHeight="1">
      <x:c r="A181" s="313" t="s">
        <x:v>1241</x:v>
      </x:c>
      <x:c r="B181" s="313" t="s">
        <x:v>874</x:v>
      </x:c>
      <x:c r="C181" s="313" t="s">
        <x:v>943</x:v>
      </x:c>
      <x:c r="D181" s="313" t="s">
        <x:v>1242</x:v>
      </x:c>
      <x:c r="E181" s="313" t="s">
        <x:v>478</x:v>
      </x:c>
      <x:c r="F181" s="313" t="s">
        <x:v>1243</x:v>
      </x:c>
      <x:c r="G181" s="313" t="s">
        <x:v>46</x:v>
      </x:c>
      <x:c r="H181" s="313" t="s">
        <x:v>1244</x:v>
      </x:c>
      <x:c r="I181" s="313" t="s">
        <x:v>1245</x:v>
      </x:c>
      <x:c r="J181" s="293">
        <x:v>12</x:v>
      </x:c>
      <x:c r="K181" s="295" t="s">
        <x:v>49</x:v>
      </x:c>
      <x:c r="L181" s="304" t="s">
        <x:v>417</x:v>
      </x:c>
      <x:c r="M181" s="297" t="s">
        <x:v>51</x:v>
      </x:c>
      <x:c r="N181" s="304" t="s">
        <x:v>948</x:v>
      </x:c>
      <x:c r="O181" s="304" t="s">
        <x:v>949</x:v>
      </x:c>
      <x:c r="P181" s="305" t="s">
        <x:v>1169</x:v>
      </x:c>
      <x:c r="Q181" s="300" t="str">
        <x:v>Done — evidenced</x:v>
      </x:c>
      <x:c r="R181" s="300" t="s">
        <x:v>1246</x:v>
      </x:c>
      <x:c r="S181" s="306" t="s">
        <x:v>297</x:v>
      </x:c>
      <x:c r="T181" s="306" t="s">
        <x:v>1114</x:v>
      </x:c>
      <x:c r="U181" s="306" t="s">
        <x:v>1115</x:v>
      </x:c>
      <x:c r="V181" s="300" t="s">
        <x:v>949</x:v>
      </x:c>
      <x:c r="W181" s="300" t="s">
        <x:v>951</x:v>
      </x:c>
      <x:c r="X181" s="306" t="s">
        <x:v>301</x:v>
      </x:c>
      <x:c r="Y181" s="300" t="str">
        <x:v>Deep design reconciliation 16-Aug-2026; Chapter 3/4 + Layer-B architecture + latest source/audit evidence</x:v>
      </x:c>
      <x:c r="Z181" s="301" t="s">
        <x:v>555</x:v>
      </x:c>
      <x:c r="AA181" s="301" t="s">
        <x:v>566</x:v>
      </x:c>
      <x:c r="AB181" s="301" t="s">
        <x:v>952</x:v>
      </x:c>
      <x:c r="AC181" s="301" t="s">
        <x:v>953</x:v>
      </x:c>
      <x:c r="AD181" s="301" t="s">
        <x:v>61</x:v>
      </x:c>
      <x:c r="AE181" s="301" t="s">
        <x:v>51</x:v>
      </x:c>
      <x:c r="AF181" s="301" t="s">
        <x:v>62</x:v>
      </x:c>
      <x:c r="AG181" s="301" t="s">
        <x:v>61</x:v>
      </x:c>
      <x:c r="AH181" s="302">
        <x:v>0</x:v>
      </x:c>
      <x:c r="AI181" s="302">
        <x:v>0</x:v>
      </x:c>
      <x:c r="AJ181" s="302">
        <x:f t="shared" si="10"/>
        <x:v>0</x:v>
      </x:c>
      <x:c r="AK181" s="302">
        <x:f t="shared" si="11"/>
        <x:v>0</x:v>
      </x:c>
      <x:c r="AL181" s="301" t="s">
        <x:v>51</x:v>
      </x:c>
      <x:c r="AM181" s="301" t="s">
        <x:v>63</x:v>
      </x:c>
      <x:c r="AN181" s="301" t="s">
        <x:v>64</x:v>
      </x:c>
      <x:c r="AO181" s="301" t="s">
        <x:v>65</x:v>
      </x:c>
      <x:c r="AP181" s="301"/>
      <x:c r="AQ181" s="301"/>
    </x:row>
    <x:row r="182" ht="45.95000076293945" hidden="1" customHeight="1">
      <x:c r="A182" s="313" t="s">
        <x:v>1247</x:v>
      </x:c>
      <x:c r="B182" s="313" t="s">
        <x:v>874</x:v>
      </x:c>
      <x:c r="C182" s="313" t="s">
        <x:v>943</x:v>
      </x:c>
      <x:c r="D182" s="313" t="s">
        <x:v>1248</x:v>
      </x:c>
      <x:c r="E182" s="313" t="s">
        <x:v>478</x:v>
      </x:c>
      <x:c r="F182" s="313" t="s">
        <x:v>1249</x:v>
      </x:c>
      <x:c r="G182" s="313" t="s">
        <x:v>46</x:v>
      </x:c>
      <x:c r="H182" s="313" t="s">
        <x:v>1250</x:v>
      </x:c>
      <x:c r="I182" s="313" t="s">
        <x:v>1251</x:v>
      </x:c>
      <x:c r="J182" s="293">
        <x:v>12</x:v>
      </x:c>
      <x:c r="K182" s="295" t="s">
        <x:v>49</x:v>
      </x:c>
      <x:c r="L182" s="304" t="s">
        <x:v>417</x:v>
      </x:c>
      <x:c r="M182" s="297" t="s">
        <x:v>51</x:v>
      </x:c>
      <x:c r="N182" s="304" t="s">
        <x:v>948</x:v>
      </x:c>
      <x:c r="O182" s="304" t="s">
        <x:v>949</x:v>
      </x:c>
      <x:c r="P182" s="305" t="s">
        <x:v>1169</x:v>
      </x:c>
      <x:c r="Q182" s="300" t="str">
        <x:v>Done — evidenced</x:v>
      </x:c>
      <x:c r="R182" s="300" t="s">
        <x:v>1252</x:v>
      </x:c>
      <x:c r="S182" s="300" t="s">
        <x:v>266</x:v>
      </x:c>
      <x:c r="T182" s="300"/>
      <x:c r="U182" s="300"/>
      <x:c r="V182" s="300" t="s">
        <x:v>949</x:v>
      </x:c>
      <x:c r="W182" s="300" t="s">
        <x:v>951</x:v>
      </x:c>
      <x:c r="X182" s="300" t="s">
        <x:v>56</x:v>
      </x:c>
      <x:c r="Y182" s="300" t="str">
        <x:v>Deep design reconciliation 16-Aug-2026; Chapter 3/4 + Layer-B architecture + latest source/audit evidence</x:v>
      </x:c>
      <x:c r="Z182" s="301" t="s">
        <x:v>555</x:v>
      </x:c>
      <x:c r="AA182" s="301" t="s">
        <x:v>566</x:v>
      </x:c>
      <x:c r="AB182" s="301" t="s">
        <x:v>952</x:v>
      </x:c>
      <x:c r="AC182" s="301" t="s">
        <x:v>953</x:v>
      </x:c>
      <x:c r="AD182" s="301" t="s">
        <x:v>61</x:v>
      </x:c>
      <x:c r="AE182" s="301" t="s">
        <x:v>51</x:v>
      </x:c>
      <x:c r="AF182" s="301" t="s">
        <x:v>62</x:v>
      </x:c>
      <x:c r="AG182" s="301" t="s">
        <x:v>61</x:v>
      </x:c>
      <x:c r="AH182" s="302">
        <x:v>0</x:v>
      </x:c>
      <x:c r="AI182" s="302">
        <x:v>0</x:v>
      </x:c>
      <x:c r="AJ182" s="302">
        <x:f t="shared" si="10"/>
        <x:v>0</x:v>
      </x:c>
      <x:c r="AK182" s="302">
        <x:f t="shared" si="11"/>
        <x:v>0</x:v>
      </x:c>
      <x:c r="AL182" s="301" t="s">
        <x:v>51</x:v>
      </x:c>
      <x:c r="AM182" s="301" t="s">
        <x:v>63</x:v>
      </x:c>
      <x:c r="AN182" s="301" t="s">
        <x:v>64</x:v>
      </x:c>
      <x:c r="AO182" s="301" t="s">
        <x:v>65</x:v>
      </x:c>
      <x:c r="AP182" s="301"/>
      <x:c r="AQ182" s="301"/>
    </x:row>
    <x:row r="183" ht="45.95000076293945" hidden="1" customHeight="1">
      <x:c r="A183" s="313" t="s">
        <x:v>1253</x:v>
      </x:c>
      <x:c r="B183" s="313" t="s">
        <x:v>874</x:v>
      </x:c>
      <x:c r="C183" s="313" t="s">
        <x:v>1164</x:v>
      </x:c>
      <x:c r="D183" s="313" t="s">
        <x:v>1254</x:v>
      </x:c>
      <x:c r="E183" s="313" t="s">
        <x:v>100</x:v>
      </x:c>
      <x:c r="F183" s="313" t="s">
        <x:v>1255</x:v>
      </x:c>
      <x:c r="G183" s="313" t="s">
        <x:v>118</x:v>
      </x:c>
      <x:c r="H183" s="313" t="s">
        <x:v>1256</x:v>
      </x:c>
      <x:c r="I183" s="313" t="s">
        <x:v>1257</x:v>
      </x:c>
      <x:c r="J183" s="293">
        <x:v>10</x:v>
      </x:c>
      <x:c r="K183" s="295" t="s">
        <x:v>49</x:v>
      </x:c>
      <x:c r="L183" s="304" t="s">
        <x:v>417</x:v>
      </x:c>
      <x:c r="M183" s="297" t="s">
        <x:v>51</x:v>
      </x:c>
      <x:c r="N183" s="304" t="s">
        <x:v>948</x:v>
      </x:c>
      <x:c r="O183" s="304" t="s">
        <x:v>949</x:v>
      </x:c>
      <x:c r="P183" s="305" t="s">
        <x:v>1169</x:v>
      </x:c>
      <x:c r="Q183" s="300" t="str">
        <x:v>Done — evidenced</x:v>
      </x:c>
      <x:c r="R183" s="300" t="s">
        <x:v>1258</x:v>
      </x:c>
      <x:c r="S183" s="306" t="s">
        <x:v>297</x:v>
      </x:c>
      <x:c r="T183" s="306" t="s">
        <x:v>1127</x:v>
      </x:c>
      <x:c r="U183" s="306" t="s">
        <x:v>1128</x:v>
      </x:c>
      <x:c r="V183" s="300" t="s">
        <x:v>949</x:v>
      </x:c>
      <x:c r="W183" s="300" t="s">
        <x:v>951</x:v>
      </x:c>
      <x:c r="X183" s="306" t="s">
        <x:v>301</x:v>
      </x:c>
      <x:c r="Y183" s="300" t="str">
        <x:v>Deep design reconciliation 16-Aug-2026; Chapter 3/4 + Layer-B architecture + latest source/audit evidence</x:v>
      </x:c>
      <x:c r="Z183" s="301" t="s">
        <x:v>555</x:v>
      </x:c>
      <x:c r="AA183" s="301" t="s">
        <x:v>566</x:v>
      </x:c>
      <x:c r="AB183" s="301" t="s">
        <x:v>952</x:v>
      </x:c>
      <x:c r="AC183" s="301" t="s">
        <x:v>953</x:v>
      </x:c>
      <x:c r="AD183" s="301" t="s">
        <x:v>61</x:v>
      </x:c>
      <x:c r="AE183" s="301" t="s">
        <x:v>51</x:v>
      </x:c>
      <x:c r="AF183" s="301" t="s">
        <x:v>62</x:v>
      </x:c>
      <x:c r="AG183" s="301" t="s">
        <x:v>61</x:v>
      </x:c>
      <x:c r="AH183" s="302">
        <x:v>0</x:v>
      </x:c>
      <x:c r="AI183" s="302">
        <x:v>0</x:v>
      </x:c>
      <x:c r="AJ183" s="302">
        <x:f t="shared" si="10"/>
        <x:v>0</x:v>
      </x:c>
      <x:c r="AK183" s="302">
        <x:f t="shared" si="11"/>
        <x:v>0</x:v>
      </x:c>
      <x:c r="AL183" s="301" t="s">
        <x:v>51</x:v>
      </x:c>
      <x:c r="AM183" s="301" t="s">
        <x:v>63</x:v>
      </x:c>
      <x:c r="AN183" s="301" t="s">
        <x:v>64</x:v>
      </x:c>
      <x:c r="AO183" s="301" t="s">
        <x:v>65</x:v>
      </x:c>
      <x:c r="AP183" s="301"/>
      <x:c r="AQ183" s="301"/>
    </x:row>
    <x:row r="184" ht="45.95000076293945" hidden="1" customHeight="1">
      <x:c r="A184" s="314" t="s">
        <x:v>1259</x:v>
      </x:c>
      <x:c r="B184" s="314" t="s">
        <x:v>874</x:v>
      </x:c>
      <x:c r="C184" s="314" t="s">
        <x:v>875</x:v>
      </x:c>
      <x:c r="D184" s="314" t="s">
        <x:v>1260</x:v>
      </x:c>
      <x:c r="E184" s="314" t="s">
        <x:v>106</x:v>
      </x:c>
      <x:c r="F184" s="314" t="s">
        <x:v>1261</x:v>
      </x:c>
      <x:c r="G184" s="314" t="s">
        <x:v>46</x:v>
      </x:c>
      <x:c r="H184" s="314" t="s">
        <x:v>1262</x:v>
      </x:c>
      <x:c r="I184" s="314" t="s">
        <x:v>1263</x:v>
      </x:c>
      <x:c r="J184" s="314">
        <x:v>12</x:v>
      </x:c>
      <x:c r="K184" s="314" t="s">
        <x:v>328</x:v>
      </x:c>
      <x:c r="L184" s="304" t="s">
        <x:v>417</x:v>
      </x:c>
      <x:c r="M184" s="304" t="s">
        <x:v>751</x:v>
      </x:c>
      <x:c r="N184" s="304" t="s">
        <x:v>878</x:v>
      </x:c>
      <x:c r="O184" s="304" t="s">
        <x:v>1264</x:v>
      </x:c>
      <x:c r="P184" s="305" t="s">
        <x:v>1265</x:v>
      </x:c>
      <x:c r="Q184" s="300" t="str">
        <x:v>Not Started</x:v>
      </x:c>
      <x:c r="R184" s="300"/>
      <x:c r="S184" s="309" t="s">
        <x:v>356</x:v>
      </x:c>
      <x:c r="T184" s="309" t="s">
        <x:v>880</x:v>
      </x:c>
      <x:c r="U184" s="309" t="s">
        <x:v>1266</x:v>
      </x:c>
      <x:c r="V184" s="300" t="s">
        <x:v>1264</x:v>
      </x:c>
      <x:c r="W184" s="300" t="s">
        <x:v>755</x:v>
      </x:c>
      <x:c r="X184" s="310" t="s">
        <x:v>360</x:v>
      </x:c>
      <x:c r="Y184" s="300" t="str">
        <x:v>Deep design reconciliation 16-Aug-2026; Chapter 3/4 + Layer-B architecture + latest source/audit evidence</x:v>
      </x:c>
      <x:c r="Z184" s="301" t="s">
        <x:v>555</x:v>
      </x:c>
      <x:c r="AA184" s="301" t="s">
        <x:v>566</x:v>
      </x:c>
      <x:c r="AB184" s="301" t="s">
        <x:v>567</x:v>
      </x:c>
      <x:c r="AC184" s="301" t="s">
        <x:v>962</x:v>
      </x:c>
      <x:c r="AD184" s="301" t="s">
        <x:v>362</x:v>
      </x:c>
      <x:c r="AE184" s="301" t="s">
        <x:v>417</x:v>
      </x:c>
      <x:c r="AF184" s="301" t="s">
        <x:v>881</x:v>
      </x:c>
      <x:c r="AG184" s="301" t="s">
        <x:v>363</x:v>
      </x:c>
      <x:c r="AH184" s="302">
        <x:v>10</x:v>
      </x:c>
      <x:c r="AI184" s="302">
        <x:v>1.5</x:v>
      </x:c>
      <x:c r="AJ184" s="302">
        <x:f t="shared" si="10"/>
        <x:v>1.2</x:v>
      </x:c>
      <x:c r="AK184" s="302">
        <x:f t="shared" si="11"/>
        <x:v>1.7999999999999998</x:v>
      </x:c>
      <x:c r="AL184" s="301" t="s">
        <x:v>883</x:v>
      </x:c>
      <x:c r="AM184" s="301" t="s">
        <x:v>1267</x:v>
      </x:c>
      <x:c r="AN184" s="301" t="s">
        <x:v>885</x:v>
      </x:c>
      <x:c r="AO184" s="301" t="s">
        <x:v>309</x:v>
      </x:c>
      <x:c r="AP184" s="301" t="str">
        <x:v>T-089; T-090; T-091; T-092; T-093; T-094; T-095; T-096; T-097; T-098; T-099; T-100; T-101; T-102; T-103; T-104; T-105; T-112; T-114</x:v>
      </x:c>
      <x:c r="AQ184" s="301"/>
    </x:row>
    <x:row r="185" ht="45.95000076293945" hidden="1" customHeight="1">
      <x:c r="A185" s="314" t="s">
        <x:v>1268</x:v>
      </x:c>
      <x:c r="B185" s="314" t="s">
        <x:v>874</x:v>
      </x:c>
      <x:c r="C185" s="314" t="s">
        <x:v>875</x:v>
      </x:c>
      <x:c r="D185" s="314" t="s">
        <x:v>1269</x:v>
      </x:c>
      <x:c r="E185" s="314" t="s">
        <x:v>478</x:v>
      </x:c>
      <x:c r="F185" s="314" t="s">
        <x:v>1270</x:v>
      </x:c>
      <x:c r="G185" s="314" t="s">
        <x:v>46</x:v>
      </x:c>
      <x:c r="H185" s="314" t="s">
        <x:v>1271</x:v>
      </x:c>
      <x:c r="I185" s="314" t="s">
        <x:v>1272</x:v>
      </x:c>
      <x:c r="J185" s="314">
        <x:v>12</x:v>
      </x:c>
      <x:c r="K185" s="314" t="s">
        <x:v>328</x:v>
      </x:c>
      <x:c r="L185" s="304" t="s">
        <x:v>417</x:v>
      </x:c>
      <x:c r="M185" s="304" t="s">
        <x:v>751</x:v>
      </x:c>
      <x:c r="N185" s="304" t="s">
        <x:v>878</x:v>
      </x:c>
      <x:c r="O185" s="304" t="s">
        <x:v>1273</x:v>
      </x:c>
      <x:c r="P185" s="305" t="s">
        <x:v>1274</x:v>
      </x:c>
      <x:c r="Q185" s="300" t="str">
        <x:v>Not Started</x:v>
      </x:c>
      <x:c r="R185" s="300"/>
      <x:c r="S185" s="309" t="s">
        <x:v>356</x:v>
      </x:c>
      <x:c r="T185" s="309" t="s">
        <x:v>1275</x:v>
      </x:c>
      <x:c r="U185" s="309" t="s">
        <x:v>1276</x:v>
      </x:c>
      <x:c r="V185" s="300" t="s">
        <x:v>1273</x:v>
      </x:c>
      <x:c r="W185" s="300" t="s">
        <x:v>755</x:v>
      </x:c>
      <x:c r="X185" s="310" t="s">
        <x:v>360</x:v>
      </x:c>
      <x:c r="Y185" s="300" t="str">
        <x:v>Deep design reconciliation 16-Aug-2026; Chapter 3/4 + Layer-B architecture + latest source/audit evidence</x:v>
      </x:c>
      <x:c r="Z185" s="301" t="s">
        <x:v>555</x:v>
      </x:c>
      <x:c r="AA185" s="301" t="s">
        <x:v>566</x:v>
      </x:c>
      <x:c r="AB185" s="301" t="s">
        <x:v>567</x:v>
      </x:c>
      <x:c r="AC185" s="301" t="s">
        <x:v>962</x:v>
      </x:c>
      <x:c r="AD185" s="301" t="s">
        <x:v>362</x:v>
      </x:c>
      <x:c r="AE185" s="301" t="s">
        <x:v>417</x:v>
      </x:c>
      <x:c r="AF185" s="301" t="s">
        <x:v>881</x:v>
      </x:c>
      <x:c r="AG185" s="301" t="s">
        <x:v>882</x:v>
      </x:c>
      <x:c r="AH185" s="302">
        <x:v>10</x:v>
      </x:c>
      <x:c r="AI185" s="302">
        <x:v>1.5</x:v>
      </x:c>
      <x:c r="AJ185" s="302">
        <x:f t="shared" si="10"/>
        <x:v>1.2</x:v>
      </x:c>
      <x:c r="AK185" s="302">
        <x:f t="shared" si="11"/>
        <x:v>1.7999999999999998</x:v>
      </x:c>
      <x:c r="AL185" s="301" t="s">
        <x:v>883</x:v>
      </x:c>
      <x:c r="AM185" s="301" t="s">
        <x:v>1273</x:v>
      </x:c>
      <x:c r="AN185" s="301" t="s">
        <x:v>885</x:v>
      </x:c>
      <x:c r="AO185" s="301" t="s">
        <x:v>309</x:v>
      </x:c>
      <x:c r="AP185" s="301" t="str">
        <x:v>T-128; T-169; T-183; T-112; T-114; T-135</x:v>
      </x:c>
      <x:c r="AQ185" s="301"/>
    </x:row>
    <x:row r="186" ht="45.95000076293945" hidden="1" customHeight="1">
      <x:c r="A186" s="314" t="s">
        <x:v>1277</x:v>
      </x:c>
      <x:c r="B186" s="314" t="s">
        <x:v>874</x:v>
      </x:c>
      <x:c r="C186" s="314" t="s">
        <x:v>910</x:v>
      </x:c>
      <x:c r="D186" s="314" t="s">
        <x:v>1278</x:v>
      </x:c>
      <x:c r="E186" s="314" t="s">
        <x:v>478</x:v>
      </x:c>
      <x:c r="F186" s="314" t="s">
        <x:v>1270</x:v>
      </x:c>
      <x:c r="G186" s="314" t="s">
        <x:v>46</x:v>
      </x:c>
      <x:c r="H186" s="314" t="s">
        <x:v>1279</x:v>
      </x:c>
      <x:c r="I186" s="314" t="s">
        <x:v>1280</x:v>
      </x:c>
      <x:c r="J186" s="314">
        <x:v>12</x:v>
      </x:c>
      <x:c r="K186" s="314" t="s">
        <x:v>328</x:v>
      </x:c>
      <x:c r="L186" s="304" t="s">
        <x:v>417</x:v>
      </x:c>
      <x:c r="M186" s="304" t="s">
        <x:v>914</x:v>
      </x:c>
      <x:c r="N186" s="304" t="s">
        <x:v>915</x:v>
      </x:c>
      <x:c r="O186" s="304" t="s">
        <x:v>1281</x:v>
      </x:c>
      <x:c r="P186" s="305" t="s">
        <x:v>1282</x:v>
      </x:c>
      <x:c r="Q186" s="300" t="str">
        <x:v>Not Started</x:v>
      </x:c>
      <x:c r="R186" s="300"/>
      <x:c r="S186" s="309" t="s">
        <x:v>356</x:v>
      </x:c>
      <x:c r="T186" s="309" t="s">
        <x:v>1283</x:v>
      </x:c>
      <x:c r="U186" s="309" t="s">
        <x:v>1284</x:v>
      </x:c>
      <x:c r="V186" s="300" t="s">
        <x:v>1281</x:v>
      </x:c>
      <x:c r="W186" s="300" t="s">
        <x:v>917</x:v>
      </x:c>
      <x:c r="X186" s="310" t="s">
        <x:v>360</x:v>
      </x:c>
      <x:c r="Y186" s="300" t="str">
        <x:v>Deep design reconciliation 16-Aug-2026; Chapter 3/4 + Layer-B architecture + latest source/audit evidence</x:v>
      </x:c>
      <x:c r="Z186" s="301" t="s">
        <x:v>555</x:v>
      </x:c>
      <x:c r="AA186" s="301" t="s">
        <x:v>566</x:v>
      </x:c>
      <x:c r="AB186" s="301" t="s">
        <x:v>567</x:v>
      </x:c>
      <x:c r="AC186" s="301" t="s">
        <x:v>962</x:v>
      </x:c>
      <x:c r="AD186" s="301" t="s">
        <x:v>362</x:v>
      </x:c>
      <x:c r="AE186" s="301" t="s">
        <x:v>417</x:v>
      </x:c>
      <x:c r="AF186" s="301" t="s">
        <x:v>881</x:v>
      </x:c>
      <x:c r="AG186" s="301" t="s">
        <x:v>882</x:v>
      </x:c>
      <x:c r="AH186" s="302">
        <x:v>10</x:v>
      </x:c>
      <x:c r="AI186" s="302">
        <x:v>1.5</x:v>
      </x:c>
      <x:c r="AJ186" s="302">
        <x:f t="shared" si="10"/>
        <x:v>1.2</x:v>
      </x:c>
      <x:c r="AK186" s="302">
        <x:f t="shared" si="11"/>
        <x:v>1.7999999999999998</x:v>
      </x:c>
      <x:c r="AL186" s="301" t="s">
        <x:v>941</x:v>
      </x:c>
      <x:c r="AM186" s="301" t="s">
        <x:v>1285</x:v>
      </x:c>
      <x:c r="AN186" s="301" t="s">
        <x:v>885</x:v>
      </x:c>
      <x:c r="AO186" s="301" t="s">
        <x:v>309</x:v>
      </x:c>
      <x:c r="AP186" s="301" t="str">
        <x:v>T-170; T-183; T-122; T-112; T-114; T-135</x:v>
      </x:c>
      <x:c r="AQ186" s="301"/>
    </x:row>
    <x:row r="187" ht="45.95000076293945" hidden="1" customHeight="1">
      <x:c r="A187" s="314" t="s">
        <x:v>1286</x:v>
      </x:c>
      <x:c r="B187" s="314" t="s">
        <x:v>874</x:v>
      </x:c>
      <x:c r="C187" s="314" t="s">
        <x:v>910</x:v>
      </x:c>
      <x:c r="D187" s="314" t="s">
        <x:v>1287</x:v>
      </x:c>
      <x:c r="E187" s="314" t="s">
        <x:v>112</x:v>
      </x:c>
      <x:c r="F187" s="314" t="s">
        <x:v>1184</x:v>
      </x:c>
      <x:c r="G187" s="314" t="s">
        <x:v>46</x:v>
      </x:c>
      <x:c r="H187" s="314" t="s">
        <x:v>1288</x:v>
      </x:c>
      <x:c r="I187" s="314" t="s">
        <x:v>1289</x:v>
      </x:c>
      <x:c r="J187" s="314">
        <x:v>12</x:v>
      </x:c>
      <x:c r="K187" s="314" t="s">
        <x:v>328</x:v>
      </x:c>
      <x:c r="L187" s="304" t="s">
        <x:v>417</x:v>
      </x:c>
      <x:c r="M187" s="304" t="s">
        <x:v>914</x:v>
      </x:c>
      <x:c r="N187" s="304" t="s">
        <x:v>915</x:v>
      </x:c>
      <x:c r="O187" s="304" t="s">
        <x:v>1290</x:v>
      </x:c>
      <x:c r="P187" s="305" t="s">
        <x:v>1291</x:v>
      </x:c>
      <x:c r="Q187" s="300" t="str">
        <x:v>Not Started</x:v>
      </x:c>
      <x:c r="R187" s="300"/>
      <x:c r="S187" s="309" t="s">
        <x:v>356</x:v>
      </x:c>
      <x:c r="T187" s="309" t="s">
        <x:v>1292</x:v>
      </x:c>
      <x:c r="U187" s="309" t="s">
        <x:v>1293</x:v>
      </x:c>
      <x:c r="V187" s="300" t="s">
        <x:v>1290</x:v>
      </x:c>
      <x:c r="W187" s="300" t="s">
        <x:v>917</x:v>
      </x:c>
      <x:c r="X187" s="310" t="s">
        <x:v>360</x:v>
      </x:c>
      <x:c r="Y187" s="300" t="str">
        <x:v>Deep design reconciliation 16-Aug-2026; Chapter 3/4 + Layer-B architecture + latest source/audit evidence</x:v>
      </x:c>
      <x:c r="Z187" s="301" t="s">
        <x:v>555</x:v>
      </x:c>
      <x:c r="AA187" s="301" t="s">
        <x:v>566</x:v>
      </x:c>
      <x:c r="AB187" s="301" t="s">
        <x:v>567</x:v>
      </x:c>
      <x:c r="AC187" s="301" t="s">
        <x:v>962</x:v>
      </x:c>
      <x:c r="AD187" s="301" t="s">
        <x:v>362</x:v>
      </x:c>
      <x:c r="AE187" s="301" t="s">
        <x:v>417</x:v>
      </x:c>
      <x:c r="AF187" s="301" t="s">
        <x:v>881</x:v>
      </x:c>
      <x:c r="AG187" s="301" t="s">
        <x:v>882</x:v>
      </x:c>
      <x:c r="AH187" s="302">
        <x:v>10</x:v>
      </x:c>
      <x:c r="AI187" s="302">
        <x:v>1.5</x:v>
      </x:c>
      <x:c r="AJ187" s="302">
        <x:f t="shared" si="10"/>
        <x:v>1.2</x:v>
      </x:c>
      <x:c r="AK187" s="302">
        <x:f t="shared" si="11"/>
        <x:v>1.7999999999999998</x:v>
      </x:c>
      <x:c r="AL187" s="301" t="s">
        <x:v>883</x:v>
      </x:c>
      <x:c r="AM187" s="301" t="s">
        <x:v>1294</x:v>
      </x:c>
      <x:c r="AN187" s="301" t="s">
        <x:v>885</x:v>
      </x:c>
      <x:c r="AO187" s="301" t="s">
        <x:v>309</x:v>
      </x:c>
      <x:c r="AP187" s="301" t="str">
        <x:v>T-171; T-183; T-128; T-129; T-195; T-135</x:v>
      </x:c>
      <x:c r="AQ187" s="301"/>
    </x:row>
    <x:row r="188" ht="45.95000076293945" hidden="1" customHeight="1">
      <x:c r="A188" s="314" t="s">
        <x:v>1295</x:v>
      </x:c>
      <x:c r="B188" s="314" t="s">
        <x:v>874</x:v>
      </x:c>
      <x:c r="C188" s="314" t="s">
        <x:v>910</x:v>
      </x:c>
      <x:c r="D188" s="314" t="s">
        <x:v>1296</x:v>
      </x:c>
      <x:c r="E188" s="314" t="s">
        <x:v>478</x:v>
      </x:c>
      <x:c r="F188" s="314" t="s">
        <x:v>1297</x:v>
      </x:c>
      <x:c r="G188" s="314" t="s">
        <x:v>46</x:v>
      </x:c>
      <x:c r="H188" s="314" t="s">
        <x:v>1298</x:v>
      </x:c>
      <x:c r="I188" s="314" t="s">
        <x:v>1299</x:v>
      </x:c>
      <x:c r="J188" s="314">
        <x:v>12</x:v>
      </x:c>
      <x:c r="K188" s="314" t="s">
        <x:v>328</x:v>
      </x:c>
      <x:c r="L188" s="304" t="s">
        <x:v>417</x:v>
      </x:c>
      <x:c r="M188" s="304" t="s">
        <x:v>1300</x:v>
      </x:c>
      <x:c r="N188" s="304" t="s">
        <x:v>1301</x:v>
      </x:c>
      <x:c r="O188" s="304" t="s">
        <x:v>1302</x:v>
      </x:c>
      <x:c r="P188" s="305" t="s">
        <x:v>1303</x:v>
      </x:c>
      <x:c r="Q188" s="300" t="str">
        <x:v>Not Started</x:v>
      </x:c>
      <x:c r="R188" s="300"/>
      <x:c r="S188" s="309" t="s">
        <x:v>356</x:v>
      </x:c>
      <x:c r="T188" s="309" t="s">
        <x:v>1283</x:v>
      </x:c>
      <x:c r="U188" s="309" t="s">
        <x:v>1284</x:v>
      </x:c>
      <x:c r="V188" s="300" t="s">
        <x:v>1302</x:v>
      </x:c>
      <x:c r="W188" s="300" t="s">
        <x:v>1304</x:v>
      </x:c>
      <x:c r="X188" s="310" t="s">
        <x:v>360</x:v>
      </x:c>
      <x:c r="Y188" s="300" t="str">
        <x:v>Deep design reconciliation 16-Aug-2026; Chapter 3/4 + Layer-B architecture + latest source/audit evidence</x:v>
      </x:c>
      <x:c r="Z188" s="301" t="s">
        <x:v>555</x:v>
      </x:c>
      <x:c r="AA188" s="301" t="s">
        <x:v>566</x:v>
      </x:c>
      <x:c r="AB188" s="301" t="s">
        <x:v>567</x:v>
      </x:c>
      <x:c r="AC188" s="301" t="s">
        <x:v>962</x:v>
      </x:c>
      <x:c r="AD188" s="301" t="s">
        <x:v>362</x:v>
      </x:c>
      <x:c r="AE188" s="301" t="s">
        <x:v>417</x:v>
      </x:c>
      <x:c r="AF188" s="301" t="s">
        <x:v>881</x:v>
      </x:c>
      <x:c r="AG188" s="301" t="s">
        <x:v>882</x:v>
      </x:c>
      <x:c r="AH188" s="302">
        <x:v>10</x:v>
      </x:c>
      <x:c r="AI188" s="302">
        <x:v>1.5</x:v>
      </x:c>
      <x:c r="AJ188" s="302">
        <x:f t="shared" si="10"/>
        <x:v>1.2</x:v>
      </x:c>
      <x:c r="AK188" s="302">
        <x:f t="shared" si="11"/>
        <x:v>1.7999999999999998</x:v>
      </x:c>
      <x:c r="AL188" s="301" t="s">
        <x:v>941</x:v>
      </x:c>
      <x:c r="AM188" s="301" t="s">
        <x:v>1302</x:v>
      </x:c>
      <x:c r="AN188" s="301" t="s">
        <x:v>885</x:v>
      </x:c>
      <x:c r="AO188" s="301" t="s">
        <x:v>309</x:v>
      </x:c>
      <x:c r="AP188" s="301" t="str">
        <x:v>T-168; T-169; T-170; T-171; T-172; T-173; T-174; T-175; T-176; T-183; T-184; T-185; T-186; T-107; T-109; T-112; T-114; T-135; T-195</x:v>
      </x:c>
      <x:c r="AQ188" s="301"/>
    </x:row>
    <x:row r="189" ht="45.95000076293945" hidden="1" customHeight="1">
      <x:c r="A189" s="314" t="s">
        <x:v>1305</x:v>
      </x:c>
      <x:c r="B189" s="314" t="s">
        <x:v>874</x:v>
      </x:c>
      <x:c r="C189" s="314" t="s">
        <x:v>910</x:v>
      </x:c>
      <x:c r="D189" s="314" t="s">
        <x:v>1306</x:v>
      </x:c>
      <x:c r="E189" s="314" t="s">
        <x:v>68</x:v>
      </x:c>
      <x:c r="F189" s="314" t="s">
        <x:v>1307</x:v>
      </x:c>
      <x:c r="G189" s="314" t="s">
        <x:v>46</x:v>
      </x:c>
      <x:c r="H189" s="314" t="s">
        <x:v>1308</x:v>
      </x:c>
      <x:c r="I189" s="314" t="s">
        <x:v>1309</x:v>
      </x:c>
      <x:c r="J189" s="314">
        <x:v>10</x:v>
      </x:c>
      <x:c r="K189" s="314" t="s">
        <x:v>328</x:v>
      </x:c>
      <x:c r="L189" s="304" t="s">
        <x:v>417</x:v>
      </x:c>
      <x:c r="M189" s="304" t="s">
        <x:v>914</x:v>
      </x:c>
      <x:c r="N189" s="304" t="s">
        <x:v>915</x:v>
      </x:c>
      <x:c r="O189" s="304" t="s">
        <x:v>1310</x:v>
      </x:c>
      <x:c r="P189" s="305" t="s">
        <x:v>1311</x:v>
      </x:c>
      <x:c r="Q189" s="300" t="str">
        <x:v>Not Started</x:v>
      </x:c>
      <x:c r="R189" s="300"/>
      <x:c r="S189" s="309" t="s">
        <x:v>356</x:v>
      </x:c>
      <x:c r="T189" s="309" t="s">
        <x:v>924</x:v>
      </x:c>
      <x:c r="U189" s="309" t="s">
        <x:v>925</x:v>
      </x:c>
      <x:c r="V189" s="300" t="s">
        <x:v>1310</x:v>
      </x:c>
      <x:c r="W189" s="300" t="s">
        <x:v>917</x:v>
      </x:c>
      <x:c r="X189" s="310" t="s">
        <x:v>360</x:v>
      </x:c>
      <x:c r="Y189" s="300" t="str">
        <x:v>Deep design reconciliation 16-Aug-2026; Chapter 3/4 + Layer-B architecture + latest source/audit evidence</x:v>
      </x:c>
      <x:c r="Z189" s="301" t="s">
        <x:v>555</x:v>
      </x:c>
      <x:c r="AA189" s="301" t="s">
        <x:v>566</x:v>
      </x:c>
      <x:c r="AB189" s="301" t="s">
        <x:v>567</x:v>
      </x:c>
      <x:c r="AC189" s="301" t="s">
        <x:v>962</x:v>
      </x:c>
      <x:c r="AD189" s="301" t="s">
        <x:v>362</x:v>
      </x:c>
      <x:c r="AE189" s="301" t="s">
        <x:v>417</x:v>
      </x:c>
      <x:c r="AF189" s="301" t="s">
        <x:v>881</x:v>
      </x:c>
      <x:c r="AG189" s="301" t="s">
        <x:v>314</x:v>
      </x:c>
      <x:c r="AH189" s="302">
        <x:v>9</x:v>
      </x:c>
      <x:c r="AI189" s="302">
        <x:v>1.5</x:v>
      </x:c>
      <x:c r="AJ189" s="302">
        <x:f t="shared" si="10"/>
        <x:v>1.1111111111111112</x:v>
      </x:c>
      <x:c r="AK189" s="302">
        <x:f t="shared" si="11"/>
        <x:v>1.6666666666666667</x:v>
      </x:c>
      <x:c r="AL189" s="301" t="s">
        <x:v>941</x:v>
      </x:c>
      <x:c r="AM189" s="301" t="s">
        <x:v>1310</x:v>
      </x:c>
      <x:c r="AN189" s="301" t="s">
        <x:v>885</x:v>
      </x:c>
      <x:c r="AO189" s="301" t="s">
        <x:v>309</x:v>
      </x:c>
      <x:c r="AP189" s="301" t="str">
        <x:v>T-129; T-130; T-186; T-195</x:v>
      </x:c>
      <x:c r="AQ189" s="301"/>
    </x:row>
    <x:row r="190" ht="45.95000076293945" hidden="1" customHeight="1">
      <x:c r="A190" s="314" t="s">
        <x:v>1312</x:v>
      </x:c>
      <x:c r="B190" s="314" t="s">
        <x:v>874</x:v>
      </x:c>
      <x:c r="C190" s="314" t="s">
        <x:v>965</x:v>
      </x:c>
      <x:c r="D190" s="314" t="s">
        <x:v>1313</x:v>
      </x:c>
      <x:c r="E190" s="314" t="s">
        <x:v>68</x:v>
      </x:c>
      <x:c r="F190" s="314" t="s">
        <x:v>1314</x:v>
      </x:c>
      <x:c r="G190" s="314" t="s">
        <x:v>46</x:v>
      </x:c>
      <x:c r="H190" s="314" t="s">
        <x:v>1315</x:v>
      </x:c>
      <x:c r="I190" s="314" t="s">
        <x:v>1316</x:v>
      </x:c>
      <x:c r="J190" s="314">
        <x:v>12</x:v>
      </x:c>
      <x:c r="K190" s="314" t="s">
        <x:v>328</x:v>
      </x:c>
      <x:c r="L190" s="304" t="s">
        <x:v>417</x:v>
      </x:c>
      <x:c r="M190" s="304" t="s">
        <x:v>958</x:v>
      </x:c>
      <x:c r="N190" s="304" t="s">
        <x:v>968</x:v>
      </x:c>
      <x:c r="O190" s="304" t="s">
        <x:v>1317</x:v>
      </x:c>
      <x:c r="P190" s="305" t="s">
        <x:v>1169</x:v>
      </x:c>
      <x:c r="Q190" s="300" t="str">
        <x:v>Not Started</x:v>
      </x:c>
      <x:c r="R190" s="300"/>
      <x:c r="S190" s="309" t="s">
        <x:v>356</x:v>
      </x:c>
      <x:c r="T190" s="309" t="s">
        <x:v>924</x:v>
      </x:c>
      <x:c r="U190" s="309" t="s">
        <x:v>925</x:v>
      </x:c>
      <x:c r="V190" s="300" t="s">
        <x:v>1317</x:v>
      </x:c>
      <x:c r="W190" s="300" t="s">
        <x:v>961</x:v>
      </x:c>
      <x:c r="X190" s="310" t="s">
        <x:v>360</x:v>
      </x:c>
      <x:c r="Y190" s="300" t="str">
        <x:v>Deep design reconciliation 16-Aug-2026; Chapter 3/4 + Layer-B architecture + latest source/audit evidence</x:v>
      </x:c>
      <x:c r="Z190" s="301" t="s">
        <x:v>555</x:v>
      </x:c>
      <x:c r="AA190" s="301" t="s">
        <x:v>566</x:v>
      </x:c>
      <x:c r="AB190" s="301" t="s">
        <x:v>567</x:v>
      </x:c>
      <x:c r="AC190" s="301" t="s">
        <x:v>613</x:v>
      </x:c>
      <x:c r="AD190" s="301" t="s">
        <x:v>362</x:v>
      </x:c>
      <x:c r="AE190" s="301" t="s">
        <x:v>417</x:v>
      </x:c>
      <x:c r="AF190" s="301" t="s">
        <x:v>881</x:v>
      </x:c>
      <x:c r="AG190" s="301" t="s">
        <x:v>314</x:v>
      </x:c>
      <x:c r="AH190" s="302">
        <x:v>9</x:v>
      </x:c>
      <x:c r="AI190" s="302">
        <x:v>1.5</x:v>
      </x:c>
      <x:c r="AJ190" s="302">
        <x:f t="shared" si="10"/>
        <x:v>1.3333333333333333</x:v>
      </x:c>
      <x:c r="AK190" s="302">
        <x:f t="shared" si="11"/>
        <x:v>2</x:v>
      </x:c>
      <x:c r="AL190" s="301" t="s">
        <x:v>969</x:v>
      </x:c>
      <x:c r="AM190" s="301" t="s">
        <x:v>1317</x:v>
      </x:c>
      <x:c r="AN190" s="301" t="s">
        <x:v>885</x:v>
      </x:c>
      <x:c r="AO190" s="301" t="s">
        <x:v>309</x:v>
      </x:c>
      <x:c r="AP190" s="301" t="str">
        <x:v>T-139; T-140; T-141; T-142; T-143</x:v>
      </x:c>
      <x:c r="AQ190" s="301"/>
    </x:row>
    <x:row r="191" ht="45.95000076293945" hidden="1" customHeight="1">
      <x:c r="A191" s="314" t="s">
        <x:v>1318</x:v>
      </x:c>
      <x:c r="B191" s="314" t="s">
        <x:v>874</x:v>
      </x:c>
      <x:c r="C191" s="314" t="s">
        <x:v>965</x:v>
      </x:c>
      <x:c r="D191" s="314" t="s">
        <x:v>1319</x:v>
      </x:c>
      <x:c r="E191" s="314" t="s">
        <x:v>68</x:v>
      </x:c>
      <x:c r="F191" s="314" t="s">
        <x:v>1320</x:v>
      </x:c>
      <x:c r="G191" s="314" t="s">
        <x:v>46</x:v>
      </x:c>
      <x:c r="H191" s="314" t="s">
        <x:v>1321</x:v>
      </x:c>
      <x:c r="I191" s="314" t="s">
        <x:v>1322</x:v>
      </x:c>
      <x:c r="J191" s="314">
        <x:v>12</x:v>
      </x:c>
      <x:c r="K191" s="314" t="s">
        <x:v>328</x:v>
      </x:c>
      <x:c r="L191" s="304" t="s">
        <x:v>417</x:v>
      </x:c>
      <x:c r="M191" s="304" t="s">
        <x:v>958</x:v>
      </x:c>
      <x:c r="N191" s="304" t="s">
        <x:v>968</x:v>
      </x:c>
      <x:c r="O191" s="304" t="s">
        <x:v>1323</x:v>
      </x:c>
      <x:c r="P191" s="305" t="s">
        <x:v>1169</x:v>
      </x:c>
      <x:c r="Q191" s="300" t="str">
        <x:v>Not Started</x:v>
      </x:c>
      <x:c r="R191" s="300"/>
      <x:c r="S191" s="300" t="s">
        <x:v>55</x:v>
      </x:c>
      <x:c r="T191" s="300"/>
      <x:c r="U191" s="300"/>
      <x:c r="V191" s="300" t="s">
        <x:v>1323</x:v>
      </x:c>
      <x:c r="W191" s="300" t="s">
        <x:v>961</x:v>
      </x:c>
      <x:c r="X191" s="300" t="s">
        <x:v>56</x:v>
      </x:c>
      <x:c r="Y191" s="300" t="str">
        <x:v>Deep design reconciliation 16-Aug-2026; Chapter 3/4 + Layer-B architecture + latest source/audit evidence</x:v>
      </x:c>
      <x:c r="Z191" s="301" t="s">
        <x:v>555</x:v>
      </x:c>
      <x:c r="AA191" s="301" t="s">
        <x:v>566</x:v>
      </x:c>
      <x:c r="AB191" s="301" t="s">
        <x:v>567</x:v>
      </x:c>
      <x:c r="AC191" s="301" t="s">
        <x:v>613</x:v>
      </x:c>
      <x:c r="AD191" s="301" t="s">
        <x:v>362</x:v>
      </x:c>
      <x:c r="AE191" s="301" t="s">
        <x:v>417</x:v>
      </x:c>
      <x:c r="AF191" s="301" t="s">
        <x:v>881</x:v>
      </x:c>
      <x:c r="AG191" s="301" t="s">
        <x:v>314</x:v>
      </x:c>
      <x:c r="AH191" s="302">
        <x:v>9</x:v>
      </x:c>
      <x:c r="AI191" s="302">
        <x:v>1.5</x:v>
      </x:c>
      <x:c r="AJ191" s="302">
        <x:f t="shared" si="10"/>
        <x:v>1.3333333333333333</x:v>
      </x:c>
      <x:c r="AK191" s="302">
        <x:f t="shared" si="11"/>
        <x:v>2</x:v>
      </x:c>
      <x:c r="AL191" s="301" t="s">
        <x:v>969</x:v>
      </x:c>
      <x:c r="AM191" s="301" t="s">
        <x:v>1323</x:v>
      </x:c>
      <x:c r="AN191" s="301" t="s">
        <x:v>885</x:v>
      </x:c>
      <x:c r="AO191" s="301" t="s">
        <x:v>309</x:v>
      </x:c>
      <x:c r="AP191" s="301" t="str">
        <x:v>T-142; T-143; T-144; T-145</x:v>
      </x:c>
      <x:c r="AQ191" s="301"/>
    </x:row>
    <x:row r="192" ht="45.95000076293945" hidden="1" customHeight="1">
      <x:c r="A192" s="314" t="s">
        <x:v>1324</x:v>
      </x:c>
      <x:c r="B192" s="314" t="s">
        <x:v>874</x:v>
      </x:c>
      <x:c r="C192" s="314" t="s">
        <x:v>965</x:v>
      </x:c>
      <x:c r="D192" s="314" t="s">
        <x:v>1325</x:v>
      </x:c>
      <x:c r="E192" s="314" t="s">
        <x:v>478</x:v>
      </x:c>
      <x:c r="F192" s="314" t="s">
        <x:v>1326</x:v>
      </x:c>
      <x:c r="G192" s="314" t="s">
        <x:v>118</x:v>
      </x:c>
      <x:c r="H192" s="314" t="s">
        <x:v>1327</x:v>
      </x:c>
      <x:c r="I192" s="314" t="s">
        <x:v>1328</x:v>
      </x:c>
      <x:c r="J192" s="314">
        <x:v>12</x:v>
      </x:c>
      <x:c r="K192" s="314" t="s">
        <x:v>328</x:v>
      </x:c>
      <x:c r="L192" s="304" t="s">
        <x:v>417</x:v>
      </x:c>
      <x:c r="M192" s="304" t="s">
        <x:v>958</x:v>
      </x:c>
      <x:c r="N192" s="304" t="s">
        <x:v>968</x:v>
      </x:c>
      <x:c r="O192" s="304" t="s">
        <x:v>1329</x:v>
      </x:c>
      <x:c r="P192" s="305" t="s">
        <x:v>1169</x:v>
      </x:c>
      <x:c r="Q192" s="300" t="str">
        <x:v>Not Started</x:v>
      </x:c>
      <x:c r="R192" s="300"/>
      <x:c r="S192" s="300" t="s">
        <x:v>55</x:v>
      </x:c>
      <x:c r="T192" s="300"/>
      <x:c r="U192" s="300"/>
      <x:c r="V192" s="300" t="s">
        <x:v>1329</x:v>
      </x:c>
      <x:c r="W192" s="300" t="s">
        <x:v>961</x:v>
      </x:c>
      <x:c r="X192" s="300" t="s">
        <x:v>56</x:v>
      </x:c>
      <x:c r="Y192" s="300" t="str">
        <x:v>Deep design reconciliation 16-Aug-2026; Chapter 3/4 + Layer-B architecture + latest source/audit evidence</x:v>
      </x:c>
      <x:c r="Z192" s="301" t="s">
        <x:v>555</x:v>
      </x:c>
      <x:c r="AA192" s="301" t="s">
        <x:v>566</x:v>
      </x:c>
      <x:c r="AB192" s="301" t="s">
        <x:v>567</x:v>
      </x:c>
      <x:c r="AC192" s="301" t="s">
        <x:v>613</x:v>
      </x:c>
      <x:c r="AD192" s="301" t="s">
        <x:v>362</x:v>
      </x:c>
      <x:c r="AE192" s="301" t="s">
        <x:v>417</x:v>
      </x:c>
      <x:c r="AF192" s="301" t="s">
        <x:v>881</x:v>
      </x:c>
      <x:c r="AG192" s="301" t="s">
        <x:v>882</x:v>
      </x:c>
      <x:c r="AH192" s="302">
        <x:v>10</x:v>
      </x:c>
      <x:c r="AI192" s="302">
        <x:v>1.5</x:v>
      </x:c>
      <x:c r="AJ192" s="302">
        <x:f t="shared" si="10"/>
        <x:v>1.2</x:v>
      </x:c>
      <x:c r="AK192" s="302">
        <x:f t="shared" si="11"/>
        <x:v>1.7999999999999998</x:v>
      </x:c>
      <x:c r="AL192" s="301" t="s">
        <x:v>969</x:v>
      </x:c>
      <x:c r="AM192" s="301" t="s">
        <x:v>1329</x:v>
      </x:c>
      <x:c r="AN192" s="301" t="s">
        <x:v>885</x:v>
      </x:c>
      <x:c r="AO192" s="301" t="s">
        <x:v>309</x:v>
      </x:c>
      <x:c r="AP192" s="301" t="str">
        <x:v>T-130; T-176; T-187</x:v>
      </x:c>
      <x:c r="AQ192" s="301"/>
    </x:row>
    <x:row r="193" ht="45.95000076293945" hidden="1" customHeight="1">
      <x:c r="A193" s="314" t="s">
        <x:v>1330</x:v>
      </x:c>
      <x:c r="B193" s="314" t="s">
        <x:v>874</x:v>
      </x:c>
      <x:c r="C193" s="314" t="s">
        <x:v>955</x:v>
      </x:c>
      <x:c r="D193" s="314" t="s">
        <x:v>1331</x:v>
      </x:c>
      <x:c r="E193" s="314" t="s">
        <x:v>100</x:v>
      </x:c>
      <x:c r="F193" s="314" t="s">
        <x:v>1332</x:v>
      </x:c>
      <x:c r="G193" s="314" t="s">
        <x:v>46</x:v>
      </x:c>
      <x:c r="H193" s="314" t="s">
        <x:v>1333</x:v>
      </x:c>
      <x:c r="I193" s="314" t="s">
        <x:v>1334</x:v>
      </x:c>
      <x:c r="J193" s="314">
        <x:v>10</x:v>
      </x:c>
      <x:c r="K193" s="314" t="s">
        <x:v>328</x:v>
      </x:c>
      <x:c r="L193" s="304" t="s">
        <x:v>417</x:v>
      </x:c>
      <x:c r="M193" s="304" t="s">
        <x:v>1335</x:v>
      </x:c>
      <x:c r="N193" s="304" t="s">
        <x:v>1336</x:v>
      </x:c>
      <x:c r="O193" s="304" t="s">
        <x:v>1337</x:v>
      </x:c>
      <x:c r="P193" s="305" t="s">
        <x:v>1169</x:v>
      </x:c>
      <x:c r="Q193" s="300" t="str">
        <x:v>Not Started</x:v>
      </x:c>
      <x:c r="R193" s="300"/>
      <x:c r="S193" s="300" t="s">
        <x:v>55</x:v>
      </x:c>
      <x:c r="T193" s="300"/>
      <x:c r="U193" s="300" t="str">
        <x:v>KEEP G-48..G-55 intact. v2.13 adds independent falsification owners: T-236 must falsify mixed-regime/RG01 and pooled-ramp-up confounding; T-238/T-240 must falsify no-preference multi-objective/MO01 and hidden scalarisation. T-150 later composes these with the final mandatory pipeline; do not overload G-48..G-55 semantics.</x:v>
      </x:c>
      <x:c r="V193" s="300" t="s">
        <x:v>1337</x:v>
      </x:c>
      <x:c r="W193" s="300" t="s">
        <x:v>1338</x:v>
      </x:c>
      <x:c r="X193" s="300" t="s">
        <x:v>56</x:v>
      </x:c>
      <x:c r="Y193" s="300" t="str">
        <x:v>Deep design reconciliation 16-Aug-2026; Chapter 3/4 + Layer-B architecture + latest source/audit evidence</x:v>
      </x:c>
      <x:c r="Z193" s="301" t="s">
        <x:v>555</x:v>
      </x:c>
      <x:c r="AA193" s="301" t="s">
        <x:v>566</x:v>
      </x:c>
      <x:c r="AB193" s="301" t="s">
        <x:v>567</x:v>
      </x:c>
      <x:c r="AC193" s="301" t="s">
        <x:v>613</x:v>
      </x:c>
      <x:c r="AD193" s="301" t="s">
        <x:v>362</x:v>
      </x:c>
      <x:c r="AE193" s="301" t="s">
        <x:v>417</x:v>
      </x:c>
      <x:c r="AF193" s="301" t="s">
        <x:v>881</x:v>
      </x:c>
      <x:c r="AG193" s="301" t="s">
        <x:v>504</x:v>
      </x:c>
      <x:c r="AH193" s="302">
        <x:v>10</x:v>
      </x:c>
      <x:c r="AI193" s="302">
        <x:v>1.7</x:v>
      </x:c>
      <x:c r="AJ193" s="302">
        <x:f t="shared" si="10"/>
        <x:v>1</x:v>
      </x:c>
      <x:c r="AK193" s="302">
        <x:f t="shared" si="11"/>
        <x:v>1.7</x:v>
      </x:c>
      <x:c r="AL193" s="301" t="s">
        <x:v>963</x:v>
      </x:c>
      <x:c r="AM193" s="301" t="s">
        <x:v>1337</x:v>
      </x:c>
      <x:c r="AN193" s="301" t="s">
        <x:v>885</x:v>
      </x:c>
      <x:c r="AO193" s="301" t="s">
        <x:v>309</x:v>
      </x:c>
      <x:c r="AP193" s="301" t="str">
        <x:v>T-183; T-184; T-185; T-186; T-187; T-188; T-189; T-190; T-191; T-107; T-122</x:v>
      </x:c>
      <x:c r="AQ193" s="301"/>
    </x:row>
    <x:row r="194" ht="45.95000076293945" hidden="1" customHeight="1">
      <x:c r="A194" s="314" t="s">
        <x:v>1339</x:v>
      </x:c>
      <x:c r="B194" s="314" t="s">
        <x:v>874</x:v>
      </x:c>
      <x:c r="C194" s="314" t="s">
        <x:v>955</x:v>
      </x:c>
      <x:c r="D194" s="314" t="s">
        <x:v>1340</x:v>
      </x:c>
      <x:c r="E194" s="314" t="s">
        <x:v>478</x:v>
      </x:c>
      <x:c r="F194" s="314" t="s">
        <x:v>1217</x:v>
      </x:c>
      <x:c r="G194" s="314" t="s">
        <x:v>118</x:v>
      </x:c>
      <x:c r="H194" s="314" t="s">
        <x:v>1341</x:v>
      </x:c>
      <x:c r="I194" s="314" t="s">
        <x:v>1342</x:v>
      </x:c>
      <x:c r="J194" s="314">
        <x:v>10</x:v>
      </x:c>
      <x:c r="K194" s="314" t="s">
        <x:v>328</x:v>
      </x:c>
      <x:c r="L194" s="315" t="s">
        <x:v>417</x:v>
      </x:c>
      <x:c r="M194" s="315" t="s">
        <x:v>1343</x:v>
      </x:c>
      <x:c r="N194" s="315" t="s">
        <x:v>1344</x:v>
      </x:c>
      <x:c r="O194" s="315" t="s">
        <x:v>1345</x:v>
      </x:c>
      <x:c r="P194" s="316" t="s">
        <x:v>1169</x:v>
      </x:c>
      <x:c r="Q194" s="300" t="str">
        <x:v>Not Started</x:v>
      </x:c>
      <x:c r="R194" s="300"/>
      <x:c r="S194" s="300" t="s">
        <x:v>55</x:v>
      </x:c>
      <x:c r="T194" s="300"/>
      <x:c r="U194" s="300"/>
      <x:c r="V194" s="300" t="s">
        <x:v>1345</x:v>
      </x:c>
      <x:c r="W194" s="300" t="s">
        <x:v>1346</x:v>
      </x:c>
      <x:c r="X194" s="300" t="s">
        <x:v>56</x:v>
      </x:c>
      <x:c r="Y194" s="300" t="str">
        <x:v>Deep design reconciliation 16-Aug-2026; Chapter 3/4 + Layer-B architecture + latest source/audit evidence</x:v>
      </x:c>
      <x:c r="Z194" s="301" t="s">
        <x:v>555</x:v>
      </x:c>
      <x:c r="AA194" s="301" t="s">
        <x:v>566</x:v>
      </x:c>
      <x:c r="AB194" s="301" t="s">
        <x:v>567</x:v>
      </x:c>
      <x:c r="AC194" s="301" t="s">
        <x:v>613</x:v>
      </x:c>
      <x:c r="AD194" s="301" t="s">
        <x:v>362</x:v>
      </x:c>
      <x:c r="AE194" s="301" t="s">
        <x:v>417</x:v>
      </x:c>
      <x:c r="AF194" s="301" t="s">
        <x:v>881</x:v>
      </x:c>
      <x:c r="AG194" s="301" t="s">
        <x:v>882</x:v>
      </x:c>
      <x:c r="AH194" s="302">
        <x:v>10</x:v>
      </x:c>
      <x:c r="AI194" s="302">
        <x:v>1.5</x:v>
      </x:c>
      <x:c r="AJ194" s="302" t="n">
        <x:f t="shared" ref="AJ194:AJ201" si="12">IF($K194="Done",0,MAX(0.25,$J194/$AH194))</x:f>
        <x:v>1</x:v>
      </x:c>
      <x:c r="AK194" s="302" t="n">
        <x:f t="shared" ref="AK194:AK201" si="13">IF($K194="Done",0,$AJ194*$AI194)</x:f>
        <x:v>1.5</x:v>
      </x:c>
      <x:c r="AL194" s="301" t="s">
        <x:v>963</x:v>
      </x:c>
      <x:c r="AM194" s="301" t="s">
        <x:v>1345</x:v>
      </x:c>
      <x:c r="AN194" s="301" t="s">
        <x:v>885</x:v>
      </x:c>
      <x:c r="AO194" s="301" t="s">
        <x:v>309</x:v>
      </x:c>
      <x:c r="AP194" s="301" t="str">
        <x:v>T-130; T-187; T-139; T-145</x:v>
      </x:c>
      <x:c r="AQ194" s="301"/>
    </x:row>
    <x:row r="195" ht="45.95000076293945" hidden="1" customHeight="1">
      <x:c r="A195" s="304" t="s">
        <x:v>1347</x:v>
      </x:c>
      <x:c r="B195" s="304" t="s">
        <x:v>546</x:v>
      </x:c>
      <x:c r="C195" s="304" t="s">
        <x:v>805</x:v>
      </x:c>
      <x:c r="D195" s="304" t="s">
        <x:v>1348</x:v>
      </x:c>
      <x:c r="E195" s="304" t="s">
        <x:v>106</x:v>
      </x:c>
      <x:c r="F195" s="304" t="s">
        <x:v>1349</x:v>
      </x:c>
      <x:c r="G195" s="304" t="s">
        <x:v>118</x:v>
      </x:c>
      <x:c r="H195" s="304" t="s">
        <x:v>1350</x:v>
      </x:c>
      <x:c r="I195" s="304" t="s">
        <x:v>1351</x:v>
      </x:c>
      <x:c r="J195" s="304">
        <x:v>6</x:v>
      </x:c>
      <x:c r="K195" s="304" t="s">
        <x:v>328</x:v>
      </x:c>
      <x:c r="L195" s="304" t="s">
        <x:v>551</x:v>
      </x:c>
      <x:c r="M195" s="304" t="s">
        <x:v>552</x:v>
      </x:c>
      <x:c r="N195" s="304" t="s">
        <x:v>1352</x:v>
      </x:c>
      <x:c r="O195" s="304" t="s">
        <x:v>1353</x:v>
      </x:c>
      <x:c r="P195" s="304" t="s">
        <x:v>1354</x:v>
      </x:c>
      <x:c r="Q195" s="300" t="str">
        <x:v>Not Started</x:v>
      </x:c>
      <x:c r="R195" s="300"/>
      <x:c r="S195" s="317" t="s">
        <x:v>1355</x:v>
      </x:c>
      <x:c r="T195" s="317" t="s">
        <x:v>798</x:v>
      </x:c>
      <x:c r="U195" s="317" t="s">
        <x:v>799</x:v>
      </x:c>
      <x:c r="V195" s="300" t="s">
        <x:v>1353</x:v>
      </x:c>
      <x:c r="W195" s="300" t="s">
        <x:v>552</x:v>
      </x:c>
      <x:c r="X195" s="310" t="s">
        <x:v>360</x:v>
      </x:c>
      <x:c r="Y195" s="300" t="str">
        <x:v>Deep design reconciliation 16-Aug-2026; Chapter 3/4 + Layer-B architecture + latest source/audit evidence</x:v>
      </x:c>
      <x:c r="Z195" s="301" t="s">
        <x:v>555</x:v>
      </x:c>
      <x:c r="AA195" s="301" t="s">
        <x:v>566</x:v>
      </x:c>
      <x:c r="AB195" s="301" t="s">
        <x:v>567</x:v>
      </x:c>
      <x:c r="AC195" s="301" t="s">
        <x:v>613</x:v>
      </x:c>
      <x:c r="AD195" s="301" t="s">
        <x:v>362</x:v>
      </x:c>
      <x:c r="AE195" s="301" t="s">
        <x:v>336</x:v>
      </x:c>
      <x:c r="AF195" s="301" t="s">
        <x:v>556</x:v>
      </x:c>
      <x:c r="AG195" s="301" t="s">
        <x:v>363</x:v>
      </x:c>
      <x:c r="AH195" s="302">
        <x:v>10</x:v>
      </x:c>
      <x:c r="AI195" s="302">
        <x:v>1.5</x:v>
      </x:c>
      <x:c r="AJ195" s="302">
        <x:f t="shared" si="12"/>
        <x:v>0.6</x:v>
      </x:c>
      <x:c r="AK195" s="302">
        <x:f t="shared" si="13"/>
        <x:v>0.89999999999999991</x:v>
      </x:c>
      <x:c r="AL195" s="301" t="s">
        <x:v>810</x:v>
      </x:c>
      <x:c r="AM195" s="301" t="s">
        <x:v>1356</x:v>
      </x:c>
      <x:c r="AN195" s="301" t="s">
        <x:v>559</x:v>
      </x:c>
      <x:c r="AO195" s="301" t="s">
        <x:v>309</x:v>
      </x:c>
      <x:c r="AP195" s="301" t="str">
        <x:v>T-117; T-127</x:v>
      </x:c>
      <x:c r="AQ195" s="301"/>
    </x:row>
    <x:row r="196" ht="45.95000076293945" hidden="1" customHeight="1">
      <x:c r="A196" s="304" t="s">
        <x:v>1357</x:v>
      </x:c>
      <x:c r="B196" s="304" t="s">
        <x:v>874</x:v>
      </x:c>
      <x:c r="C196" s="304" t="s">
        <x:v>875</x:v>
      </x:c>
      <x:c r="D196" s="304" t="s">
        <x:v>1358</x:v>
      </x:c>
      <x:c r="E196" s="304" t="s">
        <x:v>106</x:v>
      </x:c>
      <x:c r="F196" s="304" t="s">
        <x:v>1359</x:v>
      </x:c>
      <x:c r="G196" s="304" t="s">
        <x:v>46</x:v>
      </x:c>
      <x:c r="H196" s="304" t="s">
        <x:v>1360</x:v>
      </x:c>
      <x:c r="I196" s="304" t="s">
        <x:v>1361</x:v>
      </x:c>
      <x:c r="J196" s="304">
        <x:v>10</x:v>
      </x:c>
      <x:c r="K196" s="304" t="s">
        <x:v>328</x:v>
      </x:c>
      <x:c r="L196" s="304" t="s">
        <x:v>417</x:v>
      </x:c>
      <x:c r="M196" s="304" t="s">
        <x:v>1362</x:v>
      </x:c>
      <x:c r="N196" s="304" t="s">
        <x:v>1363</x:v>
      </x:c>
      <x:c r="O196" s="304" t="s">
        <x:v>1364</x:v>
      </x:c>
      <x:c r="P196" s="304" t="s">
        <x:v>1365</x:v>
      </x:c>
      <x:c r="Q196" s="300" t="str">
        <x:v>Not Started</x:v>
      </x:c>
      <x:c r="R196" s="300"/>
      <x:c r="S196" s="317" t="s">
        <x:v>1355</x:v>
      </x:c>
      <x:c r="T196" s="317" t="s">
        <x:v>1366</x:v>
      </x:c>
      <x:c r="U196" s="317" t="s">
        <x:v>1367</x:v>
      </x:c>
      <x:c r="V196" s="300" t="s">
        <x:v>1364</x:v>
      </x:c>
      <x:c r="W196" s="300" t="s">
        <x:v>1368</x:v>
      </x:c>
      <x:c r="X196" s="310" t="s">
        <x:v>360</x:v>
      </x:c>
      <x:c r="Y196" s="300" t="str">
        <x:v>Deep design reconciliation 16-Aug-2026; Chapter 3/4 + Layer-B architecture + latest source/audit evidence</x:v>
      </x:c>
      <x:c r="Z196" s="301" t="s">
        <x:v>555</x:v>
      </x:c>
      <x:c r="AA196" s="301" t="s">
        <x:v>566</x:v>
      </x:c>
      <x:c r="AB196" s="301" t="s">
        <x:v>567</x:v>
      </x:c>
      <x:c r="AC196" s="301" t="s">
        <x:v>613</x:v>
      </x:c>
      <x:c r="AD196" s="301" t="s">
        <x:v>362</x:v>
      </x:c>
      <x:c r="AE196" s="301" t="s">
        <x:v>417</x:v>
      </x:c>
      <x:c r="AF196" s="301" t="s">
        <x:v>881</x:v>
      </x:c>
      <x:c r="AG196" s="301" t="s">
        <x:v>363</x:v>
      </x:c>
      <x:c r="AH196" s="302">
        <x:v>10</x:v>
      </x:c>
      <x:c r="AI196" s="302">
        <x:v>1.5</x:v>
      </x:c>
      <x:c r="AJ196" s="302">
        <x:f t="shared" si="12"/>
        <x:v>1</x:v>
      </x:c>
      <x:c r="AK196" s="302">
        <x:f t="shared" si="13"/>
        <x:v>1.5</x:v>
      </x:c>
      <x:c r="AL196" s="301" t="s">
        <x:v>883</x:v>
      </x:c>
      <x:c r="AM196" s="301" t="s">
        <x:v>1364</x:v>
      </x:c>
      <x:c r="AN196" s="301" t="s">
        <x:v>885</x:v>
      </x:c>
      <x:c r="AO196" s="301" t="s">
        <x:v>309</x:v>
      </x:c>
      <x:c r="AP196" s="301" t="str">
        <x:v>T-090; T-112; T-114</x:v>
      </x:c>
      <x:c r="AQ196" s="301"/>
    </x:row>
    <x:row r="197" ht="45.95000076293945" hidden="1" customHeight="1">
      <x:c r="A197" s="304" t="s">
        <x:v>1369</x:v>
      </x:c>
      <x:c r="B197" s="304" t="s">
        <x:v>546</x:v>
      </x:c>
      <x:c r="C197" s="304" t="s">
        <x:v>631</x:v>
      </x:c>
      <x:c r="D197" s="304" t="s">
        <x:v>1370</x:v>
      </x:c>
      <x:c r="E197" s="304" t="s">
        <x:v>68</x:v>
      </x:c>
      <x:c r="F197" s="304" t="s">
        <x:v>1371</x:v>
      </x:c>
      <x:c r="G197" s="304" t="s">
        <x:v>118</x:v>
      </x:c>
      <x:c r="H197" s="304" t="s">
        <x:v>1372</x:v>
      </x:c>
      <x:c r="I197" s="304" t="s">
        <x:v>1373</x:v>
      </x:c>
      <x:c r="J197" s="304">
        <x:v>8</x:v>
      </x:c>
      <x:c r="K197" s="304" t="s">
        <x:v>328</x:v>
      </x:c>
      <x:c r="L197" s="304" t="s">
        <x:v>551</x:v>
      </x:c>
      <x:c r="M197" s="304" t="s">
        <x:v>552</x:v>
      </x:c>
      <x:c r="N197" s="304" t="s">
        <x:v>1374</x:v>
      </x:c>
      <x:c r="O197" s="304" t="s">
        <x:v>1375</x:v>
      </x:c>
      <x:c r="P197" s="304" t="s">
        <x:v>1376</x:v>
      </x:c>
      <x:c r="Q197" s="300" t="str">
        <x:v>Not Started</x:v>
      </x:c>
      <x:c r="R197" s="300"/>
      <x:c r="S197" s="317" t="s">
        <x:v>1355</x:v>
      </x:c>
      <x:c r="T197" s="317" t="s">
        <x:v>1377</x:v>
      </x:c>
      <x:c r="U197" s="317" t="s">
        <x:v>1378</x:v>
      </x:c>
      <x:c r="V197" s="300" t="s">
        <x:v>1375</x:v>
      </x:c>
      <x:c r="W197" s="300" t="s">
        <x:v>552</x:v>
      </x:c>
      <x:c r="X197" s="310" t="s">
        <x:v>360</x:v>
      </x:c>
      <x:c r="Y197" s="300" t="str">
        <x:v>Deep design reconciliation 16-Aug-2026; Chapter 3/4 + Layer-B architecture + latest source/audit evidence</x:v>
      </x:c>
      <x:c r="Z197" s="301" t="s">
        <x:v>555</x:v>
      </x:c>
      <x:c r="AA197" s="301" t="s">
        <x:v>566</x:v>
      </x:c>
      <x:c r="AB197" s="301" t="s">
        <x:v>567</x:v>
      </x:c>
      <x:c r="AC197" s="301" t="s">
        <x:v>775</x:v>
      </x:c>
      <x:c r="AD197" s="301" t="s">
        <x:v>362</x:v>
      </x:c>
      <x:c r="AE197" s="301" t="s">
        <x:v>303</x:v>
      </x:c>
      <x:c r="AF197" s="301" t="s">
        <x:v>663</x:v>
      </x:c>
      <x:c r="AG197" s="301" t="s">
        <x:v>314</x:v>
      </x:c>
      <x:c r="AH197" s="302">
        <x:v>9</x:v>
      </x:c>
      <x:c r="AI197" s="302">
        <x:v>1.5</x:v>
      </x:c>
      <x:c r="AJ197" s="302">
        <x:f t="shared" si="12"/>
        <x:v>0.88888888888888884</x:v>
      </x:c>
      <x:c r="AK197" s="302">
        <x:f t="shared" si="13"/>
        <x:v>1.3333333333333333</x:v>
      </x:c>
      <x:c r="AL197" s="301" t="s">
        <x:v>639</x:v>
      </x:c>
      <x:c r="AM197" s="301" t="s">
        <x:v>1379</x:v>
      </x:c>
      <x:c r="AN197" s="301" t="s">
        <x:v>665</x:v>
      </x:c>
      <x:c r="AO197" s="301" t="s">
        <x:v>309</x:v>
      </x:c>
      <x:c r="AP197" s="301" t="str">
        <x:v>T-087; T-094; T-095</x:v>
      </x:c>
      <x:c r="AQ197" s="301"/>
    </x:row>
    <x:row r="198" ht="45.95000076293945" hidden="1" customHeight="1">
      <x:c r="A198" s="304" t="s">
        <x:v>1380</x:v>
      </x:c>
      <x:c r="B198" s="304" t="s">
        <x:v>546</x:v>
      </x:c>
      <x:c r="C198" s="304" t="s">
        <x:v>805</x:v>
      </x:c>
      <x:c r="D198" s="304" t="s">
        <x:v>1381</x:v>
      </x:c>
      <x:c r="E198" s="304" t="s">
        <x:v>1382</x:v>
      </x:c>
      <x:c r="F198" s="304" t="s">
        <x:v>1383</x:v>
      </x:c>
      <x:c r="G198" s="304" t="s">
        <x:v>118</x:v>
      </x:c>
      <x:c r="H198" s="304" t="s">
        <x:v>1384</x:v>
      </x:c>
      <x:c r="I198" s="304" t="s">
        <x:v>1385</x:v>
      </x:c>
      <x:c r="J198" s="304">
        <x:v>10</x:v>
      </x:c>
      <x:c r="K198" s="304" t="s">
        <x:v>328</x:v>
      </x:c>
      <x:c r="L198" s="304" t="s">
        <x:v>551</x:v>
      </x:c>
      <x:c r="M198" s="304" t="s">
        <x:v>552</x:v>
      </x:c>
      <x:c r="N198" s="304" t="s">
        <x:v>1386</x:v>
      </x:c>
      <x:c r="O198" s="304" t="s">
        <x:v>1387</x:v>
      </x:c>
      <x:c r="P198" s="304" t="s">
        <x:v>1388</x:v>
      </x:c>
      <x:c r="Q198" s="300" t="str">
        <x:v>Not Started</x:v>
      </x:c>
      <x:c r="R198" s="300"/>
      <x:c r="S198" s="317" t="s">
        <x:v>1355</x:v>
      </x:c>
      <x:c r="T198" s="317" t="s">
        <x:v>856</x:v>
      </x:c>
      <x:c r="U198" s="317" t="s">
        <x:v>857</x:v>
      </x:c>
      <x:c r="V198" s="300" t="s">
        <x:v>1387</x:v>
      </x:c>
      <x:c r="W198" s="300" t="s">
        <x:v>552</x:v>
      </x:c>
      <x:c r="X198" s="310" t="s">
        <x:v>360</x:v>
      </x:c>
      <x:c r="Y198" s="300" t="str">
        <x:v>Deep design reconciliation 16-Aug-2026; Chapter 3/4 + Layer-B architecture + latest source/audit evidence</x:v>
      </x:c>
      <x:c r="Z198" s="301" t="s">
        <x:v>555</x:v>
      </x:c>
      <x:c r="AA198" s="301" t="s">
        <x:v>566</x:v>
      </x:c>
      <x:c r="AB198" s="301" t="s">
        <x:v>567</x:v>
      </x:c>
      <x:c r="AC198" s="301" t="s">
        <x:v>775</x:v>
      </x:c>
      <x:c r="AD198" s="301" t="s">
        <x:v>362</x:v>
      </x:c>
      <x:c r="AE198" s="301" t="s">
        <x:v>303</x:v>
      </x:c>
      <x:c r="AF198" s="301" t="s">
        <x:v>663</x:v>
      </x:c>
      <x:c r="AG198" s="301" t="s">
        <x:v>1389</x:v>
      </x:c>
      <x:c r="AH198" s="302">
        <x:v>7</x:v>
      </x:c>
      <x:c r="AI198" s="302">
        <x:v>1.6</x:v>
      </x:c>
      <x:c r="AJ198" s="302">
        <x:f t="shared" si="12"/>
        <x:v>1.4285714285714286</x:v>
      </x:c>
      <x:c r="AK198" s="302">
        <x:f t="shared" si="13"/>
        <x:v>2.285714285714286</x:v>
      </x:c>
      <x:c r="AL198" s="301" t="s">
        <x:v>810</x:v>
      </x:c>
      <x:c r="AM198" s="301" t="s">
        <x:v>1390</x:v>
      </x:c>
      <x:c r="AN198" s="301" t="s">
        <x:v>665</x:v>
      </x:c>
      <x:c r="AO198" s="301" t="s">
        <x:v>309</x:v>
      </x:c>
      <x:c r="AP198" s="301" t="str">
        <x:v>T-119; T-198</x:v>
      </x:c>
      <x:c r="AQ198" s="301"/>
    </x:row>
    <x:row r="199" ht="45.95000076293945" hidden="1" customHeight="1">
      <x:c r="A199" s="304" t="s">
        <x:v>1391</x:v>
      </x:c>
      <x:c r="B199" s="304" t="s">
        <x:v>546</x:v>
      </x:c>
      <x:c r="C199" s="304" t="s">
        <x:v>805</x:v>
      </x:c>
      <x:c r="D199" s="304" t="s">
        <x:v>1392</x:v>
      </x:c>
      <x:c r="E199" s="304" t="s">
        <x:v>1382</x:v>
      </x:c>
      <x:c r="F199" s="304" t="s">
        <x:v>1393</x:v>
      </x:c>
      <x:c r="G199" s="304" t="s">
        <x:v>46</x:v>
      </x:c>
      <x:c r="H199" s="304" t="s">
        <x:v>1394</x:v>
      </x:c>
      <x:c r="I199" s="304" t="s">
        <x:v>1395</x:v>
      </x:c>
      <x:c r="J199" s="304">
        <x:v>12</x:v>
      </x:c>
      <x:c r="K199" s="304" t="s">
        <x:v>328</x:v>
      </x:c>
      <x:c r="L199" s="304" t="s">
        <x:v>551</x:v>
      </x:c>
      <x:c r="M199" s="304" t="s">
        <x:v>552</x:v>
      </x:c>
      <x:c r="N199" s="304" t="s">
        <x:v>1396</x:v>
      </x:c>
      <x:c r="O199" s="304" t="s">
        <x:v>1397</x:v>
      </x:c>
      <x:c r="P199" s="304" t="s">
        <x:v>1398</x:v>
      </x:c>
      <x:c r="Q199" s="300" t="str">
        <x:v>Not Started</x:v>
      </x:c>
      <x:c r="R199" s="300"/>
      <x:c r="S199" s="317" t="s">
        <x:v>1355</x:v>
      </x:c>
      <x:c r="T199" s="317" t="s">
        <x:v>1399</x:v>
      </x:c>
      <x:c r="U199" s="317" t="s">
        <x:v>1400</x:v>
      </x:c>
      <x:c r="V199" s="300" t="s">
        <x:v>1397</x:v>
      </x:c>
      <x:c r="W199" s="300" t="s">
        <x:v>552</x:v>
      </x:c>
      <x:c r="X199" s="310" t="s">
        <x:v>360</x:v>
      </x:c>
      <x:c r="Y199" s="300" t="str">
        <x:v>Deep design reconciliation 16-Aug-2026; Chapter 3/4 + Layer-B architecture + latest source/audit evidence</x:v>
      </x:c>
      <x:c r="Z199" s="301" t="s">
        <x:v>555</x:v>
      </x:c>
      <x:c r="AA199" s="301" t="s">
        <x:v>566</x:v>
      </x:c>
      <x:c r="AB199" s="301" t="s">
        <x:v>567</x:v>
      </x:c>
      <x:c r="AC199" s="301" t="s">
        <x:v>775</x:v>
      </x:c>
      <x:c r="AD199" s="301" t="s">
        <x:v>362</x:v>
      </x:c>
      <x:c r="AE199" s="301" t="s">
        <x:v>303</x:v>
      </x:c>
      <x:c r="AF199" s="301" t="s">
        <x:v>663</x:v>
      </x:c>
      <x:c r="AG199" s="301" t="s">
        <x:v>1389</x:v>
      </x:c>
      <x:c r="AH199" s="302">
        <x:v>7</x:v>
      </x:c>
      <x:c r="AI199" s="302">
        <x:v>1.6</x:v>
      </x:c>
      <x:c r="AJ199" s="302">
        <x:f t="shared" si="12"/>
        <x:v>1.7142857142857142</x:v>
      </x:c>
      <x:c r="AK199" s="302">
        <x:f t="shared" si="13"/>
        <x:v>2.7428571428571429</x:v>
      </x:c>
      <x:c r="AL199" s="301" t="s">
        <x:v>810</x:v>
      </x:c>
      <x:c r="AM199" s="301" t="s">
        <x:v>1401</x:v>
      </x:c>
      <x:c r="AN199" s="301" t="s">
        <x:v>665</x:v>
      </x:c>
      <x:c r="AO199" s="301" t="s">
        <x:v>309</x:v>
      </x:c>
      <x:c r="AP199" s="301" t="str">
        <x:v>T-112; T-114; T-119</x:v>
      </x:c>
      <x:c r="AQ199" s="301"/>
    </x:row>
    <x:row r="200" ht="45.95000076293945" hidden="1" customHeight="1">
      <x:c r="A200" s="304" t="s">
        <x:v>1402</x:v>
      </x:c>
      <x:c r="B200" s="304" t="s">
        <x:v>546</x:v>
      </x:c>
      <x:c r="C200" s="304" t="s">
        <x:v>805</x:v>
      </x:c>
      <x:c r="D200" s="304" t="s">
        <x:v>1403</x:v>
      </x:c>
      <x:c r="E200" s="304" t="s">
        <x:v>1382</x:v>
      </x:c>
      <x:c r="F200" s="304" t="s">
        <x:v>1404</x:v>
      </x:c>
      <x:c r="G200" s="304" t="s">
        <x:v>46</x:v>
      </x:c>
      <x:c r="H200" s="304" t="s">
        <x:v>1405</x:v>
      </x:c>
      <x:c r="I200" s="304" t="s">
        <x:v>1406</x:v>
      </x:c>
      <x:c r="J200" s="304">
        <x:v>12</x:v>
      </x:c>
      <x:c r="K200" s="304" t="s">
        <x:v>328</x:v>
      </x:c>
      <x:c r="L200" s="304" t="s">
        <x:v>551</x:v>
      </x:c>
      <x:c r="M200" s="304" t="s">
        <x:v>552</x:v>
      </x:c>
      <x:c r="N200" s="304" t="s">
        <x:v>1407</x:v>
      </x:c>
      <x:c r="O200" s="304" t="s">
        <x:v>1408</x:v>
      </x:c>
      <x:c r="P200" s="304" t="s">
        <x:v>1409</x:v>
      </x:c>
      <x:c r="Q200" s="300" t="str">
        <x:v>Not Started</x:v>
      </x:c>
      <x:c r="R200" s="300"/>
      <x:c r="S200" s="317" t="s">
        <x:v>1355</x:v>
      </x:c>
      <x:c r="T200" s="317" t="s">
        <x:v>850</x:v>
      </x:c>
      <x:c r="U200" s="317" t="s">
        <x:v>851</x:v>
      </x:c>
      <x:c r="V200" s="300" t="s">
        <x:v>1408</x:v>
      </x:c>
      <x:c r="W200" s="300" t="s">
        <x:v>552</x:v>
      </x:c>
      <x:c r="X200" s="310" t="s">
        <x:v>360</x:v>
      </x:c>
      <x:c r="Y200" s="300" t="str">
        <x:v>Deep design reconciliation 16-Aug-2026; Chapter 3/4 + Layer-B architecture + latest source/audit evidence</x:v>
      </x:c>
      <x:c r="Z200" s="301" t="s">
        <x:v>555</x:v>
      </x:c>
      <x:c r="AA200" s="301" t="s">
        <x:v>566</x:v>
      </x:c>
      <x:c r="AB200" s="301" t="s">
        <x:v>567</x:v>
      </x:c>
      <x:c r="AC200" s="301" t="s">
        <x:v>775</x:v>
      </x:c>
      <x:c r="AD200" s="301" t="s">
        <x:v>362</x:v>
      </x:c>
      <x:c r="AE200" s="301" t="s">
        <x:v>303</x:v>
      </x:c>
      <x:c r="AF200" s="301" t="s">
        <x:v>663</x:v>
      </x:c>
      <x:c r="AG200" s="301" t="s">
        <x:v>1389</x:v>
      </x:c>
      <x:c r="AH200" s="302">
        <x:v>7</x:v>
      </x:c>
      <x:c r="AI200" s="302">
        <x:v>1.6</x:v>
      </x:c>
      <x:c r="AJ200" s="302">
        <x:f t="shared" si="12"/>
        <x:v>1.7142857142857142</x:v>
      </x:c>
      <x:c r="AK200" s="302">
        <x:f t="shared" si="13"/>
        <x:v>2.7428571428571429</x:v>
      </x:c>
      <x:c r="AL200" s="301" t="s">
        <x:v>810</x:v>
      </x:c>
      <x:c r="AM200" s="301" t="s">
        <x:v>1410</x:v>
      </x:c>
      <x:c r="AN200" s="301" t="s">
        <x:v>665</x:v>
      </x:c>
      <x:c r="AO200" s="301" t="s">
        <x:v>309</x:v>
      </x:c>
      <x:c r="AP200" s="301" t="str">
        <x:v>T-124; T-198</x:v>
      </x:c>
      <x:c r="AQ200" s="301"/>
    </x:row>
    <x:row r="201" ht="45.95000076293945" hidden="1" customHeight="1">
      <x:c r="A201" s="304" t="s">
        <x:v>1411</x:v>
      </x:c>
      <x:c r="B201" s="304" t="s">
        <x:v>546</x:v>
      </x:c>
      <x:c r="C201" s="304" t="s">
        <x:v>805</x:v>
      </x:c>
      <x:c r="D201" s="304" t="s">
        <x:v>1412</x:v>
      </x:c>
      <x:c r="E201" s="304" t="s">
        <x:v>1382</x:v>
      </x:c>
      <x:c r="F201" s="304" t="s">
        <x:v>1413</x:v>
      </x:c>
      <x:c r="G201" s="304" t="s">
        <x:v>118</x:v>
      </x:c>
      <x:c r="H201" s="304" t="s">
        <x:v>1414</x:v>
      </x:c>
      <x:c r="I201" s="304" t="s">
        <x:v>1415</x:v>
      </x:c>
      <x:c r="J201" s="304">
        <x:v>10</x:v>
      </x:c>
      <x:c r="K201" s="304" t="s">
        <x:v>328</x:v>
      </x:c>
      <x:c r="L201" s="304" t="s">
        <x:v>551</x:v>
      </x:c>
      <x:c r="M201" s="304" t="s">
        <x:v>552</x:v>
      </x:c>
      <x:c r="N201" s="304" t="s">
        <x:v>1416</x:v>
      </x:c>
      <x:c r="O201" s="304" t="str">
        <x:v>T-113 + T-119 + T-216 for source-time settings projection.</x:v>
      </x:c>
      <x:c r="P201" s="304" t="s">
        <x:v>1417</x:v>
      </x:c>
      <x:c r="Q201" s="300" t="str">
        <x:v>Not Started</x:v>
      </x:c>
      <x:c r="R201" s="300"/>
      <x:c r="S201" s="317" t="s">
        <x:v>1355</x:v>
      </x:c>
      <x:c r="T201" s="317" t="s">
        <x:v>781</x:v>
      </x:c>
      <x:c r="U201" s="317" t="str">
        <x:v>KEEP as the administration/UI surface. Source clock/time semantics are owned canonically by T-216; T-200 consumes/exposes them and remains the authority for site identity, units/formats, plant timezone, no-egress settings and translation administration.</x:v>
      </x:c>
      <x:c r="V201" s="300" t="str">
        <x:v>T-113 + T-119 + T-216. UI must not become a second time authority.</x:v>
      </x:c>
      <x:c r="W201" s="300" t="s">
        <x:v>552</x:v>
      </x:c>
      <x:c r="X201" s="310" t="s">
        <x:v>360</x:v>
      </x:c>
      <x:c r="Y201" s="300" t="str">
        <x:v>Deep design reconciliation 16-Aug-2026; Chapter 3/4 + Layer-B architecture + latest source/audit evidence</x:v>
      </x:c>
      <x:c r="Z201" s="301" t="s">
        <x:v>555</x:v>
      </x:c>
      <x:c r="AA201" s="301" t="s">
        <x:v>566</x:v>
      </x:c>
      <x:c r="AB201" s="301" t="s">
        <x:v>567</x:v>
      </x:c>
      <x:c r="AC201" s="301" t="s">
        <x:v>775</x:v>
      </x:c>
      <x:c r="AD201" s="301" t="s">
        <x:v>362</x:v>
      </x:c>
      <x:c r="AE201" s="301" t="s">
        <x:v>303</x:v>
      </x:c>
      <x:c r="AF201" s="301" t="s">
        <x:v>663</x:v>
      </x:c>
      <x:c r="AG201" s="301" t="s">
        <x:v>1389</x:v>
      </x:c>
      <x:c r="AH201" s="302">
        <x:v>7</x:v>
      </x:c>
      <x:c r="AI201" s="302">
        <x:v>1.6</x:v>
      </x:c>
      <x:c r="AJ201" s="302">
        <x:f t="shared" si="12"/>
        <x:v>1.4285714285714286</x:v>
      </x:c>
      <x:c r="AK201" s="302">
        <x:f t="shared" si="13"/>
        <x:v>2.285714285714286</x:v>
      </x:c>
      <x:c r="AL201" s="301" t="s">
        <x:v>810</x:v>
      </x:c>
      <x:c r="AM201" s="301" t="s">
        <x:v>1418</x:v>
      </x:c>
      <x:c r="AN201" s="301" t="s">
        <x:v>665</x:v>
      </x:c>
      <x:c r="AO201" s="301" t="s">
        <x:v>309</x:v>
      </x:c>
      <x:c r="AP201" s="301" t="str">
        <x:v>T-113; T-119; T-216</x:v>
      </x:c>
      <x:c r="AQ201" s="301"/>
    </x:row>
    <x:row r="202">
      <x:c r="A202" s="301" t="str">
        <x:v>T-201</x:v>
      </x:c>
      <x:c r="B202" s="301" t="str">
        <x:v>M2a</x:v>
      </x:c>
      <x:c r="C202" s="301" t="str">
        <x:v>M2a-P0</x:v>
      </x:c>
      <x:c r="D202" s="301" t="str">
        <x:v>Freeze the successful M1 presentation baseline and transfer programme authority to M2</x:v>
      </x:c>
      <x:c r="E202" s="301" t="str">
        <x:v>Programme</x:v>
      </x:c>
      <x:c r="F202" s="301" t="str">
        <x:v>Release baseline</x:v>
      </x:c>
      <x:c r="G202" s="301" t="str">
        <x:v>Critical</x:v>
      </x:c>
      <x:c r="H202" s="301" t="str">
        <x:v>Resolve the shared dirty tree, keep/revert the associative change on evidence, commit exact owned files, tag/freeze the successful presentation baseline, and formally stop presentation-only feature/page/data work. Remaining generic defects move to M2-P0 owners rather than being completed as M1 content.</x:v>
      </x:c>
      <x:c r="I202" s="301" t="str">
        <x:v>Clean index and explicit foreign-file inventory; immutable release/tag or equivalent frozen artifact; presentation profile still launches; one ledger lists every unclosed M1 item as frozen, superseded, or consumed by a named M2 task. No customer-demo-only task remains on the September critical path.</x:v>
      </x:c>
      <x:c r="J202" s="301" t="n">
        <x:v>4</x:v>
      </x:c>
      <x:c r="K202" s="301" t="str">
        <x:v>Not Started</x:v>
      </x:c>
      <x:c r="L202" s="301" t="str">
        <x:v>Worker 1</x:v>
      </x:c>
      <x:c r="M202" s="301" t="str">
        <x:v>DO NOT CROSS OWNERSHIP</x:v>
      </x:c>
      <x:c r="N202" s="301" t="str">
        <x:v>Consume committed producer contracts; do not modify another lane's active files.</x:v>
      </x:c>
      <x:c r="O202" s="301" t="str">
        <x:v>Current emergency/associative diagnostic only.</x:v>
      </x:c>
      <x:c r="P202" s="301" t="str">
        <x:v>NEW v2.11.0 — 22-Aug generic customer/pilot rebaseline</x:v>
      </x:c>
      <x:c r="Q202" s="301" t="str">
        <x:v>Not Started — Master Design v4.9 current authority; implementation evidence required</x:v>
      </x:c>
      <x:c r="R202" s="301"/>
      <x:c r="S202" s="301" t="str">
        <x:v>NEW TASK REQUIRED</x:v>
      </x:c>
      <x:c r="T202" s="301" t="str">
        <x:v>The successful customer presentation proved the concept, while the dirty emergency tree still blocks safe parallel M2 execution.</x:v>
      </x:c>
      <x:c r="U202" s="301" t="str">
        <x:v>Freeze presentation as evidence, not as the product roadmap; generic defects are re-owned under M2-P0.</x:v>
      </x:c>
      <x:c r="V202" s="301" t="str">
        <x:v>Current emergency/associative diagnostic only.</x:v>
      </x:c>
      <x:c r="W202" s="301" t="str">
        <x:v>One owner; parallel only across non-overlapping files.</x:v>
      </x:c>
      <x:c r="X202" s="301" t="str">
        <x:v>Critical</x:v>
      </x:c>
      <x:c r="Y202" s="301" t="str">
        <x:v>Master Design v4.9 consolidated authority — 22-Aug-2026</x:v>
      </x:c>
      <x:c r="Z202" s="301" t="str">
        <x:v>Track 2 — Real Customer Product</x:v>
      </x:c>
      <x:c r="AA202" s="301" t="str">
        <x:v>2026-08-24 M2 cutover</x:v>
      </x:c>
      <x:c r="AB202" s="301" t="str">
        <x:v>September Customer Critical</x:v>
      </x:c>
      <x:c r="AC202" s="301" t="str">
        <x:v>Generic product authority; no customer/demo-specific code.</x:v>
      </x:c>
      <x:c r="AD202" s="301" t="str">
        <x:v>High</x:v>
      </x:c>
      <x:c r="AE202" s="301" t="str">
        <x:v>Worker 1</x:v>
      </x:c>
      <x:c r="AF202" s="301" t="str">
        <x:v>Programme cutover / release</x:v>
      </x:c>
      <x:c r="AG202" s="301" t="str">
        <x:v>Release / governance</x:v>
      </x:c>
      <x:c r="AH202" s="301" t="n">
        <x:v>4</x:v>
      </x:c>
      <x:c r="AI202" s="301" t="n">
        <x:v>1.5</x:v>
      </x:c>
      <x:c r="AJ202" s="301" t="n">
        <x:v>1</x:v>
      </x:c>
      <x:c r="AK202" s="301" t="n">
        <x:v>1.5</x:v>
      </x:c>
      <x:c r="AL202" s="301" t="str">
        <x:v>R0-W1-01</x:v>
      </x:c>
      <x:c r="AM202" s="301" t="str">
        <x:v>Start immediately. No later M2 mutating work begins on the shared tree before this close.</x:v>
      </x:c>
      <x:c r="AN202" s="301" t="str">
        <x:v>Git/worktree ownership + release/tag only.</x:v>
      </x:c>
      <x:c r="AO202" s="301" t="str">
        <x:v>After commit/tag, all workers consume the frozen baseline; nobody reopens M1 presentation scope without a proven regression.</x:v>
      </x:c>
      <x:c r="AP202" s="301"/>
      <x:c r="AQ202" s="301"/>
    </x:row>
    <x:row r="203">
      <x:c r="A203" s="301" t="str">
        <x:v>T-202</x:v>
      </x:c>
      <x:c r="B203" s="301" t="str">
        <x:v>M2a</x:v>
      </x:c>
      <x:c r="C203" s="301" t="str">
        <x:v>M2a-P0</x:v>
      </x:c>
      <x:c r="D203" s="301" t="str">
        <x:v>Persisted page/widget definition replay gate</x:v>
      </x:c>
      <x:c r="E203" s="301" t="str">
        <x:v>Quality</x:v>
      </x:c>
      <x:c r="F203" s="301" t="str">
        <x:v>Release Truth</x:v>
      </x:c>
      <x:c r="G203" s="301" t="str">
        <x:v>Critical</x:v>
      </x:c>
      <x:c r="H203" s="301" t="str">
        <x:v>Enumerate every active customer-facing page/widget definition from the real database and execute its actual query contract against the release API/database. Validate declared terminal semantics, row/population evidence and compatibility. This gate tests the product as persisted, not merely source-code paths.</x:v>
      </x:c>
      <x:c r="I203" s="301" t="str">
        <x:v>Every active persisted widget executes with 2xx plus Populated/Empty/Blocked/Refused as documented; unexpected 4xx/5xx is a failure. Deliberately corrupt one dimension/measure combination and prove the gate fails. Restore and prove green. Emit machine-readable report naming definition/page/widget.</x:v>
      </x:c>
      <x:c r="J203" s="301" t="n">
        <x:v>10</x:v>
      </x:c>
      <x:c r="K203" s="301" t="str">
        <x:v>Not Started</x:v>
      </x:c>
      <x:c r="L203" s="301" t="str">
        <x:v>Worker 2</x:v>
      </x:c>
      <x:c r="M203" s="301" t="str">
        <x:v>DO NOT CROSS OWNERSHIP</x:v>
      </x:c>
      <x:c r="N203" s="301" t="str">
        <x:v>Consume committed producer contracts; do not modify another lane's active files.</x:v>
      </x:c>
      <x:c r="O203" s="301" t="str">
        <x:v>T-201</x:v>
      </x:c>
      <x:c r="P203" s="301" t="str">
        <x:v>NEW v2.11.0 — 22-Aug generic customer/pilot rebaseline</x:v>
      </x:c>
      <x:c r="Q203" s="301" t="str">
        <x:v>Not Started — Master Design v4.9 current authority; implementation evidence required</x:v>
      </x:c>
      <x:c r="R203" s="301"/>
      <x:c r="S203" s="301" t="str">
        <x:v>NEW TASK REQUIRED</x:v>
      </x:c>
      <x:c r="T203" s="301" t="str">
        <x:v>M1 tests did not replay the persisted customer-facing widget contracts, allowing page-open/API failures to survive.</x:v>
      </x:c>
      <x:c r="U203" s="301" t="str">
        <x:v>Persisted definition replay becomes mandatory release evidence now; generated registry matrix follows T-092.</x:v>
      </x:c>
      <x:c r="V203" s="301" t="str">
        <x:v>T-201</x:v>
      </x:c>
      <x:c r="W203" s="301" t="str">
        <x:v>One owner; parallel only across non-overlapping files.</x:v>
      </x:c>
      <x:c r="X203" s="301" t="str">
        <x:v>Critical</x:v>
      </x:c>
      <x:c r="Y203" s="301" t="str">
        <x:v>Master Design v4.9 consolidated authority — 22-Aug-2026</x:v>
      </x:c>
      <x:c r="Z203" s="301" t="str">
        <x:v>Track 2 — Real Customer Product</x:v>
      </x:c>
      <x:c r="AA203" s="301" t="str">
        <x:v>2026-08-31 M2-P0 Product Truth</x:v>
      </x:c>
      <x:c r="AB203" s="301" t="str">
        <x:v>September Customer Critical</x:v>
      </x:c>
      <x:c r="AC203" s="301" t="str">
        <x:v>Generic product authority; no customer/demo-specific code.</x:v>
      </x:c>
      <x:c r="AD203" s="301" t="str">
        <x:v>High</x:v>
      </x:c>
      <x:c r="AE203" s="301" t="str">
        <x:v>Worker 2</x:v>
      </x:c>
      <x:c r="AF203" s="301" t="str">
        <x:v>BI Release Truth</x:v>
      </x:c>
      <x:c r="AG203" s="301" t="str">
        <x:v>E2E / integration gate</x:v>
      </x:c>
      <x:c r="AH203" s="301" t="n">
        <x:v>4</x:v>
      </x:c>
      <x:c r="AI203" s="301" t="n">
        <x:v>1.6</x:v>
      </x:c>
      <x:c r="AJ203" s="301" t="n">
        <x:v>2.5</x:v>
      </x:c>
      <x:c r="AK203" s="301" t="n">
        <x:v>4</x:v>
      </x:c>
      <x:c r="AL203" s="301" t="str">
        <x:v>R0-W2-01</x:v>
      </x:c>
      <x:c r="AM203" s="301" t="str">
        <x:v>T-201 committed/frozen baseline.</x:v>
      </x:c>
      <x:c r="AN203" s="301" t="str">
        <x:v>Frontend E2E + dashboard query test harness; no canonical schema edits.</x:v>
      </x:c>
      <x:c r="AO203" s="301" t="str">
        <x:v>T-150 later consumes this gate; it does not redesign it.</x:v>
      </x:c>
      <x:c r="AP203" s="301" t="str">
        <x:v>T-201</x:v>
      </x:c>
      <x:c r="AQ203" s="301"/>
    </x:row>
    <x:row r="204">
      <x:c r="A204" s="301" t="str">
        <x:v>T-203</x:v>
      </x:c>
      <x:c r="B204" s="301" t="str">
        <x:v>M2a</x:v>
      </x:c>
      <x:c r="C204" s="301" t="str">
        <x:v>M2a-P0</x:v>
      </x:c>
      <x:c r="D204" s="301" t="str">
        <x:v>Customer-route network, console and widget-state invariant</x:v>
      </x:c>
      <x:c r="E204" s="301" t="str">
        <x:v>Quality</x:v>
      </x:c>
      <x:c r="F204" s="301" t="str">
        <x:v>Release Truth</x:v>
      </x:c>
      <x:c r="G204" s="301" t="str">
        <x:v>Critical</x:v>
      </x:c>
      <x:c r="H204" s="301" t="str">
        <x:v>For every customer-reachable route, navigate and settle against the real API; fail on unexpected HTTP &gt;=400, failed required request, uncaught JS exception, unhandled console error, error toast, or widget Failed state. Record route/request/widget evidence.</x:v>
      </x:c>
      <x:c r="I204" s="301" t="str">
        <x:v>Inject one failing API response and one uncaught render error and prove the route gate fails for the named cause. With faults removed, every customer route settles with zero unexpected network/console/widget failures.</x:v>
      </x:c>
      <x:c r="J204" s="301" t="n">
        <x:v>10</x:v>
      </x:c>
      <x:c r="K204" s="301" t="str">
        <x:v>Not Started</x:v>
      </x:c>
      <x:c r="L204" s="301" t="str">
        <x:v>Worker 2</x:v>
      </x:c>
      <x:c r="M204" s="301" t="str">
        <x:v>DO NOT CROSS OWNERSHIP</x:v>
      </x:c>
      <x:c r="N204" s="301" t="str">
        <x:v>Consume committed producer contracts; do not modify another lane's active files.</x:v>
      </x:c>
      <x:c r="O204" s="301" t="str">
        <x:v>T-201</x:v>
      </x:c>
      <x:c r="P204" s="301" t="str">
        <x:v>NEW v2.11.0 — 22-Aug generic customer/pilot rebaseline</x:v>
      </x:c>
      <x:c r="Q204" s="301" t="str">
        <x:v>Not Started — Master Design v4.9 current authority; implementation evidence required</x:v>
      </x:c>
      <x:c r="R204" s="301"/>
      <x:c r="S204" s="301" t="str">
        <x:v>NEW TASK REQUIRED</x:v>
      </x:c>
      <x:c r="T204" s="301" t="str">
        <x:v>Several pages opened with API errors although scoped tests were green.</x:v>
      </x:c>
      <x:c r="U204" s="301" t="str">
        <x:v>Customer-visible route health is a release invariant, not a final eye-test discovery.</x:v>
      </x:c>
      <x:c r="V204" s="301" t="str">
        <x:v>T-201</x:v>
      </x:c>
      <x:c r="W204" s="301" t="str">
        <x:v>One owner; parallel only across non-overlapping files.</x:v>
      </x:c>
      <x:c r="X204" s="301" t="str">
        <x:v>Critical</x:v>
      </x:c>
      <x:c r="Y204" s="301" t="str">
        <x:v>Master Design v4.9 consolidated authority — 22-Aug-2026</x:v>
      </x:c>
      <x:c r="Z204" s="301" t="str">
        <x:v>Track 2 — Real Customer Product</x:v>
      </x:c>
      <x:c r="AA204" s="301" t="str">
        <x:v>2026-08-31 M2-P0 Product Truth</x:v>
      </x:c>
      <x:c r="AB204" s="301" t="str">
        <x:v>September Customer Critical</x:v>
      </x:c>
      <x:c r="AC204" s="301" t="str">
        <x:v>Generic product authority; no customer/demo-specific code.</x:v>
      </x:c>
      <x:c r="AD204" s="301" t="str">
        <x:v>High</x:v>
      </x:c>
      <x:c r="AE204" s="301" t="str">
        <x:v>Worker 2</x:v>
      </x:c>
      <x:c r="AF204" s="301" t="str">
        <x:v>BI Release Truth</x:v>
      </x:c>
      <x:c r="AG204" s="301" t="str">
        <x:v>Playwright / session</x:v>
      </x:c>
      <x:c r="AH204" s="301" t="n">
        <x:v>4</x:v>
      </x:c>
      <x:c r="AI204" s="301" t="n">
        <x:v>1.6</x:v>
      </x:c>
      <x:c r="AJ204" s="301" t="n">
        <x:v>2.5</x:v>
      </x:c>
      <x:c r="AK204" s="301" t="n">
        <x:v>4</x:v>
      </x:c>
      <x:c r="AL204" s="301" t="str">
        <x:v>R0-W2-02</x:v>
      </x:c>
      <x:c r="AM204" s="301" t="str">
        <x:v>T-201; may run in parallel with T-202 on non-overlapping test files.</x:v>
      </x:c>
      <x:c r="AN204" s="301" t="str">
        <x:v>Frontend E2E/session harness.</x:v>
      </x:c>
      <x:c r="AO204" s="301" t="str">
        <x:v>All later customer-facing feature tasks must add their route to this gate before close.</x:v>
      </x:c>
      <x:c r="AP204" s="301" t="str">
        <x:v>T-201</x:v>
      </x:c>
      <x:c r="AQ204" s="301"/>
    </x:row>
    <x:row r="205">
      <x:c r="A205" s="301" t="str">
        <x:v>T-204</x:v>
      </x:c>
      <x:c r="B205" s="301" t="str">
        <x:v>M2a</x:v>
      </x:c>
      <x:c r="C205" s="301" t="str">
        <x:v>M2a-P0</x:v>
      </x:c>
      <x:c r="D205" s="301" t="str">
        <x:v>Associative cross-filter state-machine certification</x:v>
      </x:c>
      <x:c r="E205" s="301" t="str">
        <x:v>Frontend</x:v>
      </x:c>
      <x:c r="F205" s="301" t="str">
        <x:v>Associative BI</x:v>
      </x:c>
      <x:c r="G205" s="301" t="str">
        <x:v>Critical</x:v>
      </x:c>
      <x:c r="H205" s="301" t="str">
        <x:v>Replace click-smoke acceptance with a state-machine proof: capture widgets A/B/C, click X in A, assert selection state, assert B/C re-query with X, assert returned populations and visible results change, clear X and assert restoration. Execute across interactive renderer families.</x:v>
      </x:c>
      <x:c r="I205" s="301" t="str">
        <x:v>Bar, line, scatter, heatmap, table-row and interactive KPI families each prove selection propagation, dependent request mutation, population/result change, and restoration. A deliberate broken dependency-array/bridge falsification must fail the test.</x:v>
      </x:c>
      <x:c r="J205" s="301" t="n">
        <x:v>10</x:v>
      </x:c>
      <x:c r="K205" s="301" t="str">
        <x:v>Not Started</x:v>
      </x:c>
      <x:c r="L205" s="301" t="str">
        <x:v>Worker 2</x:v>
      </x:c>
      <x:c r="M205" s="301" t="str">
        <x:v>DO NOT CROSS OWNERSHIP</x:v>
      </x:c>
      <x:c r="N205" s="301" t="str">
        <x:v>Consume committed producer contracts; do not modify another lane's active files.</x:v>
      </x:c>
      <x:c r="O205" s="301" t="str">
        <x:v>T-201</x:v>
      </x:c>
      <x:c r="P205" s="301" t="str">
        <x:v>NEW v2.11.0 — 22-Aug generic customer/pilot rebaseline</x:v>
      </x:c>
      <x:c r="Q205" s="301" t="str">
        <x:v>Not Started — Master Design v4.9 current authority; implementation evidence required</x:v>
      </x:c>
      <x:c r="R205" s="301"/>
      <x:c r="S205" s="301" t="str">
        <x:v>NEW TASK REQUIRED</x:v>
      </x:c>
      <x:c r="T205" s="301" t="str">
        <x:v>Interactive filtering regressed while tests only proved the shell did not crash.</x:v>
      </x:c>
      <x:c r="U205" s="301" t="str">
        <x:v>Cross-widget interaction is a product state machine and must be certified as such.</x:v>
      </x:c>
      <x:c r="V205" s="301" t="str">
        <x:v>T-201</x:v>
      </x:c>
      <x:c r="W205" s="301" t="str">
        <x:v>One owner; parallel only across non-overlapping files.</x:v>
      </x:c>
      <x:c r="X205" s="301" t="str">
        <x:v>Critical</x:v>
      </x:c>
      <x:c r="Y205" s="301" t="str">
        <x:v>Master Design v4.9 consolidated authority — 22-Aug-2026</x:v>
      </x:c>
      <x:c r="Z205" s="301" t="str">
        <x:v>Track 2 — Real Customer Product</x:v>
      </x:c>
      <x:c r="AA205" s="301" t="str">
        <x:v>2026-08-31 M2-P0 Product Truth</x:v>
      </x:c>
      <x:c r="AB205" s="301" t="str">
        <x:v>September Customer Critical</x:v>
      </x:c>
      <x:c r="AC205" s="301" t="str">
        <x:v>Generic product authority; no customer/demo-specific code.</x:v>
      </x:c>
      <x:c r="AD205" s="301" t="str">
        <x:v>High</x:v>
      </x:c>
      <x:c r="AE205" s="301" t="str">
        <x:v>Worker 2</x:v>
      </x:c>
      <x:c r="AF205" s="301" t="str">
        <x:v>BI Release Truth</x:v>
      </x:c>
      <x:c r="AG205" s="301" t="str">
        <x:v>Frontend behavioural E2E</x:v>
      </x:c>
      <x:c r="AH205" s="301" t="n">
        <x:v>4</x:v>
      </x:c>
      <x:c r="AI205" s="301" t="n">
        <x:v>1.7</x:v>
      </x:c>
      <x:c r="AJ205" s="301" t="n">
        <x:v>2.5</x:v>
      </x:c>
      <x:c r="AK205" s="301" t="n">
        <x:v>4.25</x:v>
      </x:c>
      <x:c r="AL205" s="301" t="str">
        <x:v>R0-W2-03</x:v>
      </x:c>
      <x:c r="AM205" s="301" t="str">
        <x:v>T-201; resolve current associative ownership first.</x:v>
      </x:c>
      <x:c r="AN205" s="301" t="str">
        <x:v>AssociativeContext/filter bridge + E2E tests; no unrelated chart redesign.</x:v>
      </x:c>
      <x:c r="AO205" s="301" t="str">
        <x:v>This task supersedes using browser walking as the acceptance of cross-filtering.</x:v>
      </x:c>
      <x:c r="AP205" s="301" t="str">
        <x:v>T-201</x:v>
      </x:c>
      <x:c r="AQ205" s="301"/>
    </x:row>
    <x:row r="206">
      <x:c r="A206" s="301" t="str">
        <x:v>T-205</x:v>
      </x:c>
      <x:c r="B206" s="301" t="str">
        <x:v>M2a</x:v>
      </x:c>
      <x:c r="C206" s="301" t="str">
        <x:v>M2a-P0</x:v>
      </x:c>
      <x:c r="D206" s="301" t="str">
        <x:v>Frontend global suite termination and machine-readable gate</x:v>
      </x:c>
      <x:c r="E206" s="301" t="str">
        <x:v>Frontend</x:v>
      </x:c>
      <x:c r="F206" s="301" t="str">
        <x:v>Test infrastructure</x:v>
      </x:c>
      <x:c r="G206" s="301" t="str">
        <x:v>Very Important</x:v>
      </x:c>
      <x:c r="H206" s="301" t="str">
        <x:v>Make the global frontend unit/component suite terminate deterministically, produce a machine-readable result, and fail the pipeline on non-termination, timeout, skipped mandatory tests or leaked handles.</x:v>
      </x:c>
      <x:c r="I206" s="301" t="str">
        <x:v>Run the full suite twice from clean processes under the declared timeout; both terminate with identical pass/fail/skip counts and machine-readable output. Inject a leaked handle/non-terminating test and prove the gate goes red.</x:v>
      </x:c>
      <x:c r="J206" s="301" t="n">
        <x:v>8</x:v>
      </x:c>
      <x:c r="K206" s="301" t="str">
        <x:v>Not Started</x:v>
      </x:c>
      <x:c r="L206" s="301" t="str">
        <x:v>Worker 2</x:v>
      </x:c>
      <x:c r="M206" s="301" t="str">
        <x:v>DO NOT CROSS OWNERSHIP</x:v>
      </x:c>
      <x:c r="N206" s="301" t="str">
        <x:v>Consume committed producer contracts; do not modify another lane's active files.</x:v>
      </x:c>
      <x:c r="O206" s="301" t="str">
        <x:v>T-201</x:v>
      </x:c>
      <x:c r="P206" s="301" t="str">
        <x:v>NEW v2.11.0 — 22-Aug generic customer/pilot rebaseline</x:v>
      </x:c>
      <x:c r="Q206" s="301" t="str">
        <x:v>Not Started — Master Design v4.9 current authority; implementation evidence required</x:v>
      </x:c>
      <x:c r="R206" s="301"/>
      <x:c r="S206" s="301" t="str">
        <x:v>NEW TASK REQUIRED</x:v>
      </x:c>
      <x:c r="T206" s="301" t="str">
        <x:v>The global Vitest tier has not been a reliable runnable release gate.</x:v>
      </x:c>
      <x:c r="U206" s="301" t="str">
        <x:v>A non-terminating test tier is not a gate; deterministic termination is mandatory.</x:v>
      </x:c>
      <x:c r="V206" s="301" t="str">
        <x:v>T-201</x:v>
      </x:c>
      <x:c r="W206" s="301" t="str">
        <x:v>One owner; parallel only across non-overlapping files.</x:v>
      </x:c>
      <x:c r="X206" s="301" t="str">
        <x:v>High</x:v>
      </x:c>
      <x:c r="Y206" s="301" t="str">
        <x:v>Master Design v4.9 consolidated authority — 22-Aug-2026</x:v>
      </x:c>
      <x:c r="Z206" s="301" t="str">
        <x:v>Track 2 — Real Customer Product</x:v>
      </x:c>
      <x:c r="AA206" s="301" t="str">
        <x:v>2026-08-31 M2-P0 Product Truth</x:v>
      </x:c>
      <x:c r="AB206" s="301" t="str">
        <x:v>September Customer Critical</x:v>
      </x:c>
      <x:c r="AC206" s="301" t="str">
        <x:v>Generic product authority; no customer/demo-specific code.</x:v>
      </x:c>
      <x:c r="AD206" s="301" t="str">
        <x:v>High</x:v>
      </x:c>
      <x:c r="AE206" s="301" t="str">
        <x:v>Worker 2</x:v>
      </x:c>
      <x:c r="AF206" s="301" t="str">
        <x:v>BI Release Truth</x:v>
      </x:c>
      <x:c r="AG206" s="301" t="str">
        <x:v>Frontend test infrastructure</x:v>
      </x:c>
      <x:c r="AH206" s="301" t="n">
        <x:v>4</x:v>
      </x:c>
      <x:c r="AI206" s="301" t="n">
        <x:v>1.6</x:v>
      </x:c>
      <x:c r="AJ206" s="301" t="n">
        <x:v>2</x:v>
      </x:c>
      <x:c r="AK206" s="301" t="n">
        <x:v>3.2</x:v>
      </x:c>
      <x:c r="AL206" s="301" t="str">
        <x:v>R0-W2-04</x:v>
      </x:c>
      <x:c r="AM206" s="301" t="str">
        <x:v>T-201; independent of T-202/T-204 if test-runner files do not overlap.</x:v>
      </x:c>
      <x:c r="AN206" s="301" t="str">
        <x:v>Frontend test runner/config only.</x:v>
      </x:c>
      <x:c r="AO206" s="301" t="str">
        <x:v>Later feature owners consume the stable suite rather than inventing local bypasses.</x:v>
      </x:c>
      <x:c r="AP206" s="301" t="str">
        <x:v>T-201</x:v>
      </x:c>
      <x:c r="AQ206" s="301"/>
    </x:row>
    <x:row r="207">
      <x:c r="A207" s="301" t="str">
        <x:v>T-206</x:v>
      </x:c>
      <x:c r="B207" s="301" t="str">
        <x:v>M2a</x:v>
      </x:c>
      <x:c r="C207" s="301" t="str">
        <x:v>M2a-P0</x:v>
      </x:c>
      <x:c r="D207" s="301" t="str">
        <x:v>Scope-aware genericity architecture gate</x:v>
      </x:c>
      <x:c r="E207" s="301" t="str">
        <x:v>Architecture</x:v>
      </x:c>
      <x:c r="F207" s="301" t="str">
        <x:v>Genericity</x:v>
      </x:c>
      <x:c r="G207" s="301" t="str">
        <x:v>Critical</x:v>
      </x:c>
      <x:c r="H207" s="301" t="str">
        <x:v>Create a scope-aware architecture test that forbids customer/demo/industry vocabulary and compiled customer dimension/grain authorities inside generic runtime/engine/API contracts while allowing that vocabulary in explicitly classified fixtures, mappings and documentation. Include detection of compiled dimension arrays and implicit grain defaults.</x:v>
      </x:c>
      <x:c r="I207" s="301" t="str">
        <x:v>Falsify the gate with a generic-runtime 'coil' fallback, a compiled customer dimension, and an industry-specific class; each fails. The same terms in approved fixture paths remain allowed. Gate consumes configured path/authority classes, not a naive whole-repo negative text scan.</x:v>
      </x:c>
      <x:c r="J207" s="301" t="n">
        <x:v>8</x:v>
      </x:c>
      <x:c r="K207" s="301" t="str">
        <x:v>Not Started</x:v>
      </x:c>
      <x:c r="L207" s="301" t="str">
        <x:v>Worker 3</x:v>
      </x:c>
      <x:c r="M207" s="301" t="str">
        <x:v>DO NOT CROSS OWNERSHIP</x:v>
      </x:c>
      <x:c r="N207" s="301" t="str">
        <x:v>Worker 3 owns only the named AI/analytics contract/tests; no Worker-1 schema or Worker-2 UI edits.</x:v>
      </x:c>
      <x:c r="O207" s="301" t="str">
        <x:v>T-201</x:v>
      </x:c>
      <x:c r="P207" s="301" t="str">
        <x:v>NEW v2.11.0 — 22-Aug generic customer/pilot rebaseline</x:v>
      </x:c>
      <x:c r="Q207" s="301" t="str">
        <x:v>Not Started — Master Design v4.9 current authority; implementation evidence required</x:v>
      </x:c>
      <x:c r="R207" s="301"/>
      <x:c r="S207" s="301" t="str">
        <x:v>NEW TASK REQUIRED</x:v>
      </x:c>
      <x:c r="T207" s="301" t="str">
        <x:v>Steel/demo vocabulary and compiled registry authority still survive in generic product paths; previous raw text scanners also self-matched.</x:v>
      </x:c>
      <x:c r="U207" s="301" t="str">
        <x:v>Genericity is enforced structurally by ownership/path, not by replacing 'coil' with one universal noun.</x:v>
      </x:c>
      <x:c r="V207" s="301" t="str">
        <x:v>T-201</x:v>
      </x:c>
      <x:c r="W207" s="301" t="str">
        <x:v>One owner; parallel only across non-overlapping files.</x:v>
      </x:c>
      <x:c r="X207" s="301" t="str">
        <x:v>Critical</x:v>
      </x:c>
      <x:c r="Y207" s="301" t="str">
        <x:v>Master Design v4.9 consolidated authority — 22-Aug-2026</x:v>
      </x:c>
      <x:c r="Z207" s="301" t="str">
        <x:v>Track 2 — Real Customer Product</x:v>
      </x:c>
      <x:c r="AA207" s="301" t="str">
        <x:v>2026-08-31 M2-P0 Product Truth</x:v>
      </x:c>
      <x:c r="AB207" s="301" t="str">
        <x:v>September Customer Critical</x:v>
      </x:c>
      <x:c r="AC207" s="301" t="str">
        <x:v>Generic product authority; no customer/demo-specific code.</x:v>
      </x:c>
      <x:c r="AD207" s="301" t="str">
        <x:v>High</x:v>
      </x:c>
      <x:c r="AE207" s="301" t="str">
        <x:v>Worker 3</x:v>
      </x:c>
      <x:c r="AF207" s="301" t="str">
        <x:v>SAFE-NOW architecture tests</x:v>
      </x:c>
      <x:c r="AG207" s="301" t="str">
        <x:v>Architecture/test</x:v>
      </x:c>
      <x:c r="AH207" s="301" t="n">
        <x:v>6</x:v>
      </x:c>
      <x:c r="AI207" s="301" t="n">
        <x:v>1.5</x:v>
      </x:c>
      <x:c r="AJ207" s="301" t="n">
        <x:v>1.3333333333333333</x:v>
      </x:c>
      <x:c r="AK207" s="301" t="n">
        <x:v>2</x:v>
      </x:c>
      <x:c r="AL207" s="301" t="str">
        <x:v>R0-W3-01</x:v>
      </x:c>
      <x:c r="AM207" s="301" t="str">
        <x:v>T-201. Isolated architecture test files only until each product owner consumes findings.</x:v>
      </x:c>
      <x:c r="AN207" s="301" t="str">
        <x:v>Architecture/genericity tests only; no W1 schema or W2 UI mutation.</x:v>
      </x:c>
      <x:c r="AO207" s="301" t="str">
        <x:v>Violations are routed to the owning task/file; Worker 3 does not fix foreign files.</x:v>
      </x:c>
      <x:c r="AP207" s="301" t="str">
        <x:v>T-201</x:v>
      </x:c>
      <x:c r="AQ207" s="301"/>
    </x:row>
    <x:row r="208">
      <x:c r="A208" s="301" t="str">
        <x:v>T-207</x:v>
      </x:c>
      <x:c r="B208" s="301" t="str">
        <x:v>M2a</x:v>
      </x:c>
      <x:c r="C208" s="301" t="str">
        <x:v>M2a-P0</x:v>
      </x:c>
      <x:c r="D208" s="301" t="str">
        <x:v>Connector capability truth: stop advertising unimplemented browse/read/subscription</x:v>
      </x:c>
      <x:c r="E208" s="301" t="str">
        <x:v>Acquisition</x:v>
      </x:c>
      <x:c r="F208" s="301" t="str">
        <x:v>Connector truth</x:v>
      </x:c>
      <x:c r="G208" s="301" t="str">
        <x:v>Critical</x:v>
      </x:c>
      <x:c r="H208" s="301" t="str">
        <x:v>Make connector capability metadata executable truth. Current OPC/historian configuration validation or deterministic sample generation must not advertise live browse/bounded-read/subscription unless the connector build executes and tests that operation.</x:v>
      </x:c>
      <x:c r="I208" s="301" t="str">
        <x:v>Against the current implementation, unsupported browse/read/subscription report false/unavailable and attempts return typed OT01 rather than fabricated data. Add a contract test that makes any future advertised capability fail until an executable implementation passes.</x:v>
      </x:c>
      <x:c r="J208" s="301" t="n">
        <x:v>6</x:v>
      </x:c>
      <x:c r="K208" s="301" t="str">
        <x:v>Not Started</x:v>
      </x:c>
      <x:c r="L208" s="301" t="str">
        <x:v>Worker 1</x:v>
      </x:c>
      <x:c r="M208" s="301" t="str">
        <x:v>DO NOT CROSS OWNERSHIP</x:v>
      </x:c>
      <x:c r="N208" s="301" t="str">
        <x:v>Consume committed producer contracts; do not modify another lane's active files.</x:v>
      </x:c>
      <x:c r="O208" s="301" t="str">
        <x:v>T-201</x:v>
      </x:c>
      <x:c r="P208" s="301" t="str">
        <x:v>NEW v2.11.0 — 22-Aug generic customer/pilot rebaseline</x:v>
      </x:c>
      <x:c r="Q208" s="301" t="str">
        <x:v>Not Started — Master Design v4.9 current authority; implementation evidence required</x:v>
      </x:c>
      <x:c r="R208" s="301"/>
      <x:c r="S208" s="301" t="str">
        <x:v>NEW TASK REQUIRED</x:v>
      </x:c>
      <x:c r="T208" s="301" t="str">
        <x:v>The source advertises tag browse/bounded read although the live protocol runtime is absent and edge samples are deterministic simulator values.</x:v>
      </x:c>
      <x:c r="U208" s="301" t="str">
        <x:v>Capability metadata is a customer-facing claim and must equal executable truth.</x:v>
      </x:c>
      <x:c r="V208" s="301" t="str">
        <x:v>T-201</x:v>
      </x:c>
      <x:c r="W208" s="301" t="str">
        <x:v>One owner; parallel only across non-overlapping files.</x:v>
      </x:c>
      <x:c r="X208" s="301" t="str">
        <x:v>Critical</x:v>
      </x:c>
      <x:c r="Y208" s="301" t="str">
        <x:v>Master Design v4.9 consolidated authority — 22-Aug-2026</x:v>
      </x:c>
      <x:c r="Z208" s="301" t="str">
        <x:v>Track 2 — Real Customer Product</x:v>
      </x:c>
      <x:c r="AA208" s="301" t="str">
        <x:v>2026-08-27 Product Honesty Gate</x:v>
      </x:c>
      <x:c r="AB208" s="301" t="str">
        <x:v>September Customer Critical</x:v>
      </x:c>
      <x:c r="AC208" s="301" t="str">
        <x:v>Generic product authority; no customer/demo-specific code.</x:v>
      </x:c>
      <x:c r="AD208" s="301" t="str">
        <x:v>High</x:v>
      </x:c>
      <x:c r="AE208" s="301" t="str">
        <x:v>Worker 1</x:v>
      </x:c>
      <x:c r="AF208" s="301" t="str">
        <x:v>Acquisition / connector truth</x:v>
      </x:c>
      <x:c r="AG208" s="301" t="str">
        <x:v>Backend contract</x:v>
      </x:c>
      <x:c r="AH208" s="301" t="n">
        <x:v>4</x:v>
      </x:c>
      <x:c r="AI208" s="301" t="n">
        <x:v>1.5</x:v>
      </x:c>
      <x:c r="AJ208" s="301" t="n">
        <x:v>1.5</x:v>
      </x:c>
      <x:c r="AK208" s="301" t="n">
        <x:v>2.25</x:v>
      </x:c>
      <x:c r="AL208" s="301" t="str">
        <x:v>R0-W1-02</x:v>
      </x:c>
      <x:c r="AM208" s="301" t="str">
        <x:v>T-201. Does not implement production OPC; truth-corrects the current connector contract only.</x:v>
      </x:c>
      <x:c r="AN208" s="301" t="str">
        <x:v>Connector metadata/API contract and tests.</x:v>
      </x:c>
      <x:c r="AO208" s="301" t="str">
        <x:v>T-224..T-226 later may flip capabilities to true only by passing this contract.</x:v>
      </x:c>
      <x:c r="AP208" s="301" t="str">
        <x:v>T-201</x:v>
      </x:c>
      <x:c r="AQ208" s="301"/>
    </x:row>
    <x:row r="209">
      <x:c r="A209" s="301" t="str">
        <x:v>T-208</x:v>
      </x:c>
      <x:c r="B209" s="301" t="str">
        <x:v>M2a</x:v>
      </x:c>
      <x:c r="C209" s="301" t="str">
        <x:v>M2a-P0</x:v>
      </x:c>
      <x:c r="D209" s="301" t="str">
        <x:v>Generic controlled validation fixture authority and continuous-process known-answer pack</x:v>
      </x:c>
      <x:c r="E209" s="301" t="str">
        <x:v>Quality</x:v>
      </x:c>
      <x:c r="F209" s="301" t="str">
        <x:v>Test data</x:v>
      </x:c>
      <x:c r="G209" s="301" t="str">
        <x:v>Critical</x:v>
      </x:c>
      <x:c r="H209" s="301" t="str">
        <x:v>Create the dataset-neutral controlled fixture authority separate from product vocabulary. Keep Fleet v2 as legacy discrete regression oracle only; continuous-process fixture includes irregular analog samples, state intervals, counters, alarms, process windows, independent manual/business records, PLUS a declared transition/stabilisation event and conflicting multi-objective practice vectors with predeclared known answers.</x:v>
      </x:c>
      <x:c r="I209" s="301" t="str">
        <x:v>Fixture manifests are machine-readable, immutable by version, inaccessible as planted truth to runtime, and include SampleMean vs TimeWeightedMean, StateDuration, Delta, interval overlap, transition/stabilisation regime truth, a pooled-vs-steady-state confounding case, a known Pareto frontier, negative controls and refusal cases. Product code contains no fixture vocabulary.</x:v>
      </x:c>
      <x:c r="J209" s="301" t="n">
        <x:v>10</x:v>
      </x:c>
      <x:c r="K209" s="301" t="str">
        <x:v>Not Started</x:v>
      </x:c>
      <x:c r="L209" s="301" t="str">
        <x:v>Worker 3</x:v>
      </x:c>
      <x:c r="M209" s="301" t="str">
        <x:v>DO NOT CROSS OWNERSHIP</x:v>
      </x:c>
      <x:c r="N209" s="301" t="str">
        <x:v>Worker 3 owns only the named AI/analytics contract/tests; no Worker-1 schema or Worker-2 UI edits.</x:v>
      </x:c>
      <x:c r="O209" s="301" t="str">
        <x:v>T-201</x:v>
      </x:c>
      <x:c r="P209" s="301" t="str">
        <x:v>NEW v2.11.0 — 22-Aug generic customer/pilot rebaseline</x:v>
      </x:c>
      <x:c r="Q209" s="301" t="str">
        <x:v>Not Started — Master Design v4.9 current authority; implementation evidence required</x:v>
      </x:c>
      <x:c r="R209" s="301"/>
      <x:c r="S209" s="301" t="str">
        <x:v>NEW TASK REQUIRED</x:v>
      </x:c>
      <x:c r="T209" s="301" t="str">
        <x:v>Nearly all historical proof used a dataset designed beside the product; continuous-time mathematics has no controlled oracle.</x:v>
      </x:c>
      <x:c r="U209" s="301" t="str">
        <x:v>Real customer data validates realism; controlled fixtures falsify algorithms. Neither defines product ontology.</x:v>
      </x:c>
      <x:c r="V209" s="301" t="str">
        <x:v>T-201</x:v>
      </x:c>
      <x:c r="W209" s="301" t="str">
        <x:v>One owner; parallel only across non-overlapping files.</x:v>
      </x:c>
      <x:c r="X209" s="301" t="str">
        <x:v>High</x:v>
      </x:c>
      <x:c r="Y209" s="301" t="str">
        <x:v>Master Design v4.9 consolidated authority — 22-Aug-2026</x:v>
      </x:c>
      <x:c r="Z209" s="301" t="str">
        <x:v>Track 2 — Real Customer Product</x:v>
      </x:c>
      <x:c r="AA209" s="301" t="str">
        <x:v>2026-08-31 M2-P0 Product Truth</x:v>
      </x:c>
      <x:c r="AB209" s="301" t="str">
        <x:v>September Customer Critical</x:v>
      </x:c>
      <x:c r="AC209" s="301" t="str">
        <x:v>Generic product authority; no customer/demo-specific code.</x:v>
      </x:c>
      <x:c r="AD209" s="301" t="str">
        <x:v>High</x:v>
      </x:c>
      <x:c r="AE209" s="301" t="str">
        <x:v>Worker 3</x:v>
      </x:c>
      <x:c r="AF209" s="301" t="str">
        <x:v>SAFE-NOW fixtures / known answers</x:v>
      </x:c>
      <x:c r="AG209" s="301" t="str">
        <x:v>Test fixture / kernel</x:v>
      </x:c>
      <x:c r="AH209" s="301" t="n">
        <x:v>6</x:v>
      </x:c>
      <x:c r="AI209" s="301" t="n">
        <x:v>1.5</x:v>
      </x:c>
      <x:c r="AJ209" s="301" t="n">
        <x:v>1.6666666666666667</x:v>
      </x:c>
      <x:c r="AK209" s="301" t="n">
        <x:v>2.5</x:v>
      </x:c>
      <x:c r="AL209" s="301" t="str">
        <x:v>R0-W3-02</x:v>
      </x:c>
      <x:c r="AM209" s="301" t="str">
        <x:v>T-201. May run in parallel with T-206; no production DB migration/DI.</x:v>
      </x:c>
      <x:c r="AN209" s="301" t="str">
        <x:v>New generic fixture/test assets only.</x:v>
      </x:c>
      <x:c r="AO209" s="301" t="str">
        <x:v>T-211/T-217/T-219 consume this fixture; they never read planted expected answers at runtime.</x:v>
      </x:c>
      <x:c r="AP209" s="301" t="str">
        <x:v>T-201</x:v>
      </x:c>
      <x:c r="AQ209" s="301"/>
    </x:row>
    <x:row r="210">
      <x:c r="A210" s="301" t="str">
        <x:v>T-209</x:v>
      </x:c>
      <x:c r="B210" s="301" t="str">
        <x:v>M2a</x:v>
      </x:c>
      <x:c r="C210" s="301" t="str">
        <x:v>M2a-P1X</x:v>
      </x:c>
      <x:c r="D210" s="301" t="str">
        <x:v>Analysis Subject and Grain contract + schema-independent resolution kernel</x:v>
      </x:c>
      <x:c r="E210" s="301" t="str">
        <x:v>Architecture / Analytics Engine</x:v>
      </x:c>
      <x:c r="F210" s="301" t="str">
        <x:v>Generic subject/grain contract</x:v>
      </x:c>
      <x:c r="G210" s="301" t="str">
        <x:v>Critical</x:v>
      </x:c>
      <x:c r="H210" s="301" t="str">
        <x:v>Freeze the generic AnalysisSubject/GrainDefinition contract and a schema-independent resolver/kernel. It defines subject kinds, grain identity, time-window semantics, typed GR01 refusal and the rule that no analytical result requires a material identifier. No production migration, DI registration or canonical table edit in this task.</x:v>
      </x:c>
      <x:c r="I210" s="301" t="str">
        <x:v>Known-answer tests resolve discrete, equipment-window and flow-interval subjects; missing grain refuses GR01; no industry noun/material-only assumption appears in the public contract. Runs without production DB access.</x:v>
      </x:c>
      <x:c r="J210" s="301" t="n">
        <x:v>6</x:v>
      </x:c>
      <x:c r="K210" s="301" t="str">
        <x:v>Not Started</x:v>
      </x:c>
      <x:c r="L210" s="301" t="str">
        <x:v>Worker 3</x:v>
      </x:c>
      <x:c r="M210" s="301" t="str">
        <x:v>SAFE-NOW / isolated</x:v>
      </x:c>
      <x:c r="N210" s="301" t="str">
        <x:v>Contract/kernel only. No production schema, migration, DI, presentation route or Worker-1 canonical files.</x:v>
      </x:c>
      <x:c r="O210" s="301" t="str">
        <x:v>T-208</x:v>
      </x:c>
      <x:c r="P210" s="301" t="str">
        <x:v>v2.12.0 — contract/persistence split for executable September critical path</x:v>
      </x:c>
      <x:c r="Q210" s="301" t="str">
        <x:v>Not Started — Master Design v4.9 current authority; implementation evidence required</x:v>
      </x:c>
      <x:c r="R210" s="301"/>
      <x:c r="S210" s="301" t="str">
        <x:v>NEW TASK REQUIRED</x:v>
      </x:c>
      <x:c r="T210" s="301" t="str">
        <x:v>Layer-B design still keys feature/prediction storage to material_unit_id although a continuous plant may have equipment/time-window subjects.</x:v>
      </x:c>
      <x:c r="U210" s="301" t="str">
        <x:v>Do not rename CoilId to MaterialId; make subject/grain first-class and customer-declared.</x:v>
      </x:c>
      <x:c r="V210" s="301" t="str">
        <x:v>T-208 only. Contract is consumable in parallel; canonical persistence is T-231.</x:v>
      </x:c>
      <x:c r="W210" s="301" t="str">
        <x:v>One owner; parallel only across non-overlapping files.</x:v>
      </x:c>
      <x:c r="X210" s="301" t="str">
        <x:v>Critical</x:v>
      </x:c>
      <x:c r="Y210" s="301" t="str">
        <x:v>Master Design v4.9 consolidated authority — 22-Aug-2026</x:v>
      </x:c>
      <x:c r="Z210" s="301" t="str">
        <x:v>Track 2 — Real Customer Product</x:v>
      </x:c>
      <x:c r="AA210" s="301" t="str">
        <x:v>2026-09-12 Canonical Onboarding Gate</x:v>
      </x:c>
      <x:c r="AB210" s="301" t="str">
        <x:v>September Customer Critical</x:v>
      </x:c>
      <x:c r="AC210" s="301" t="str">
        <x:v>Generic product authority; no customer/demo-specific code.</x:v>
      </x:c>
      <x:c r="AD210" s="301" t="str">
        <x:v>High</x:v>
      </x:c>
      <x:c r="AE210" s="301" t="str">
        <x:v>Worker 3</x:v>
      </x:c>
      <x:c r="AF210" s="301" t="str">
        <x:v>SAFE-NOW generic subject/grain</x:v>
      </x:c>
      <x:c r="AG210" s="301" t="str">
        <x:v>Kernel/contract</x:v>
      </x:c>
      <x:c r="AH210" s="301" t="n">
        <x:v>6</x:v>
      </x:c>
      <x:c r="AI210" s="301" t="n">
        <x:v>1.5</x:v>
      </x:c>
      <x:c r="AJ210" s="301" t="n">
        <x:v>1</x:v>
      </x:c>
      <x:c r="AK210" s="301" t="n">
        <x:v>1.5</x:v>
      </x:c>
      <x:c r="AL210" s="301" t="str">
        <x:v>R1-W3-00</x:v>
      </x:c>
      <x:c r="AM210" s="301" t="str">
        <x:v>T-208 only; no production DB dependency.</x:v>
      </x:c>
      <x:c r="AN210" s="301" t="str">
        <x:v>New generic contract/kernel/tests only.</x:v>
      </x:c>
      <x:c r="AO210" s="301" t="str">
        <x:v>T-231 persists this contract; downstream consumers bind to contract, not table shape.</x:v>
      </x:c>
      <x:c r="AP210" s="301" t="str">
        <x:v>T-208</x:v>
      </x:c>
      <x:c r="AQ210" s="301" t="str">
        <x:v>T-231; T-210; T-214; T-216</x:v>
      </x:c>
    </x:row>
    <x:row r="211">
      <x:c r="A211" s="301" t="str">
        <x:v>T-210</x:v>
      </x:c>
      <x:c r="B211" s="301" t="str">
        <x:v>M2a</x:v>
      </x:c>
      <x:c r="C211" s="301" t="str">
        <x:v>M2a-P1X</x:v>
      </x:c>
      <x:c r="D211" s="301" t="str">
        <x:v>Canonical signal and aggregation semantics authority</x:v>
      </x:c>
      <x:c r="E211" s="301" t="str">
        <x:v>Backend</x:v>
      </x:c>
      <x:c r="F211" s="301" t="str">
        <x:v>Semantic measurement authority</x:v>
      </x:c>
      <x:c r="G211" s="301" t="str">
        <x:v>Critical</x:v>
      </x:c>
      <x:c r="H211" s="301" t="str">
        <x:v>Extend parameter definitions and KPI bindings with signal_kind, aggregation_kind, interpolation, weight basis, maximum gap, quality policy, counter-reset and time basis. Remove any silent DEFAULT 'Average'. Store grammar as product-owned enums/registry; customer parameters select it.</x:v>
      </x:c>
      <x:c r="I211" s="301" t="str">
        <x:v>Create Analog/State/Counter definitions and prove no aggregate can execute from data_type alone. Parameter or KPI binding may declare a valid method; absent semantics returns AG01. Invalid method for signal returns AG02. Fresh DB/replay green and no default Average in canonical schema.</x:v>
      </x:c>
      <x:c r="J211" s="301" t="n">
        <x:v>12</x:v>
      </x:c>
      <x:c r="K211" s="301" t="str">
        <x:v>Not Started</x:v>
      </x:c>
      <x:c r="L211" s="301" t="str">
        <x:v>Worker 1</x:v>
      </x:c>
      <x:c r="M211" s="301" t="str">
        <x:v>DO NOT CROSS OWNERSHIP</x:v>
      </x:c>
      <x:c r="N211" s="301" t="str">
        <x:v>Consume committed producer contracts; do not modify another lane's active files.</x:v>
      </x:c>
      <x:c r="O211" s="301" t="str">
        <x:v>T-090; T-209</x:v>
      </x:c>
      <x:c r="P211" s="301" t="str">
        <x:v>NEW v2.11.0 — 22-Aug generic customer/pilot rebaseline</x:v>
      </x:c>
      <x:c r="Q211" s="301" t="str">
        <x:v>Not Started — Master Design v4.9 current authority; implementation evidence required</x:v>
      </x:c>
      <x:c r="R211" s="301"/>
      <x:c r="S211" s="301" t="str">
        <x:v>NEW TASK REQUIRED</x:v>
      </x:c>
      <x:c r="T211" s="301" t="str">
        <x:v>The current model can store numeric/boolean values but cannot decide whether Average, duration, delta or time weighting is mathematically valid.</x:v>
      </x:c>
      <x:c r="U211" s="301" t="str">
        <x:v>Wrong-but-plausible aggregates are correctness failures; undeclared semantics refuse.</x:v>
      </x:c>
      <x:c r="V211" s="301" t="str">
        <x:v>T-090 + frozen T-209 contract; may proceed independently of T-231 persistence.</x:v>
      </x:c>
      <x:c r="W211" s="301" t="str">
        <x:v>One owner; parallel only across non-overlapping files.</x:v>
      </x:c>
      <x:c r="X211" s="301" t="str">
        <x:v>Critical</x:v>
      </x:c>
      <x:c r="Y211" s="301" t="str">
        <x:v>Master Design v4.9 consolidated authority — 22-Aug-2026</x:v>
      </x:c>
      <x:c r="Z211" s="301" t="str">
        <x:v>Track 2 — Real Customer Product</x:v>
      </x:c>
      <x:c r="AA211" s="301" t="str">
        <x:v>2026-09-12 Canonical Onboarding Gate</x:v>
      </x:c>
      <x:c r="AB211" s="301" t="str">
        <x:v>September Customer Critical</x:v>
      </x:c>
      <x:c r="AC211" s="301" t="str">
        <x:v>Generic product authority; no customer/demo-specific code.</x:v>
      </x:c>
      <x:c r="AD211" s="301" t="str">
        <x:v>High</x:v>
      </x:c>
      <x:c r="AE211" s="301" t="str">
        <x:v>Worker 1</x:v>
      </x:c>
      <x:c r="AF211" s="301" t="str">
        <x:v>Canonical schema / definitions</x:v>
      </x:c>
      <x:c r="AG211" s="301" t="str">
        <x:v>DB/schema authority</x:v>
      </x:c>
      <x:c r="AH211" s="301" t="n">
        <x:v>4</x:v>
      </x:c>
      <x:c r="AI211" s="301" t="n">
        <x:v>1.7</x:v>
      </x:c>
      <x:c r="AJ211" s="301" t="n">
        <x:v>3</x:v>
      </x:c>
      <x:c r="AK211" s="301" t="n">
        <x:v>5.1</x:v>
      </x:c>
      <x:c r="AL211" s="301" t="str">
        <x:v>R1-W1-07</x:v>
      </x:c>
      <x:c r="AM211" s="301" t="str">
        <x:v>T-209 + T-090. Complete before T-092 exposes measures and before T-211 integration.</x:v>
      </x:c>
      <x:c r="AN211" s="301" t="str">
        <x:v>Parameter definitions/KPI bindings/migrations/definition contract.</x:v>
      </x:c>
      <x:c r="AO211" s="301" t="str">
        <x:v>T-211 executes exactly this contract; no second aggregation registry.</x:v>
      </x:c>
      <x:c r="AP211" s="301" t="str">
        <x:v>T-090; T-209</x:v>
      </x:c>
      <x:c r="AQ211" s="301" t="str">
        <x:v>T-092; T-211; T-212</x:v>
      </x:c>
    </x:row>
    <x:row r="212">
      <x:c r="A212" s="301" t="str">
        <x:v>T-211</x:v>
      </x:c>
      <x:c r="B212" s="301" t="str">
        <x:v>M2b</x:v>
      </x:c>
      <x:c r="C212" s="301" t="str">
        <x:v>M2b-P0C</x:v>
      </x:c>
      <x:c r="D212" s="301" t="str">
        <x:v>Aggregation semantics execution kernel with continuous known answers</x:v>
      </x:c>
      <x:c r="E212" s="301" t="str">
        <x:v>Analytics Engine</x:v>
      </x:c>
      <x:c r="F212" s="301" t="str">
        <x:v>Aggregation kernel</x:v>
      </x:c>
      <x:c r="G212" s="301" t="str">
        <x:v>Critical</x:v>
      </x:c>
      <x:c r="H212" s="301" t="str">
        <x:v>Implement schema-independent aggregation kernels for SampleMean, TimeWeightedMean, Integral, Delta, StateDuration, Count, Min, Max and Last with quality/gap/reset rules and typed refusal. Use controlled fixtures, including irregular sampling, states and counters.</x:v>
      </x:c>
      <x:c r="I212" s="301" t="str">
        <x:v>Known answers match analytical construction; deliberately irregular data proves SampleMean and TimeWeightedMean differ where expected; state duration and counter reset cases pass; undeclared/invalid semantics refuse AG01/AG02. Zero industry vocabulary and no DB access.</x:v>
      </x:c>
      <x:c r="J212" s="301" t="n">
        <x:v>10</x:v>
      </x:c>
      <x:c r="K212" s="301" t="str">
        <x:v>Not Started</x:v>
      </x:c>
      <x:c r="L212" s="301" t="str">
        <x:v>Worker 3</x:v>
      </x:c>
      <x:c r="M212" s="301" t="str">
        <x:v>SAFE-NOW / isolated</x:v>
      </x:c>
      <x:c r="N212" s="301" t="str">
        <x:v>Worker 3 owns only the named AI/analytics contract/tests; no Worker-1 schema or Worker-2 UI edits.</x:v>
      </x:c>
      <x:c r="O212" s="301" t="str">
        <x:v>T-208 + T-210</x:v>
      </x:c>
      <x:c r="P212" s="301" t="str">
        <x:v>NEW v2.11.0 — 22-Aug generic customer/pilot rebaseline</x:v>
      </x:c>
      <x:c r="Q212" s="301" t="str">
        <x:v>Not Started — Master Design v4.9 current authority; implementation evidence required</x:v>
      </x:c>
      <x:c r="R212" s="301"/>
      <x:c r="S212" s="301" t="str">
        <x:v>NEW TASK REQUIRED</x:v>
      </x:c>
      <x:c r="T212" s="301" t="str">
        <x:v>Continuous-process calculations need explicit algebra rather than global AVG or blind time weighting.</x:v>
      </x:c>
      <x:c r="U212" s="301" t="str">
        <x:v>Mathematics is product grammar; customer signal declarations select the method.</x:v>
      </x:c>
      <x:c r="V212" s="301" t="str">
        <x:v>T-208 + T-210</x:v>
      </x:c>
      <x:c r="W212" s="301" t="str">
        <x:v>One owner; parallel only across non-overlapping files.</x:v>
      </x:c>
      <x:c r="X212" s="301" t="str">
        <x:v>High</x:v>
      </x:c>
      <x:c r="Y212" s="301" t="str">
        <x:v>Master Design v4.9 consolidated authority — 22-Aug-2026</x:v>
      </x:c>
      <x:c r="Z212" s="301" t="str">
        <x:v>Track 2 — Real Customer Product</x:v>
      </x:c>
      <x:c r="AA212" s="301" t="str">
        <x:v>2026-09-12 Canonical Onboarding Gate</x:v>
      </x:c>
      <x:c r="AB212" s="301" t="str">
        <x:v>September Customer Critical</x:v>
      </x:c>
      <x:c r="AC212" s="301" t="str">
        <x:v>Generic product authority; no customer/demo-specific code.</x:v>
      </x:c>
      <x:c r="AD212" s="301" t="str">
        <x:v>High</x:v>
      </x:c>
      <x:c r="AE212" s="301" t="str">
        <x:v>Worker 3</x:v>
      </x:c>
      <x:c r="AF212" s="301" t="str">
        <x:v>SAFE-NOW analytics kernel</x:v>
      </x:c>
      <x:c r="AG212" s="301" t="str">
        <x:v>Kernel isolated</x:v>
      </x:c>
      <x:c r="AH212" s="301" t="n">
        <x:v>6</x:v>
      </x:c>
      <x:c r="AI212" s="301" t="n">
        <x:v>1.5</x:v>
      </x:c>
      <x:c r="AJ212" s="301" t="n">
        <x:v>1.6666666666666667</x:v>
      </x:c>
      <x:c r="AK212" s="301" t="n">
        <x:v>2.5</x:v>
      </x:c>
      <x:c r="AL212" s="301" t="str">
        <x:v>R1-W3-03</x:v>
      </x:c>
      <x:c r="AM212" s="301" t="str">
        <x:v>T-208 fixture + T-210 frozen contract. No production DI/persistence until consumer hand-off.</x:v>
      </x:c>
      <x:c r="AN212" s="301" t="str">
        <x:v>New analytics kernel/tests only.</x:v>
      </x:c>
      <x:c r="AO212" s="301" t="str">
        <x:v>T-212 consumes this kernel unchanged; W3 does not edit dashboard query files.</x:v>
      </x:c>
      <x:c r="AP212" s="301" t="str">
        <x:v>T-208; T-210</x:v>
      </x:c>
      <x:c r="AQ212" s="301"/>
    </x:row>
    <x:row r="213">
      <x:c r="A213" s="301" t="str">
        <x:v>T-212</x:v>
      </x:c>
      <x:c r="B213" s="301" t="str">
        <x:v>M2a</x:v>
      </x:c>
      <x:c r="C213" s="301" t="str">
        <x:v>M2a-P1X</x:v>
      </x:c>
      <x:c r="D213" s="301" t="str">
        <x:v>Integrate aggregation semantics into Layer-A widget/query execution</x:v>
      </x:c>
      <x:c r="E213" s="301" t="str">
        <x:v>Backend/Frontend</x:v>
      </x:c>
      <x:c r="F213" s="301" t="str">
        <x:v>Dashboard query semantics</x:v>
      </x:c>
      <x:c r="G213" s="301" t="str">
        <x:v>Critical</x:v>
      </x:c>
      <x:c r="H213" s="301" t="str">
        <x:v>Make dashboard/query aggregation resolve the canonical KPI/parameter semantics and certified kernel/database implementation. Remove raw-cap-before-aggregate and implicit average fallbacks in all customer-facing measures touched by this contract.</x:v>
      </x:c>
      <x:c r="I213" s="301" t="str">
        <x:v>Persisted-definition replay on discrete and continuous fixtures proves exact known answers; no raw row limit is applied before aggregate; AG01/AG02 render typed Blocked/Refused rather than API 500. Query plan performs bounded server-side aggregation.</x:v>
      </x:c>
      <x:c r="J213" s="301" t="n">
        <x:v>10</x:v>
      </x:c>
      <x:c r="K213" s="301" t="str">
        <x:v>Not Started</x:v>
      </x:c>
      <x:c r="L213" s="301" t="str">
        <x:v>Worker 2</x:v>
      </x:c>
      <x:c r="M213" s="301" t="str">
        <x:v>DO NOT CROSS OWNERSHIP</x:v>
      </x:c>
      <x:c r="N213" s="301" t="str">
        <x:v>Consume committed producer contracts; do not modify another lane's active files.</x:v>
      </x:c>
      <x:c r="O213" s="301" t="str">
        <x:v>T-202; T-210; T-211; T-092; T-234; T-235; T-236</x:v>
      </x:c>
      <x:c r="P213" s="301" t="str">
        <x:v>NEW v2.11.0 — 22-Aug generic customer/pilot rebaseline</x:v>
      </x:c>
      <x:c r="Q213" s="301" t="str">
        <x:v>Not Started — Master Design v4.9 current authority; implementation evidence required</x:v>
      </x:c>
      <x:c r="R213" s="301"/>
      <x:c r="S213" s="301" t="str">
        <x:v>NEW TASK REQUIRED</x:v>
      </x:c>
      <x:c r="T213" s="301" t="str">
        <x:v>Legacy aggregate paths can produce plausible wrong values and current runtime cannot select continuous-process semantics safely.</x:v>
      </x:c>
      <x:c r="U213" s="301" t="str">
        <x:v>Customer-facing exact facts remain Layer A and must be mathematically defensible.</x:v>
      </x:c>
      <x:c r="V213" s="301" t="str">
        <x:v>T-202 + T-210 + T-211 + T-092 + T-234/T-235/T-236. Production Layer-A aggregation must apply declared regime boundaries and RG01 rather than bypass the regime guard.</x:v>
      </x:c>
      <x:c r="W213" s="301" t="str">
        <x:v>One owner; parallel only across non-overlapping files.</x:v>
      </x:c>
      <x:c r="X213" s="301" t="str">
        <x:v>Critical</x:v>
      </x:c>
      <x:c r="Y213" s="301" t="str">
        <x:v>Master Design v4.9 consolidated authority — 22-Aug-2026</x:v>
      </x:c>
      <x:c r="Z213" s="301" t="str">
        <x:v>Track 2 — Real Customer Product</x:v>
      </x:c>
      <x:c r="AA213" s="301" t="str">
        <x:v>2026-09-15 Customer Data Calculation Gate</x:v>
      </x:c>
      <x:c r="AB213" s="301" t="str">
        <x:v>September Customer Critical</x:v>
      </x:c>
      <x:c r="AC213" s="301" t="str">
        <x:v>Generic product authority; no customer/demo-specific code.</x:v>
      </x:c>
      <x:c r="AD213" s="301" t="str">
        <x:v>High</x:v>
      </x:c>
      <x:c r="AE213" s="301" t="str">
        <x:v>Worker 2</x:v>
      </x:c>
      <x:c r="AF213" s="301" t="str">
        <x:v>BI query integration</x:v>
      </x:c>
      <x:c r="AG213" s="301" t="str">
        <x:v>Cross-layer integration</x:v>
      </x:c>
      <x:c r="AH213" s="301" t="n">
        <x:v>3.5</x:v>
      </x:c>
      <x:c r="AI213" s="301" t="n">
        <x:v>1.8</x:v>
      </x:c>
      <x:c r="AJ213" s="301" t="n">
        <x:v>2.857142857142857</x:v>
      </x:c>
      <x:c r="AK213" s="301" t="n">
        <x:v>5.142857142857143</x:v>
      </x:c>
      <x:c r="AL213" s="301" t="str">
        <x:v>R1-W2-05</x:v>
      </x:c>
      <x:c r="AM213" s="301" t="str">
        <x:v>T-202 + T-210/T-211 + T-092 + committed T-234/T-235/T-236.</x:v>
      </x:c>
      <x:c r="AN213" s="301" t="str">
        <x:v>Dashboard query service/executor + focused frontend state mapping.</x:v>
      </x:c>
      <x:c r="AO213" s="301" t="str">
        <x:v>Consumes W1 semantics and W3 kernel; no independent aggregation rules.</x:v>
      </x:c>
      <x:c r="AP213" s="301" t="str">
        <x:v>T-202; T-210; T-211; T-092; T-234; T-235; T-236</x:v>
      </x:c>
      <x:c r="AQ213" s="301"/>
    </x:row>
    <x:row r="214">
      <x:c r="A214" s="301" t="str">
        <x:v>T-213</x:v>
      </x:c>
      <x:c r="B214" s="301" t="str">
        <x:v>M2a</x:v>
      </x:c>
      <x:c r="C214" s="301" t="str">
        <x:v>M2a-P1X</x:v>
      </x:c>
      <x:c r="D214" s="301" t="str">
        <x:v>Customer Data Intake and Capability Assessment authority</x:v>
      </x:c>
      <x:c r="E214" s="301" t="str">
        <x:v>Onboarding</x:v>
      </x:c>
      <x:c r="F214" s="301" t="str">
        <x:v>Customer data assessment</x:v>
      </x:c>
      <x:c r="G214" s="301" t="str">
        <x:v>Critical</x:v>
      </x:c>
      <x:c r="H214" s="301" t="str">
        <x:v>Create a versioned assessment workflow/report for an unknown customer: source inventory, entity/equipment map, time model, identity/join strategy, parameter catalogue, KPI candidates, references, aggregation gaps, data quality, historical coverage, reconciliation/ML eligibility, OT trial requirements and missing information. The intake MUST also capture same-calendar-window manual vs machine history availability, transition/changeover definitions and stabilisation rules, sequence/campaign boundaries, setup/preparation evidence, and customer objective sets/trade-off preferences. Accepted results become normal definitions/mappings; the assessment is not a second authority.</x:v>
      </x:c>
      <x:c r="I214" s="301" t="str">
        <x:v>Run against one foreign/customer-shaped fixture and produce a complete report with explicit UNKNOWN/MISSING states, including regime-context readiness and multi-objective readiness. Same-window reconciliation evidence is separately reported. No product-code change is made for customer vocabulary. Re-run after one new source/field creates a new assessment version and diff.</x:v>
      </x:c>
      <x:c r="J214" s="301" t="n">
        <x:v>8</x:v>
      </x:c>
      <x:c r="K214" s="301" t="str">
        <x:v>Not Started</x:v>
      </x:c>
      <x:c r="L214" s="301" t="str">
        <x:v>Worker 1</x:v>
      </x:c>
      <x:c r="M214" s="301" t="str">
        <x:v>DO NOT CROSS OWNERSHIP</x:v>
      </x:c>
      <x:c r="N214" s="301" t="str">
        <x:v>Consume committed producer contracts; do not modify another lane's active files.</x:v>
      </x:c>
      <x:c r="O214" s="301" t="str">
        <x:v>T-092; T-231; T-210</x:v>
      </x:c>
      <x:c r="P214" s="301" t="str">
        <x:v>NEW v2.11.0 — 22-Aug generic customer/pilot rebaseline</x:v>
      </x:c>
      <x:c r="Q214" s="301" t="str">
        <x:v>Not Started — Master Design v4.9 current authority; implementation evidence required</x:v>
      </x:c>
      <x:c r="R214" s="301"/>
      <x:c r="S214" s="301" t="str">
        <x:v>NEW TASK REQUIRED</x:v>
      </x:c>
      <x:c r="T214" s="301" t="str">
        <x:v>The customer will provide a structure on 2-Sep; the existing journey has no explicit first-class capability assessment artifact.</x:v>
      </x:c>
      <x:c r="U214" s="301" t="str">
        <x:v>Before building pages, establish what the data can support and what is missing.</x:v>
      </x:c>
      <x:c r="V214" s="301" t="str">
        <x:v>T-092 + T-231 + T-210; may start when customer structure arrives.</x:v>
      </x:c>
      <x:c r="W214" s="301" t="str">
        <x:v>One owner; parallel only across non-overlapping files.</x:v>
      </x:c>
      <x:c r="X214" s="301" t="str">
        <x:v>High</x:v>
      </x:c>
      <x:c r="Y214" s="301" t="str">
        <x:v>Master Design v4.9 consolidated authority — 22-Aug-2026</x:v>
      </x:c>
      <x:c r="Z214" s="301" t="str">
        <x:v>Track 2 — Real Customer Product</x:v>
      </x:c>
      <x:c r="AA214" s="301" t="str">
        <x:v>2026-09-05 Customer Data Assessment</x:v>
      </x:c>
      <x:c r="AB214" s="301" t="str">
        <x:v>September Customer Critical</x:v>
      </x:c>
      <x:c r="AC214" s="301" t="str">
        <x:v>Generic product authority; no customer/demo-specific code.</x:v>
      </x:c>
      <x:c r="AD214" s="301" t="str">
        <x:v>High</x:v>
      </x:c>
      <x:c r="AE214" s="301" t="str">
        <x:v>Worker 1</x:v>
      </x:c>
      <x:c r="AF214" s="301" t="str">
        <x:v>Canonical onboarding</x:v>
      </x:c>
      <x:c r="AG214" s="301" t="str">
        <x:v>Backend / product workflow</x:v>
      </x:c>
      <x:c r="AH214" s="301" t="n">
        <x:v>4</x:v>
      </x:c>
      <x:c r="AI214" s="301" t="n">
        <x:v>1.6</x:v>
      </x:c>
      <x:c r="AJ214" s="301" t="n">
        <x:v>2</x:v>
      </x:c>
      <x:c r="AK214" s="301" t="n">
        <x:v>3.2</x:v>
      </x:c>
      <x:c r="AL214" s="301" t="str">
        <x:v>R1-W1-08</x:v>
      </x:c>
      <x:c r="AM214" s="301" t="str">
        <x:v>T-092 + T-209 + T-210. Can begin the moment customer structure is available.</x:v>
      </x:c>
      <x:c r="AN214" s="301" t="str">
        <x:v>Onboarding assessment service/report; no customer-specific schema code.</x:v>
      </x:c>
      <x:c r="AO214" s="301" t="str">
        <x:v>Mappings/definitions become canonical through existing authorities; report does not become a shadow registry.</x:v>
      </x:c>
      <x:c r="AP214" s="301" t="str">
        <x:v>T-092; T-231; T-210</x:v>
      </x:c>
      <x:c r="AQ214" s="301"/>
    </x:row>
    <x:row r="215">
      <x:c r="A215" s="301" t="str">
        <x:v>T-214</x:v>
      </x:c>
      <x:c r="B215" s="301" t="str">
        <x:v>M2a</x:v>
      </x:c>
      <x:c r="C215" s="301" t="str">
        <x:v>M2a-P1X</x:v>
      </x:c>
      <x:c r="D215" s="301" t="str">
        <x:v>Performance Reference contract, precedence and scoring-semantics kernel</x:v>
      </x:c>
      <x:c r="E215" s="301" t="str">
        <x:v>Architecture / Analytics Engine</x:v>
      </x:c>
      <x:c r="F215" s="301" t="str">
        <x:v>Reference contract</x:v>
      </x:c>
      <x:c r="G215" s="301" t="str">
        <x:v>Critical</x:v>
      </x:c>
      <x:c r="H215" s="301" t="str">
        <x:v>Freeze declared Performance Reference kinds, scope precedence, directionality/scoring semantics, effective dating, ambiguity refusal RF01 and deterministic resolution as a schema-independent contract/kernel. No production persistence in this task.</x:v>
      </x:c>
      <x:c r="I215" s="301" t="str">
        <x:v>Known-answer contract tests cover HigherIsBetter, LowerIsBetter, InsideRange, ClosestToTarget, effective-date resolution and equal-authority ambiguity -&gt; RF01. Runs without production DB access.</x:v>
      </x:c>
      <x:c r="J215" s="301" t="n">
        <x:v>6</x:v>
      </x:c>
      <x:c r="K215" s="301" t="str">
        <x:v>Not Started</x:v>
      </x:c>
      <x:c r="L215" s="301" t="str">
        <x:v>Worker 3</x:v>
      </x:c>
      <x:c r="M215" s="301" t="str">
        <x:v>SAFE-NOW / isolated</x:v>
      </x:c>
      <x:c r="N215" s="301" t="str">
        <x:v>Reference contract/kernel only; no Worker-1 schema or Worker-2 BI files.</x:v>
      </x:c>
      <x:c r="O215" s="301" t="str">
        <x:v>T-209</x:v>
      </x:c>
      <x:c r="P215" s="301" t="str">
        <x:v>v2.12.0 — contract/persistence split for executable September critical path</x:v>
      </x:c>
      <x:c r="Q215" s="301" t="str">
        <x:v>Not Started — Master Design v4.9 current authority; implementation evidence required</x:v>
      </x:c>
      <x:c r="R215" s="301"/>
      <x:c r="S215" s="301" t="str">
        <x:v>NEW TASK REQUIRED</x:v>
      </x:c>
      <x:c r="T215" s="301" t="str">
        <x:v>The customer explicitly needs its own standard/target as the reference '100%', while current 'benchmark' terminology mixes different concepts.</x:v>
      </x:c>
      <x:c r="U215" s="301" t="str">
        <x:v>Use Performance Reference, not benchmark, for declared plant standards.</x:v>
      </x:c>
      <x:c r="V215" s="301" t="str">
        <x:v>Frozen contract can run in parallel with Worker-1 canonical chain; T-232 owns persistence.</x:v>
      </x:c>
      <x:c r="W215" s="301" t="str">
        <x:v>One owner; parallel only across non-overlapping files.</x:v>
      </x:c>
      <x:c r="X215" s="301" t="str">
        <x:v>High</x:v>
      </x:c>
      <x:c r="Y215" s="301" t="str">
        <x:v>Master Design v4.9 consolidated authority — 22-Aug-2026</x:v>
      </x:c>
      <x:c r="Z215" s="301" t="str">
        <x:v>Track 2 — Real Customer Product</x:v>
      </x:c>
      <x:c r="AA215" s="301" t="str">
        <x:v>2026-09-18 Reference Gate</x:v>
      </x:c>
      <x:c r="AB215" s="301" t="str">
        <x:v>September Customer Critical</x:v>
      </x:c>
      <x:c r="AC215" s="301" t="str">
        <x:v>Generic product authority; no customer/demo-specific code.</x:v>
      </x:c>
      <x:c r="AD215" s="301" t="str">
        <x:v>High</x:v>
      </x:c>
      <x:c r="AE215" s="301" t="str">
        <x:v>Worker 3</x:v>
      </x:c>
      <x:c r="AF215" s="301" t="str">
        <x:v>SAFE-NOW reference contract</x:v>
      </x:c>
      <x:c r="AG215" s="301" t="str">
        <x:v>Kernel/contract</x:v>
      </x:c>
      <x:c r="AH215" s="301" t="n">
        <x:v>6</x:v>
      </x:c>
      <x:c r="AI215" s="301" t="n">
        <x:v>1.5</x:v>
      </x:c>
      <x:c r="AJ215" s="301" t="n">
        <x:v>1</x:v>
      </x:c>
      <x:c r="AK215" s="301" t="n">
        <x:v>1.5</x:v>
      </x:c>
      <x:c r="AL215" s="301" t="str">
        <x:v>R1-W3-01</x:v>
      </x:c>
      <x:c r="AM215" s="301" t="str">
        <x:v>T-209 frozen generic subject contract.</x:v>
      </x:c>
      <x:c r="AN215" s="301" t="str">
        <x:v>Reference contract/resolver tests only.</x:v>
      </x:c>
      <x:c r="AO215" s="301" t="str">
        <x:v>T-232 persists reference authority; consumers do not redefine scoring semantics.</x:v>
      </x:c>
      <x:c r="AP215" s="301" t="str">
        <x:v>T-209</x:v>
      </x:c>
      <x:c r="AQ215" s="301" t="str">
        <x:v>T-232; T-215; T-223</x:v>
      </x:c>
    </x:row>
    <x:row r="216">
      <x:c r="A216" s="301" t="str">
        <x:v>T-215</x:v>
      </x:c>
      <x:c r="B216" s="301" t="str">
        <x:v>M2a</x:v>
      </x:c>
      <x:c r="C216" s="301" t="str">
        <x:v>M2a-P1X</x:v>
      </x:c>
      <x:c r="D216" s="301" t="str">
        <x:v>Reference gap, attainment and envelope measures in registry/BI</x:v>
      </x:c>
      <x:c r="E216" s="301" t="str">
        <x:v>Frontend/Backend</x:v>
      </x:c>
      <x:c r="F216" s="301" t="str">
        <x:v>Reference analytics</x:v>
      </x:c>
      <x:c r="G216" s="301" t="str">
        <x:v>Very Important</x:v>
      </x:c>
      <x:c r="H216" s="301" t="str">
        <x:v>Expose governed derived measures: GapToReference, NormalizedDeviation, InEnvelope, DistanceToBoundary and Attainment where mathematically valid. Bind them as registry measures without creating a second reference authority.</x:v>
      </x:c>
      <x:c r="I216" s="301" t="str">
        <x:v>Top reference cases higher-is-better, lower-is-better and inside-range produce known answers and correct labels/provenance. An inapplicable attainment formula refuses rather than displaying a misleading percentage. Measures are usable in Page Builder without code per customer reference.</x:v>
      </x:c>
      <x:c r="J216" s="301" t="n">
        <x:v>10</x:v>
      </x:c>
      <x:c r="K216" s="301" t="str">
        <x:v>Not Started</x:v>
      </x:c>
      <x:c r="L216" s="301" t="str">
        <x:v>Worker 2</x:v>
      </x:c>
      <x:c r="M216" s="301" t="str">
        <x:v>DO NOT CROSS OWNERSHIP</x:v>
      </x:c>
      <x:c r="N216" s="301" t="str">
        <x:v>Consume committed producer contracts; do not modify another lane's active files.</x:v>
      </x:c>
      <x:c r="O216" s="301" t="str">
        <x:v>T-092; T-214; T-232</x:v>
      </x:c>
      <x:c r="P216" s="301" t="str">
        <x:v>NEW v2.11.0 — 22-Aug generic customer/pilot rebaseline</x:v>
      </x:c>
      <x:c r="Q216" s="301" t="str">
        <x:v>Not Started — Master Design v4.9 current authority; implementation evidence required</x:v>
      </x:c>
      <x:c r="R216" s="301"/>
      <x:c r="S216" s="301" t="str">
        <x:v>NEW TASK REQUIRED</x:v>
      </x:c>
      <x:c r="T216" s="301" t="str">
        <x:v>A universal actual/target percentage inverts lower-is-better metrics and misrepresents target bands.</x:v>
      </x:c>
      <x:c r="U216" s="301" t="str">
        <x:v>Reference math follows declared scoring semantics and preserves engineering units.</x:v>
      </x:c>
      <x:c r="V216" s="301" t="str">
        <x:v>T-092 + frozen reference contract T-214 + persistence T-232.</x:v>
      </x:c>
      <x:c r="W216" s="301" t="str">
        <x:v>One owner; parallel only across non-overlapping files.</x:v>
      </x:c>
      <x:c r="X216" s="301" t="str">
        <x:v>High</x:v>
      </x:c>
      <x:c r="Y216" s="301" t="str">
        <x:v>Master Design v4.9 consolidated authority — 22-Aug-2026</x:v>
      </x:c>
      <x:c r="Z216" s="301" t="str">
        <x:v>Track 2 — Real Customer Product</x:v>
      </x:c>
      <x:c r="AA216" s="301" t="str">
        <x:v>2026-09-20 Reference Demo Gate</x:v>
      </x:c>
      <x:c r="AB216" s="301" t="str">
        <x:v>September Customer Critical</x:v>
      </x:c>
      <x:c r="AC216" s="301" t="str">
        <x:v>Generic product authority; no customer/demo-specific code.</x:v>
      </x:c>
      <x:c r="AD216" s="301" t="str">
        <x:v>High</x:v>
      </x:c>
      <x:c r="AE216" s="301" t="str">
        <x:v>Worker 2</x:v>
      </x:c>
      <x:c r="AF216" s="301" t="str">
        <x:v>BI measure integration</x:v>
      </x:c>
      <x:c r="AG216" s="301" t="str">
        <x:v>Frontend/backend integration</x:v>
      </x:c>
      <x:c r="AH216" s="301" t="n">
        <x:v>4</x:v>
      </x:c>
      <x:c r="AI216" s="301" t="n">
        <x:v>1.6</x:v>
      </x:c>
      <x:c r="AJ216" s="301" t="n">
        <x:v>2.5</x:v>
      </x:c>
      <x:c r="AK216" s="301" t="n">
        <x:v>4</x:v>
      </x:c>
      <x:c r="AL216" s="301" t="str">
        <x:v>R1-W2-06</x:v>
      </x:c>
      <x:c r="AM216" s="301" t="str">
        <x:v>T-092 + T-214.</x:v>
      </x:c>
      <x:c r="AN216" s="301" t="str">
        <x:v>Registry projection + query measures + widget labels.</x:v>
      </x:c>
      <x:c r="AO216" s="301" t="str">
        <x:v>Consume reference ID/version and scoring semantics; no local UI formula.</x:v>
      </x:c>
      <x:c r="AP216" s="301" t="str">
        <x:v>T-092; T-214; T-232</x:v>
      </x:c>
      <x:c r="AQ216" s="301"/>
    </x:row>
    <x:row r="217">
      <x:c r="A217" s="301" t="str">
        <x:v>T-216</x:v>
      </x:c>
      <x:c r="B217" s="301" t="str">
        <x:v>M2a</x:v>
      </x:c>
      <x:c r="C217" s="301" t="str">
        <x:v>M2a-P1X</x:v>
      </x:c>
      <x:c r="D217" s="301" t="str">
        <x:v>Source Time Authority contract and timestamp-semantics kernel</x:v>
      </x:c>
      <x:c r="E217" s="301" t="str">
        <x:v>Architecture / Analytics Engine</x:v>
      </x:c>
      <x:c r="F217" s="301" t="str">
        <x:v>Temporal authority contract</x:v>
      </x:c>
      <x:c r="G217" s="301" t="str">
        <x:v>Critical</x:v>
      </x:c>
      <x:c r="H217" s="301" t="str">
        <x:v>Freeze the per-source time contract: timezone, timestamp basis/origin, DST policy, clock reference, observed skew, maximum tolerated skew, and source/server/ingest timestamp semantics. No production persistence in this task.</x:v>
      </x:c>
      <x:c r="I217" s="301" t="str">
        <x:v>Known-answer contract tests distinguish source/server/ingest timestamps and prove skew beyond tolerance yields TemporalUncertain rather than conflict. Runs without production DB access.</x:v>
      </x:c>
      <x:c r="J217" s="301" t="n">
        <x:v>5</x:v>
      </x:c>
      <x:c r="K217" s="301" t="str">
        <x:v>Not Started</x:v>
      </x:c>
      <x:c r="L217" s="301" t="str">
        <x:v>Worker 3</x:v>
      </x:c>
      <x:c r="M217" s="301" t="str">
        <x:v>SAFE-NOW / isolated</x:v>
      </x:c>
      <x:c r="N217" s="301" t="str">
        <x:v>Temporal contract/kernel only; no production schema or settings UI.</x:v>
      </x:c>
      <x:c r="O217" s="301" t="str">
        <x:v>T-208</x:v>
      </x:c>
      <x:c r="P217" s="301" t="str">
        <x:v>v2.12.0 — contract/persistence split for executable September critical path</x:v>
      </x:c>
      <x:c r="Q217" s="301" t="str">
        <x:v>Not Started — Master Design v4.9 current authority; implementation evidence required</x:v>
      </x:c>
      <x:c r="R217" s="301"/>
      <x:c r="S217" s="301" t="str">
        <x:v>NEW TASK REQUIRED</x:v>
      </x:c>
      <x:c r="T217" s="301" t="str">
        <x:v>Cross-source downtime/machine comparisons can become false conflicts when source clocks or timestamp bases differ.</x:v>
      </x:c>
      <x:c r="U217" s="301" t="str">
        <x:v>Time is a modelled product authority, not a data-quality footnote.</x:v>
      </x:c>
      <x:c r="V217" s="301" t="str">
        <x:v>T-208 fixture only. T-233 later persists this contract; T-217 may consume it immediately.</x:v>
      </x:c>
      <x:c r="W217" s="301" t="str">
        <x:v>One owner; parallel only across non-overlapping files.</x:v>
      </x:c>
      <x:c r="X217" s="301" t="str">
        <x:v>Critical</x:v>
      </x:c>
      <x:c r="Y217" s="301" t="str">
        <x:v>Master Design v4.9 consolidated authority — 22-Aug-2026</x:v>
      </x:c>
      <x:c r="Z217" s="301" t="str">
        <x:v>Track 2 — Real Customer Product</x:v>
      </x:c>
      <x:c r="AA217" s="301" t="str">
        <x:v>2026-09-15 Temporal Gate</x:v>
      </x:c>
      <x:c r="AB217" s="301" t="str">
        <x:v>September Customer Critical</x:v>
      </x:c>
      <x:c r="AC217" s="301" t="str">
        <x:v>Generic product authority; no customer/demo-specific code.</x:v>
      </x:c>
      <x:c r="AD217" s="301" t="str">
        <x:v>High</x:v>
      </x:c>
      <x:c r="AE217" s="301" t="str">
        <x:v>Worker 3</x:v>
      </x:c>
      <x:c r="AF217" s="301" t="str">
        <x:v>SAFE-NOW temporal contract</x:v>
      </x:c>
      <x:c r="AG217" s="301" t="str">
        <x:v>Kernel/contract</x:v>
      </x:c>
      <x:c r="AH217" s="301" t="n">
        <x:v>6</x:v>
      </x:c>
      <x:c r="AI217" s="301" t="n">
        <x:v>1.5</x:v>
      </x:c>
      <x:c r="AJ217" s="301" t="n">
        <x:v>0.8333333333</x:v>
      </x:c>
      <x:c r="AK217" s="301" t="n">
        <x:v>1.25</x:v>
      </x:c>
      <x:c r="AL217" s="301" t="str">
        <x:v>R1-W3-02</x:v>
      </x:c>
      <x:c r="AM217" s="301" t="str">
        <x:v>T-208 fixture; no canonical DB dependency.</x:v>
      </x:c>
      <x:c r="AN217" s="301" t="str">
        <x:v>Temporal contract/tests only.</x:v>
      </x:c>
      <x:c r="AO217" s="301" t="str">
        <x:v>T-233 persists source-time authority; T-217 consumes contract without waiting for persistence.</x:v>
      </x:c>
      <x:c r="AP217" s="301" t="str">
        <x:v>T-208</x:v>
      </x:c>
      <x:c r="AQ217" s="301" t="str">
        <x:v>T-233; T-217</x:v>
      </x:c>
    </x:row>
    <x:row r="218">
      <x:c r="A218" s="301" t="str">
        <x:v>T-217</x:v>
      </x:c>
      <x:c r="B218" s="301" t="str">
        <x:v>M2b</x:v>
      </x:c>
      <x:c r="C218" s="301" t="str">
        <x:v>M2b-P0C</x:v>
      </x:c>
      <x:c r="D218" s="301" t="str">
        <x:v>Temporal evidence alignment kernel</x:v>
      </x:c>
      <x:c r="E218" s="301" t="str">
        <x:v>Analytics Engine</x:v>
      </x:c>
      <x:c r="F218" s="301" t="str">
        <x:v>Temporal alignment</x:v>
      </x:c>
      <x:c r="G218" s="301" t="str">
        <x:v>Critical</x:v>
      </x:c>
      <x:c r="H218" s="301" t="str">
        <x:v>Build an isolated kernel for source clock adjustment, interval overlap, tolerance windows, incomplete interval handling and TemporalUncertain refusal. It consumes Source Time Authority, not raw timezone assumptions.</x:v>
      </x:c>
      <x:c r="I218" s="301" t="str">
        <x:v>Known-answer skew/overlap fixtures pass; DST/local-vs-UTC case is aligned only with declared authority; skew beyond tolerance returns TM01/TemporalUncertain rather than conflict. Deterministic repeatability and no DB access.</x:v>
      </x:c>
      <x:c r="J218" s="301" t="n">
        <x:v>10</x:v>
      </x:c>
      <x:c r="K218" s="301" t="str">
        <x:v>Not Started</x:v>
      </x:c>
      <x:c r="L218" s="301" t="str">
        <x:v>Worker 3</x:v>
      </x:c>
      <x:c r="M218" s="301" t="str">
        <x:v>SAFE-NOW / isolated</x:v>
      </x:c>
      <x:c r="N218" s="301" t="str">
        <x:v>Worker 3 owns only the named AI/analytics contract/tests; no Worker-1 schema or Worker-2 UI edits.</x:v>
      </x:c>
      <x:c r="O218" s="301" t="str">
        <x:v>T-208; T-216</x:v>
      </x:c>
      <x:c r="P218" s="301" t="str">
        <x:v>NEW v2.11.0 — 22-Aug generic customer/pilot rebaseline</x:v>
      </x:c>
      <x:c r="Q218" s="301" t="str">
        <x:v>Not Started — Master Design v4.9 current authority; implementation evidence required</x:v>
      </x:c>
      <x:c r="R218" s="301"/>
      <x:c r="S218" s="301" t="str">
        <x:v>NEW TASK REQUIRED</x:v>
      </x:c>
      <x:c r="T218" s="301" t="str">
        <x:v>Reconciliation is unsafe without explicit source time semantics and tolerance.</x:v>
      </x:c>
      <x:c r="U218" s="301" t="str">
        <x:v>Clock uncertainty blocks conflict classification.</x:v>
      </x:c>
      <x:c r="V218" s="301" t="str">
        <x:v>T-208 + T-216 frozen time contract. Persistence T-233 is not required for isolated kernel proof.</x:v>
      </x:c>
      <x:c r="W218" s="301" t="str">
        <x:v>One owner; parallel only across non-overlapping files.</x:v>
      </x:c>
      <x:c r="X218" s="301" t="str">
        <x:v>Critical</x:v>
      </x:c>
      <x:c r="Y218" s="301" t="str">
        <x:v>Master Design v4.9 consolidated authority — 22-Aug-2026</x:v>
      </x:c>
      <x:c r="Z218" s="301" t="str">
        <x:v>Track 2 — Real Customer Product</x:v>
      </x:c>
      <x:c r="AA218" s="301" t="str">
        <x:v>2026-09-18 Reconciliation Prerequisite</x:v>
      </x:c>
      <x:c r="AB218" s="301" t="str">
        <x:v>September Customer Critical</x:v>
      </x:c>
      <x:c r="AC218" s="301" t="str">
        <x:v>Generic product authority; no customer/demo-specific code.</x:v>
      </x:c>
      <x:c r="AD218" s="301" t="str">
        <x:v>High</x:v>
      </x:c>
      <x:c r="AE218" s="301" t="str">
        <x:v>Worker 3</x:v>
      </x:c>
      <x:c r="AF218" s="301" t="str">
        <x:v>SAFE-NOW reconciliation kernel</x:v>
      </x:c>
      <x:c r="AG218" s="301" t="str">
        <x:v>Kernel isolated</x:v>
      </x:c>
      <x:c r="AH218" s="301" t="n">
        <x:v>6</x:v>
      </x:c>
      <x:c r="AI218" s="301" t="n">
        <x:v>1.5</x:v>
      </x:c>
      <x:c r="AJ218" s="301" t="n">
        <x:v>1.6666666666666667</x:v>
      </x:c>
      <x:c r="AK218" s="301" t="n">
        <x:v>2.5</x:v>
      </x:c>
      <x:c r="AL218" s="301" t="str">
        <x:v>R1-W3-04</x:v>
      </x:c>
      <x:c r="AM218" s="301" t="str">
        <x:v>T-208 fixture + T-216 frozen contract.</x:v>
      </x:c>
      <x:c r="AN218" s="301" t="str">
        <x:v>New temporal kernel/tests only.</x:v>
      </x:c>
      <x:c r="AO218" s="301" t="str">
        <x:v>T-219 consumes alignment output; does not reimplement clock logic.</x:v>
      </x:c>
      <x:c r="AP218" s="301" t="str">
        <x:v>T-208; T-216</x:v>
      </x:c>
      <x:c r="AQ218" s="301" t="str">
        <x:v>T-219</x:v>
      </x:c>
    </x:row>
    <x:row r="219">
      <x:c r="A219" s="301" t="str">
        <x:v>T-218</x:v>
      </x:c>
      <x:c r="B219" s="301" t="str">
        <x:v>M2b</x:v>
      </x:c>
      <x:c r="C219" s="301" t="str">
        <x:v>M2b-P0C</x:v>
      </x:c>
      <x:c r="D219" s="301" t="str">
        <x:v>Fact Evidence Authority resolution kernel</x:v>
      </x:c>
      <x:c r="E219" s="301" t="str">
        <x:v>Analytics Engine</x:v>
      </x:c>
      <x:c r="F219" s="301" t="str">
        <x:v>Evidence authority</x:v>
      </x:c>
      <x:c r="G219" s="301" t="str">
        <x:v>Critical</x:v>
      </x:c>
      <x:c r="H219" s="301" t="str">
        <x:v>Define/implement fact-specific evidence authority resolution: for each semantic fact, resolve Primary/Supporting/Corroborating sources, quality floor and effective date. No global source ranking and no PLC-is-truth shortcut.</x:v>
      </x:c>
      <x:c r="I219" s="301" t="str">
        <x:v>Known-answer cases distinguish valve command vs valve feedback, motor electrical state vs production-order fact, and manual declared reason. Same source may be primary for one fact and irrelevant for another. Ambiguous/missing primary authority returns typed evidence-unavailable state.</x:v>
      </x:c>
      <x:c r="J219" s="301" t="n">
        <x:v>8</x:v>
      </x:c>
      <x:c r="K219" s="301" t="str">
        <x:v>Not Started</x:v>
      </x:c>
      <x:c r="L219" s="301" t="str">
        <x:v>Worker 3</x:v>
      </x:c>
      <x:c r="M219" s="301" t="str">
        <x:v>SAFE-NOW / isolated</x:v>
      </x:c>
      <x:c r="N219" s="301" t="str">
        <x:v>Worker 3 owns only the named AI/analytics contract/tests; no Worker-1 schema or Worker-2 UI edits.</x:v>
      </x:c>
      <x:c r="O219" s="301" t="str">
        <x:v>T-208</x:v>
      </x:c>
      <x:c r="P219" s="301" t="str">
        <x:v>NEW v2.11.0 — 22-Aug generic customer/pilot rebaseline</x:v>
      </x:c>
      <x:c r="Q219" s="301" t="str">
        <x:v>Not Started — Master Design v4.9 current authority; implementation evidence required</x:v>
      </x:c>
      <x:c r="R219" s="301"/>
      <x:c r="S219" s="301" t="str">
        <x:v>NEW TASK REQUIRED</x:v>
      </x:c>
      <x:c r="T219" s="301" t="str">
        <x:v>Treating machine evidence as globally authoritative simply replaces one naive source hierarchy with another.</x:v>
      </x:c>
      <x:c r="U219" s="301" t="str">
        <x:v>Authority is semantic-fact specific and customer-configured.</x:v>
      </x:c>
      <x:c r="V219" s="301" t="str">
        <x:v>T-208. Persistence of tenant fact-authority rows waits for canonical/security integration; pure resolver is SAFE-NOW.</x:v>
      </x:c>
      <x:c r="W219" s="301" t="str">
        <x:v>One owner; parallel only across non-overlapping files.</x:v>
      </x:c>
      <x:c r="X219" s="301" t="str">
        <x:v>High</x:v>
      </x:c>
      <x:c r="Y219" s="301" t="str">
        <x:v>Master Design v4.9 consolidated authority — 22-Aug-2026</x:v>
      </x:c>
      <x:c r="Z219" s="301" t="str">
        <x:v>Track 2 — Real Customer Product</x:v>
      </x:c>
      <x:c r="AA219" s="301" t="str">
        <x:v>2026-09-18 Reconciliation Prerequisite</x:v>
      </x:c>
      <x:c r="AB219" s="301" t="str">
        <x:v>September Customer Critical</x:v>
      </x:c>
      <x:c r="AC219" s="301" t="str">
        <x:v>Generic product authority; no customer/demo-specific code.</x:v>
      </x:c>
      <x:c r="AD219" s="301" t="str">
        <x:v>High</x:v>
      </x:c>
      <x:c r="AE219" s="301" t="str">
        <x:v>Worker 3</x:v>
      </x:c>
      <x:c r="AF219" s="301" t="str">
        <x:v>SAFE-NOW reconciliation kernel</x:v>
      </x:c>
      <x:c r="AG219" s="301" t="str">
        <x:v>Kernel isolated</x:v>
      </x:c>
      <x:c r="AH219" s="301" t="n">
        <x:v>6</x:v>
      </x:c>
      <x:c r="AI219" s="301" t="n">
        <x:v>1.5</x:v>
      </x:c>
      <x:c r="AJ219" s="301" t="n">
        <x:v>1.3333333333333333</x:v>
      </x:c>
      <x:c r="AK219" s="301" t="n">
        <x:v>2</x:v>
      </x:c>
      <x:c r="AL219" s="301" t="str">
        <x:v>R2-W3-05</x:v>
      </x:c>
      <x:c r="AM219" s="301" t="str">
        <x:v>T-090 semantic definitions + T-208 fixture. Persistence waits for T-112/T-114; pure kernel may start earlier.</x:v>
      </x:c>
      <x:c r="AN219" s="301" t="str">
        <x:v>New evidence-authority contracts/kernel/tests.</x:v>
      </x:c>
      <x:c r="AO219" s="301" t="str">
        <x:v>T-219 consumes authority result; no source priority duplicated elsewhere.</x:v>
      </x:c>
      <x:c r="AP219" s="301" t="str">
        <x:v>T-208</x:v>
      </x:c>
      <x:c r="AQ219" s="301" t="str">
        <x:v>T-219</x:v>
      </x:c>
    </x:row>
    <x:row r="220">
      <x:c r="A220" s="301" t="str">
        <x:v>T-219</x:v>
      </x:c>
      <x:c r="B220" s="301" t="str">
        <x:v>M2b</x:v>
      </x:c>
      <x:c r="C220" s="301" t="str">
        <x:v>M2b-P0C</x:v>
      </x:c>
      <x:c r="D220" s="301" t="str">
        <x:v>Operational Evidence Reconciliation kernel and seven-state taxonomy</x:v>
      </x:c>
      <x:c r="E220" s="301" t="str">
        <x:v>Analytics Engine</x:v>
      </x:c>
      <x:c r="F220" s="301" t="str">
        <x:v>Reconciliation</x:v>
      </x:c>
      <x:c r="G220" s="301" t="str">
        <x:v>Critical</x:v>
      </x:c>
      <x:c r="H220" s="301" t="str">
        <x:v>Reconcile independently sourced assertions over the same aligned interval using temporal result, evidence quality and fact authority. Output Aligned, PartiallyAligned, MissingEvidence, TemporalUncertain, ConflictingEvidence, LikelyMisclassified or Unresolved with discrepancy evidence. For September, the kernel also emits the standard governed Finding/analysis-result projection with evidence handles so existing generic surfaces can consume it without a new persistence schema.</x:v>
      </x:c>
      <x:c r="I220" s="301" t="str">
        <x:v>Historical manual/business/machine fixture for the same calendar window produces predeclared states; missing machine/business evidence refuses classification; temporal-uncertain case never becomes conflict. No operator/person identity or intent field exists. The standard governed result projection is deterministic and carries the reconciliation state, evidence handles and causal-confidence input required by T-222/T-223.</x:v>
      </x:c>
      <x:c r="J220" s="301" t="n">
        <x:v>12</x:v>
      </x:c>
      <x:c r="K220" s="301" t="str">
        <x:v>Not Started</x:v>
      </x:c>
      <x:c r="L220" s="301" t="str">
        <x:v>Worker 3</x:v>
      </x:c>
      <x:c r="M220" s="301" t="str">
        <x:v>SAFE-NOW / isolated</x:v>
      </x:c>
      <x:c r="N220" s="301" t="str">
        <x:v>Worker 3 owns only the named AI/analytics contract/tests; no Worker-1 schema or Worker-2 UI edits.</x:v>
      </x:c>
      <x:c r="O220" s="301" t="str">
        <x:v>T-217 + T-218 + T-236</x:v>
      </x:c>
      <x:c r="P220" s="301" t="str">
        <x:v>NEW v2.11.0 — 22-Aug generic customer/pilot rebaseline</x:v>
      </x:c>
      <x:c r="Q220" s="301" t="str">
        <x:v>Not Started — Master Design v4.9 current authority; implementation evidence required</x:v>
      </x:c>
      <x:c r="R220" s="301"/>
      <x:c r="S220" s="301" t="str">
        <x:v>NEW TASK REQUIRED</x:v>
      </x:c>
      <x:c r="T220" s="301" t="str">
        <x:v>Customer explicitly expects detection of inconsistent manual records versus machine/business evidence.</x:v>
      </x:c>
      <x:c r="U220" s="301" t="str">
        <x:v>Build source reconciliation, not lie detection; prove discrepancy, never intent.</x:v>
      </x:c>
      <x:c r="V220" s="301" t="str">
        <x:v>T-217 + T-218 + T-236</x:v>
      </x:c>
      <x:c r="W220" s="301" t="str">
        <x:v>One owner; parallel only across non-overlapping files.</x:v>
      </x:c>
      <x:c r="X220" s="301" t="str">
        <x:v>High</x:v>
      </x:c>
      <x:c r="Y220" s="301" t="str">
        <x:v>Master Design v4.9 consolidated authority — 22-Aug-2026</x:v>
      </x:c>
      <x:c r="Z220" s="301" t="str">
        <x:v>Track 2 — Real Customer Product</x:v>
      </x:c>
      <x:c r="AA220" s="301" t="str">
        <x:v>2026-09-22 Reconciliation Kernel</x:v>
      </x:c>
      <x:c r="AB220" s="301" t="str">
        <x:v>September Customer Critical</x:v>
      </x:c>
      <x:c r="AC220" s="301" t="str">
        <x:v>Generic product authority; no customer/demo-specific code.</x:v>
      </x:c>
      <x:c r="AD220" s="301" t="str">
        <x:v>High</x:v>
      </x:c>
      <x:c r="AE220" s="301" t="str">
        <x:v>Worker 3</x:v>
      </x:c>
      <x:c r="AF220" s="301" t="str">
        <x:v>SAFE-NOW reconciliation kernel</x:v>
      </x:c>
      <x:c r="AG220" s="301" t="str">
        <x:v>Kernel isolated</x:v>
      </x:c>
      <x:c r="AH220" s="301" t="n">
        <x:v>6</x:v>
      </x:c>
      <x:c r="AI220" s="301" t="n">
        <x:v>1.6</x:v>
      </x:c>
      <x:c r="AJ220" s="301" t="n">
        <x:v>2</x:v>
      </x:c>
      <x:c r="AK220" s="301" t="n">
        <x:v>3.2</x:v>
      </x:c>
      <x:c r="AL220" s="301" t="str">
        <x:v>R2-W3-06</x:v>
      </x:c>
      <x:c r="AM220" s="301" t="str">
        <x:v>T-217 + T-218 + T-236.</x:v>
      </x:c>
      <x:c r="AN220" s="301" t="str">
        <x:v>New reconciliation kernel/tests only.</x:v>
      </x:c>
      <x:c r="AO220" s="301" t="str">
        <x:v>T-220 adds claim confidence; T-221 persists output after canonical/security hand-off.</x:v>
      </x:c>
      <x:c r="AP220" s="301" t="str">
        <x:v>T-217; T-218; T-236</x:v>
      </x:c>
      <x:c r="AQ220" s="301" t="str">
        <x:v>T-220; T-222; T-223</x:v>
      </x:c>
    </x:row>
    <x:row r="221">
      <x:c r="A221" s="301" t="str">
        <x:v>T-220</x:v>
      </x:c>
      <x:c r="B221" s="301" t="str">
        <x:v>M2b</x:v>
      </x:c>
      <x:c r="C221" s="301" t="str">
        <x:v>M2b-P0C</x:v>
      </x:c>
      <x:c r="D221" s="301" t="str">
        <x:v>Causal Confidence Ladder and root-cause hypothesis evaluator</x:v>
      </x:c>
      <x:c r="E221" s="301" t="str">
        <x:v>Analytics Engine</x:v>
      </x:c>
      <x:c r="F221" s="301" t="str">
        <x:v>Claim governance</x:v>
      </x:c>
      <x:c r="G221" s="301" t="str">
        <x:v>Critical</x:v>
      </x:c>
      <x:c r="H221" s="301" t="str">
        <x:v>Implement L0 Observed Fact, L1 Discrepancy, L2 Statistical Association, L3 Temporally Supported Hypothesis, L4 Mechanistically Supported Hypothesis, L5 Confirmed Cause. L5 requires governed external/human confirmation; language cannot upgrade level.</x:v>
      </x:c>
      <x:c r="I221" s="301" t="str">
        <x:v>Known cases land at each level for the exact evidence reasons. Removing confirmation downgrades L5. A test fails any phrase/API mapping that calls L2-L4 'confirmed root cause'. Output carries what evidence is missing for the next level.</x:v>
      </x:c>
      <x:c r="J221" s="301" t="n">
        <x:v>8</x:v>
      </x:c>
      <x:c r="K221" s="301" t="str">
        <x:v>Not Started</x:v>
      </x:c>
      <x:c r="L221" s="301" t="str">
        <x:v>Worker 3</x:v>
      </x:c>
      <x:c r="M221" s="301" t="str">
        <x:v>DO NOT CROSS OWNERSHIP</x:v>
      </x:c>
      <x:c r="N221" s="301" t="str">
        <x:v>Worker 3 owns only the named AI/analytics contract/tests; no Worker-1 schema or Worker-2 UI edits.</x:v>
      </x:c>
      <x:c r="O221" s="301" t="str">
        <x:v>T-219</x:v>
      </x:c>
      <x:c r="P221" s="301" t="str">
        <x:v>NEW v2.11.0 — 22-Aug generic customer/pilot rebaseline</x:v>
      </x:c>
      <x:c r="Q221" s="301" t="str">
        <x:v>Not Started — Master Design v4.9 current authority; implementation evidence required</x:v>
      </x:c>
      <x:c r="R221" s="301"/>
      <x:c r="S221" s="301" t="str">
        <x:v>NEW TASK REQUIRED</x:v>
      </x:c>
      <x:c r="T221" s="301" t="str">
        <x:v>The customer asks 'real root cause'; current association/refusal doctrine needs an operational evidence ladder.</x:v>
      </x:c>
      <x:c r="U221" s="301" t="str">
        <x:v>Below L5 use 'strongest supported root-cause hypothesis'.</x:v>
      </x:c>
      <x:c r="V221" s="301" t="str">
        <x:v>T-219</x:v>
      </x:c>
      <x:c r="W221" s="301" t="str">
        <x:v>One owner; parallel only across non-overlapping files.</x:v>
      </x:c>
      <x:c r="X221" s="301" t="str">
        <x:v>High</x:v>
      </x:c>
      <x:c r="Y221" s="301" t="str">
        <x:v>Master Design v4.9 consolidated authority — 22-Aug-2026</x:v>
      </x:c>
      <x:c r="Z221" s="301" t="str">
        <x:v>Track 2 — Real Customer Product</x:v>
      </x:c>
      <x:c r="AA221" s="301" t="str">
        <x:v>2026-09-22 Reconciliation Kernel</x:v>
      </x:c>
      <x:c r="AB221" s="301" t="str">
        <x:v>September Customer Critical</x:v>
      </x:c>
      <x:c r="AC221" s="301" t="str">
        <x:v>Generic product authority; no customer/demo-specific code.</x:v>
      </x:c>
      <x:c r="AD221" s="301" t="str">
        <x:v>High</x:v>
      </x:c>
      <x:c r="AE221" s="301" t="str">
        <x:v>Worker 3</x:v>
      </x:c>
      <x:c r="AF221" s="301" t="str">
        <x:v>SAFE-NOW reconciliation kernel</x:v>
      </x:c>
      <x:c r="AG221" s="301" t="str">
        <x:v>Kernel isolated</x:v>
      </x:c>
      <x:c r="AH221" s="301" t="n">
        <x:v>6</x:v>
      </x:c>
      <x:c r="AI221" s="301" t="n">
        <x:v>1.5</x:v>
      </x:c>
      <x:c r="AJ221" s="301" t="n">
        <x:v>1.3333333333333333</x:v>
      </x:c>
      <x:c r="AK221" s="301" t="n">
        <x:v>2</x:v>
      </x:c>
      <x:c r="AL221" s="301" t="str">
        <x:v>R2-W3-07</x:v>
      </x:c>
      <x:c r="AM221" s="301" t="str">
        <x:v>T-219 + existing claim-class rules.</x:v>
      </x:c>
      <x:c r="AN221" s="301" t="str">
        <x:v>Claim-confidence kernel/tests only.</x:v>
      </x:c>
      <x:c r="AO221" s="301" t="str">
        <x:v>T-221/T-223 consume stored level; UI/LLM never re-derive it.</x:v>
      </x:c>
      <x:c r="AP221" s="301" t="str">
        <x:v>T-219</x:v>
      </x:c>
      <x:c r="AQ221" s="301" t="str">
        <x:v>T-222; T-223</x:v>
      </x:c>
    </x:row>
    <x:row r="222">
      <x:c r="A222" s="301" t="str">
        <x:v>T-221</x:v>
      </x:c>
      <x:c r="B222" s="301" t="str">
        <x:v>M2b</x:v>
      </x:c>
      <x:c r="C222" s="301" t="str">
        <x:v>M2b-P1</x:v>
      </x:c>
      <x:c r="D222" s="301" t="str">
        <x:v>Canonical reconciliation persistence, evidence handles and bindable source</x:v>
      </x:c>
      <x:c r="E222" s="301" t="str">
        <x:v>Backend</x:v>
      </x:c>
      <x:c r="F222" s="301" t="str">
        <x:v>Reconciliation persistence</x:v>
      </x:c>
      <x:c r="G222" s="301" t="str">
        <x:v>Critical</x:v>
      </x:c>
      <x:c r="H222" s="301" t="str">
        <x:v>Persist reconciliation_cases/reconciliation_evidence under tenant/RLS authority, semantic manifest and evidence handles; register reconciliation as a bindable intelligence source so D1/D4/Assistant use the same evidence path.</x:v>
      </x:c>
      <x:c r="I222" s="301" t="str">
        <x:v>Insert/replay a case with two evidence sources, time state and L0-L5 level; tenant isolation/RLS passes; evidence handles resolve; registry binding returns typed columns; history is immutable when a later case/version is computed.</x:v>
      </x:c>
      <x:c r="J222" s="301" t="n">
        <x:v>12</x:v>
      </x:c>
      <x:c r="K222" s="301" t="str">
        <x:v>Not Started</x:v>
      </x:c>
      <x:c r="L222" s="301" t="str">
        <x:v>Worker 3</x:v>
      </x:c>
      <x:c r="M222" s="301" t="str">
        <x:v>DO NOT CROSS OWNERSHIP</x:v>
      </x:c>
      <x:c r="N222" s="301" t="str">
        <x:v>Worker 3 owns only the named AI/analytics contract/tests; no Worker-1 schema or Worker-2 UI edits.</x:v>
      </x:c>
      <x:c r="O222" s="301" t="str">
        <x:v>T-112; T-114; T-090; T-095; T-096; T-219; T-220; T-233</x:v>
      </x:c>
      <x:c r="P222" s="301" t="str">
        <x:v>NEW v2.11.0 — 22-Aug generic customer/pilot rebaseline</x:v>
      </x:c>
      <x:c r="Q222" s="301" t="str">
        <x:v>Not Started — Master Design v4.9 current authority; implementation evidence required</x:v>
      </x:c>
      <x:c r="R222" s="301"/>
      <x:c r="S222" s="301" t="str">
        <x:v>NEW TASK REQUIRED</x:v>
      </x:c>
      <x:c r="T222" s="301" t="str">
        <x:v>A demo-only reconciliation result would violate evidence/reproducibility doctrine.</x:v>
      </x:c>
      <x:c r="U222" s="301" t="str">
        <x:v>Canonical reconciliation persistence remains required, but it is not a 30-Sep demo dependency. September uses the existing governed analysis/finding result seam with evidence handles; T-221 later replaces backing persistence behind the same contract, with no ad-hoc/demo store.</x:v>
      </x:c>
      <x:c r="V222" s="301" t="str">
        <x:v>T-112 + T-114 + T-090 + T-095 + T-096 + T-219 + T-220 + T-233</x:v>
      </x:c>
      <x:c r="W222" s="301" t="str">
        <x:v>One owner; parallel only across non-overlapping files.</x:v>
      </x:c>
      <x:c r="X222" s="301" t="str">
        <x:v>Critical</x:v>
      </x:c>
      <x:c r="Y222" s="301" t="str">
        <x:v>Master Design v4.9 consolidated authority — 22-Aug-2026</x:v>
      </x:c>
      <x:c r="Z222" s="301" t="str">
        <x:v>Track 2 — Real Customer Product</x:v>
      </x:c>
      <x:c r="AA222" s="301" t="str">
        <x:v>Post-30-Sep / Before Pilot Canonical Persistence</x:v>
      </x:c>
      <x:c r="AB222" s="301" t="str">
        <x:v>Pilot Required</x:v>
      </x:c>
      <x:c r="AC222" s="301" t="str">
        <x:v>Generic product authority; no customer/demo-specific code.</x:v>
      </x:c>
      <x:c r="AD222" s="301" t="str">
        <x:v>High</x:v>
      </x:c>
      <x:c r="AE222" s="301" t="str">
        <x:v>Worker 3</x:v>
      </x:c>
      <x:c r="AF222" s="301" t="str">
        <x:v>Canonical intelligence persistence</x:v>
      </x:c>
      <x:c r="AG222" s="301" t="str">
        <x:v>DB/integration</x:v>
      </x:c>
      <x:c r="AH222" s="301" t="n">
        <x:v>4</x:v>
      </x:c>
      <x:c r="AI222" s="301" t="n">
        <x:v>1.8</x:v>
      </x:c>
      <x:c r="AJ222" s="301" t="n">
        <x:v>3</x:v>
      </x:c>
      <x:c r="AK222" s="301" t="n">
        <x:v>5.4</x:v>
      </x:c>
      <x:c r="AL222" s="301" t="str">
        <x:v>R2-W3-08</x:v>
      </x:c>
      <x:c r="AM222" s="301" t="str">
        <x:v>T-112 + T-114 + T-090 + T-095/T-096 + T-219 + T-220. If security hand-off is not green, remain on pure-kernel evidence and do not create insecure tables.</x:v>
      </x:c>
      <x:c r="AN222" s="301" t="str">
        <x:v>Reconciliation persistence/registry/evidence only.</x:v>
      </x:c>
      <x:c r="AO222" s="301" t="str">
        <x:v>Post-demo canonical convergence. T-222/T-223 must not wait for this table and must not invent a temporary persistence schema.</x:v>
      </x:c>
      <x:c r="AP222" s="301" t="str">
        <x:v>T-112; T-114; T-090; T-095; T-096; T-219; T-220; T-233</x:v>
      </x:c>
      <x:c r="AQ222" s="301"/>
    </x:row>
    <x:row r="223">
      <x:c r="A223" s="301" t="str">
        <x:v>T-222</x:v>
      </x:c>
      <x:c r="B223" s="301" t="str">
        <x:v>M2b</x:v>
      </x:c>
      <x:c r="C223" s="301" t="str">
        <x:v>M2b-P0C</x:v>
      </x:c>
      <x:c r="D223" s="301" t="str">
        <x:v>D1/D4 reconciliation evidence surface and reference overlay</x:v>
      </x:c>
      <x:c r="E223" s="301" t="str">
        <x:v>Frontend</x:v>
      </x:c>
      <x:c r="F223" s="301" t="str">
        <x:v>Reconciliation UI</x:v>
      </x:c>
      <x:c r="G223" s="301" t="str">
        <x:v>Very Important</x:v>
      </x:c>
      <x:c r="H223" s="301" t="str">
        <x:v>Render reconciliation cases through existing Findings/Interactive Workspace paths with reference overlays, causal-confidence level and transition/stabilisation regime evidence from T-236. No oil-specific page. September surface consumes the governed kernel result seam; canonical reconciliation tables remain post-demo.</x:v>
      </x:c>
      <x:c r="I223" s="301" t="str">
        <x:v>Customer-shaped historical fixture shows one case end-to-end; all values/evidence open; TemporalUncertain and MissingEvidence have distinct wording; no person/lie wording; cross-filtering remains functional and route/session gates stay green.</x:v>
      </x:c>
      <x:c r="J223" s="301" t="n">
        <x:v>10</x:v>
      </x:c>
      <x:c r="K223" s="301" t="str">
        <x:v>Not Started</x:v>
      </x:c>
      <x:c r="L223" s="301" t="str">
        <x:v>Worker 2</x:v>
      </x:c>
      <x:c r="M223" s="301" t="str">
        <x:v>DO NOT CROSS OWNERSHIP</x:v>
      </x:c>
      <x:c r="N223" s="301" t="str">
        <x:v>Consume committed producer contracts; do not modify another lane's active files.</x:v>
      </x:c>
      <x:c r="O223" s="301" t="str">
        <x:v>T-219; T-220; T-215; T-203; T-204</x:v>
      </x:c>
      <x:c r="P223" s="301" t="str">
        <x:v>NEW v2.11.0 — 22-Aug generic customer/pilot rebaseline</x:v>
      </x:c>
      <x:c r="Q223" s="301" t="str">
        <x:v>Not Started — Master Design v4.9 current authority; implementation evidence required</x:v>
      </x:c>
      <x:c r="R223" s="301"/>
      <x:c r="S223" s="301" t="str">
        <x:v>NEW TASK REQUIRED</x:v>
      </x:c>
      <x:c r="T223" s="301" t="str">
        <x:v>The differentiator must be visible and navigable using generic surfaces, not another custom page.</x:v>
      </x:c>
      <x:c r="U223" s="301" t="str">
        <x:v>Reconciliation is a first-class intelligence object in the same BI shell.</x:v>
      </x:c>
      <x:c r="V223" s="301" t="str">
        <x:v>September surface consumes T-219/T-220 through the existing governed Finding/analysis-result seam + T-215 reference measures + Release Truth gates. No T-221 dependency.</x:v>
      </x:c>
      <x:c r="W223" s="301" t="str">
        <x:v>One owner; parallel only across non-overlapping files.</x:v>
      </x:c>
      <x:c r="X223" s="301" t="str">
        <x:v>High</x:v>
      </x:c>
      <x:c r="Y223" s="301" t="str">
        <x:v>Master Design v4.9 consolidated authority — 22-Aug-2026</x:v>
      </x:c>
      <x:c r="Z223" s="301" t="str">
        <x:v>Track 2 — Real Customer Product</x:v>
      </x:c>
      <x:c r="AA223" s="301" t="str">
        <x:v>2026-09-25 Oil Customer Data Intelligence Gate</x:v>
      </x:c>
      <x:c r="AB223" s="301" t="str">
        <x:v>September Customer Critical</x:v>
      </x:c>
      <x:c r="AC223" s="301" t="str">
        <x:v>Generic product authority; no customer/demo-specific code.</x:v>
      </x:c>
      <x:c r="AD223" s="301" t="str">
        <x:v>High</x:v>
      </x:c>
      <x:c r="AE223" s="301" t="str">
        <x:v>Worker 2</x:v>
      </x:c>
      <x:c r="AF223" s="301" t="str">
        <x:v>BI intelligence surface</x:v>
      </x:c>
      <x:c r="AG223" s="301" t="str">
        <x:v>Frontend integration</x:v>
      </x:c>
      <x:c r="AH223" s="301" t="n">
        <x:v>4</x:v>
      </x:c>
      <x:c r="AI223" s="301" t="n">
        <x:v>1.7</x:v>
      </x:c>
      <x:c r="AJ223" s="301" t="n">
        <x:v>2.5</x:v>
      </x:c>
      <x:c r="AK223" s="301" t="n">
        <x:v>4.25</x:v>
      </x:c>
      <x:c r="AL223" s="301" t="str">
        <x:v>R2-W2-07</x:v>
      </x:c>
      <x:c r="AM223" s="301" t="str">
        <x:v>T-219/T-220 result contract + T-215 + T-203/T-204. Do not create a demo-only store.</x:v>
      </x:c>
      <x:c r="AN223" s="301" t="str">
        <x:v>D1/D4 generic components only; no new oil route.</x:v>
      </x:c>
      <x:c r="AO223" s="301" t="str">
        <x:v>Use existing governed evidence/result contract. T-221 later changes persistence behind the contract without UI redesign.</x:v>
      </x:c>
      <x:c r="AP223" s="301" t="str">
        <x:v>T-219; T-220; T-215; T-203; T-204</x:v>
      </x:c>
      <x:c r="AQ223" s="301"/>
    </x:row>
    <x:row r="224">
      <x:c r="A224" s="301" t="str">
        <x:v>T-223</x:v>
      </x:c>
      <x:c r="B224" s="301" t="str">
        <x:v>M2b</x:v>
      </x:c>
      <x:c r="C224" s="301" t="str">
        <x:v>M2b-P0C</x:v>
      </x:c>
      <x:c r="D224" s="301" t="str">
        <x:v>Grounded Assistant tool for reconciliation and Performance Reference explanation</x:v>
      </x:c>
      <x:c r="E224" s="301" t="str">
        <x:v>Assistant</x:v>
      </x:c>
      <x:c r="F224" s="301" t="str">
        <x:v>Industrial investigation</x:v>
      </x:c>
      <x:c r="G224" s="301" t="str">
        <x:v>Very Important</x:v>
      </x:c>
      <x:c r="H224" s="301" t="str">
        <x:v>Add deterministic Assistant tool/result contracts that retrieve reconciliation, Performance Reference and transition/stabilisation evidence, state the strongest supported hypothesis and its causal-confidence level, and explain what evidence is missing. Consume CompareOperationalPeriods from T-237 when available, without making T-237 a blocker for the core reconciliation answer.</x:v>
      </x:c>
      <x:c r="I224" s="301" t="str">
        <x:v>Golden questions include 'why was equipment unavailable?', 'what conflicts with the recorded reason?', 'how far are we from the declared reference?'. Numeric claims resolve to evidence; missing evidence refuses; causal overreach and 'operator lied' language fail deterministic verification.</x:v>
      </x:c>
      <x:c r="J224" s="301" t="n">
        <x:v>10</x:v>
      </x:c>
      <x:c r="K224" s="301" t="str">
        <x:v>Not Started</x:v>
      </x:c>
      <x:c r="L224" s="301" t="str">
        <x:v>Worker 3</x:v>
      </x:c>
      <x:c r="M224" s="301" t="str">
        <x:v>DO NOT CROSS OWNERSHIP</x:v>
      </x:c>
      <x:c r="N224" s="301" t="str">
        <x:v>Worker 3 owns only the named AI/analytics contract/tests; no Worker-1 schema or Worker-2 UI edits.</x:v>
      </x:c>
      <x:c r="O224" s="301" t="str">
        <x:v>T-179; T-180; T-181; T-214; T-219; T-220</x:v>
      </x:c>
      <x:c r="P224" s="301" t="str">
        <x:v>NEW v2.11.0 — 22-Aug generic customer/pilot rebaseline</x:v>
      </x:c>
      <x:c r="Q224" s="301" t="str">
        <x:v>Not Started — Master Design v4.9 current authority; implementation evidence required</x:v>
      </x:c>
      <x:c r="R224" s="301"/>
      <x:c r="S224" s="301" t="str">
        <x:v>NEW TASK REQUIRED</x:v>
      </x:c>
      <x:c r="T224" s="301" t="str">
        <x:v>Customer expects ChatGPT-like investigation, recommendation and root-cause reasoning over big plant data.</x:v>
      </x:c>
      <x:c r="U224" s="301" t="str">
        <x:v>September proves grounded investigation on one reconciliation use case; arbitrary page generation is not a release dependency.</x:v>
      </x:c>
      <x:c r="V224" s="301" t="str">
        <x:v>Grounded Assistant consumes the standard governed reconciliation result/evidence contract from T-219/T-220 plus T-214 reference semantics. T-221 persistence is post-demo convergence.</x:v>
      </x:c>
      <x:c r="W224" s="301" t="str">
        <x:v>One owner; parallel only across non-overlapping files.</x:v>
      </x:c>
      <x:c r="X224" s="301" t="str">
        <x:v>High</x:v>
      </x:c>
      <x:c r="Y224" s="301" t="str">
        <x:v>Master Design v4.9 consolidated authority — 22-Aug-2026</x:v>
      </x:c>
      <x:c r="Z224" s="301" t="str">
        <x:v>Track 2 — Real Customer Product</x:v>
      </x:c>
      <x:c r="AA224" s="301" t="str">
        <x:v>2026-09-25 Oil Customer Data Intelligence Gate</x:v>
      </x:c>
      <x:c r="AB224" s="301" t="str">
        <x:v>September Customer Critical</x:v>
      </x:c>
      <x:c r="AC224" s="301" t="str">
        <x:v>Generic product authority; no customer/demo-specific code.</x:v>
      </x:c>
      <x:c r="AD224" s="301" t="str">
        <x:v>High</x:v>
      </x:c>
      <x:c r="AE224" s="301" t="str">
        <x:v>Worker 3</x:v>
      </x:c>
      <x:c r="AF224" s="301" t="str">
        <x:v>Assistant governed tool</x:v>
      </x:c>
      <x:c r="AG224" s="301" t="str">
        <x:v>Assistant integration</x:v>
      </x:c>
      <x:c r="AH224" s="301" t="n">
        <x:v>4</x:v>
      </x:c>
      <x:c r="AI224" s="301" t="n">
        <x:v>1.7</x:v>
      </x:c>
      <x:c r="AJ224" s="301" t="n">
        <x:v>2.5</x:v>
      </x:c>
      <x:c r="AK224" s="301" t="n">
        <x:v>4.25</x:v>
      </x:c>
      <x:c r="AL224" s="301" t="str">
        <x:v>R2-W3-09</x:v>
      </x:c>
      <x:c r="AM224" s="301" t="str">
        <x:v>T-179/T-180/T-181 CLOSED + T-214 + T-219/T-220. No canonical persistence dependency for September explanation.</x:v>
      </x:c>
      <x:c r="AN224" s="301" t="str">
        <x:v>Assistant tool/evidence pack/verifier only; current dock UI remains Worker-2 owned.</x:v>
      </x:c>
      <x:c r="AO224" s="301" t="str">
        <x:v>T-221 later swaps persistence behind the same evidence contract; Assistant tool does not redesign.</x:v>
      </x:c>
      <x:c r="AP224" s="301" t="str">
        <x:v>T-179; T-180; T-181; T-214; T-219; T-220</x:v>
      </x:c>
      <x:c r="AQ224" s="301"/>
    </x:row>
    <x:row r="225">
      <x:c r="A225" s="301" t="str">
        <x:v>T-224</x:v>
      </x:c>
      <x:c r="B225" s="301" t="str">
        <x:v>M3</x:v>
      </x:c>
      <x:c r="C225" s="301" t="str">
        <x:v>M3-P0</x:v>
      </x:c>
      <x:c r="D225" s="301" t="str">
        <x:v>Production OPC UA edge runtime: endpoint security, certificates and session lifecycle</x:v>
      </x:c>
      <x:c r="E225" s="301" t="str">
        <x:v>Acquisition</x:v>
      </x:c>
      <x:c r="F225" s="301" t="str">
        <x:v>OPC UA edge</x:v>
      </x:c>
      <x:c r="G225" s="301" t="str">
        <x:v>Critical</x:v>
      </x:c>
      <x:c r="H225" s="301" t="str">
        <x:v>Implement real OPC UA client runtime inside the customer-side collector boundary: endpoint discovery/selection, security policy negotiation, application certificate/trust management, authenticated session lifecycle and read-only enforcement. Core never gains plant-network credentials/routes.</x:v>
      </x:c>
      <x:c r="I225" s="301" t="str">
        <x:v>Against a real SDK test server, establish trusted and rejected sessions, rotate trust, reconnect after server restart and prove no write/control verb/path exists. Capability metadata remains false until this task and downstream browse/subscription tasks pass.</x:v>
      </x:c>
      <x:c r="J225" s="301" t="n">
        <x:v>12</x:v>
      </x:c>
      <x:c r="K225" s="301" t="str">
        <x:v>Not Started</x:v>
      </x:c>
      <x:c r="L225" s="301" t="str">
        <x:v>Worker 1</x:v>
      </x:c>
      <x:c r="M225" s="301" t="str">
        <x:v>DO NOT CROSS OWNERSHIP</x:v>
      </x:c>
      <x:c r="N225" s="301" t="str">
        <x:v>Consume committed producer contracts; do not modify another lane's active files.</x:v>
      </x:c>
      <x:c r="O225" s="301" t="str">
        <x:v>T-207 + pilot OT prerequisites</x:v>
      </x:c>
      <x:c r="P225" s="301" t="str">
        <x:v>NEW v2.11.0 — 22-Aug generic customer/pilot rebaseline</x:v>
      </x:c>
      <x:c r="Q225" s="301" t="str">
        <x:v>Not Started — Master Design v4.9 current authority; implementation evidence required</x:v>
      </x:c>
      <x:c r="R225" s="301"/>
      <x:c r="S225" s="301" t="str">
        <x:v>NEW TASK REQUIRED</x:v>
      </x:c>
      <x:c r="T225" s="301" t="str">
        <x:v>Current OPC path has safety architecture but no real protocol session runtime.</x:v>
      </x:c>
      <x:c r="U225" s="301" t="str">
        <x:v>Live OPC is a trial/site-certification capability, not a September demo dependency.</x:v>
      </x:c>
      <x:c r="V225" s="301" t="str">
        <x:v>T-207 + pilot OT prerequisites</x:v>
      </x:c>
      <x:c r="W225" s="301" t="str">
        <x:v>One owner; parallel only across non-overlapping files.</x:v>
      </x:c>
      <x:c r="X225" s="301" t="str">
        <x:v>High</x:v>
      </x:c>
      <x:c r="Y225" s="301" t="str">
        <x:v>Master Design v4.9 consolidated authority — 22-Aug-2026</x:v>
      </x:c>
      <x:c r="Z225" s="301" t="str">
        <x:v>Track 2 — Real Customer Product</x:v>
      </x:c>
      <x:c r="AA225" s="301" t="str">
        <x:v>Two-month Pilot</x:v>
      </x:c>
      <x:c r="AB225" s="301" t="str">
        <x:v>Pilot Critical</x:v>
      </x:c>
      <x:c r="AC225" s="301" t="str">
        <x:v>Generic product authority; no customer/demo-specific code.</x:v>
      </x:c>
      <x:c r="AD225" s="301" t="str">
        <x:v>Medium</x:v>
      </x:c>
      <x:c r="AE225" s="301" t="str">
        <x:v>Worker 1</x:v>
      </x:c>
      <x:c r="AF225" s="301" t="str">
        <x:v>Pilot OT edge</x:v>
      </x:c>
      <x:c r="AG225" s="301" t="str">
        <x:v>External/site + backend</x:v>
      </x:c>
      <x:c r="AH225" s="301" t="n">
        <x:v>3</x:v>
      </x:c>
      <x:c r="AI225" s="301" t="n">
        <x:v>1.8</x:v>
      </x:c>
      <x:c r="AJ225" s="301" t="n">
        <x:v>4</x:v>
      </x:c>
      <x:c r="AK225" s="301" t="n">
        <x:v>7.2</x:v>
      </x:c>
      <x:c r="AL225" s="301" t="str">
        <x:v>PILOT-W1-01</x:v>
      </x:c>
      <x:c r="AM225" s="301" t="str">
        <x:v>After 30-Sep demo unless customer OT access arrives earlier; T-207 connector truth must be green.</x:v>
      </x:c>
      <x:c r="AN225" s="301" t="str">
        <x:v>Customer-side edge agent/OPC adapter only.</x:v>
      </x:c>
      <x:c r="AO225" s="301" t="str">
        <x:v>T-225 consumes session adapter; site certification remains T-153/T-227-like acceptance, not hidden in code.</x:v>
      </x:c>
      <x:c r="AP225" s="301" t="str">
        <x:v>T-207</x:v>
      </x:c>
      <x:c r="AQ225" s="301"/>
    </x:row>
    <x:row r="226">
      <x:c r="A226" s="301" t="str">
        <x:v>T-225</x:v>
      </x:c>
      <x:c r="B226" s="301" t="str">
        <x:v>M3</x:v>
      </x:c>
      <x:c r="C226" s="301" t="str">
        <x:v>M3-P0</x:v>
      </x:c>
      <x:c r="D226" s="301" t="str">
        <x:v>Production OPC UA edge runtime: browse, tag registration, subscription and monitored items</x:v>
      </x:c>
      <x:c r="E226" s="301" t="str">
        <x:v>Acquisition</x:v>
      </x:c>
      <x:c r="F226" s="301" t="str">
        <x:v>OPC UA edge</x:v>
      </x:c>
      <x:c r="G226" s="301" t="str">
        <x:v>Critical</x:v>
      </x:c>
      <x:c r="H226" s="301" t="str">
        <x:v>Implement namespace browse, tag selection/registration, subscriptions/monitored items, sampling/publishing interval and deadband configuration behind generic collector contracts.</x:v>
      </x:c>
      <x:c r="I226" s="301" t="str">
        <x:v>Browse a test namespace, register N tags, subscribe, receive changed values and prove disconnect/reconnect resumes without fabricated deterministic samples. Read-only operations only. `supportsTagBrowse`/`supportsSubscription` become true only after these executed tests.</x:v>
      </x:c>
      <x:c r="J226" s="301" t="n">
        <x:v>12</x:v>
      </x:c>
      <x:c r="K226" s="301" t="str">
        <x:v>Not Started</x:v>
      </x:c>
      <x:c r="L226" s="301" t="str">
        <x:v>Worker 1</x:v>
      </x:c>
      <x:c r="M226" s="301" t="str">
        <x:v>DO NOT CROSS OWNERSHIP</x:v>
      </x:c>
      <x:c r="N226" s="301" t="str">
        <x:v>Consume committed producer contracts; do not modify another lane's active files.</x:v>
      </x:c>
      <x:c r="O226" s="301" t="str">
        <x:v>T-224</x:v>
      </x:c>
      <x:c r="P226" s="301" t="str">
        <x:v>NEW v2.11.0 — 22-Aug generic customer/pilot rebaseline</x:v>
      </x:c>
      <x:c r="Q226" s="301" t="str">
        <x:v>Not Started — Master Design v4.9 current authority; implementation evidence required</x:v>
      </x:c>
      <x:c r="R226" s="301"/>
      <x:c r="S226" s="301" t="str">
        <x:v>NEW TASK REQUIRED</x:v>
      </x:c>
      <x:c r="T226" s="301" t="str">
        <x:v>Customer identifies PLC/OPC as a main interface.</x:v>
      </x:c>
      <x:c r="U226" s="301" t="str">
        <x:v>Implement it at the outbound customer edge, not by weakening the OT boundary.</x:v>
      </x:c>
      <x:c r="V226" s="301" t="str">
        <x:v>T-224</x:v>
      </x:c>
      <x:c r="W226" s="301" t="str">
        <x:v>One owner; parallel only across non-overlapping files.</x:v>
      </x:c>
      <x:c r="X226" s="301" t="str">
        <x:v>High</x:v>
      </x:c>
      <x:c r="Y226" s="301" t="str">
        <x:v>Master Design v4.9 consolidated authority — 22-Aug-2026</x:v>
      </x:c>
      <x:c r="Z226" s="301" t="str">
        <x:v>Track 2 — Real Customer Product</x:v>
      </x:c>
      <x:c r="AA226" s="301" t="str">
        <x:v>Two-month Pilot</x:v>
      </x:c>
      <x:c r="AB226" s="301" t="str">
        <x:v>Pilot Critical</x:v>
      </x:c>
      <x:c r="AC226" s="301" t="str">
        <x:v>Generic product authority; no customer/demo-specific code.</x:v>
      </x:c>
      <x:c r="AD226" s="301" t="str">
        <x:v>Medium</x:v>
      </x:c>
      <x:c r="AE226" s="301" t="str">
        <x:v>Worker 1</x:v>
      </x:c>
      <x:c r="AF226" s="301" t="str">
        <x:v>Pilot OT edge</x:v>
      </x:c>
      <x:c r="AG226" s="301" t="str">
        <x:v>External/site + backend</x:v>
      </x:c>
      <x:c r="AH226" s="301" t="n">
        <x:v>3</x:v>
      </x:c>
      <x:c r="AI226" s="301" t="n">
        <x:v>1.8</x:v>
      </x:c>
      <x:c r="AJ226" s="301" t="n">
        <x:v>4</x:v>
      </x:c>
      <x:c r="AK226" s="301" t="n">
        <x:v>7.2</x:v>
      </x:c>
      <x:c r="AL226" s="301" t="str">
        <x:v>PILOT-W1-02</x:v>
      </x:c>
      <x:c r="AM226" s="301" t="str">
        <x:v>T-224.</x:v>
      </x:c>
      <x:c r="AN226" s="301" t="str">
        <x:v>Edge OPC adapter + tag registry integration.</x:v>
      </x:c>
      <x:c r="AO226" s="301" t="str">
        <x:v>T-226 consumes typed acquired values; no core API direct OPC connection.</x:v>
      </x:c>
      <x:c r="AP226" s="301" t="str">
        <x:v>T-224</x:v>
      </x:c>
      <x:c r="AQ226" s="301"/>
    </x:row>
    <x:row r="227">
      <x:c r="A227" s="301" t="str">
        <x:v>T-226</x:v>
      </x:c>
      <x:c r="B227" s="301" t="str">
        <x:v>M3</x:v>
      </x:c>
      <x:c r="C227" s="301" t="str">
        <x:v>M3-P0</x:v>
      </x:c>
      <x:c r="D227" s="301" t="str">
        <x:v>Production OPC UA edge runtime: quality/timestamps, recovery and spool-to-canonical proof</x:v>
      </x:c>
      <x:c r="E227" s="301" t="str">
        <x:v>Acquisition</x:v>
      </x:c>
      <x:c r="F227" s="301" t="str">
        <x:v>OPC UA edge</x:v>
      </x:c>
      <x:c r="G227" s="301" t="str">
        <x:v>Critical</x:v>
      </x:c>
      <x:c r="H227" s="301" t="str">
        <x:v>Preserve OPC StatusCode/quality plus source/server timestamps, integrate reconnect/sequence-loss handling and existing store-and-forward spool, map acquired values into canonical observations under Source Time Authority.</x:v>
      </x:c>
      <x:c r="I227" s="301" t="str">
        <x:v>Good/bad/uncertain quality and source-vs-server timestamp cases land correctly; network interruption queues locally and resumes idempotently; duplicate replay does not duplicate canonical observations; customer-core direction remains one-way.</x:v>
      </x:c>
      <x:c r="J227" s="301" t="n">
        <x:v>12</x:v>
      </x:c>
      <x:c r="K227" s="301" t="str">
        <x:v>Not Started</x:v>
      </x:c>
      <x:c r="L227" s="301" t="str">
        <x:v>Worker 1</x:v>
      </x:c>
      <x:c r="M227" s="301" t="str">
        <x:v>DO NOT CROSS OWNERSHIP</x:v>
      </x:c>
      <x:c r="N227" s="301" t="str">
        <x:v>Consume committed producer contracts; do not modify another lane's active files.</x:v>
      </x:c>
      <x:c r="O227" s="301" t="str">
        <x:v>T-225; T-233</x:v>
      </x:c>
      <x:c r="P227" s="301" t="str">
        <x:v>NEW v2.11.0 — 22-Aug generic customer/pilot rebaseline</x:v>
      </x:c>
      <x:c r="Q227" s="301" t="str">
        <x:v>Not Started — Master Design v4.9 current authority; implementation evidence required</x:v>
      </x:c>
      <x:c r="R227" s="301"/>
      <x:c r="S227" s="301" t="str">
        <x:v>NEW TASK REQUIRED</x:v>
      </x:c>
      <x:c r="T227" s="301" t="str">
        <x:v>A production collector must survive plant network interruptions and preserve evidence quality/time semantics.</x:v>
      </x:c>
      <x:c r="U227" s="301" t="str">
        <x:v>Protocol runtime is not complete until quality, timestamps, recovery and canonical lineage are proven.</x:v>
      </x:c>
      <x:c r="V227" s="301" t="str">
        <x:v>T-225 + T-233 Source Time Authority persistence.</x:v>
      </x:c>
      <x:c r="W227" s="301" t="str">
        <x:v>One owner; parallel only across non-overlapping files.</x:v>
      </x:c>
      <x:c r="X227" s="301" t="str">
        <x:v>High</x:v>
      </x:c>
      <x:c r="Y227" s="301" t="str">
        <x:v>Master Design v4.9 consolidated authority — 22-Aug-2026</x:v>
      </x:c>
      <x:c r="Z227" s="301" t="str">
        <x:v>Track 2 — Real Customer Product</x:v>
      </x:c>
      <x:c r="AA227" s="301" t="str">
        <x:v>Two-month Pilot</x:v>
      </x:c>
      <x:c r="AB227" s="301" t="str">
        <x:v>Pilot Critical</x:v>
      </x:c>
      <x:c r="AC227" s="301" t="str">
        <x:v>Generic product authority; no customer/demo-specific code.</x:v>
      </x:c>
      <x:c r="AD227" s="301" t="str">
        <x:v>Medium</x:v>
      </x:c>
      <x:c r="AE227" s="301" t="str">
        <x:v>Worker 1</x:v>
      </x:c>
      <x:c r="AF227" s="301" t="str">
        <x:v>Pilot OT edge</x:v>
      </x:c>
      <x:c r="AG227" s="301" t="str">
        <x:v>External/site + backend</x:v>
      </x:c>
      <x:c r="AH227" s="301" t="n">
        <x:v>3</x:v>
      </x:c>
      <x:c r="AI227" s="301" t="n">
        <x:v>1.8</x:v>
      </x:c>
      <x:c r="AJ227" s="301" t="n">
        <x:v>4</x:v>
      </x:c>
      <x:c r="AK227" s="301" t="n">
        <x:v>7.2</x:v>
      </x:c>
      <x:c r="AL227" s="301" t="str">
        <x:v>PILOT-W1-03</x:v>
      </x:c>
      <x:c r="AM227" s="301" t="str">
        <x:v>T-225 + T-216 Source Time Authority.</x:v>
      </x:c>
      <x:c r="AN227" s="301" t="str">
        <x:v>Edge spool/acquisition mapper + canonical ingest contract.</x:v>
      </x:c>
      <x:c r="AO227" s="301" t="str">
        <x:v>T-153 real-source connector certification consumes this implementation; do not call implementation itself site-certified.</x:v>
      </x:c>
      <x:c r="AP227" s="301" t="str">
        <x:v>T-225; T-233</x:v>
      </x:c>
      <x:c r="AQ227" s="301"/>
    </x:row>
    <x:row r="228">
      <x:c r="A228" s="301" t="str">
        <x:v>T-227</x:v>
      </x:c>
      <x:c r="B228" s="301" t="str">
        <x:v>M3</x:v>
      </x:c>
      <x:c r="C228" s="301" t="str">
        <x:v>M3-P0</x:v>
      </x:c>
      <x:c r="D228" s="301" t="str">
        <x:v>Pilot Success Contract and evidence scorecard</x:v>
      </x:c>
      <x:c r="E228" s="301" t="str">
        <x:v>Documentation</x:v>
      </x:c>
      <x:c r="F228" s="301" t="str">
        <x:v>Pilot governance</x:v>
      </x:c>
      <x:c r="G228" s="301" t="str">
        <x:v>Very Important</x:v>
      </x:c>
      <x:c r="H228" s="301" t="str">
        <x:v>Define the two-month free-trial success contract before installation: technical ingestion/read-only/latency/restore, analytical reconciliation/reference/hypothesis quality, business downtime/throughput/energy opportunity, and adoption metrics. Every criterion has owner, baseline, evidence source and pass/decision rule.</x:v>
      </x:c>
      <x:c r="I228" s="301" t="str">
        <x:v>Customer-ready scorecard exists with no unverifiable KPI; each metric names its source and frequency. Trial exit decision can be made from evidence rather than subjective dashboard feedback. Product claims remain bounded by the customer's supplied data.</x:v>
      </x:c>
      <x:c r="J228" s="301" t="n">
        <x:v>6</x:v>
      </x:c>
      <x:c r="K228" s="301" t="str">
        <x:v>Not Started</x:v>
      </x:c>
      <x:c r="L228" s="301" t="str">
        <x:v>Worker 1</x:v>
      </x:c>
      <x:c r="M228" s="301" t="str">
        <x:v>DO NOT CROSS OWNERSHIP</x:v>
      </x:c>
      <x:c r="N228" s="301" t="str">
        <x:v>Consume committed producer contracts; do not modify another lane's active files.</x:v>
      </x:c>
      <x:c r="O228" s="301" t="str">
        <x:v>T-213</x:v>
      </x:c>
      <x:c r="P228" s="301" t="str">
        <x:v>NEW v2.11.0 — 22-Aug generic customer/pilot rebaseline</x:v>
      </x:c>
      <x:c r="Q228" s="301" t="str">
        <x:v>Not Started — Master Design v4.9 current authority; implementation evidence required</x:v>
      </x:c>
      <x:c r="R228" s="301"/>
      <x:c r="S228" s="301" t="str">
        <x:v>NEW TASK REQUIRED</x:v>
      </x:c>
      <x:c r="T228" s="301" t="str">
        <x:v>Two months free then 'they decide' is commercially weak if success is undefined.</x:v>
      </x:c>
      <x:c r="U228" s="301" t="str">
        <x:v>Pilot is a measured business experiment, not free software usage.</x:v>
      </x:c>
      <x:c r="V228" s="301" t="str">
        <x:v>T-213</x:v>
      </x:c>
      <x:c r="W228" s="301" t="str">
        <x:v>One owner; parallel only across non-overlapping files.</x:v>
      </x:c>
      <x:c r="X228" s="301" t="str">
        <x:v>Medium</x:v>
      </x:c>
      <x:c r="Y228" s="301" t="str">
        <x:v>Master Design v4.9 consolidated authority — 22-Aug-2026</x:v>
      </x:c>
      <x:c r="Z228" s="301" t="str">
        <x:v>Track 2 — Real Customer Product</x:v>
      </x:c>
      <x:c r="AA228" s="301" t="str">
        <x:v>Before two-month Pilot starts</x:v>
      </x:c>
      <x:c r="AB228" s="301" t="str">
        <x:v>Pilot Critical</x:v>
      </x:c>
      <x:c r="AC228" s="301" t="str">
        <x:v>Generic product authority; no customer/demo-specific code.</x:v>
      </x:c>
      <x:c r="AD228" s="301" t="str">
        <x:v>Medium</x:v>
      </x:c>
      <x:c r="AE228" s="301" t="str">
        <x:v>Worker 1</x:v>
      </x:c>
      <x:c r="AF228" s="301" t="str">
        <x:v>Pilot programme / evidence</x:v>
      </x:c>
      <x:c r="AG228" s="301" t="str">
        <x:v>Documentation / governance</x:v>
      </x:c>
      <x:c r="AH228" s="301" t="n">
        <x:v>4</x:v>
      </x:c>
      <x:c r="AI228" s="301" t="n">
        <x:v>1.5</x:v>
      </x:c>
      <x:c r="AJ228" s="301" t="n">
        <x:v>1.5</x:v>
      </x:c>
      <x:c r="AK228" s="301" t="n">
        <x:v>2.25</x:v>
      </x:c>
      <x:c r="AL228" s="301" t="str">
        <x:v>PILOT-W1-00</x:v>
      </x:c>
      <x:c r="AM228" s="301" t="str">
        <x:v>Prepare before installation; can start after customer data assessment T-213.</x:v>
      </x:c>
      <x:c r="AN228" s="301" t="str">
        <x:v>Pilot documentation/evidence scorecard only.</x:v>
      </x:c>
      <x:c r="AO228" s="301" t="str">
        <x:v>Site/engineering teams later fill measured values; criteria are not rewritten after results are known without an audited amendment.</x:v>
      </x:c>
      <x:c r="AP228" s="301" t="str">
        <x:v>T-213</x:v>
      </x:c>
      <x:c r="AQ228" s="301"/>
    </x:row>
    <x:row r="229">
      <x:c r="A229" s="301" t="str">
        <x:v>T-228</x:v>
      </x:c>
      <x:c r="B229" s="301" t="str">
        <x:v>M2b</x:v>
      </x:c>
      <x:c r="C229" s="301" t="str">
        <x:v>M2b-P0D</x:v>
      </x:c>
      <x:c r="D229" s="301" t="str">
        <x:v>Versioned InsightBoardPlan contract and deterministic validator</x:v>
      </x:c>
      <x:c r="E229" s="301" t="str">
        <x:v>Assistant</x:v>
      </x:c>
      <x:c r="F229" s="301" t="str">
        <x:v>Insight composition</x:v>
      </x:c>
      <x:c r="G229" s="301" t="str">
        <x:v>Very Important</x:v>
      </x:c>
      <x:c r="H229" s="301" t="str">
        <x:v>Define a versioned, reproducible InsightBoardPlan containing question, context snapshot, filters, evidence requirements, widget specs, planner version, definition versions and data-as-of. Deterministically validate registry, relationships, permissions, chart grammar and query safety. LLM cannot emit executable SQL/React authority.</x:v>
      </x:c>
      <x:c r="I229" s="301" t="str">
        <x:v>Known valid plans validate; fabricated dimension, unsafe expression, unavailable relationship and permission violation refuse with typed reasons. Identical historical plan snapshot replays; asking later may produce a new version without mutating history.</x:v>
      </x:c>
      <x:c r="J229" s="301" t="n">
        <x:v>10</x:v>
      </x:c>
      <x:c r="K229" s="301" t="str">
        <x:v>Not Started</x:v>
      </x:c>
      <x:c r="L229" s="301" t="str">
        <x:v>Worker 3</x:v>
      </x:c>
      <x:c r="M229" s="301" t="str">
        <x:v>DO NOT CROSS OWNERSHIP</x:v>
      </x:c>
      <x:c r="N229" s="301" t="str">
        <x:v>Worker 3 owns only the named AI/analytics contract/tests; no Worker-1 schema or Worker-2 UI edits.</x:v>
      </x:c>
      <x:c r="O229" s="301" t="str">
        <x:v>T-090 + T-092 + T-134 + T-179 + T-180 + T-181</x:v>
      </x:c>
      <x:c r="P229" s="301" t="str">
        <x:v>NEW v2.11.0 — 22-Aug generic customer/pilot rebaseline</x:v>
      </x:c>
      <x:c r="Q229" s="301" t="str">
        <x:v>Not Started — Master Design v4.9 current authority; implementation evidence required</x:v>
      </x:c>
      <x:c r="R229" s="301"/>
      <x:c r="S229" s="301" t="str">
        <x:v>NEW TASK REQUIRED</x:v>
      </x:c>
      <x:c r="T229" s="301" t="str">
        <x:v>Customer expects ChatGPT-like chart/table composition, but arbitrary generation would violate governed evidence.</x:v>
      </x:c>
      <x:c r="U229" s="301" t="str">
        <x:v>Make board composition a validated artifact, not free-form LLM output.</x:v>
      </x:c>
      <x:c r="V229" s="301" t="str">
        <x:v>T-090 + T-092 + T-134 + T-179 + T-180 + T-181</x:v>
      </x:c>
      <x:c r="W229" s="301" t="str">
        <x:v>One owner; parallel only across non-overlapping files.</x:v>
      </x:c>
      <x:c r="X229" s="301" t="str">
        <x:v>Medium</x:v>
      </x:c>
      <x:c r="Y229" s="301" t="str">
        <x:v>Master Design v4.9 consolidated authority — 22-Aug-2026</x:v>
      </x:c>
      <x:c r="Z229" s="301" t="str">
        <x:v>Track 2 — Real Customer Product</x:v>
      </x:c>
      <x:c r="AA229" s="301" t="str">
        <x:v>Post-30-Sep / Trial Intelligence</x:v>
      </x:c>
      <x:c r="AB229" s="301" t="str">
        <x:v>Post-30-Sep / Trial Intelligence</x:v>
      </x:c>
      <x:c r="AC229" s="301" t="str">
        <x:v>Post-September Advanced</x:v>
      </x:c>
      <x:c r="AD229" s="301" t="str">
        <x:v>High</x:v>
      </x:c>
      <x:c r="AE229" s="301" t="str">
        <x:v>Worker 3</x:v>
      </x:c>
      <x:c r="AF229" s="301" t="str">
        <x:v>Assistant advanced</x:v>
      </x:c>
      <x:c r="AG229" s="301" t="str">
        <x:v>Kernel/contract</x:v>
      </x:c>
      <x:c r="AH229" s="301" t="n">
        <x:v>5</x:v>
      </x:c>
      <x:c r="AI229" s="301" t="n">
        <x:v>1.6</x:v>
      </x:c>
      <x:c r="AJ229" s="301" t="n">
        <x:v>2</x:v>
      </x:c>
      <x:c r="AK229" s="301" t="n">
        <x:v>3.2</x:v>
      </x:c>
      <x:c r="AL229" s="301" t="str">
        <x:v>POSTSEP-W3-01</x:v>
      </x:c>
      <x:c r="AM229" s="301" t="str">
        <x:v>After September customer RC; T-090/T-092 + T-134 + T-179..181.</x:v>
      </x:c>
      <x:c r="AN229" s="301" t="str">
        <x:v>New Assistant plan contract/tests only.</x:v>
      </x:c>
      <x:c r="AO229" s="301" t="str">
        <x:v>T-229 consumes validator; no direct UI generation.</x:v>
      </x:c>
      <x:c r="AP229" s="301" t="str">
        <x:v>T-090; T-092; T-134; T-179; T-180; T-181</x:v>
      </x:c>
      <x:c r="AQ229" s="301" t="str">
        <x:v>T-229</x:v>
      </x:c>
    </x:row>
    <x:row r="230">
      <x:c r="A230" s="301" t="str">
        <x:v>T-229</x:v>
      </x:c>
      <x:c r="B230" s="301" t="str">
        <x:v>M2b</x:v>
      </x:c>
      <x:c r="C230" s="301" t="str">
        <x:v>M2b-P0D</x:v>
      </x:c>
      <x:c r="D230" s="301" t="str">
        <x:v>Governed Assistant plan-to-widget Investigation Board composition</x:v>
      </x:c>
      <x:c r="E230" s="301" t="str">
        <x:v>Assistant/Frontend</x:v>
      </x:c>
      <x:c r="F230" s="301" t="str">
        <x:v>Insight composition</x:v>
      </x:c>
      <x:c r="G230" s="301" t="str">
        <x:v>Very Important</x:v>
      </x:c>
      <x:c r="H230" s="301" t="str">
        <x:v>Execute validated InsightBoardPlan through existing Page Builder/widget/query contracts to create an ephemeral Investigation Board of KPIs/charts/tables/evidence without React/customer code generation.</x:v>
      </x:c>
      <x:c r="I230" s="301" t="str">
        <x:v>Question -&gt; validated plan -&gt; real widget queries -&gt; evidence-backed board. Every value resolves evidence, invalid chart grammar refuses, and ordinary authored pages remain unchanged. Board runs on both discrete and continuous fixtures.</x:v>
      </x:c>
      <x:c r="J230" s="301" t="n">
        <x:v>12</x:v>
      </x:c>
      <x:c r="K230" s="301" t="str">
        <x:v>Not Started</x:v>
      </x:c>
      <x:c r="L230" s="301" t="str">
        <x:v>Worker 3</x:v>
      </x:c>
      <x:c r="M230" s="301" t="str">
        <x:v>DO NOT CROSS OWNERSHIP</x:v>
      </x:c>
      <x:c r="N230" s="301" t="str">
        <x:v>Worker 3 owns only the named AI/analytics contract/tests; no Worker-1 schema or Worker-2 UI edits.</x:v>
      </x:c>
      <x:c r="O230" s="301" t="str">
        <x:v>T-228 + T-134</x:v>
      </x:c>
      <x:c r="P230" s="301" t="str">
        <x:v>NEW v2.11.0 — 22-Aug generic customer/pilot rebaseline</x:v>
      </x:c>
      <x:c r="Q230" s="301" t="str">
        <x:v>Not Started — Master Design v4.9 current authority; implementation evidence required</x:v>
      </x:c>
      <x:c r="R230" s="301"/>
      <x:c r="S230" s="301" t="str">
        <x:v>NEW TASK REQUIRED</x:v>
      </x:c>
      <x:c r="T230" s="301" t="str">
        <x:v>The requested Assistant should spotlight an answer with charts/tables, but must use the same governed BI runtime.</x:v>
      </x:c>
      <x:c r="U230" s="301" t="str">
        <x:v>Compose governed widgets, never arbitrary chart data.</x:v>
      </x:c>
      <x:c r="V230" s="301" t="str">
        <x:v>T-228 + T-134</x:v>
      </x:c>
      <x:c r="W230" s="301" t="str">
        <x:v>One owner; parallel only across non-overlapping files.</x:v>
      </x:c>
      <x:c r="X230" s="301" t="str">
        <x:v>Medium</x:v>
      </x:c>
      <x:c r="Y230" s="301" t="str">
        <x:v>Master Design v4.9 consolidated authority — 22-Aug-2026</x:v>
      </x:c>
      <x:c r="Z230" s="301" t="str">
        <x:v>Track 2 — Real Customer Product</x:v>
      </x:c>
      <x:c r="AA230" s="301" t="str">
        <x:v>Post-30-Sep / Trial Intelligence</x:v>
      </x:c>
      <x:c r="AB230" s="301" t="str">
        <x:v>Post-30-Sep / Trial Intelligence</x:v>
      </x:c>
      <x:c r="AC230" s="301" t="str">
        <x:v>Post-September Advanced</x:v>
      </x:c>
      <x:c r="AD230" s="301" t="str">
        <x:v>High</x:v>
      </x:c>
      <x:c r="AE230" s="301" t="str">
        <x:v>Worker 3</x:v>
      </x:c>
      <x:c r="AF230" s="301" t="str">
        <x:v>Assistant advanced</x:v>
      </x:c>
      <x:c r="AG230" s="301" t="str">
        <x:v>Cross-layer integration</x:v>
      </x:c>
      <x:c r="AH230" s="301" t="n">
        <x:v>3.5</x:v>
      </x:c>
      <x:c r="AI230" s="301" t="n">
        <x:v>1.8</x:v>
      </x:c>
      <x:c r="AJ230" s="301" t="n">
        <x:v>3.4285714285714284</x:v>
      </x:c>
      <x:c r="AK230" s="301" t="n">
        <x:v>6.171428571428571</x:v>
      </x:c>
      <x:c r="AL230" s="301" t="str">
        <x:v>POSTSEP-W3-02</x:v>
      </x:c>
      <x:c r="AM230" s="301" t="str">
        <x:v>T-228 + T-134 + stable Page Builder contract; coordinate UI consumption with Worker 2.</x:v>
      </x:c>
      <x:c r="AN230" s="301" t="str">
        <x:v>Assistant composition service; UI host changes require explicit W2 hand-off.</x:v>
      </x:c>
      <x:c r="AO230" s="301" t="str">
        <x:v>T-230 adds persistence; no separate rendering engine.</x:v>
      </x:c>
      <x:c r="AP230" s="301" t="str">
        <x:v>T-228; T-134</x:v>
      </x:c>
      <x:c r="AQ230" s="301" t="str">
        <x:v>T-230</x:v>
      </x:c>
    </x:row>
    <x:row r="231">
      <x:c r="A231" s="301" t="str">
        <x:v>T-230</x:v>
      </x:c>
      <x:c r="B231" s="301" t="str">
        <x:v>M2b</x:v>
      </x:c>
      <x:c r="C231" s="301" t="str">
        <x:v>M2b-P0D</x:v>
      </x:c>
      <x:c r="D231" s="301" t="str">
        <x:v>Persisted Investigation Board version, replay and Save-as-Page handoff</x:v>
      </x:c>
      <x:c r="E231" s="301" t="str">
        <x:v>Assistant</x:v>
      </x:c>
      <x:c r="F231" s="301" t="str">
        <x:v>Insight governance</x:v>
      </x:c>
      <x:c r="G231" s="301" t="str">
        <x:v>Important</x:v>
      </x:c>
      <x:c r="H231" s="301" t="str">
        <x:v>Persist Investigation Board plan/result versions with question, context, filters, data-as-of, tool executions, definition versions, evidence handles and result snapshot. Add explicit Save-as-Page conversion into canonical definitions without mutating historical investigation evidence.</x:v>
      </x:c>
      <x:c r="I231" s="301" t="str">
        <x:v>Historical board replays exactly as known at its data-as-of/version. Re-asking today creates a new version. Save-as-Page creates a normal Page Builder definition whose future refresh is independent while the original investigation remains immutable.</x:v>
      </x:c>
      <x:c r="J231" s="301" t="n">
        <x:v>12</x:v>
      </x:c>
      <x:c r="K231" s="301" t="str">
        <x:v>Not Started</x:v>
      </x:c>
      <x:c r="L231" s="301" t="str">
        <x:v>Worker 3</x:v>
      </x:c>
      <x:c r="M231" s="301" t="str">
        <x:v>DO NOT CROSS OWNERSHIP</x:v>
      </x:c>
      <x:c r="N231" s="301" t="str">
        <x:v>Worker 3 owns only the named AI/analytics contract/tests; no Worker-1 schema or Worker-2 UI edits.</x:v>
      </x:c>
      <x:c r="O231" s="301" t="str">
        <x:v>T-229 + T-112 + T-114</x:v>
      </x:c>
      <x:c r="P231" s="301" t="str">
        <x:v>NEW v2.11.0 — 22-Aug generic customer/pilot rebaseline</x:v>
      </x:c>
      <x:c r="Q231" s="301" t="str">
        <x:v>Not Started — Master Design v4.9 current authority; implementation evidence required</x:v>
      </x:c>
      <x:c r="R231" s="301"/>
      <x:c r="S231" s="301" t="str">
        <x:v>NEW TASK REQUIRED</x:v>
      </x:c>
      <x:c r="T231" s="301" t="str">
        <x:v>Enterprise AI output must be reproducible and governed, not a transient one-off board.</x:v>
      </x:c>
      <x:c r="U231" s="301" t="str">
        <x:v>Historical replay is versioned reproducibility, not a requirement that future answers never change.</x:v>
      </x:c>
      <x:c r="V231" s="301" t="str">
        <x:v>T-229 + T-112 + T-114</x:v>
      </x:c>
      <x:c r="W231" s="301" t="str">
        <x:v>One owner; parallel only across non-overlapping files.</x:v>
      </x:c>
      <x:c r="X231" s="301" t="str">
        <x:v>Medium</x:v>
      </x:c>
      <x:c r="Y231" s="301" t="str">
        <x:v>Master Design v4.9 consolidated authority — 22-Aug-2026</x:v>
      </x:c>
      <x:c r="Z231" s="301" t="str">
        <x:v>Track 2 — Real Customer Product</x:v>
      </x:c>
      <x:c r="AA231" s="301" t="str">
        <x:v>Post-30-Sep / Trial Intelligence</x:v>
      </x:c>
      <x:c r="AB231" s="301" t="str">
        <x:v>Post-30-Sep / Trial Intelligence</x:v>
      </x:c>
      <x:c r="AC231" s="301" t="str">
        <x:v>Post-September Advanced</x:v>
      </x:c>
      <x:c r="AD231" s="301" t="str">
        <x:v>High</x:v>
      </x:c>
      <x:c r="AE231" s="301" t="str">
        <x:v>Worker 3</x:v>
      </x:c>
      <x:c r="AF231" s="301" t="str">
        <x:v>Assistant advanced</x:v>
      </x:c>
      <x:c r="AG231" s="301" t="str">
        <x:v>Persistence/integration</x:v>
      </x:c>
      <x:c r="AH231" s="301" t="n">
        <x:v>4</x:v>
      </x:c>
      <x:c r="AI231" s="301" t="n">
        <x:v>1.7</x:v>
      </x:c>
      <x:c r="AJ231" s="301" t="n">
        <x:v>3</x:v>
      </x:c>
      <x:c r="AK231" s="301" t="n">
        <x:v>5.1</x:v>
      </x:c>
      <x:c r="AL231" s="301" t="str">
        <x:v>POSTSEP-W3-03</x:v>
      </x:c>
      <x:c r="AM231" s="301" t="str">
        <x:v>T-229 + canonical definition/evidence persistence + T-112/T-114.</x:v>
      </x:c>
      <x:c r="AN231" s="301" t="str">
        <x:v>Investigation board persistence and conversion contract.</x:v>
      </x:c>
      <x:c r="AO231" s="301" t="str">
        <x:v>Page Builder owns resulting page definitions; Assistant owns historical investigation artifact only.</x:v>
      </x:c>
      <x:c r="AP231" s="301" t="str">
        <x:v>T-229; T-112; T-114</x:v>
      </x:c>
      <x:c r="AQ231" s="301"/>
    </x:row>
    <x:row r="232">
      <x:c r="A232" t="str">
        <x:v>T-231</x:v>
      </x:c>
      <x:c r="B232" t="str">
        <x:v>M2a</x:v>
      </x:c>
      <x:c r="C232" t="str">
        <x:v>M2a-P1X</x:v>
      </x:c>
      <x:c r="D232" t="str">
        <x:v>Persist Analysis Subject and Grain authority in canonical definition store</x:v>
      </x:c>
      <x:c r="E232" t="str">
        <x:v>Backend / Database</x:v>
      </x:c>
      <x:c r="F232" t="str">
        <x:v>Canonical subject/grain persistence</x:v>
      </x:c>
      <x:c r="G232" t="str">
        <x:v>Critical</x:v>
      </x:c>
      <x:c r="H232" t="str">
        <x:v>Persist the frozen T-209 AnalysisSubject/GrainDefinition contract through canonical definitions and analysis_subjects/grain-definition tables. This task owns migration, tenant-safe keys, version binding and canonical APIs only; it does not redesign the contract.</x:v>
      </x:c>
      <x:c r="I232" t="str">
        <x:v>Fresh migration/replay green. Persist discrete, equipment-window and flow-interval grains; same binary resolves all via API. GR01 preserved. Tenant isolation and definition-version replay pass.</x:v>
      </x:c>
      <x:c r="J232" t="n">
        <x:v>6</x:v>
      </x:c>
      <x:c r="K232" t="str">
        <x:v>Not Started</x:v>
      </x:c>
      <x:c r="L232" t="str">
        <x:v>Worker 1</x:v>
      </x:c>
      <x:c r="M232" t="str">
        <x:v>DO NOT CROSS OWNERSHIP</x:v>
      </x:c>
      <x:c r="N232" t="str">
        <x:v>Canonical schema/persistence only; consume T-209 contract unchanged.</x:v>
      </x:c>
      <x:c r="O232" t="str">
        <x:v>T-090; T-209</x:v>
      </x:c>
      <x:c r="P232" t="str">
        <x:v>NEW v2.12.0 — contract/persistence split for executable September critical path</x:v>
      </x:c>
      <x:c r="Q232" t="str">
        <x:v>Not Started — Master Design v4.9 current authority; implementation evidence required</x:v>
      </x:c>
      <x:c r="R232"/>
      <x:c r="S232" t="str">
        <x:v>NEW TASK REQUIRED</x:v>
      </x:c>
      <x:c r="T232" t="str">
        <x:v>D1 critical-path correction: persistence must not block SAFE-NOW contract work.</x:v>
      </x:c>
      <x:c r="U232" t="str">
        <x:v>One authority, split contract from persistence. W1 persists; W3 owns contract.</x:v>
      </x:c>
      <x:c r="V232" t="str">
        <x:v>T-090 + T-209</x:v>
      </x:c>
      <x:c r="W232" t="str">
        <x:v>One owner; no cross-lane file overlap.</x:v>
      </x:c>
      <x:c r="X232" t="str">
        <x:v>Critical</x:v>
      </x:c>
      <x:c r="Y232" t="str">
        <x:v>Master Design v4.9 consolidated authority — 22-Aug-2026</x:v>
      </x:c>
      <x:c r="Z232" t="str">
        <x:v>Track 2 — Real Customer Product</x:v>
      </x:c>
      <x:c r="AA232" t="str">
        <x:v>2026-09-12 Canonical Onboarding Gate</x:v>
      </x:c>
      <x:c r="AB232" t="str">
        <x:v>September Customer Critical</x:v>
      </x:c>
      <x:c r="AC232" t="str">
        <x:v>Generic product authority; no customer-specific code.</x:v>
      </x:c>
      <x:c r="AD232" t="str">
        <x:v>High</x:v>
      </x:c>
      <x:c r="AE232" t="str">
        <x:v>Worker 1</x:v>
      </x:c>
      <x:c r="AF232" t="str">
        <x:v>Canonical schema / definitions</x:v>
      </x:c>
      <x:c r="AG232" t="str">
        <x:v>DB/schema authority</x:v>
      </x:c>
      <x:c r="AH232" t="n">
        <x:v>4</x:v>
      </x:c>
      <x:c r="AI232" t="n">
        <x:v>1.7</x:v>
      </x:c>
      <x:c r="AJ232" t="n">
        <x:v>1.5</x:v>
      </x:c>
      <x:c r="AK232" t="n">
        <x:v>2.55</x:v>
      </x:c>
      <x:c r="AL232" t="str">
        <x:v>R1-W1-06B</x:v>
      </x:c>
      <x:c r="AM232" t="str">
        <x:v>T-090 + committed T-209 contract.</x:v>
      </x:c>
      <x:c r="AN232" t="str">
        <x:v>analysis_subjects/grain definitions + API/migrations.</x:v>
      </x:c>
      <x:c r="AO232" t="str">
        <x:v>T-092/T-128/T-139/T-213 consume committed persistence; they do not invent subject identity.</x:v>
      </x:c>
      <x:c r="AP232" s="301" t="str">
        <x:v>T-090; T-209</x:v>
      </x:c>
      <x:c r="AQ232" s="301" t="str">
        <x:v>T-092; T-128; T-139; T-213</x:v>
      </x:c>
    </x:row>
    <x:row r="233">
      <x:c r="A233" t="str">
        <x:v>T-232</x:v>
      </x:c>
      <x:c r="B233" t="str">
        <x:v>M2a</x:v>
      </x:c>
      <x:c r="C233" t="str">
        <x:v>M2a-P1X</x:v>
      </x:c>
      <x:c r="D233" t="str">
        <x:v>Persist Performance Reference authority and projections</x:v>
      </x:c>
      <x:c r="E233" t="str">
        <x:v>Backend / Database</x:v>
      </x:c>
      <x:c r="F233" t="str">
        <x:v>Reference persistence</x:v>
      </x:c>
      <x:c r="G233" t="str">
        <x:v>Critical</x:v>
      </x:c>
      <x:c r="H233" t="str">
        <x:v>Persist the frozen T-214 Performance Reference contract, including declared standards/targets/envelopes, deterministic scope precedence, effective dating, directionality, provenance and projections from existing specifications/operating limits. No second reference authority.</x:v>
      </x:c>
      <x:c r="I233" t="str">
        <x:v>Migration/replay green; Global/Site/Equipment reference precedence and effective-date replay pass; equal-authority ambiguity remains RF01; existing specification/limit projections resolve through one read authority.</x:v>
      </x:c>
      <x:c r="J233" t="n">
        <x:v>6</x:v>
      </x:c>
      <x:c r="K233" t="str">
        <x:v>Not Started</x:v>
      </x:c>
      <x:c r="L233" t="str">
        <x:v>Worker 1</x:v>
      </x:c>
      <x:c r="M233" t="str">
        <x:v>DO NOT CROSS OWNERSHIP</x:v>
      </x:c>
      <x:c r="N233" t="str">
        <x:v>Canonical reference persistence only; consume T-214 contract unchanged.</x:v>
      </x:c>
      <x:c r="O233" t="str">
        <x:v>T-090; T-231; T-214</x:v>
      </x:c>
      <x:c r="P233" t="str">
        <x:v>NEW v2.12.0 — contract/persistence split</x:v>
      </x:c>
      <x:c r="Q233" t="str">
        <x:v>Not Started — Master Design v4.9 current authority; implementation evidence required</x:v>
      </x:c>
      <x:c r="R233"/>
      <x:c r="S233" t="str">
        <x:v>NEW TASK REQUIRED</x:v>
      </x:c>
      <x:c r="T233" t="str">
        <x:v>Reduce September critical path without duplicating reference semantics.</x:v>
      </x:c>
      <x:c r="U233" t="str">
        <x:v>W3 owns contract/resolution semantics; W1 owns durable authority.</x:v>
      </x:c>
      <x:c r="V233" t="str">
        <x:v>T-090 + T-231 + T-214</x:v>
      </x:c>
      <x:c r="W233" t="str">
        <x:v>One owner; no cross-lane file overlap.</x:v>
      </x:c>
      <x:c r="X233" t="str">
        <x:v>Critical</x:v>
      </x:c>
      <x:c r="Y233" t="str">
        <x:v>Master Design v4.9 consolidated authority — 22-Aug-2026</x:v>
      </x:c>
      <x:c r="Z233" t="str">
        <x:v>Track 2 — Real Customer Product</x:v>
      </x:c>
      <x:c r="AA233" t="str">
        <x:v>2026-09-16 Reference Authority Gate</x:v>
      </x:c>
      <x:c r="AB233" t="str">
        <x:v>September Customer Critical</x:v>
      </x:c>
      <x:c r="AC233" t="str">
        <x:v>Generic product authority; no customer-specific code.</x:v>
      </x:c>
      <x:c r="AD233" t="str">
        <x:v>High</x:v>
      </x:c>
      <x:c r="AE233" t="str">
        <x:v>Worker 1</x:v>
      </x:c>
      <x:c r="AF233" t="str">
        <x:v>Canonical reference persistence</x:v>
      </x:c>
      <x:c r="AG233" t="str">
        <x:v>DB/schema authority</x:v>
      </x:c>
      <x:c r="AH233" t="n">
        <x:v>4</x:v>
      </x:c>
      <x:c r="AI233" t="n">
        <x:v>1.7</x:v>
      </x:c>
      <x:c r="AJ233" t="n">
        <x:v>1.5</x:v>
      </x:c>
      <x:c r="AK233" t="n">
        <x:v>2.55</x:v>
      </x:c>
      <x:c r="AL233" t="str">
        <x:v>R1-W1-09B</x:v>
      </x:c>
      <x:c r="AM233" t="str">
        <x:v>T-090 + T-231 + committed T-214 contract.</x:v>
      </x:c>
      <x:c r="AN233" t="str">
        <x:v>performance reference tables/projections/API.</x:v>
      </x:c>
      <x:c r="AO233" t="str">
        <x:v>T-215 consumes persistence; no local reference math.</x:v>
      </x:c>
      <x:c r="AP233" s="301" t="str">
        <x:v>T-090; T-231; T-214</x:v>
      </x:c>
      <x:c r="AQ233" s="301" t="str">
        <x:v>T-215</x:v>
      </x:c>
    </x:row>
    <x:row r="234">
      <x:c r="A234" t="str">
        <x:v>T-233</x:v>
      </x:c>
      <x:c r="B234" t="str">
        <x:v>M2a</x:v>
      </x:c>
      <x:c r="C234" t="str">
        <x:v>M2a-P1X</x:v>
      </x:c>
      <x:c r="D234" t="str">
        <x:v>Persist Source Time Authority and observation timestamp provenance</x:v>
      </x:c>
      <x:c r="E234" t="str">
        <x:v>Backend / Database</x:v>
      </x:c>
      <x:c r="F234" t="str">
        <x:v>Temporal authority persistence</x:v>
      </x:c>
      <x:c r="G234" t="str">
        <x:v>Critical</x:v>
      </x:c>
      <x:c r="H234" t="str">
        <x:v>Persist the frozen T-216 Source Time Authority contract per source/site and preserve source/server/ingest timestamp provenance on observations. Own migrations, tenant-safe keys and canonical read API; no settings UI and no alignment algorithm here.</x:v>
      </x:c>
      <x:c r="I234" t="str">
        <x:v>Two sources with different declared timestamp origins and known skew persist/replay correctly; source/server/ingest timestamps survive ingestion; tenant isolation passes; the API exposes exactly the T-216 contract.</x:v>
      </x:c>
      <x:c r="J234" t="n">
        <x:v>5</x:v>
      </x:c>
      <x:c r="K234" t="str">
        <x:v>Not Started</x:v>
      </x:c>
      <x:c r="L234" t="str">
        <x:v>Worker 1</x:v>
      </x:c>
      <x:c r="M234" t="str">
        <x:v>DO NOT CROSS OWNERSHIP</x:v>
      </x:c>
      <x:c r="N234" t="str">
        <x:v>Temporal persistence only; consume T-216 contract unchanged.</x:v>
      </x:c>
      <x:c r="O234" t="str">
        <x:v>T-087; T-090; T-216</x:v>
      </x:c>
      <x:c r="P234" t="str">
        <x:v>NEW v2.12.0 — contract/persistence split</x:v>
      </x:c>
      <x:c r="Q234" t="str">
        <x:v>Not Started — Master Design v4.9 current authority; implementation evidence required</x:v>
      </x:c>
      <x:c r="R234"/>
      <x:c r="S234" t="str">
        <x:v>NEW TASK REQUIRED</x:v>
      </x:c>
      <x:c r="T234" t="str">
        <x:v>Allow temporal/reconciliation kernels to run in parallel with canonical schema work.</x:v>
      </x:c>
      <x:c r="U234" t="str">
        <x:v>W3 owns time semantics; W1 owns durable storage/API.</x:v>
      </x:c>
      <x:c r="V234" t="str">
        <x:v>T-087 + T-090 + T-216</x:v>
      </x:c>
      <x:c r="W234" t="str">
        <x:v>One owner; no cross-lane file overlap.</x:v>
      </x:c>
      <x:c r="X234" t="str">
        <x:v>Critical</x:v>
      </x:c>
      <x:c r="Y234" t="str">
        <x:v>Master Design v4.9 consolidated authority — 22-Aug-2026</x:v>
      </x:c>
      <x:c r="Z234" t="str">
        <x:v>Track 2 — Real Customer Product</x:v>
      </x:c>
      <x:c r="AA234" t="str">
        <x:v>2026-09-18 Temporal Persistence Gate</x:v>
      </x:c>
      <x:c r="AB234" t="str">
        <x:v>September Customer Critical</x:v>
      </x:c>
      <x:c r="AC234" t="str">
        <x:v>Generic product authority; no customer-specific code.</x:v>
      </x:c>
      <x:c r="AD234" t="str">
        <x:v>High</x:v>
      </x:c>
      <x:c r="AE234" t="str">
        <x:v>Worker 1</x:v>
      </x:c>
      <x:c r="AF234" t="str">
        <x:v>Canonical temporal authority</x:v>
      </x:c>
      <x:c r="AG234" t="str">
        <x:v>DB/schema authority</x:v>
      </x:c>
      <x:c r="AH234" t="n">
        <x:v>4</x:v>
      </x:c>
      <x:c r="AI234" t="n">
        <x:v>1.7</x:v>
      </x:c>
      <x:c r="AJ234" t="n">
        <x:v>1.25</x:v>
      </x:c>
      <x:c r="AK234" t="n">
        <x:v>2.125</x:v>
      </x:c>
      <x:c r="AL234" t="str">
        <x:v>R1-W1-10B</x:v>
      </x:c>
      <x:c r="AM234" t="str">
        <x:v>T-087 + T-090 + committed T-216 contract.</x:v>
      </x:c>
      <x:c r="AN234" t="str">
        <x:v>source_time_authorities/observation timestamp provenance/API.</x:v>
      </x:c>
      <x:c r="AO234" t="str">
        <x:v>T-221/T-226 consume canonical persistence; T-217 kernel does not wait.</x:v>
      </x:c>
      <x:c r="AP234" s="301" t="str">
        <x:v>T-087; T-090; T-216</x:v>
      </x:c>
      <x:c r="AQ234" s="301" t="str">
        <x:v>T-221; T-226</x:v>
      </x:c>
    </x:row>
    <x:row r="235">
      <x:c r="A235" t="str">
        <x:v>T-234</x:v>
      </x:c>
      <x:c r="B235" t="str">
        <x:v>M2a</x:v>
      </x:c>
      <x:c r="C235" t="str">
        <x:v>M2a-P1X</x:v>
      </x:c>
      <x:c r="D235" t="str">
        <x:v>Operational Transition and Stabilisation contract/kernel</x:v>
      </x:c>
      <x:c r="E235" t="str">
        <x:v>Analytics Core</x:v>
      </x:c>
      <x:c r="F235" t="str">
        <x:v>Process regime semantics</x:v>
      </x:c>
      <x:c r="G235" t="str">
        <x:v>Critical</x:v>
      </x:c>
      <x:c r="H235" t="str">
        <x:v>Define the generic transition/stabilisation contract used by all industries: customer-declared transition kind/scope, from/to context, stabilisation basis (Time/SubjectCount/Condition/None), regime classification Stable/Transition/Stabilising/Mixed/Unknown and RG01 refusal. No industry vocabulary and no production DB migration.</x:v>
      </x:c>
      <x:c r="I235" t="str">
        <x:v>Known-answer fixture contains a transition, a declared stabilisation window and stable operation. The kernel classifies all five regime states, boundary cases and RG01 deterministically. Removing or moving the declared stabilisation boundary changes only the expected governed classification, never hidden heuristics.</x:v>
      </x:c>
      <x:c r="J235" t="n">
        <x:v>8</x:v>
      </x:c>
      <x:c r="K235" t="str">
        <x:v>Not Started</x:v>
      </x:c>
      <x:c r="L235" t="str">
        <x:v>Worker 3</x:v>
      </x:c>
      <x:c r="M235" t="str">
        <x:v>SAFE-NOW / isolated</x:v>
      </x:c>
      <x:c r="N235" t="str">
        <x:v>Contract/kernel/tests only; no W1 schema or W2 UI edits.</x:v>
      </x:c>
      <x:c r="O235" t="str">
        <x:v>T-208; T-209</x:v>
      </x:c>
      <x:c r="P235" t="str">
        <x:v>NEW v2.13.0 — customer-discovered regime correctness gap</x:v>
      </x:c>
      <x:c r="Q235" t="str">
        <x:v>Not Started — Master Design v4.9 current authority; implementation evidence required</x:v>
      </x:c>
      <x:c r="R235"/>
      <x:c r="S235" t="str">
        <x:v>NEW TASK REQUIRED</x:v>
      </x:c>
      <x:c r="T235" t="str">
        <x:v>Without transition context, statistically real ramp-up effects can be attributed to steady-state parameters, producing a plausible but wrong explanation.</x:v>
      </x:c>
      <x:c r="U235" t="str">
        <x:v>Transitions are generic process context, not oil customization. Stabilisation is declared, never silently inferred.</x:v>
      </x:c>
      <x:c r="V235" t="str">
        <x:v>T-208 + T-209</x:v>
      </x:c>
      <x:c r="W235" t="str">
        <x:v>One owner; parallel only across non-overlapping files.</x:v>
      </x:c>
      <x:c r="X235" t="str">
        <x:v>Critical</x:v>
      </x:c>
      <x:c r="Y235" t="str">
        <x:v>Master Design v4.9 consolidated authority — 22-Aug-2026</x:v>
      </x:c>
      <x:c r="Z235" t="str">
        <x:v>Track 2 — Real Customer Product</x:v>
      </x:c>
      <x:c r="AA235" t="str">
        <x:v>2026-08-31 M2-P0/P1X Correctness Gate</x:v>
      </x:c>
      <x:c r="AB235" t="str">
        <x:v>September Customer Critical</x:v>
      </x:c>
      <x:c r="AC235" t="str">
        <x:v>Generic process-regime authority; no customer-specific transition vocabulary.</x:v>
      </x:c>
      <x:c r="AD235" t="str">
        <x:v>High</x:v>
      </x:c>
      <x:c r="AE235" t="str">
        <x:v>Worker 3</x:v>
      </x:c>
      <x:c r="AF235" t="str">
        <x:v>SAFE-NOW process-regime kernel</x:v>
      </x:c>
      <x:c r="AG235" t="str">
        <x:v>Kernel/contract</x:v>
      </x:c>
      <x:c r="AH235" t="n">
        <x:v>6</x:v>
      </x:c>
      <x:c r="AI235" t="n">
        <x:v>1.5</x:v>
      </x:c>
      <x:c r="AJ235" t="n">
        <x:v>1.3333333333333333</x:v>
      </x:c>
      <x:c r="AK235" t="n">
        <x:v>2</x:v>
      </x:c>
      <x:c r="AL235" t="str">
        <x:v>R0-W3-03</x:v>
      </x:c>
      <x:c r="AM235" t="str">
        <x:v>T-208 + T-209; may run in parallel with W1 canonical chain.</x:v>
      </x:c>
      <x:c r="AN235" t="str">
        <x:v>New generic transition/stabilisation contract/tests only.</x:v>
      </x:c>
      <x:c r="AO235" t="str">
        <x:v>T-235 persists unchanged contract; T-236 consumes it without redefining semantics.</x:v>
      </x:c>
      <x:c r="AP235" t="str">
        <x:v>T-208; T-209</x:v>
      </x:c>
      <x:c r="AQ235" t="str">
        <x:v>T-235; T-236</x:v>
      </x:c>
    </x:row>
    <x:row r="236">
      <x:c r="A236" t="str">
        <x:v>T-235</x:v>
      </x:c>
      <x:c r="B236" t="str">
        <x:v>M2a</x:v>
      </x:c>
      <x:c r="C236" t="str">
        <x:v>M2a-P1X</x:v>
      </x:c>
      <x:c r="D236" t="str">
        <x:v>Persist transition/stabilisation authority and regime context</x:v>
      </x:c>
      <x:c r="E236" t="str">
        <x:v>Backend / Database</x:v>
      </x:c>
      <x:c r="F236" t="str">
        <x:v>Process regime persistence</x:v>
      </x:c>
      <x:c r="G236" t="str">
        <x:v>Critical</x:v>
      </x:c>
      <x:c r="H236" t="str">
        <x:v>Persist process_transition_definitions and process_transition_events plus effective-dated stabilisation policy, provenance and query API under the canonical definition/tenant authority. Do not model changeover as downtime by default; overlap is allowed and explicit.</x:v>
      </x:c>
      <x:c r="I236" t="str">
        <x:v>Fresh migration/replay green. A customer-authored transition definition and event round-trip with scope/from-to context/stabilisation rule; no shipped industry values. Querying an interval returns exact transition/stabilisation overlaps and evidence.</x:v>
      </x:c>
      <x:c r="J236" t="n">
        <x:v>8</x:v>
      </x:c>
      <x:c r="K236" t="str">
        <x:v>Not Started</x:v>
      </x:c>
      <x:c r="L236" t="str">
        <x:v>Worker 1</x:v>
      </x:c>
      <x:c r="M236" t="str">
        <x:v>DO NOT CROSS OWNERSHIP</x:v>
      </x:c>
      <x:c r="N236" t="str">
        <x:v>Canonical schema/API only; consume T-234 contract unchanged.</x:v>
      </x:c>
      <x:c r="O236" t="str">
        <x:v>T-090; T-231; T-234</x:v>
      </x:c>
      <x:c r="P236" t="str">
        <x:v>NEW v2.13.0 — persist frozen regime contract</x:v>
      </x:c>
      <x:c r="Q236" t="str">
        <x:v>Not Started — Master Design v4.9 current authority; implementation evidence required</x:v>
      </x:c>
      <x:c r="R236"/>
      <x:c r="S236" t="str">
        <x:v>NEW TASK REQUIRED</x:v>
      </x:c>
      <x:c r="T236" t="str">
        <x:v>Customer real-data analysis needs durable regime context before steady-state findings can be certified.</x:v>
      </x:c>
      <x:c r="U236" t="str">
        <x:v>W1 owns persistence only; W3 owns semantics. No transition ontology duplicated in the DB layer.</x:v>
      </x:c>
      <x:c r="V236" t="str">
        <x:v>T-090 + T-231 + T-234</x:v>
      </x:c>
      <x:c r="W236" t="str">
        <x:v>One owner; parallel only across non-overlapping files.</x:v>
      </x:c>
      <x:c r="X236" t="str">
        <x:v>Critical</x:v>
      </x:c>
      <x:c r="Y236" t="str">
        <x:v>Master Design v4.9 consolidated authority — 22-Aug-2026</x:v>
      </x:c>
      <x:c r="Z236" t="str">
        <x:v>Track 2 — Real Customer Product</x:v>
      </x:c>
      <x:c r="AA236" t="str">
        <x:v>2026-09-12 Canonical Onboarding Gate</x:v>
      </x:c>
      <x:c r="AB236" t="str">
        <x:v>September Customer Critical</x:v>
      </x:c>
      <x:c r="AC236" t="str">
        <x:v>Generic persistence; customer defines transitions by metadata.</x:v>
      </x:c>
      <x:c r="AD236" t="str">
        <x:v>High</x:v>
      </x:c>
      <x:c r="AE236" t="str">
        <x:v>Worker 1</x:v>
      </x:c>
      <x:c r="AF236" t="str">
        <x:v>Canonical process-regime authority</x:v>
      </x:c>
      <x:c r="AG236" t="str">
        <x:v>DB/schema authority</x:v>
      </x:c>
      <x:c r="AH236" t="n">
        <x:v>4</x:v>
      </x:c>
      <x:c r="AI236" t="n">
        <x:v>1.7</x:v>
      </x:c>
      <x:c r="AJ236" t="n">
        <x:v>2</x:v>
      </x:c>
      <x:c r="AK236" t="n">
        <x:v>3.4</x:v>
      </x:c>
      <x:c r="AL236" t="str">
        <x:v>R1-W1-11</x:v>
      </x:c>
      <x:c r="AM236" t="str">
        <x:v>T-090 + T-231 + committed T-234 contract.</x:v>
      </x:c>
      <x:c r="AN236" t="str">
        <x:v>process transition tables/API/migrations.</x:v>
      </x:c>
      <x:c r="AO236" t="str">
        <x:v>T-237/customer onboarding consume committed persistence; do not redesign contract.</x:v>
      </x:c>
      <x:c r="AP236" t="str">
        <x:v>T-090; T-231; T-234</x:v>
      </x:c>
      <x:c r="AQ236" t="str">
        <x:v>T-237</x:v>
      </x:c>
    </x:row>
    <x:row r="237">
      <x:c r="A237" t="str">
        <x:v>T-236</x:v>
      </x:c>
      <x:c r="B237" t="str">
        <x:v>M2b</x:v>
      </x:c>
      <x:c r="C237" t="str">
        <x:v>M2b-P0C</x:v>
      </x:c>
      <x:c r="D237" t="str">
        <x:v>Transition-aware aggregation, statistics and reconciliation guard</x:v>
      </x:c>
      <x:c r="E237" t="str">
        <x:v>Analytics Engine</x:v>
      </x:c>
      <x:c r="F237" t="str">
        <x:v>Regime correctness</x:v>
      </x:c>
      <x:c r="G237" t="str">
        <x:v>Critical</x:v>
      </x:c>
      <x:c r="H237" t="str">
        <x:v>Implement the schema-independent regime segmentation/eligibility guard consumed by interval aggregation, statistics, practice and reconciliation. Given governed interval segments + T-234 transition context, steady-state analysis partitions/excludes Transition/Stabilising; Mixed without authored policy refuses RG01; every guarded result carries regime state and overlap evidence. Production widget integration is T-212; this kernel does not wait for canonical persistence.</x:v>
      </x:c>
      <x:c r="I237" t="str">
        <x:v>Controlled fixture proves naive pooled analysis sees the planted ramp-up effect while governed steady-state analysis does not misattribute it. TimeWeightedMean clips at regime boundaries where required. Reconciliation sees transition context as evidence, never as automatic cause.</x:v>
      </x:c>
      <x:c r="J237" t="n">
        <x:v>10</x:v>
      </x:c>
      <x:c r="K237" t="str">
        <x:v>Not Started</x:v>
      </x:c>
      <x:c r="L237" t="str">
        <x:v>Worker 3</x:v>
      </x:c>
      <x:c r="M237" t="str">
        <x:v>SAFE-NOW / isolated</x:v>
      </x:c>
      <x:c r="N237" t="str">
        <x:v>Analytics/reconciliation guard only; no production schema or UI edits.</x:v>
      </x:c>
      <x:c r="O237" t="str">
        <x:v>T-217; T-234</x:v>
      </x:c>
      <x:c r="P237" t="str">
        <x:v>NEW v2.13.0 — mandatory correctness guard before customer history</x:v>
      </x:c>
      <x:c r="Q237" t="str">
        <x:v>Not Started — Master Design v4.9 current authority; implementation evidence required</x:v>
      </x:c>
      <x:c r="R237"/>
      <x:c r="S237" t="str">
        <x:v>NEW TASK REQUIRED</x:v>
      </x:c>
      <x:c r="T237" t="str">
        <x:v>Aggregation/time semantics alone do not prevent mixing two process regimes; this is the missing confounding boundary.</x:v>
      </x:c>
      <x:c r="U237" t="str">
        <x:v>RG01 is a correctness refusal, not a feature toggle. This task must precede reconciliation conclusions on customer history.</x:v>
      </x:c>
      <x:c r="V237" t="str">
        <x:v>T-217 + T-234 frozen contracts; no T-210/T-235 persistence wait for isolated known-answer proof.</x:v>
      </x:c>
      <x:c r="W237" t="str">
        <x:v>One owner; parallel only across non-overlapping files.</x:v>
      </x:c>
      <x:c r="X237" t="str">
        <x:v>Critical</x:v>
      </x:c>
      <x:c r="Y237" t="str">
        <x:v>Master Design v4.9 consolidated authority — 22-Aug-2026</x:v>
      </x:c>
      <x:c r="Z237" t="str">
        <x:v>Track 2 — Real Customer Product</x:v>
      </x:c>
      <x:c r="AA237" t="str">
        <x:v>2026-09-15 Regime-Correct Analytics Gate</x:v>
      </x:c>
      <x:c r="AB237" t="str">
        <x:v>September Customer Critical</x:v>
      </x:c>
      <x:c r="AC237" t="str">
        <x:v>Generic regime guard applies to batch, continuous and discrete processes.</x:v>
      </x:c>
      <x:c r="AD237" t="str">
        <x:v>High</x:v>
      </x:c>
      <x:c r="AE237" t="str">
        <x:v>Worker 3</x:v>
      </x:c>
      <x:c r="AF237" t="str">
        <x:v>SAFE-NOW regime-aware analytics</x:v>
      </x:c>
      <x:c r="AG237" t="str">
        <x:v>Kernel/integration</x:v>
      </x:c>
      <x:c r="AH237" t="n">
        <x:v>6</x:v>
      </x:c>
      <x:c r="AI237" t="n">
        <x:v>1.6</x:v>
      </x:c>
      <x:c r="AJ237" t="n">
        <x:v>1.6666666666666667</x:v>
      </x:c>
      <x:c r="AK237" t="n">
        <x:v>2.666666666666667</x:v>
      </x:c>
      <x:c r="AL237" t="str">
        <x:v>R1-W3-05</x:v>
      </x:c>
      <x:c r="AM237" t="str">
        <x:v>T-217 + T-234; may run while W1 canonical chain proceeds.</x:v>
      </x:c>
      <x:c r="AN237" t="str">
        <x:v>Analytics/reconciliation kernels only.</x:v>
      </x:c>
      <x:c r="AO237" t="str">
        <x:v>T-219 consumes the guard; consumers must not bypass RG01.</x:v>
      </x:c>
      <x:c r="AP237" t="str">
        <x:v>T-217; T-234</x:v>
      </x:c>
      <x:c r="AQ237" t="str">
        <x:v>T-219; T-222; T-223</x:v>
      </x:c>
    </x:row>
    <x:row r="238">
      <x:c r="A238" t="str">
        <x:v>T-237</x:v>
      </x:c>
      <x:c r="B238" t="str">
        <x:v>M2a</x:v>
      </x:c>
      <x:c r="C238" t="str">
        <x:v>M2a-P1X</x:v>
      </x:c>
      <x:c r="D238" t="str">
        <x:v>Operational Period Driver Decomposition exact API and evidence tool</x:v>
      </x:c>
      <x:c r="E238" t="str">
        <x:v>Backend / BI</x:v>
      </x:c>
      <x:c r="F238" t="str">
        <x:v>Exact period comparison</x:v>
      </x:c>
      <x:c r="G238" t="str">
        <x:v>Very Important</x:v>
      </x:c>
      <x:c r="H238" t="str">
        <x:v>Implement Layer-A CompareOperationalPeriods over two governed periods/scopes. Return exact A/B/delta metrics plus transition count/duration, stabilisation exposure, stable-run/sequence length, stopped and production-impact minutes, yield/scrap, energy and any further registry-backed exact measures with evidence handles. No causal claim and no assumption-based money.</x:v>
      </x:c>
      <x:c r="I238" t="str">
        <x:v>Known-answer periods reproduce exact deltas from source rows. Every numeric field has evidence; missing metrics are explicit unavailable/refused. The same query works for discrete and continuous fixtures. The Assistant tool adapter consumes this result without recalculating values.</x:v>
      </x:c>
      <x:c r="J238" t="n">
        <x:v>10</x:v>
      </x:c>
      <x:c r="K238" t="str">
        <x:v>Not Started</x:v>
      </x:c>
      <x:c r="L238" t="str">
        <x:v>Worker 2</x:v>
      </x:c>
      <x:c r="M238" t="str">
        <x:v>DO NOT CROSS OWNERSHIP</x:v>
      </x:c>
      <x:c r="N238" t="str">
        <x:v>Own exact Layer-A query/API/evidence integration; no W3 learned model or W1 schema redesign.</x:v>
      </x:c>
      <x:c r="O238" t="str">
        <x:v>T-092; T-235</x:v>
      </x:c>
      <x:c r="P238" t="str">
        <x:v>NEW v2.13.0 — customer historical cost/productivity driver question</x:v>
      </x:c>
      <x:c r="Q238" t="str">
        <x:v>Not Started — Master Design v4.9 current authority; implementation evidence required</x:v>
      </x:c>
      <x:c r="R238"/>
      <x:c r="S238" t="str">
        <x:v>NEW TASK REQUIRED</x:v>
      </x:c>
      <x:c r="T238" t="str">
        <x:v>The customer wants to ask why a month was better/cheaper. Exact operational decomposition can answer what changed before causal/financial interpretation.</x:v>
      </x:c>
      <x:c r="U238" t="str">
        <x:v>First show exact operational deltas; T-164 later converts supported quantities into bounded monetary impact.</x:v>
      </x:c>
      <x:c r="V238" t="str">
        <x:v>T-092 + T-235</x:v>
      </x:c>
      <x:c r="W238" t="str">
        <x:v>One owner; parallel only across non-overlapping files.</x:v>
      </x:c>
      <x:c r="X238" t="str">
        <x:v>Medium</x:v>
      </x:c>
      <x:c r="Y238" t="str">
        <x:v>Master Design v4.9 consolidated authority — 22-Aug-2026</x:v>
      </x:c>
      <x:c r="Z238" t="str">
        <x:v>Track 2 — Real Customer Product</x:v>
      </x:c>
      <x:c r="AA238" t="str">
        <x:v>2026-09-25 Customer Data Intelligence Gate</x:v>
      </x:c>
      <x:c r="AB238" t="str">
        <x:v>September Customer Important</x:v>
      </x:c>
      <x:c r="AC238" t="str">
        <x:v>Exact generic operational comparison; metrics are registry-driven.</x:v>
      </x:c>
      <x:c r="AD238" t="str">
        <x:v>Medium</x:v>
      </x:c>
      <x:c r="AE238" t="str">
        <x:v>Worker 2</x:v>
      </x:c>
      <x:c r="AF238" t="str">
        <x:v>BI exact analytics / customer surface</x:v>
      </x:c>
      <x:c r="AG238" t="str">
        <x:v>Backend/API integration</x:v>
      </x:c>
      <x:c r="AH238" t="n">
        <x:v>4</x:v>
      </x:c>
      <x:c r="AI238" t="n">
        <x:v>1.7</x:v>
      </x:c>
      <x:c r="AJ238" t="n">
        <x:v>2.5</x:v>
      </x:c>
      <x:c r="AK238" t="n">
        <x:v>4.25</x:v>
      </x:c>
      <x:c r="AL238" t="str">
        <x:v>R2-W2-08</x:v>
      </x:c>
      <x:c r="AM238" t="str">
        <x:v>T-092 + T-235; can run in parallel with T-222 on separate files.</x:v>
      </x:c>
      <x:c r="AN238" t="str">
        <x:v>Layer-A period comparison API/evidence only.</x:v>
      </x:c>
      <x:c r="AO238" t="str">
        <x:v>T-138/T-164 may consume the stable contract; neither may duplicate calculations.</x:v>
      </x:c>
      <x:c r="AP238" t="str">
        <x:v>T-092; T-235</x:v>
      </x:c>
      <x:c r="AQ238" t="str">
        <x:v>T-138; T-164</x:v>
      </x:c>
    </x:row>
    <x:row r="239">
      <x:c r="A239" t="str">
        <x:v>T-238</x:v>
      </x:c>
      <x:c r="B239" t="str">
        <x:v>M2b</x:v>
      </x:c>
      <x:c r="C239" t="str">
        <x:v>M2b-P1</x:v>
      </x:c>
      <x:c r="D239" t="str">
        <x:v>Multi-objective Objective Set and Pareto practice kernel</x:v>
      </x:c>
      <x:c r="E239" t="str">
        <x:v>AI+ML</x:v>
      </x:c>
      <x:c r="F239" t="str">
        <x:v>Practice intelligence</x:v>
      </x:c>
      <x:c r="G239" t="str">
        <x:v>Very Important</x:v>
      </x:c>
      <x:c r="H239" t="str">
        <x:v>Implement schema-independent multi-objective practice semantics: Objective Set members, hard constraints, Pareto dominance/non-dominance, ParetoOnly/DeclaredUtility/LexicographicOrConstrained resolution and MO01/MO02 refusal. Normalisation consumes Performance Reference semantics; no default weights or sample min-max scaling.</x:v>
      </x:c>
      <x:c r="I239" t="str">
        <x:v>Known-answer practice vectors produce the exact Pareto frontier. A conflicting set with no preference refuses a single winner. Declared utility/lexicographic policies produce deterministic rankings and preserve the full objective vector/support/uncertainty.</x:v>
      </x:c>
      <x:c r="J239" t="n">
        <x:v>12</x:v>
      </x:c>
      <x:c r="K239" t="str">
        <x:v>Not Started</x:v>
      </x:c>
      <x:c r="L239" t="str">
        <x:v>Worker 3</x:v>
      </x:c>
      <x:c r="M239" t="str">
        <x:v>SAFE-NOW / isolated</x:v>
      </x:c>
      <x:c r="N239" t="str">
        <x:v>Pure objective/Pareto kernel and tests; no canonical DB or D10 UI edit.</x:v>
      </x:c>
      <x:c r="O239" t="str">
        <x:v>T-208; T-214</x:v>
      </x:c>
      <x:c r="P239" t="str">
        <x:v>NEW v2.13.0 — customer asks for best combination, not best one KPI</x:v>
      </x:c>
      <x:c r="Q239" t="str">
        <x:v>Not Started — Master Design v4.9 current authority; implementation evidence required</x:v>
      </x:c>
      <x:c r="R239"/>
      <x:c r="S239" t="str">
        <x:v>NEW TASK REQUIRED</x:v>
      </x:c>
      <x:c r="T239" t="str">
        <x:v>Current practice learning ranks per one outcome and cannot lawfully identify a jointly best operating combination.</x:v>
      </x:c>
      <x:c r="U239" t="str">
        <x:v>Multi-objective intelligence is an extension of practice learning, not a new ML model. No hidden scalarisation.</x:v>
      </x:c>
      <x:c r="V239" t="str">
        <x:v>T-208 + T-214</x:v>
      </x:c>
      <x:c r="W239" t="str">
        <x:v>One owner; parallel only across non-overlapping files.</x:v>
      </x:c>
      <x:c r="X239" t="str">
        <x:v>Medium</x:v>
      </x:c>
      <x:c r="Y239" t="str">
        <x:v>Master Design v4.9 consolidated authority — 22-Aug-2026</x:v>
      </x:c>
      <x:c r="Z239" t="str">
        <x:v>Track 2 — Real Customer Product</x:v>
      </x:c>
      <x:c r="AA239" t="str">
        <x:v>Post-30-Sep / M2 Practice Intelligence</x:v>
      </x:c>
      <x:c r="AB239" t="str">
        <x:v>Post-September Advanced</x:v>
      </x:c>
      <x:c r="AC239" t="str">
        <x:v>Generic objective-set semantics for any registered measures/outcomes.</x:v>
      </x:c>
      <x:c r="AD239" t="str">
        <x:v>Medium</x:v>
      </x:c>
      <x:c r="AE239" t="str">
        <x:v>Worker 3</x:v>
      </x:c>
      <x:c r="AF239" t="str">
        <x:v>SAFE-NOW practice intelligence</x:v>
      </x:c>
      <x:c r="AG239" t="str">
        <x:v>Kernel/contract</x:v>
      </x:c>
      <x:c r="AH239" t="n">
        <x:v>6</x:v>
      </x:c>
      <x:c r="AI239" t="n">
        <x:v>1.6</x:v>
      </x:c>
      <x:c r="AJ239" t="n">
        <x:v>2</x:v>
      </x:c>
      <x:c r="AK239" t="n">
        <x:v>3.2</x:v>
      </x:c>
      <x:c r="AL239" t="str">
        <x:v>POSTSEP-W3-04</x:v>
      </x:c>
      <x:c r="AM239" t="str">
        <x:v>May start after T-214 contract; does not block September demo.</x:v>
      </x:c>
      <x:c r="AN239" t="str">
        <x:v>New objective/Pareto kernel/tests only.</x:v>
      </x:c>
      <x:c r="AO239" t="str">
        <x:v>T-239 persists objective authority; T-240 integrates practice family.</x:v>
      </x:c>
      <x:c r="AP239" t="str">
        <x:v>T-208; T-214</x:v>
      </x:c>
      <x:c r="AQ239" t="str">
        <x:v>T-239; T-240</x:v>
      </x:c>
    </x:row>
    <x:row r="240">
      <x:c r="A240" t="str">
        <x:v>T-239</x:v>
      </x:c>
      <x:c r="B240" t="str">
        <x:v>M2a</x:v>
      </x:c>
      <x:c r="C240" t="str">
        <x:v>M2a-P1X</x:v>
      </x:c>
      <x:c r="D240" t="str">
        <x:v>Persist Objective Set and preference authority</x:v>
      </x:c>
      <x:c r="E240" t="str">
        <x:v>Backend / Database</x:v>
      </x:c>
      <x:c r="F240" t="str">
        <x:v>Multi-objective persistence</x:v>
      </x:c>
      <x:c r="G240" t="str">
        <x:v>Very Important</x:v>
      </x:c>
      <x:c r="H240" t="str">
        <x:v>Persist objective_sets, objective_set_members and immutable objective_preference_versions under tenant/definition authority. Bind each member to registered outcomes/KPIs/measures and Performance Reference directionality/normalisation. No default weights.</x:v>
      </x:c>
      <x:c r="I240" t="str">
        <x:v>Round-trip ParetoOnly and declared preference versions; equal data under a new preference creates a new version rather than rewriting history. Invalid/missing direction/reference refuses MO02.</x:v>
      </x:c>
      <x:c r="J240" t="n">
        <x:v>8</x:v>
      </x:c>
      <x:c r="K240" t="str">
        <x:v>Not Started</x:v>
      </x:c>
      <x:c r="L240" t="str">
        <x:v>Worker 1</x:v>
      </x:c>
      <x:c r="M240" t="str">
        <x:v>DO NOT CROSS OWNERSHIP</x:v>
      </x:c>
      <x:c r="N240" t="str">
        <x:v>Canonical objective-authority persistence only; consume T-238/T-214 contracts unchanged.</x:v>
      </x:c>
      <x:c r="O240" t="str">
        <x:v>T-090; T-214; T-238</x:v>
      </x:c>
      <x:c r="P240" t="str">
        <x:v>NEW v2.13.0 — durable objective preference authority</x:v>
      </x:c>
      <x:c r="Q240" t="str">
        <x:v>Not Started — Master Design v4.9 current authority; implementation evidence required</x:v>
      </x:c>
      <x:c r="R240"/>
      <x:c r="S240" t="str">
        <x:v>NEW TASK REQUIRED</x:v>
      </x:c>
      <x:c r="T240" t="str">
        <x:v>Trade-off rules are customer declarations and must be versioned/replayable before production composite practice results can claim one preferred solution.</x:v>
      </x:c>
      <x:c r="U240" t="str">
        <x:v>W1 persists declarations; W3 owns practice computation.</x:v>
      </x:c>
      <x:c r="V240" t="str">
        <x:v>T-090 + T-214 + T-238</x:v>
      </x:c>
      <x:c r="W240" t="str">
        <x:v>One owner; parallel only across non-overlapping files.</x:v>
      </x:c>
      <x:c r="X240" t="str">
        <x:v>Low</x:v>
      </x:c>
      <x:c r="Y240" t="str">
        <x:v>Master Design v4.9 consolidated authority — 22-Aug-2026</x:v>
      </x:c>
      <x:c r="Z240" t="str">
        <x:v>Track 2 — Real Customer Product</x:v>
      </x:c>
      <x:c r="AA240" t="str">
        <x:v>Post-30-Sep / M2 Practice Intelligence</x:v>
      </x:c>
      <x:c r="AB240" t="str">
        <x:v>Post-September Advanced</x:v>
      </x:c>
      <x:c r="AC240" t="str">
        <x:v>Generic objective authority; no industry-specific KPI bundle.</x:v>
      </x:c>
      <x:c r="AD240" t="str">
        <x:v>Low</x:v>
      </x:c>
      <x:c r="AE240" t="str">
        <x:v>Worker 1</x:v>
      </x:c>
      <x:c r="AF240" t="str">
        <x:v>Canonical objective authority</x:v>
      </x:c>
      <x:c r="AG240" t="str">
        <x:v>DB/schema authority</x:v>
      </x:c>
      <x:c r="AH240" t="n">
        <x:v>4</x:v>
      </x:c>
      <x:c r="AI240" t="n">
        <x:v>1.7</x:v>
      </x:c>
      <x:c r="AJ240" t="n">
        <x:v>2</x:v>
      </x:c>
      <x:c r="AK240" t="n">
        <x:v>3.4</x:v>
      </x:c>
      <x:c r="AL240" t="str">
        <x:v>POSTSEP-W1-01</x:v>
      </x:c>
      <x:c r="AM240" t="str">
        <x:v>After T-090 + frozen T-214/T-238 contracts.</x:v>
      </x:c>
      <x:c r="AN240" t="str">
        <x:v>objective-set tables/API/migrations.</x:v>
      </x:c>
      <x:c r="AO240" t="str">
        <x:v>T-240 consumes committed persistence.</x:v>
      </x:c>
      <x:c r="AP240" t="str">
        <x:v>T-090; T-214; T-238</x:v>
      </x:c>
      <x:c r="AQ240" t="str">
        <x:v>T-240</x:v>
      </x:c>
    </x:row>
    <x:row r="241">
      <x:c r="A241" t="str">
        <x:v>T-240</x:v>
      </x:c>
      <x:c r="B241" t="str">
        <x:v>M2b</x:v>
      </x:c>
      <x:c r="C241" t="str">
        <x:v>M2b-P1</x:v>
      </x:c>
      <x:c r="D241" t="str">
        <x:v>Composite practice results, trade-off explanation and Assistant tool integration</x:v>
      </x:c>
      <x:c r="E241" t="str">
        <x:v>AI+ML / Assistant</x:v>
      </x:c>
      <x:c r="F241" t="str">
        <x:v>Multi-objective practice integration</x:v>
      </x:c>
      <x:c r="G241" t="str">
        <x:v>Very Important</x:v>
      </x:c>
      <x:c r="H241" t="str">
        <x:v>Integrate T-238 with canonical practice learning: compute/persist composite_practice_results with objective vectors, support, uncertainty and dominance; expose GetCompositePractices to the deterministic Assistant tool layer. Reuse T-131/T-132/T-133 cohorts/stability/backoff; do not duplicate practice learning.</x:v>
      </x:c>
      <x:c r="I241" t="str">
        <x:v>One customer-neutral fixture returns a supported Pareto frontier; unsupported/conflicting objectives refuse correctly; preference-resolved rank is reproducible by version. Assistant explains trade-offs and never calls a Pareto point universally best without declared preference.</x:v>
      </x:c>
      <x:c r="J241" t="n">
        <x:v>12</x:v>
      </x:c>
      <x:c r="K241" t="str">
        <x:v>Not Started</x:v>
      </x:c>
      <x:c r="L241" t="str">
        <x:v>Worker 3</x:v>
      </x:c>
      <x:c r="M241" t="str">
        <x:v>DO NOT CROSS OWNERSHIP</x:v>
      </x:c>
      <x:c r="N241" t="str">
        <x:v>Practice/Assistant integration after canonical hand-off; no W2 page redesign.</x:v>
      </x:c>
      <x:c r="O241" t="str">
        <x:v>T-131; T-132; T-133; T-238; T-239</x:v>
      </x:c>
      <x:c r="P241" t="str">
        <x:v>NEW v2.13.0 — production multi-objective practice integration</x:v>
      </x:c>
      <x:c r="Q241" t="str">
        <x:v>Not Started — Master Design v4.9 current authority; implementation evidence required</x:v>
      </x:c>
      <x:c r="R241"/>
      <x:c r="S241" t="str">
        <x:v>NEW TASK REQUIRED</x:v>
      </x:c>
      <x:c r="T241" t="str">
        <x:v>Customer expects best combination across quality/productivity/loss/cost, not single-outcome best practice.</x:v>
      </x:c>
      <x:c r="U241" t="str">
        <x:v>Consume existing practice engine and reference authority; no second model family and no hidden score.</x:v>
      </x:c>
      <x:c r="V241" t="str">
        <x:v>T-131 + T-132 + T-133 + T-238 + T-239</x:v>
      </x:c>
      <x:c r="W241" t="str">
        <x:v>One owner; parallel only across non-overlapping files.</x:v>
      </x:c>
      <x:c r="X241" t="str">
        <x:v>Medium</x:v>
      </x:c>
      <x:c r="Y241" t="str">
        <x:v>Master Design v4.9 consolidated authority — 22-Aug-2026</x:v>
      </x:c>
      <x:c r="Z241" t="str">
        <x:v>Track 2 — Real Customer Product</x:v>
      </x:c>
      <x:c r="AA241" t="str">
        <x:v>Post-30-Sep / M2 Practice Intelligence</x:v>
      </x:c>
      <x:c r="AB241" t="str">
        <x:v>Post-September Advanced</x:v>
      </x:c>
      <x:c r="AC241" t="str">
        <x:v>Generic practice trade-off intelligence; customer preference remains explicit.</x:v>
      </x:c>
      <x:c r="AD241" t="str">
        <x:v>Medium</x:v>
      </x:c>
      <x:c r="AE241" t="str">
        <x:v>Worker 3</x:v>
      </x:c>
      <x:c r="AF241" t="str">
        <x:v>Canonical practice intelligence</x:v>
      </x:c>
      <x:c r="AG241" t="str">
        <x:v>AI/ML production integration</x:v>
      </x:c>
      <x:c r="AH241" t="n">
        <x:v>4</x:v>
      </x:c>
      <x:c r="AI241" t="n">
        <x:v>1.7</x:v>
      </x:c>
      <x:c r="AJ241" t="n">
        <x:v>3</x:v>
      </x:c>
      <x:c r="AK241" t="n">
        <x:v>5.1</x:v>
      </x:c>
      <x:c r="AL241" t="str">
        <x:v>POSTSEP-W3-05</x:v>
      </x:c>
      <x:c r="AM241" t="str">
        <x:v>After practice core + objective persistence.</x:v>
      </x:c>
      <x:c r="AN241" t="str">
        <x:v>Practice intelligence/Assistant tool only.</x:v>
      </x:c>
      <x:c r="AO241" t="str">
        <x:v>T-138 may expose this tool after completion; no Assistant redesign.</x:v>
      </x:c>
      <x:c r="AP241" t="str">
        <x:v>T-131; T-132; T-133; T-238; T-239</x:v>
      </x:c>
      <x:c r="AQ241"/>
    </x:row>
  </x:sheetData>
  <x:conditionalFormatting sqref="M2:M194">
    <x:cfRule type="expression" dxfId="4" priority="1">
      <x:formula>M2="W3 SAFE NOW"</x:formula>
    </x:cfRule>
    <x:cfRule type="expression" dxfId="3" priority="2">
      <x:formula>ISNUMBER(SEARCH("DO NOT",M2))</x:formula>
    </x:cfRule>
    <x:cfRule type="expression" dxfId="2" priority="3">
      <x:formula>ISNUMBER(SEARCH("AFTER",M2))</x:formula>
    </x:cfRule>
    <x:cfRule type="expression" dxfId="1" priority="4">
      <x:formula>ISNUMBER(SEARCH("SHARED",M2))</x:formula>
    </x:cfRule>
    <x:cfRule type="expression" dxfId="0" priority="5">
      <x:formula>M2="CLOSED"</x:formula>
    </x:cfRule>
  </x:conditionalFormatting>
  <x:conditionalFormatting sqref="P2:P194">
    <x:cfRule type="expression" dxfId="35" priority="6">
      <x:formula>ISNUMBER(SEARCH("NEW",P2))</x:formula>
    </x:cfRule>
    <x:cfRule type="expression" dxfId="34" priority="7">
      <x:formula>ISNUMBER(SEARCH("EXPANDED",P2))</x:formula>
    </x:cfRule>
  </x:conditionalFormatting>
  <x:conditionalFormatting sqref="AB2:AB201">
    <x:cfRule type="expression" dxfId="33" priority="10">
      <x:formula>AB2="Customer Release"</x:formula>
    </x:cfRule>
    <x:cfRule type="expression" dxfId="32" priority="11">
      <x:formula>AB2="M1 Contract"</x:formula>
    </x:cfRule>
  </x:conditionalFormatting>
  <x:conditionalFormatting sqref="AD2:AD201">
    <x:cfRule type="expression" dxfId="31" priority="8">
      <x:formula>ISNUMBER(SEARCH("High",AD2))</x:formula>
    </x:cfRule>
    <x:cfRule type="expression" dxfId="30" priority="9">
      <x:formula>AD2="Closed"</x:formula>
    </x:cfRule>
  </x:conditionalFormatting>
  <x:conditionalFormatting sqref="AE2:AE201">
    <x:cfRule type="expression" dxfId="29" priority="12">
      <x:formula>AE2="Worker 1"</x:formula>
    </x:cfRule>
    <x:cfRule type="expression" dxfId="28" priority="13">
      <x:formula>AE2="Worker 2"</x:formula>
    </x:cfRule>
    <x:cfRule type="expression" dxfId="27" priority="14">
      <x:formula>AE2="Worker 3"</x:formula>
    </x:cfRule>
    <x:cfRule type="expression" dxfId="26" priority="15">
      <x:formula>AE2="CLOSED"</x:formula>
    </x:cfRule>
  </x:conditionalFormatting>
  <x:conditionalFormatting sqref="AK2:AK201">
    <x:cfRule type="dataBar" priority="16">
      <x:dataBar>
        <x:cfvo type="min"/>
        <x:cfvo type="max"/>
        <x:color rgb="FF4BACC6"/>
      </x:dataBar>
    </x:cfRule>
    <x:cfRule type="dataBar" priority="17">
      <x:dataBar>
        <x:cfvo type="min"/>
        <x:cfvo type="max"/>
        <x:color rgb="FF4BACC6"/>
      </x:dataBar>
      <x:extLst>
        <x:ext xmlns:x14="http://schemas.microsoft.com/office/spreadsheetml/2009/9/main" uri="{B025F937-C7B1-47D3-B67F-A62EFF666E3E}">
          <x14:id>{B809FE00-AAF7-75A3-1ED1-D1BDE8F8C969}</x14:id>
        </x:ext>
      </x:extLst>
    </x:cfRule>
  </x:conditionalFormatting>
  <x:dataValidations count="1">
    <x:dataValidation type="list" sqref="K2:K194">
      <x:formula1>"Not Started,In Progress,Blocked,Done"</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7" id="{B809FE00-AAF7-75A3-1ED1-D1BDE8F8C969}">
            <x14:dataBar>
              <x14:cfvo type="min"/>
              <x14:cfvo type="max"/>
              <x14:fillColor rgb="FF4BACC6"/>
              <x14:negativeFillColor auto="1"/>
              <x14:axisColor auto="1"/>
            </x14:dataBar>
          </x14:cfRule>
          <xm:sqref>AK2:AK201</xm:sqref>
        </x14:conditionalFormatting>
      </x14:conditionalFormattings>
    </x:ext>
  </x:extLst>
</x:worksheet>
</file>

<file path=xl/worksheets/sheet2.xml><?xml version="1.0" encoding="utf-8"?>
<x:worksheet xmlns:x="http://schemas.openxmlformats.org/spreadsheetml/2006/main">
  <x:sheetFormatPr defaultRowHeight="15"/>
  <x:cols>
    <x:col min="1" max="1" width="14" hidden="0" customWidth="1"/>
    <x:col min="2" max="2" width="10" hidden="0" customWidth="1"/>
    <x:col min="3" max="3" width="42" hidden="0" customWidth="1"/>
    <x:col min="4" max="4" width="80" hidden="0" customWidth="1"/>
    <x:col min="5" max="6" width="10" customWidth="1"/>
    <x:col min="7" max="7" width="12.5703125" customWidth="1"/>
    <x:col min="8" max="8" width="28" customWidth="1"/>
    <x:col min="9" max="9" width="12" customWidth="1"/>
    <x:col min="11" max="11" width="12" customWidth="1"/>
    <x:col min="12" max="12" width="17" customWidth="1"/>
    <x:col min="13" max="15" width="12" customWidth="1"/>
    <x:col min="16" max="16" width="38" customWidth="1"/>
    <x:col min="5" max="5" width="11" hidden="0" customWidth="1"/>
    <x:col min="6" max="6" width="11" hidden="0" customWidth="1"/>
  </x:cols>
  <x:sheetData>
    <x:row r="1" ht="30">
      <x:c r="A1" s="318" t="str">
        <x:v>Phase Id</x:v>
      </x:c>
      <x:c r="B1" s="319" t="str">
        <x:v>Milestone</x:v>
      </x:c>
      <x:c r="C1" s="319" t="str">
        <x:v>Phase Title</x:v>
      </x:c>
      <x:c r="D1" s="319" t="str">
        <x:v>Intent</x:v>
      </x:c>
      <x:c r="E1" s="319" t="str">
        <x:v>Tasks</x:v>
      </x:c>
      <x:c r="F1" s="320" t="str">
        <x:v>Hours</x:v>
      </x:c>
      <x:c r="G1" s="77"/>
      <x:c r="H1" s="77"/>
      <x:c r="I1" s="77"/>
      <x:c r="K1" s="112" t="s">
        <x:v>2</x:v>
      </x:c>
      <x:c r="L1" s="112" t="s">
        <x:v>1419</x:v>
      </x:c>
      <x:c r="M1" s="112" t="s">
        <x:v>1420</x:v>
      </x:c>
      <x:c r="N1" s="112" t="s">
        <x:v>1421</x:v>
      </x:c>
      <x:c r="O1" s="112" t="s">
        <x:v>1422</x:v>
      </x:c>
      <x:c r="P1" s="112" t="s">
        <x:v>1423</x:v>
      </x:c>
    </x:row>
    <x:row r="2" ht="60" customHeight="1">
      <x:c r="A2" s="321" t="str">
        <x:v>M1-P1</x:v>
      </x:c>
      <x:c r="B2" s="322" t="str">
        <x:v>M1</x:v>
      </x:c>
      <x:c r="C2" s="323" t="str">
        <x:v>Presentation Truth and Dataset Foundation</x:v>
      </x:c>
      <x:c r="D2" s="323" t="str">
        <x:v>Historical presentation scope. Frozen after successful customer presentation; no further M1 content work.</x:v>
      </x:c>
      <x:c r="E2" s="323" t="n">
        <x:v>12</x:v>
      </x:c>
      <x:c r="F2" s="324" t="n">
        <x:v>84</x:v>
      </x:c>
      <x:c r="G2" s="2"/>
      <x:c r="H2" s="2"/>
      <x:c r="I2" s="2"/>
      <x:c r="K2" s="2" t="s">
        <x:v>42</x:v>
      </x:c>
      <x:c r="L2" s="111">
        <x:v>0</x:v>
      </x:c>
      <x:c r="M2" s="111">
        <x:v>0</x:v>
      </x:c>
      <x:c r="N2" s="111">
        <x:v>0</x:v>
      </x:c>
      <x:c r="O2" s="111">
        <x:v>0</x:v>
      </x:c>
      <x:c r="P2" s="2" t="s">
        <x:v>1424</x:v>
      </x:c>
    </x:row>
    <x:row r="3" ht="60" customHeight="1">
      <x:c r="A3" s="321" t="str">
        <x:v>M1-P1b</x:v>
      </x:c>
      <x:c r="B3" s="322" t="str">
        <x:v>M1</x:v>
      </x:c>
      <x:c r="C3" s="323" t="str">
        <x:v>Presentation Fleet v2 - legacy evidence fixture</x:v>
      </x:c>
      <x:c r="D3" s="323" t="str">
        <x:v>Historical presentation-data work. Fleet remains regression evidence only, never product authority.</x:v>
      </x:c>
      <x:c r="E3" s="323" t="n">
        <x:v>17</x:v>
      </x:c>
      <x:c r="F3" s="324" t="n">
        <x:v>114</x:v>
      </x:c>
      <x:c r="G3" s="2"/>
      <x:c r="H3" s="2"/>
      <x:c r="I3" s="2"/>
      <x:c r="K3" s="2" t="s">
        <x:v>127</x:v>
      </x:c>
      <x:c r="L3" s="111">
        <x:v>0</x:v>
      </x:c>
      <x:c r="M3" s="111">
        <x:v>0</x:v>
      </x:c>
      <x:c r="N3" s="111">
        <x:v>0</x:v>
      </x:c>
      <x:c r="O3" s="111">
        <x:v>0</x:v>
      </x:c>
      <x:c r="P3" s="2" t="s">
        <x:v>1424</x:v>
      </x:c>
    </x:row>
    <x:row r="4" ht="60" customHeight="1">
      <x:c r="A4" s="321" t="str">
        <x:v>M1-P2</x:v>
      </x:c>
      <x:c r="B4" s="322" t="str">
        <x:v>M1</x:v>
      </x:c>
      <x:c r="C4" s="323" t="str">
        <x:v>No-Code Authoring Shell - historical presentation slice</x:v>
      </x:c>
      <x:c r="D4" s="323" t="str">
        <x:v>Visible contract preserved as historical evidence; generic authoring continues under M2 canonical authority.</x:v>
      </x:c>
      <x:c r="E4" s="323" t="n">
        <x:v>11</x:v>
      </x:c>
      <x:c r="F4" s="324" t="n">
        <x:v>107</x:v>
      </x:c>
      <x:c r="G4" s="2"/>
      <x:c r="H4" s="22" t="s">
        <x:v>1425</x:v>
      </x:c>
      <x:c r="I4" s="23" t="n">
        <x:f>SUMIF(Backlog!$B:$B,"M1",Backlog!$J:$J)</x:f>
        <x:v>574</x:v>
      </x:c>
      <x:c r="K4" s="2" t="s">
        <x:v>200</x:v>
      </x:c>
      <x:c r="L4" s="111">
        <x:v>0</x:v>
      </x:c>
      <x:c r="M4" s="111">
        <x:v>0</x:v>
      </x:c>
      <x:c r="N4" s="111">
        <x:v>0</x:v>
      </x:c>
      <x:c r="O4" s="111">
        <x:v>0</x:v>
      </x:c>
      <x:c r="P4" s="2" t="s">
        <x:v>1424</x:v>
      </x:c>
    </x:row>
    <x:row r="5" ht="60" customHeight="1">
      <x:c r="A5" s="321" t="str">
        <x:v>M1-P3</x:v>
      </x:c>
      <x:c r="B5" s="322" t="str">
        <x:v>M1</x:v>
      </x:c>
      <x:c r="C5" s="323" t="str">
        <x:v>BI Workspace and Showcase Pages - historical baseline</x:v>
      </x:c>
      <x:c r="D5" s="323" t="str">
        <x:v>Frozen presentation baseline. Generic runtime defects are re-owned by M2a-P0 Product Truth.</x:v>
      </x:c>
      <x:c r="E5" s="323" t="n">
        <x:v>12</x:v>
      </x:c>
      <x:c r="F5" s="324" t="n">
        <x:v>80</x:v>
      </x:c>
      <x:c r="G5" s="2"/>
      <x:c r="H5" s="24" t="s">
        <x:v>1426</x:v>
      </x:c>
      <x:c r="I5" s="25" t="n">
        <x:f>SUMIFS(Backlog!$J:$J,Backlog!$B:$B,"M1",Backlog!$K:$K,"Done")</x:f>
        <x:v>465</x:v>
      </x:c>
      <x:c r="K5" s="2" t="s">
        <x:v>249</x:v>
      </x:c>
      <x:c r="L5" s="111">
        <x:v>20</x:v>
      </x:c>
      <x:c r="M5" s="111">
        <x:v>0</x:v>
      </x:c>
      <x:c r="N5" s="111">
        <x:v>4.166666666666667</x:v>
      </x:c>
      <x:c r="O5" s="111">
        <x:v>0</x:v>
      </x:c>
      <x:c r="P5" s="2" t="s">
        <x:v>1427</x:v>
      </x:c>
    </x:row>
    <x:row r="6" ht="60" customHeight="1">
      <x:c r="A6" s="321" t="str">
        <x:v>M1-P4</x:v>
      </x:c>
      <x:c r="B6" s="322" t="str">
        <x:v>M1</x:v>
      </x:c>
      <x:c r="C6" s="323" t="str">
        <x:v>Journey J4 to J15 and Engine Slice - historical baseline</x:v>
      </x:c>
      <x:c r="D6" s="323" t="str">
        <x:v>Frozen as M1. No further presentation-only completion; reusable contracts are consumed by M2.</x:v>
      </x:c>
      <x:c r="E6" s="323" t="n">
        <x:v>16</x:v>
      </x:c>
      <x:c r="F6" s="324" t="n">
        <x:v>106</x:v>
      </x:c>
      <x:c r="G6" s="2"/>
      <x:c r="H6" s="24" t="s">
        <x:v>1428</x:v>
      </x:c>
      <x:c r="I6" s="25" t="n">
        <x:f>I4-I5</x:f>
        <x:v>109</x:v>
      </x:c>
      <x:c r="K6" s="2" t="s">
        <x:v>324</x:v>
      </x:c>
      <x:c r="L6" s="111">
        <x:v>106</x:v>
      </x:c>
      <x:c r="M6" s="111">
        <x:v>9.2333333333333325</x:v>
      </x:c>
      <x:c r="N6" s="111">
        <x:v>5.333333333333333</x:v>
      </x:c>
      <x:c r="O6" s="111">
        <x:v>2.5333333333333332</x:v>
      </x:c>
      <x:c r="P6" s="2" t="s">
        <x:v>1429</x:v>
      </x:c>
    </x:row>
    <x:row r="7" ht="60" customHeight="1">
      <x:c r="A7" s="321" t="str">
        <x:v>M1-P5</x:v>
      </x:c>
      <x:c r="B7" s="322" t="str">
        <x:v>M1</x:v>
      </x:c>
      <x:c r="C7" s="323" t="str">
        <x:v>Assistant Dock and Presentation Certification - historical baseline</x:v>
      </x:c>
      <x:c r="D7" s="323" t="str">
        <x:v>Frozen customer-visible proof. No new M1 feature or polish work.</x:v>
      </x:c>
      <x:c r="E7" s="323" t="n">
        <x:v>15</x:v>
      </x:c>
      <x:c r="F7" s="324" t="n">
        <x:v>83</x:v>
      </x:c>
      <x:c r="G7" s="2"/>
      <x:c r="H7" s="26" t="s">
        <x:v>1430</x:v>
      </x:c>
      <x:c r="I7" s="27" t="n">
        <x:f>IFERROR(I5/I4,0)</x:f>
        <x:v>0.8101045296167247</x:v>
      </x:c>
      <x:c r="K7" s="2" t="s">
        <x:v>456</x:v>
      </x:c>
      <x:c r="L7" s="111">
        <x:v>37</x:v>
      </x:c>
      <x:c r="M7" s="111">
        <x:v>0</x:v>
      </x:c>
      <x:c r="N7" s="111">
        <x:v>7.746666666666667</x:v>
      </x:c>
      <x:c r="O7" s="111">
        <x:v>0.33750000000000002</x:v>
      </x:c>
      <x:c r="P7" s="2" t="s">
        <x:v>1427</x:v>
      </x:c>
    </x:row>
    <x:row r="8" ht="60" customHeight="1">
      <x:c r="A8" s="321" t="str">
        <x:v>M2a-P0</x:v>
      </x:c>
      <x:c r="B8" s="325" t="str">
        <x:v>M2a</x:v>
      </x:c>
      <x:c r="C8" s="323" t="str">
        <x:v>Product Truth, Release Reliability and Genericity Cutover</x:v>
      </x:c>
      <x:c r="D8" s="323" t="str">
        <x:v>First v2.13 phase. Freeze M1, replay persisted definitions, certify session semantics, stop false connector claims and establish generic controlled fixtures.</x:v>
      </x:c>
      <x:c r="E8" s="323" t="n">
        <x:v>8</x:v>
      </x:c>
      <x:c r="F8" s="324" t="n">
        <x:v>66</x:v>
      </x:c>
      <x:c r="G8" s="2"/>
      <x:c r="H8" s="2"/>
      <x:c r="I8" s="2"/>
      <x:c r="K8" s="2" t="s">
        <x:v>547</x:v>
      </x:c>
      <x:c r="L8" s="111">
        <x:v>114</x:v>
      </x:c>
      <x:c r="M8" s="111">
        <x:v>21.799166666666668</x:v>
      </x:c>
      <x:c r="N8" s="111">
        <x:v>0</x:v>
      </x:c>
      <x:c r="O8" s="111">
        <x:v>0</x:v>
      </x:c>
      <x:c r="P8" s="2" t="s">
        <x:v>1429</x:v>
      </x:c>
    </x:row>
    <x:row r="9" ht="60" customHeight="1">
      <x:c r="A9" s="321" t="str">
        <x:v>M2a-P1</x:v>
      </x:c>
      <x:c r="B9" s="325" t="str">
        <x:v>M2a</x:v>
      </x:c>
      <x:c r="C9" s="323" t="str">
        <x:v>Canonical Schema Authority and Unified Definition Store</x:v>
      </x:c>
      <x:c r="D9" s="323" t="str">
        <x:v>Canonical three-schema authority and unified definitions. T-086 remains legacy oracle only; T-088/T-087/T-089/T-090 are the sequential foundation.</x:v>
      </x:c>
      <x:c r="E9" s="323" t="n">
        <x:v>11</x:v>
      </x:c>
      <x:c r="F9" s="324" t="n">
        <x:v>114</x:v>
      </x:c>
      <x:c r="G9" s="2"/>
      <x:c r="H9" s="2"/>
      <x:c r="I9" s="2"/>
      <x:c r="K9" s="2" t="s">
        <x:v>631</x:v>
      </x:c>
      <x:c r="L9" s="111">
        <x:v>100</x:v>
      </x:c>
      <x:c r="M9" s="111">
        <x:v>10.199999999999999</x:v>
      </x:c>
      <x:c r="N9" s="111">
        <x:v>5.333333333333333</x:v>
      </x:c>
      <x:c r="O9" s="111">
        <x:v>0</x:v>
      </x:c>
      <x:c r="P9" s="2" t="s">
        <x:v>1429</x:v>
      </x:c>
    </x:row>
    <x:row r="10" ht="60" customHeight="1">
      <x:c r="A10" s="321" t="str">
        <x:v>M2a-P1X</x:v>
      </x:c>
      <x:c r="B10" s="325" t="str">
        <x:v>M2a</x:v>
      </x:c>
      <x:c r="C10" s="323" t="str">
        <x:v>Generic Analysis Subject, Aggregation, Time, Intake and Reference Authorities</x:v>
      </x:c>
      <x:c r="D10" s="323" t="str">
        <x:v>Generic Analysis Subject, Aggregation, Time, Intake, Reference, process-regime and objective-authority persistence. Removes universal material/grain assumptions and makes foreign continuous-process data semantically safe.</x:v>
      </x:c>
      <x:c r="E10" s="323" t="n">
        <x:v>14</x:v>
      </x:c>
      <x:c r="F10" s="324" t="n">
        <x:v>108</x:v>
      </x:c>
      <x:c r="G10" s="2"/>
      <x:c r="H10" s="2"/>
      <x:c r="I10" s="2"/>
      <x:c r="K10" s="2" t="s">
        <x:v>720</x:v>
      </x:c>
      <x:c r="L10" s="111">
        <x:v>106</x:v>
      </x:c>
      <x:c r="M10" s="111">
        <x:v>13.5</x:v>
      </x:c>
      <x:c r="N10" s="111">
        <x:v>0</x:v>
      </x:c>
      <x:c r="O10" s="111">
        <x:v>4.5</x:v>
      </x:c>
      <x:c r="P10" s="2" t="s">
        <x:v>1429</x:v>
      </x:c>
    </x:row>
    <x:row r="11" ht="60" customHeight="1">
      <x:c r="A11" s="321" t="str">
        <x:v>M2a-P2</x:v>
      </x:c>
      <x:c r="B11" s="325" t="str">
        <x:v>M2a</x:v>
      </x:c>
      <x:c r="C11" s="323" t="str">
        <x:v>Permanent Relationship Model and Projection Quarantine</x:v>
      </x:c>
      <x:c r="D11" s="323" t="str">
        <x:v>Permanent relationship/resolver/quarantine authority plus canonical Plant Model Explorer; consumes the current generic subject/registry contracts.</x:v>
      </x:c>
      <x:c r="E11" s="323" t="n">
        <x:v>12</x:v>
      </x:c>
      <x:c r="F11" s="324" t="n">
        <x:v>100</x:v>
      </x:c>
      <x:c r="G11" s="2"/>
      <x:c r="H11" s="2"/>
      <x:c r="I11" s="2"/>
      <x:c r="K11" s="2" t="s">
        <x:v>805</x:v>
      </x:c>
      <x:c r="L11" s="111">
        <x:v>170</x:v>
      </x:c>
      <x:c r="M11" s="111">
        <x:v>20</x:v>
      </x:c>
      <x:c r="N11" s="111">
        <x:v>16.137142857142859</x:v>
      </x:c>
      <x:c r="O11" s="111">
        <x:v>0</x:v>
      </x:c>
      <x:c r="P11" s="2" t="s">
        <x:v>1429</x:v>
      </x:c>
    </x:row>
    <x:row r="12" ht="60" customHeight="1">
      <x:c r="A12" s="321" t="str">
        <x:v>M2a-P3</x:v>
      </x:c>
      <x:c r="B12" s="326" t="str">
        <x:v>M2a</x:v>
      </x:c>
      <x:c r="C12" s="323" t="str">
        <x:v>Job Runtime, Delta Propagation and Security Hardening</x:v>
      </x:c>
      <x:c r="D12" s="323" t="str">
        <x:v>Bounded execution, delta propagation, tenant/security hardening and generic scheduler contracts.</x:v>
      </x:c>
      <x:c r="E12" s="323" t="n">
        <x:v>12</x:v>
      </x:c>
      <x:c r="F12" s="324" t="n">
        <x:v>106</x:v>
      </x:c>
      <x:c r="G12" s="2"/>
      <x:c r="H12" s="22"/>
      <x:c r="I12" s="23"/>
      <x:c r="K12" s="2" t="s">
        <x:v>1164</x:v>
      </x:c>
      <x:c r="L12" s="111">
        <x:v>0</x:v>
      </x:c>
      <x:c r="M12" s="111">
        <x:v>0</x:v>
      </x:c>
      <x:c r="N12" s="111">
        <x:v>0</x:v>
      </x:c>
      <x:c r="O12" s="111">
        <x:v>0</x:v>
      </x:c>
      <x:c r="P12" s="2" t="s">
        <x:v>1424</x:v>
      </x:c>
    </x:row>
    <x:row r="13" ht="60" customHeight="1">
      <x:c r="A13" s="321" t="str">
        <x:v>M2a-P4</x:v>
      </x:c>
      <x:c r="B13" s="326" t="str">
        <x:v>M2a</x:v>
      </x:c>
      <x:c r="C13" s="323" t="str">
        <x:v>Commissioning, Roles, Licence and On-Site Package</x:v>
      </x:c>
      <x:c r="D13" s="323" t="str">
        <x:v>Site/application commissioning and operational package. Customer Data Intake remains T-213, a separate authority.</x:v>
      </x:c>
      <x:c r="E13" s="323" t="n">
        <x:v>15</x:v>
      </x:c>
      <x:c r="F13" s="324" t="n">
        <x:v>170</x:v>
      </x:c>
      <x:c r="G13" s="2"/>
      <x:c r="H13" s="24"/>
      <x:c r="I13" s="25"/>
      <x:c r="K13" s="2" t="s">
        <x:v>943</x:v>
      </x:c>
      <x:c r="L13" s="111">
        <x:v>0</x:v>
      </x:c>
      <x:c r="M13" s="111">
        <x:v>0</x:v>
      </x:c>
      <x:c r="N13" s="111">
        <x:v>0</x:v>
      </x:c>
      <x:c r="O13" s="111">
        <x:v>0</x:v>
      </x:c>
      <x:c r="P13" s="2" t="s">
        <x:v>1424</x:v>
      </x:c>
    </x:row>
    <x:row r="14" ht="60" customHeight="1">
      <x:c r="A14" s="321" t="str">
        <x:v>M2b-P0A</x:v>
      </x:c>
      <x:c r="B14" s="326" t="str">
        <x:v>M2b</x:v>
      </x:c>
      <x:c r="C14" s="323" t="str">
        <x:v>Parallel ML Runtime and Data-Artifact Foundations</x:v>
      </x:c>
      <x:c r="D14" s="323" t="str">
        <x:v>Closed SAFE-NOW foundation. Preserve; do not reopen.</x:v>
      </x:c>
      <x:c r="E14" s="323" t="n">
        <x:v>8</x:v>
      </x:c>
      <x:c r="F14" s="324" t="n">
        <x:v>86</x:v>
      </x:c>
      <x:c r="G14" s="2"/>
      <x:c r="H14" s="24"/>
      <x:c r="I14" s="25"/>
      <x:c r="K14" s="2" t="s">
        <x:v>875</x:v>
      </x:c>
      <x:c r="L14" s="111">
        <x:v>102</x:v>
      </x:c>
      <x:c r="M14" s="111">
        <x:v>0</x:v>
      </x:c>
      <x:c r="N14" s="111">
        <x:v>0</x:v>
      </x:c>
      <x:c r="O14" s="111">
        <x:v>15.737499999999999</x:v>
      </x:c>
      <x:c r="P14" s="2" t="s">
        <x:v>1431</x:v>
      </x:c>
    </x:row>
    <x:row r="15" ht="60" customHeight="1">
      <x:c r="A15" s="327" t="str">
        <x:v>M2b-P0B</x:v>
      </x:c>
      <x:c r="B15" s="328" t="str">
        <x:v>M2b</x:v>
      </x:c>
      <x:c r="C15" s="329" t="str">
        <x:v>Parallel Model, Statistical and Assistant Kernels</x:v>
      </x:c>
      <x:c r="D15" s="329" t="str">
        <x:v>Closed SAFE-NOW foundation. Preserve; do not reopen.</x:v>
      </x:c>
      <x:c r="E15" s="329" t="n">
        <x:v>8</x:v>
      </x:c>
      <x:c r="F15" s="330" t="n">
        <x:v>86</x:v>
      </x:c>
      <x:c r="G15" s="2"/>
      <x:c r="H15" s="26"/>
      <x:c r="I15" s="27"/>
      <x:c r="K15" s="2" t="s">
        <x:v>910</x:v>
      </x:c>
      <x:c r="L15" s="111">
        <x:v>80</x:v>
      </x:c>
      <x:c r="M15" s="111">
        <x:v>0</x:v>
      </x:c>
      <x:c r="N15" s="111">
        <x:v>0</x:v>
      </x:c>
      <x:c r="O15" s="111">
        <x:v>12.166666666666666</x:v>
      </x:c>
      <x:c r="P15" s="2" t="s">
        <x:v>1431</x:v>
      </x:c>
    </x:row>
    <x:row r="16" ht="30">
      <x:c r="A16" s="331" t="str">
        <x:v>M2b-P0C</x:v>
      </x:c>
      <x:c r="B16" s="332" t="str">
        <x:v>M2b</x:v>
      </x:c>
      <x:c r="C16" s="333" t="str">
        <x:v>Evidence Reconciliation and Grounded Investigation — September committed</x:v>
      </x:c>
      <x:c r="D16" s="331" t="str">
        <x:v>September-committed bridge: aggregation, temporal/fact authority, transition/regime guard, reconciliation, causal confidence, visible surface and grounded Assistant through the existing governed result seam.</x:v>
      </x:c>
      <x:c r="E16" s="333" t="n">
        <x:v>8</x:v>
      </x:c>
      <x:c r="F16" s="333" t="n">
        <x:v>78</x:v>
      </x:c>
      <x:c r="G16" s="2"/>
      <x:c r="H16" s="2"/>
      <x:c r="I16" s="2"/>
      <x:c r="K16" s="2" t="s">
        <x:v>965</x:v>
      </x:c>
      <x:c r="L16" s="111">
        <x:v>104</x:v>
      </x:c>
      <x:c r="M16" s="111">
        <x:v>0</x:v>
      </x:c>
      <x:c r="N16" s="111">
        <x:v>0</x:v>
      </x:c>
      <x:c r="O16" s="111">
        <x:v>16</x:v>
      </x:c>
      <x:c r="P16" s="2" t="s">
        <x:v>1431</x:v>
      </x:c>
    </x:row>
    <x:row r="17" ht="38.25">
      <x:c r="A17" s="331" t="str">
        <x:v>M2b-P0D</x:v>
      </x:c>
      <x:c r="B17" s="332" t="str">
        <x:v>M2b</x:v>
      </x:c>
      <x:c r="C17" s="331" t="str">
        <x:v>Deferred Insight Composition and Investigation Boards</x:v>
      </x:c>
      <x:c r="D17" s="331" t="str">
        <x:v>Post-September: versioned InsightBoardPlan, governed plan-to-widget composition, persisted replay and Save-as-Page handoff.</x:v>
      </x:c>
      <x:c r="E17" s="331" t="n">
        <x:v>3</x:v>
      </x:c>
      <x:c r="F17" s="331" t="n">
        <x:v>34</x:v>
      </x:c>
      <x:c r="G17" s="2"/>
      <x:c r="H17" s="2"/>
      <x:c r="I17" s="2"/>
      <x:c r="J17"/>
      <x:c r="K17" s="2" t="str">
        <x:v>M2b-P0D</x:v>
      </x:c>
      <x:c r="L17" s="111" t="n">
        <x:v>34</x:v>
      </x:c>
      <x:c r="M17" s="111" t="n">
        <x:v>0</x:v>
      </x:c>
      <x:c r="N17" s="111" t="n">
        <x:v>0</x:v>
      </x:c>
      <x:c r="O17" s="111" t="n">
        <x:v>14.4714285714</x:v>
      </x:c>
      <x:c r="P17" s="2" t="str">
        <x:v>Worker 3; explicitly deferred beyond 30-Sep RC.</x:v>
      </x:c>
    </x:row>
    <x:row r="18" ht="30">
      <x:c r="A18" s="331" t="str">
        <x:v>M2b-P1</x:v>
      </x:c>
      <x:c r="B18" s="334" t="str">
        <x:v>M2b</x:v>
      </x:c>
      <x:c r="C18" s="331" t="str">
        <x:v>Canonical Intelligence Persistence and Practice Core</x:v>
      </x:c>
      <x:c r="D18" s="331" t="str">
        <x:v>Canonical intelligence persistence and practice core, including multi-objective Objective/Pareto integration and post-demo canonical reconciliation convergence.</x:v>
      </x:c>
      <x:c r="E18" s="331" t="n">
        <x:v>12</x:v>
      </x:c>
      <x:c r="F18" s="331" t="n">
        <x:v>138</x:v>
      </x:c>
      <x:c r="G18" s="2"/>
      <x:c r="H18" s="2"/>
      <x:c r="I18" s="2"/>
      <x:c r="J18"/>
      <x:c r="K18" s="2" t="s">
        <x:v>955</x:v>
      </x:c>
      <x:c r="L18" s="111">
        <x:v>80</x:v>
      </x:c>
      <x:c r="M18" s="111">
        <x:v>4.08</x:v>
      </x:c>
      <x:c r="N18" s="111">
        <x:v>2.333333333333333</x:v>
      </x:c>
      <x:c r="O18" s="111">
        <x:v>8.2999999999999989</x:v>
      </x:c>
      <x:c r="P18" s="2" t="s">
        <x:v>1431</x:v>
      </x:c>
    </x:row>
    <x:row r="19" ht="30">
      <x:c r="A19" s="331" t="str">
        <x:v>M2b-P2</x:v>
      </x:c>
      <x:c r="B19" s="334" t="str">
        <x:v>M2b</x:v>
      </x:c>
      <x:c r="C19" s="331" t="str">
        <x:v>Model Integration, Intelligence Binding and Canonical Readiness</x:v>
      </x:c>
      <x:c r="D19" s="331" t="str">
        <x:v>Production integration of isolated kernels with canonical subject/grain, reference and readiness authorities.</x:v>
      </x:c>
      <x:c r="E19" s="331" t="n">
        <x:v>7</x:v>
      </x:c>
      <x:c r="F19" s="331" t="n">
        <x:v>80</x:v>
      </x:c>
      <x:c r="G19" s="2"/>
      <x:c r="H19" s="2"/>
      <x:c r="I19" s="2"/>
      <x:c r="J19"/>
      <x:c r="K19" s="2" t="s">
        <x:v>1057</x:v>
      </x:c>
      <x:c r="L19" s="111">
        <x:v>96</x:v>
      </x:c>
      <x:c r="M19" s="111">
        <x:v>28.8</x:v>
      </x:c>
      <x:c r="N19" s="111">
        <x:v>7.2</x:v>
      </x:c>
      <x:c r="O19" s="111">
        <x:v>12.96</x:v>
      </x:c>
      <x:c r="P19" s="2" t="s">
        <x:v>1429</x:v>
      </x:c>
    </x:row>
    <x:row r="20">
      <x:c r="A20" s="314" t="str">
        <x:v>M2b-P3</x:v>
      </x:c>
      <x:c r="B20" s="314" t="str">
        <x:v>M2b</x:v>
      </x:c>
      <x:c r="C20" s="335" t="str">
        <x:v>Prediction, Remediation and Canonical Intelligence Surfaces</x:v>
      </x:c>
      <x:c r="D20" s="335" t="str">
        <x:v>Generic-subject prediction/remediation pipeline and canonical intelligence surfaces.</x:v>
      </x:c>
      <x:c r="E20" s="335" t="n">
        <x:v>10</x:v>
      </x:c>
      <x:c r="F20" s="335" t="n">
        <x:v>104</x:v>
      </x:c>
      <x:c r="G20" s="2"/>
      <x:c r="H20" s="2"/>
      <x:c r="I20" s="2"/>
      <x:c r="J20"/>
      <x:c r="K20" t="s">
        <x:v>1122</x:v>
      </x:c>
      <x:c r="L20">
        <x:v>108</x:v>
      </x:c>
      <x:c r="M20">
        <x:v>43.2</x:v>
      </x:c>
      <x:c r="N20">
        <x:v>14.4</x:v>
      </x:c>
      <x:c r="O20">
        <x:v>4.32</x:v>
      </x:c>
      <x:c r="P20" t="s">
        <x:v>1429</x:v>
      </x:c>
    </x:row>
    <x:row r="21">
      <x:c r="A21" s="301" t="str">
        <x:v>M2b-P4</x:v>
      </x:c>
      <x:c r="B21" s="301" t="str">
        <x:v>M2b</x:v>
      </x:c>
      <x:c r="C21" s="301" t="str">
        <x:v>Assistant Cutover, Engine Convergence and Gate Closure</x:v>
      </x:c>
      <x:c r="D21" s="301" t="str">
        <x:v>Canonical Assistant internals, statistical convergence, G48-G55 and final pipeline closure.</x:v>
      </x:c>
      <x:c r="E21" s="301" t="n">
        <x:v>8</x:v>
      </x:c>
      <x:c r="F21" s="301" t="n">
        <x:v>80</x:v>
      </x:c>
      <x:c r="G21"/>
      <x:c r="H21"/>
      <x:c r="I21"/>
      <x:c r="J21"/>
      <x:c r="K21"/>
      <x:c r="L21"/>
      <x:c r="M21"/>
      <x:c r="N21"/>
      <x:c r="O21"/>
      <x:c r="P21"/>
    </x:row>
    <x:row r="22">
      <x:c r="A22" s="301" t="str">
        <x:v>M3-P0</x:v>
      </x:c>
      <x:c r="B22" s="301" t="str">
        <x:v>M3</x:v>
      </x:c>
      <x:c r="C22" s="301" t="str">
        <x:v>Production OT Acquisition and Pilot Value Contract</x:v>
      </x:c>
      <x:c r="D22" s="301" t="str">
        <x:v>Trial-phase production OPC-UA edge runtime/site certification plus an explicit pilot success scorecard.</x:v>
      </x:c>
      <x:c r="E22" s="301" t="n">
        <x:v>4</x:v>
      </x:c>
      <x:c r="F22" s="301" t="n">
        <x:v>42</x:v>
      </x:c>
      <x:c r="G22"/>
      <x:c r="H22"/>
      <x:c r="I22"/>
      <x:c r="J22"/>
      <x:c r="K22"/>
      <x:c r="L22"/>
      <x:c r="M22"/>
      <x:c r="N22"/>
      <x:c r="O22"/>
      <x:c r="P22"/>
    </x:row>
    <x:row r="23">
      <x:c r="A23" s="301" t="str">
        <x:v>M3-P1</x:v>
      </x:c>
      <x:c r="B23" s="301" t="str">
        <x:v>M3</x:v>
      </x:c>
      <x:c r="C23" s="301" t="str">
        <x:v>Site Stabilisation and Real-Data Performance</x:v>
      </x:c>
      <x:c r="D23" s="301" t="str">
        <x:v>Real site/data calibration, reconciliation expansion, model validation and operational hardening.</x:v>
      </x:c>
      <x:c r="E23" s="301" t="n">
        <x:v>8</x:v>
      </x:c>
      <x:c r="F23" s="301" t="n">
        <x:v>96</x:v>
      </x:c>
      <x:c r="G23"/>
      <x:c r="H23"/>
      <x:c r="I23"/>
      <x:c r="J23"/>
      <x:c r="K23"/>
      <x:c r="L23"/>
      <x:c r="M23"/>
      <x:c r="N23"/>
      <x:c r="O23"/>
      <x:c r="P23"/>
    </x:row>
    <x:row r="24">
      <x:c r="A24" s="301" t="str">
        <x:v>M3-P2</x:v>
      </x:c>
      <x:c r="B24" s="301" t="str">
        <x:v>M3</x:v>
      </x:c>
      <x:c r="C24" s="301" t="str">
        <x:v>Production Certification, Enterprise Operations and Commercial Completion</x:v>
      </x:c>
      <x:c r="D24" s="301" t="str">
        <x:v>Production/site certification and measured capacity/security/DR/acceptance evidence.</x:v>
      </x:c>
      <x:c r="E24" s="301" t="n">
        <x:v>9</x:v>
      </x:c>
      <x:c r="F24" s="301" t="n">
        <x:v>108</x:v>
      </x:c>
      <x:c r="G24"/>
      <x:c r="H24"/>
      <x:c r="I24"/>
      <x:c r="J24"/>
      <x:c r="K24"/>
      <x:c r="L24"/>
      <x:c r="M24"/>
      <x:c r="N24"/>
      <x:c r="O24"/>
      <x:c r="P24"/>
    </x:row>
    <x:row r="25">
      <x:c r="A25"/>
      <x:c r="B25"/>
      <x:c r="C25" t="str">
        <x:v>TOTAL</x:v>
      </x:c>
      <x:c r="D25"/>
      <x:c r="E25" t="n">
        <x:v>240</x:v>
      </x:c>
      <x:c r="F25" t="n">
        <x:v>2170</x:v>
      </x:c>
      <x:c r="G25"/>
      <x:c r="H25"/>
      <x:c r="I25"/>
      <x:c r="J25"/>
      <x:c r="K25"/>
      <x:c r="L25"/>
      <x:c r="M25"/>
      <x:c r="N25"/>
      <x:c r="O25"/>
      <x:c r="P25"/>
    </x:row>
    <x:row r="26">
      <x:c r="A26"/>
      <x:c r="B26"/>
      <x:c r="C26"/>
      <x:c r="D26"/>
      <x:c r="E26"/>
      <x:c r="F26"/>
      <x:c r="G26"/>
      <x:c r="H26"/>
      <x:c r="I26"/>
      <x:c r="J26"/>
      <x:c r="K26"/>
      <x:c r="L26"/>
      <x:c r="M26"/>
      <x:c r="N26"/>
      <x:c r="O26"/>
      <x:c r="P2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75" hidden="0" customWidth="1"/>
    <x:col min="3" max="6" width="14" customWidth="1"/>
    <x:col min="8" max="8" width="18" hidden="0" customWidth="1"/>
    <x:col min="9" max="9" width="18" hidden="0" customWidth="1"/>
    <x:col min="10" max="12" width="11" customWidth="1"/>
    <x:col min="13" max="13" width="17" customWidth="1"/>
    <x:col min="14" max="14" width="42" customWidth="1"/>
    <x:col min="10" max="10" width="18" hidden="0" customWidth="1"/>
    <x:col min="11" max="11" width="18" hidden="0" customWidth="1"/>
    <x:col min="12" max="12" width="18" hidden="0" customWidth="1"/>
  </x:cols>
  <x:sheetData>
    <x:row r="1" ht="25.5">
      <x:c r="A1" s="336" t="str">
        <x:v>Milestone</x:v>
      </x:c>
      <x:c r="B1" s="337" t="str">
        <x:v>Definition</x:v>
      </x:c>
      <x:c r="C1" s="337" t="str">
        <x:v>Tasks</x:v>
      </x:c>
      <x:c r="D1" s="337" t="str">
        <x:v>Hours</x:v>
      </x:c>
      <x:c r="E1" s="337" t="str">
        <x:v>Critical</x:v>
      </x:c>
      <x:c r="F1" s="338" t="str">
        <x:v>Very Important</x:v>
      </x:c>
      <x:c r="G1" s="301"/>
      <x:c r="H1" s="339" t="str">
        <x:v>Milestone</x:v>
      </x:c>
      <x:c r="I1" s="339" t="str">
        <x:v>Scheduled Open Traditional h</x:v>
      </x:c>
      <x:c r="J1" s="339" t="str">
        <x:v>W1 P80</x:v>
      </x:c>
      <x:c r="K1" s="339" t="str">
        <x:v>W2 P80</x:v>
      </x:c>
      <x:c r="L1" s="339" t="str">
        <x:v>W3 P80</x:v>
      </x:c>
      <x:c r="M1" s="112" t="s">
        <x:v>1432</x:v>
      </x:c>
      <x:c r="N1" s="112" t="s">
        <x:v>1433</x:v>
      </x:c>
    </x:row>
    <x:row r="2" ht="33.95000076293945" customHeight="1">
      <x:c r="A2" s="340" t="str">
        <x:v>M1</x:v>
      </x:c>
      <x:c r="B2" s="341" t="str">
        <x:v>Track 1 — frozen historical presentation proof. Successful customer presentation achieved; no further M1 page/chart/demo-dataset work is scheduled. Generic defects are re-owned by M2a-P0.</x:v>
      </x:c>
      <x:c r="C2" s="341" t="n">
        <x:v>83</x:v>
      </x:c>
      <x:c r="D2" s="341" t="n">
        <x:v>574</x:v>
      </x:c>
      <x:c r="E2" s="341" t="n">
        <x:v>55</x:v>
      </x:c>
      <x:c r="F2" s="342" t="n">
        <x:v>22</x:v>
      </x:c>
      <x:c r="G2" s="301"/>
      <x:c r="H2" s="301" t="str">
        <x:v>M1</x:v>
      </x:c>
      <x:c r="I2" s="343" t="n">
        <x:v>0</x:v>
      </x:c>
      <x:c r="J2" s="343" t="n">
        <x:v>0</x:v>
      </x:c>
      <x:c r="K2" s="343" t="n">
        <x:v>0</x:v>
      </x:c>
      <x:c r="L2" s="343" t="n">
        <x:v>0</x:v>
      </x:c>
      <x:c r="M2" s="2" t="s">
        <x:v>303</x:v>
      </x:c>
      <x:c r="N2" s="2" t="s">
        <x:v>1434</x:v>
      </x:c>
    </x:row>
    <x:row r="3" ht="33.95000076293945" customHeight="1">
      <x:c r="A3" s="344" t="str">
        <x:v>M2a</x:v>
      </x:c>
      <x:c r="B3" s="341" t="str">
        <x:v>Track 2 — canonical customer product + v2.13 Product Truth/genericity/subject/aggregation/reference/time/intake/process-regime and objective authorities. Same binary accepts foreign customer semantics without code changes.</x:v>
      </x:c>
      <x:c r="C3" s="341" t="n">
        <x:v>72</x:v>
      </x:c>
      <x:c r="D3" s="341" t="n">
        <x:v>664</x:v>
      </x:c>
      <x:c r="E3" s="341" t="n">
        <x:v>42</x:v>
      </x:c>
      <x:c r="F3" s="342" t="n">
        <x:v>23</x:v>
      </x:c>
      <x:c r="G3" s="301"/>
      <x:c r="H3" s="301" t="str">
        <x:v>M2a</x:v>
      </x:c>
      <x:c r="I3" s="343" t="n">
        <x:v>630</x:v>
      </x:c>
      <x:c r="J3" s="343" t="n">
        <x:v>92</x:v>
      </x:c>
      <x:c r="K3" s="343" t="n">
        <x:v>46.06</x:v>
      </x:c>
      <x:c r="L3" s="343" t="n">
        <x:v>9</x:v>
      </x:c>
      <x:c r="M3" s="2" t="s">
        <x:v>336</x:v>
      </x:c>
      <x:c r="N3" s="2" t="s">
        <x:v>1435</x:v>
      </x:c>
    </x:row>
    <x:row r="4" ht="33.95000076293945" customHeight="1">
      <x:c r="A4" s="345" t="str">
        <x:v>M2b</x:v>
      </x:c>
      <x:c r="B4" s="341" t="str">
        <x:v>Track 2 — governed intelligence integration plus v2.13 transition-aware reconciliation, multi-objective practice intelligence and deferred investigation-board composition. SAFE-NOW foundations remain closed.</x:v>
      </x:c>
      <x:c r="C4" s="341" t="n">
        <x:v>64</x:v>
      </x:c>
      <x:c r="D4" s="341" t="n">
        <x:v>686</x:v>
      </x:c>
      <x:c r="E4" s="341" t="n">
        <x:v>43</x:v>
      </x:c>
      <x:c r="F4" s="342" t="n">
        <x:v>16</x:v>
      </x:c>
      <x:c r="G4" s="301"/>
      <x:c r="H4" s="301" t="str">
        <x:v>M2b</x:v>
      </x:c>
      <x:c r="I4" s="343" t="n">
        <x:v>480</x:v>
      </x:c>
      <x:c r="J4" s="343" t="n">
        <x:v>4.08</x:v>
      </x:c>
      <x:c r="K4" s="343" t="n">
        <x:v>6.58</x:v>
      </x:c>
      <x:c r="L4" s="343" t="n">
        <x:v>88.53</x:v>
      </x:c>
      <x:c r="M4" s="2" t="s">
        <x:v>417</x:v>
      </x:c>
      <x:c r="N4" s="2" t="s">
        <x:v>1436</x:v>
      </x:c>
    </x:row>
    <x:row r="5" ht="33.95000076293945" customHeight="1">
      <x:c r="A5" s="346" t="str">
        <x:v>M3</x:v>
      </x:c>
      <x:c r="B5" s="341" t="str">
        <x:v>Track 2 — site/production certification plus real OPC-UA edge runtime/site proof and pilot value scorecard.</x:v>
      </x:c>
      <x:c r="C5" s="341" t="n">
        <x:v>21</x:v>
      </x:c>
      <x:c r="D5" s="341" t="n">
        <x:v>246</x:v>
      </x:c>
      <x:c r="E5" s="341" t="n">
        <x:v>11</x:v>
      </x:c>
      <x:c r="F5" s="342" t="n">
        <x:v>9</x:v>
      </x:c>
      <x:c r="G5" s="301"/>
      <x:c r="H5" s="301" t="str">
        <x:v>M3</x:v>
      </x:c>
      <x:c r="I5" s="343" t="n">
        <x:v>246</x:v>
      </x:c>
      <x:c r="J5" s="343" t="n">
        <x:v>95.85</x:v>
      </x:c>
      <x:c r="K5" s="343" t="n">
        <x:v>21.6</x:v>
      </x:c>
      <x:c r="L5" s="343" t="n">
        <x:v>17.28</x:v>
      </x:c>
      <x:c r="M5" s="2" t="s">
        <x:v>336</x:v>
      </x:c>
      <x:c r="N5" s="2" t="s">
        <x:v>1437</x:v>
      </x:c>
    </x:row>
    <x:row r="6">
      <x:c r="A6" s="347"/>
      <x:c r="B6" s="348" t="str">
        <x:v>TOTAL</x:v>
      </x:c>
      <x:c r="C6" s="349" t="n">
        <x:v>240</x:v>
      </x:c>
      <x:c r="D6" s="349" t="n">
        <x:v>2170</x:v>
      </x:c>
      <x:c r="E6" s="350"/>
      <x:c r="F6" s="351"/>
      <x:c r="G6" s="301"/>
      <x:c r="H6" s="301"/>
      <x:c r="I6" s="301" t="n">
        <x:v>1356</x:v>
      </x:c>
      <x:c r="J6" s="301"/>
      <x:c r="K6" s="301"/>
      <x:c r="L6" s="301"/>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customWidth="1"/>
    <x:col min="2" max="2" width="70" customWidth="1"/>
  </x:cols>
  <x:sheetData>
    <x:row r="1" ht="15.600000381469727" customHeight="1">
      <x:c r="A1" s="417" t="str">
        <x:v>PPIQ EXECUTABLE BACKLOG v2.13.0 — GENERIC CUSTOMER / PILOT REBASELINE — LEGEND</x:v>
      </x:c>
      <x:c r="B1" s="410"/>
      <x:c r="C1" s="301"/>
      <x:c r="D1" s="301"/>
      <x:c r="E1" s="301"/>
      <x:c r="F1" s="301"/>
      <x:c r="G1" s="301"/>
      <x:c r="H1" s="301"/>
    </x:row>
    <x:row r="2">
      <x:c r="A2" s="303" t="str">
        <x:v>Backlog Version</x:v>
      </x:c>
      <x:c r="B2" s="305" t="str">
        <x:v>v2.13.0 — 22 Aug 2026; Master Design v4.9 adds operational-regime correctness, exact period-driver decomposition and multi-objective practice authority.</x:v>
      </x:c>
      <x:c r="C2" s="301"/>
      <x:c r="D2" s="301"/>
      <x:c r="E2" s="301"/>
      <x:c r="F2" s="301"/>
      <x:c r="G2" s="301"/>
      <x:c r="H2" s="301"/>
    </x:row>
    <x:row r="3" ht="15" customHeight="1">
      <x:c r="A3" s="411" t="s">
        <x:v>1438</x:v>
      </x:c>
      <x:c r="B3" s="412" t="s">
        <x:v>1439</x:v>
      </x:c>
      <x:c r="C3" s="301"/>
      <x:c r="D3" s="301"/>
      <x:c r="E3" s="301"/>
      <x:c r="F3" s="301"/>
      <x:c r="G3" s="301"/>
      <x:c r="H3" s="301"/>
    </x:row>
    <x:row r="4" ht="15" customHeight="1">
      <x:c r="A4" s="411" t="s">
        <x:v>0</x:v>
      </x:c>
      <x:c r="B4" s="412" t="str">
        <x:v>Stable task IDs T-001..T-233 preserved; v2.13 adds T-234..T-240. Existing task IDs are never repurposed silently.</x:v>
      </x:c>
      <x:c r="C4" s="301"/>
      <x:c r="D4" s="301"/>
      <x:c r="E4" s="301"/>
      <x:c r="F4" s="301"/>
      <x:c r="G4" s="301"/>
      <x:c r="H4" s="301"/>
    </x:row>
    <x:row r="5" ht="15" customHeight="1">
      <x:c r="A5" s="411" t="s">
        <x:v>1</x:v>
      </x:c>
      <x:c r="B5" s="412" t="str">
        <x:v>M1 = frozen historical presentation proof. M2a = canonical generic customer product. M2b = governed intelligence/Assistant. M3 = site/production certification and pilot.</x:v>
      </x:c>
      <x:c r="C5" s="301"/>
      <x:c r="D5" s="301"/>
      <x:c r="E5" s="301"/>
      <x:c r="F5" s="301"/>
      <x:c r="G5" s="301"/>
      <x:c r="H5" s="301"/>
    </x:row>
    <x:row r="6" ht="15" customHeight="1">
      <x:c r="A6" s="411" t="s">
        <x:v>2</x:v>
      </x:c>
      <x:c r="B6" s="412" t="str">
        <x:v>v2.13 retains M2a-P0/P1X, M2b-P0C/P0D and M3-P0; transition/regime tasks join P1X/P0C, multi-objective practice joins M2b-P1.</x:v>
      </x:c>
      <x:c r="C6" s="301"/>
      <x:c r="D6" s="301"/>
      <x:c r="E6" s="301"/>
      <x:c r="F6" s="301"/>
      <x:c r="G6" s="301"/>
      <x:c r="H6" s="301"/>
    </x:row>
    <x:row r="7" ht="15" customHeight="1">
      <x:c r="A7" s="411" t="s">
        <x:v>6</x:v>
      </x:c>
      <x:c r="B7" s="412" t="s">
        <x:v>1440</x:v>
      </x:c>
      <x:c r="C7" s="301"/>
      <x:c r="D7" s="301"/>
      <x:c r="E7" s="301"/>
      <x:c r="F7" s="301"/>
      <x:c r="G7" s="301"/>
      <x:c r="H7" s="301"/>
    </x:row>
    <x:row r="8" ht="15" customHeight="1">
      <x:c r="A8" s="411" t="s">
        <x:v>9</x:v>
      </x:c>
      <x:c r="B8" s="412" t="s">
        <x:v>1441</x:v>
      </x:c>
      <x:c r="C8" s="301"/>
      <x:c r="D8" s="301"/>
      <x:c r="E8" s="301"/>
      <x:c r="F8" s="301"/>
      <x:c r="G8" s="301"/>
      <x:c r="H8" s="301"/>
    </x:row>
    <x:row r="9" ht="21.600000381469727" customHeight="1">
      <x:c r="A9" s="411" t="s">
        <x:v>1442</x:v>
      </x:c>
      <x:c r="B9" s="412" t="s">
        <x:v>1443</x:v>
      </x:c>
      <x:c r="C9" s="301"/>
      <x:c r="D9" s="301"/>
      <x:c r="E9" s="301"/>
      <x:c r="F9" s="301"/>
      <x:c r="G9" s="301"/>
      <x:c r="H9" s="301"/>
    </x:row>
    <x:row r="10" ht="15" customHeight="1">
      <x:c r="A10" s="411" t="s">
        <x:v>1444</x:v>
      </x:c>
      <x:c r="B10" s="412" t="s">
        <x:v>1445</x:v>
      </x:c>
      <x:c r="C10" s="301"/>
      <x:c r="D10" s="301"/>
      <x:c r="E10" s="301"/>
      <x:c r="F10" s="301"/>
      <x:c r="G10" s="301"/>
      <x:c r="H10" s="301"/>
    </x:row>
    <x:row r="11" ht="15" customHeight="1">
      <x:c r="A11" s="411"/>
      <x:c r="B11" s="412"/>
      <x:c r="C11" s="301"/>
      <x:c r="D11" s="301"/>
      <x:c r="E11" s="301"/>
      <x:c r="F11" s="301"/>
      <x:c r="G11" s="301"/>
      <x:c r="H11" s="301"/>
    </x:row>
    <x:row r="12" ht="15" customHeight="1">
      <x:c r="A12" s="411" t="s">
        <x:v>1446</x:v>
      </x:c>
      <x:c r="B12" s="412" t="s">
        <x:v>1447</x:v>
      </x:c>
      <x:c r="C12" s="301"/>
      <x:c r="D12" s="301"/>
      <x:c r="E12" s="301"/>
      <x:c r="F12" s="301"/>
      <x:c r="G12" s="301"/>
      <x:c r="H12" s="301"/>
    </x:row>
    <x:row r="13" ht="15" customHeight="1">
      <x:c r="A13" s="411" t="s">
        <x:v>751</x:v>
      </x:c>
      <x:c r="B13" s="412" t="s">
        <x:v>1448</x:v>
      </x:c>
      <x:c r="C13" s="301"/>
      <x:c r="D13" s="301"/>
      <x:c r="E13" s="301"/>
      <x:c r="F13" s="301"/>
      <x:c r="G13" s="301"/>
      <x:c r="H13" s="301"/>
    </x:row>
    <x:row r="14" ht="15" customHeight="1">
      <x:c r="A14" s="411" t="s">
        <x:v>1449</x:v>
      </x:c>
      <x:c r="B14" s="412" t="s">
        <x:v>1450</x:v>
      </x:c>
      <x:c r="C14" s="301"/>
      <x:c r="D14" s="301"/>
      <x:c r="E14" s="301"/>
      <x:c r="F14" s="301"/>
      <x:c r="G14" s="301"/>
      <x:c r="H14" s="301"/>
    </x:row>
    <x:row r="15" ht="15" customHeight="1">
      <x:c r="A15" s="411" t="s">
        <x:v>329</x:v>
      </x:c>
      <x:c r="B15" s="412" t="s">
        <x:v>1451</x:v>
      </x:c>
      <x:c r="C15" s="301"/>
      <x:c r="D15" s="301"/>
      <x:c r="E15" s="301"/>
      <x:c r="F15" s="301"/>
      <x:c r="G15" s="301"/>
      <x:c r="H15" s="301"/>
    </x:row>
    <x:row r="16" ht="15" customHeight="1">
      <x:c r="A16" s="411" t="s">
        <x:v>1452</x:v>
      </x:c>
      <x:c r="B16" s="412" t="s">
        <x:v>1453</x:v>
      </x:c>
      <x:c r="C16" s="301"/>
      <x:c r="D16" s="301"/>
      <x:c r="E16" s="301"/>
      <x:c r="F16" s="301"/>
      <x:c r="G16" s="301"/>
      <x:c r="H16" s="301"/>
    </x:row>
    <x:row r="17" ht="15" customHeight="1">
      <x:c r="A17" s="411"/>
      <x:c r="B17" s="412"/>
      <x:c r="C17" s="301"/>
      <x:c r="D17" s="301"/>
      <x:c r="E17" s="301"/>
      <x:c r="F17" s="301"/>
      <x:c r="G17" s="301"/>
      <x:c r="H17" s="301"/>
    </x:row>
    <x:row r="18" ht="21.600000381469727" customHeight="1">
      <x:c r="A18" s="411" t="s">
        <x:v>1454</x:v>
      </x:c>
      <x:c r="B18" s="412" t="str">
        <x:v>M1 is frozen at 574 h after successful customer presentation. Remaining presentation-only tasks are not scheduled; generic correctness is re-owned by M2-P0.</x:v>
      </x:c>
      <x:c r="C18" s="301"/>
      <x:c r="D18" s="301"/>
      <x:c r="E18" s="301"/>
      <x:c r="F18" s="301"/>
      <x:c r="G18" s="301"/>
      <x:c r="H18" s="301"/>
    </x:row>
    <x:row r="19" ht="26.450000762939453" customHeight="1">
      <x:c r="A19" s="413" t="s">
        <x:v>1455</x:v>
      </x:c>
      <x:c r="B19" s="305" t="str">
        <x:v>Canonical protection: no production persistence against temporary/demo authorities. T-086 is legacy regression oracle only; generic fixtures are T-208.</x:v>
      </x:c>
      <x:c r="C19" s="301"/>
      <x:c r="D19" s="301"/>
      <x:c r="E19" s="301"/>
      <x:c r="F19" s="301"/>
      <x:c r="G19" s="301"/>
      <x:c r="H19" s="301"/>
    </x:row>
    <x:row r="20" ht="26.450000762939453" customHeight="1">
      <x:c r="A20" s="413" t="s">
        <x:v>1456</x:v>
      </x:c>
      <x:c r="B20" s="305" t="str">
        <x:v>Dataset law: no dataset is product authority. Steel/Fleet, oil and future customer data may validate/falsify the same binary through mappings/definitions/relationships/registry/configuration only.</x:v>
      </x:c>
      <x:c r="C20" s="301"/>
      <x:c r="D20" s="301"/>
      <x:c r="E20" s="301"/>
      <x:c r="F20" s="301"/>
      <x:c r="G20" s="301"/>
      <x:c r="H20" s="301"/>
    </x:row>
    <x:row r="21" ht="26.450000762939453" customHeight="1">
      <x:c r="A21" s="413" t="s">
        <x:v>1457</x:v>
      </x:c>
      <x:c r="B21" s="305" t="str">
        <x:v>No industry cutover law: never fix genericity by renaming CoilId to MaterialId or TankId. Use AnalysisSubject + declared GrainDefinition.</x:v>
      </x:c>
      <x:c r="C21" s="301"/>
      <x:c r="D21" s="301"/>
      <x:c r="E21" s="301"/>
      <x:c r="F21" s="301"/>
      <x:c r="G21" s="301"/>
      <x:c r="H21" s="301"/>
    </x:row>
    <x:row r="22" ht="26.450000762939453" customHeight="1">
      <x:c r="A22" s="413" t="s">
        <x:v>1458</x:v>
      </x:c>
      <x:c r="B22" s="305" t="str">
        <x:v>Repository isolation: exact owned-file staging only. No git add . / -A / clean/reset/restore of foreign work.</x:v>
      </x:c>
      <x:c r="C22" s="301"/>
      <x:c r="D22" s="301"/>
      <x:c r="E22" s="301"/>
      <x:c r="F22" s="301"/>
      <x:c r="G22" s="301"/>
      <x:c r="H22" s="301"/>
    </x:row>
    <x:row r="23" ht="45">
      <x:c r="A23" s="303" t="s">
        <x:v>1459</x:v>
      </x:c>
      <x:c r="B23" s="305" t="str">
        <x:v>Semantic durability: production semantic changes require tracked migration/definition and rebuild/deploy replay.</x:v>
      </x:c>
      <x:c r="C23" s="301"/>
      <x:c r="D23" s="301"/>
      <x:c r="E23" s="301"/>
      <x:c r="F23" s="301"/>
      <x:c r="G23" s="301"/>
      <x:c r="H23" s="301"/>
    </x:row>
    <x:row r="24" ht="30">
      <x:c r="A24" s="303" t="s">
        <x:v>1460</x:v>
      </x:c>
      <x:c r="B24" s="305" t="str">
        <x:v>Fail-closed tooling: exact preflight, backup/transaction, self-check, targeted validation, rollback on failure.</x:v>
      </x:c>
      <x:c r="C24" s="301"/>
      <x:c r="D24" s="301"/>
      <x:c r="E24" s="301"/>
      <x:c r="F24" s="301"/>
      <x:c r="G24" s="301"/>
      <x:c r="H24" s="301"/>
    </x:row>
    <x:row r="25" ht="45">
      <x:c r="A25" s="303" t="s">
        <x:v>1461</x:v>
      </x:c>
      <x:c r="B25" s="305" t="str">
        <x:v>Release Truth law: every active persisted page/widget must replay; customer-facing routes fail on unexpected 4xx/5xx, error state or broken semantic interaction.</x:v>
      </x:c>
      <x:c r="C25" s="301"/>
      <x:c r="D25" s="301"/>
      <x:c r="E25" s="301"/>
      <x:c r="F25" s="301"/>
      <x:c r="G25" s="301"/>
      <x:c r="H25" s="301"/>
    </x:row>
    <x:row r="26">
      <x:c r="A26" s="303"/>
      <x:c r="B26" s="305" t="str">
        <x:v>Browser regression law: a defect first found by browser walking is reproduced as a lower-layer failing automated test before its fix may close.</x:v>
      </x:c>
      <x:c r="C26" s="301"/>
      <x:c r="D26" s="301"/>
      <x:c r="E26" s="301"/>
      <x:c r="F26" s="301"/>
      <x:c r="G26" s="301"/>
      <x:c r="H26" s="301"/>
    </x:row>
    <x:row r="27" ht="30">
      <x:c r="A27" s="303" t="s">
        <x:v>1462</x:v>
      </x:c>
      <x:c r="B27" s="305" t="str">
        <x:v>v2.11 scope result: M1=574 h frozen; M2a=630 h; M2b=652 h; M3=246 h; programme=2,102 h / 230 tasks.</x:v>
      </x:c>
      <x:c r="C27" s="301"/>
      <x:c r="D27" s="301"/>
      <x:c r="E27" s="301"/>
      <x:c r="F27" s="301"/>
      <x:c r="G27" s="301"/>
      <x:c r="H27" s="301"/>
    </x:row>
    <x:row r="28" ht="45">
      <x:c r="A28" s="414" t="s">
        <x:v>1463</x:v>
      </x:c>
      <x:c r="B28" s="316" t="str">
        <x:v>Source: Master Design v4.7 / Layer-B Rev8 / v2.11 rebaseline dated 22-Aug-2026 plus 22-Aug source/audit evidence and customer-pilot requirements.</x:v>
      </x:c>
      <x:c r="C28" s="301"/>
      <x:c r="D28" s="301"/>
      <x:c r="E28" s="301"/>
      <x:c r="F28" s="301"/>
      <x:c r="G28" s="301"/>
      <x:c r="H28" s="301"/>
    </x:row>
    <x:row r="29">
      <x:c r="A29" s="415" t="s">
        <x:v>1464</x:v>
      </x:c>
      <x:c r="B29" s="415" t="s">
        <x:v>1465</x:v>
      </x:c>
      <x:c r="C29" s="301"/>
      <x:c r="D29" s="301"/>
      <x:c r="E29" s="301"/>
      <x:c r="F29" s="301"/>
      <x:c r="G29" s="301"/>
      <x:c r="H29" s="301"/>
    </x:row>
    <x:row r="30">
      <x:c r="A30" s="301" t="s">
        <x:v>15</x:v>
      </x:c>
      <x:c r="B30" s="301" t="s">
        <x:v>1466</x:v>
      </x:c>
      <x:c r="C30" s="301"/>
      <x:c r="D30" s="301"/>
      <x:c r="E30" s="301"/>
      <x:c r="F30" s="301"/>
      <x:c r="G30" s="301"/>
      <x:c r="H30" s="301"/>
    </x:row>
    <x:row r="31" ht="30">
      <x:c r="A31" s="301" t="s">
        <x:v>17</x:v>
      </x:c>
      <x:c r="B31" s="301" t="s">
        <x:v>1467</x:v>
      </x:c>
      <x:c r="C31" s="301"/>
      <x:c r="D31" s="301"/>
      <x:c r="E31" s="301"/>
      <x:c r="F31" s="301"/>
      <x:c r="G31" s="301"/>
      <x:c r="H31" s="301"/>
    </x:row>
    <x:row r="32" ht="30">
      <x:c r="A32" s="301" t="s">
        <x:v>22</x:v>
      </x:c>
      <x:c r="B32" s="301" t="s">
        <x:v>1468</x:v>
      </x:c>
      <x:c r="C32" s="301"/>
      <x:c r="D32" s="301"/>
      <x:c r="E32" s="301"/>
      <x:c r="F32" s="301"/>
      <x:c r="G32" s="301"/>
      <x:c r="H32" s="301"/>
    </x:row>
    <x:row r="33" ht="45">
      <x:c r="A33" s="301" t="s">
        <x:v>1469</x:v>
      </x:c>
      <x:c r="B33" s="301" t="s">
        <x:v>1470</x:v>
      </x:c>
      <x:c r="C33" s="301"/>
      <x:c r="D33" s="301"/>
      <x:c r="E33" s="301"/>
      <x:c r="F33" s="301"/>
      <x:c r="G33" s="301"/>
      <x:c r="H33" s="301"/>
    </x:row>
    <x:row r="34" ht="45">
      <x:c r="A34" s="301" t="s">
        <x:v>1471</x:v>
      </x:c>
      <x:c r="B34" s="301" t="s">
        <x:v>1472</x:v>
      </x:c>
      <x:c r="C34" s="301"/>
      <x:c r="D34" s="301"/>
      <x:c r="E34" s="301"/>
      <x:c r="F34" s="301"/>
      <x:c r="G34" s="301"/>
      <x:c r="H34" s="301"/>
    </x:row>
    <x:row r="35">
      <x:c r="A35" s="301"/>
      <x:c r="B35" s="301"/>
      <x:c r="C35" s="301"/>
      <x:c r="D35" s="301"/>
      <x:c r="E35" s="301"/>
      <x:c r="F35" s="301"/>
      <x:c r="G35" s="301"/>
      <x:c r="H35" s="301"/>
    </x:row>
    <x:row r="36" ht="30">
      <x:c r="A36" s="114" t="s">
        <x:v>29</x:v>
      </x:c>
      <x:c r="B36" s="2" t="s">
        <x:v>1473</x:v>
      </x:c>
    </x:row>
    <x:row r="37" ht="30">
      <x:c r="A37" s="114" t="s">
        <x:v>1474</x:v>
      </x:c>
      <x:c r="B37" s="2" t="s">
        <x:v>1475</x:v>
      </x:c>
    </x:row>
    <x:row r="38" ht="30">
      <x:c r="A38" s="114" t="s">
        <x:v>1476</x:v>
      </x:c>
      <x:c r="B38" s="2" t="s">
        <x:v>1477</x:v>
      </x:c>
    </x:row>
    <x:row r="39" ht="30">
      <x:c r="A39" s="114" t="s">
        <x:v>1478</x:v>
      </x:c>
      <x:c r="B39" s="2" t="s">
        <x:v>1479</x:v>
      </x:c>
    </x:row>
    <x:row r="40" ht="30">
      <x:c r="A40" s="114" t="s">
        <x:v>38</x:v>
      </x:c>
      <x:c r="B40" s="2" t="s">
        <x:v>1480</x:v>
      </x:c>
    </x:row>
    <x:row r="41" ht="30">
      <x:c r="A41" s="114" t="s">
        <x:v>1481</x:v>
      </x:c>
      <x:c r="B41" s="2" t="s">
        <x:v>1482</x:v>
      </x:c>
    </x:row>
    <x:row r="42" ht="30">
      <x:c r="A42" s="114" t="s">
        <x:v>1483</x:v>
      </x:c>
      <x:c r="B42" s="2" t="s">
        <x:v>1484</x:v>
      </x:c>
    </x:row>
    <x:row r="43">
      <x:c r="A43" t="str">
        <x:v>Current Authority Law</x:v>
      </x:c>
      <x:c r="B43" t="str">
        <x:v>Exactly six current design chapters + this one backlog workbook. No README/amendment/ledger/mandate/review may define current design or scope; those are archive/evidence only after integration.</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customWidth="1"/>
    <x:col min="2" max="2" width="55" customWidth="1"/>
    <x:col min="3" max="3" width="32" customWidth="1"/>
    <x:col min="4" max="4" width="18" customWidth="1"/>
    <x:col min="5" max="5" width="22" customWidth="1"/>
    <x:col min="6" max="6" width="60" customWidth="1"/>
    <x:col min="8" max="8" width="26" customWidth="1"/>
    <x:col min="9" max="9" width="14" customWidth="1"/>
  </x:cols>
  <x:sheetData>
    <x:row r="1" ht="19.149999618530273" customHeight="1">
      <x:c r="A1" s="120" t="s">
        <x:v>1485</x:v>
      </x:c>
      <x:c r="B1" s="120"/>
      <x:c r="C1" s="120"/>
      <x:c r="D1" s="120"/>
      <x:c r="E1" s="120"/>
      <x:c r="F1" s="120"/>
      <x:c r="G1" s="62"/>
      <x:c r="H1" s="103" t="s">
        <x:v>1486</x:v>
      </x:c>
      <x:c r="I1" s="104" t="s">
        <x:v>1487</x:v>
      </x:c>
    </x:row>
    <x:row r="2" ht="15" customHeight="1">
      <x:c r="A2" s="121" t="s">
        <x:v>1488</x:v>
      </x:c>
      <x:c r="B2" s="121"/>
      <x:c r="C2" s="121"/>
      <x:c r="D2" s="121"/>
      <x:c r="E2" s="121"/>
      <x:c r="F2" s="121"/>
      <x:c r="H2" s="105" t="s">
        <x:v>1489</x:v>
      </x:c>
      <x:c r="I2" s="106">
        <x:v>82</x:v>
      </x:c>
    </x:row>
    <x:row r="3" ht="15" customHeight="1">
      <x:c r="H3" s="105" t="s">
        <x:v>1490</x:v>
      </x:c>
      <x:c r="I3" s="106">
        <x:v>0</x:v>
      </x:c>
    </x:row>
    <x:row r="4" ht="15" customHeight="1">
      <x:c r="H4" s="105" t="s">
        <x:v>1491</x:v>
      </x:c>
      <x:c r="I4" s="106">
        <x:v>33</x:v>
      </x:c>
    </x:row>
    <x:row r="5" ht="15" customHeight="1">
      <x:c r="H5" s="105" t="s">
        <x:v>1492</x:v>
      </x:c>
      <x:c r="I5" s="106">
        <x:v>16</x:v>
      </x:c>
    </x:row>
    <x:row r="6" ht="15" customHeight="1">
      <x:c r="H6" s="105" t="s">
        <x:v>1493</x:v>
      </x:c>
      <x:c r="I6" s="106">
        <x:v>172</x:v>
      </x:c>
    </x:row>
    <x:row r="7" ht="15" customHeight="1">
      <x:c r="A7" s="3" t="s">
        <x:v>1494</x:v>
      </x:c>
      <x:c r="B7" s="3" t="s">
        <x:v>1495</x:v>
      </x:c>
      <x:c r="C7" s="3" t="s">
        <x:v>1496</x:v>
      </x:c>
      <x:c r="D7" s="3" t="s">
        <x:v>1497</x:v>
      </x:c>
      <x:c r="E7" s="3" t="s">
        <x:v>1498</x:v>
      </x:c>
      <x:c r="F7" s="3" t="s">
        <x:v>1499</x:v>
      </x:c>
      <x:c r="H7" s="44" t="s">
        <x:v>1500</x:v>
      </x:c>
      <x:c r="I7" s="45">
        <x:v>0</x:v>
      </x:c>
    </x:row>
    <x:row r="8" ht="15" customHeight="1">
      <x:c r="A8" s="2"/>
      <x:c r="B8" s="2"/>
      <x:c r="C8" s="2"/>
      <x:c r="D8" s="2"/>
      <x:c r="E8" s="2"/>
      <x:c r="F8" s="2"/>
      <x:c r="H8" s="46" t="s">
        <x:v>1501</x:v>
      </x:c>
      <x:c r="I8" s="47">
        <x:v>58</x:v>
      </x:c>
    </x:row>
    <x:row r="9" ht="15" customHeight="1">
      <x:c r="A9" s="2"/>
      <x:c r="B9" s="2"/>
      <x:c r="C9" s="2"/>
      <x:c r="D9" s="2"/>
      <x:c r="E9" s="2"/>
      <x:c r="F9" s="2"/>
      <x:c r="H9" s="2" t="s">
        <x:v>1502</x:v>
      </x:c>
      <x:c r="I9" s="2">
        <x:v>10</x:v>
      </x:c>
    </x:row>
    <x:row r="10" ht="15" customHeight="1">
      <x:c r="A10" s="48" t="s">
        <x:v>1503</x:v>
      </x:c>
      <x:c r="B10" s="49" t="s">
        <x:v>1504</x:v>
      </x:c>
      <x:c r="C10" s="49" t="s">
        <x:v>1505</x:v>
      </x:c>
      <x:c r="D10" s="49" t="s">
        <x:v>1506</x:v>
      </x:c>
      <x:c r="E10" s="49" t="s">
        <x:v>1507</x:v>
      </x:c>
      <x:c r="F10" s="50" t="s">
        <x:v>1508</x:v>
      </x:c>
    </x:row>
    <x:row r="11" ht="15" customHeight="1">
      <x:c r="A11" s="44" t="s">
        <x:v>1509</x:v>
      </x:c>
      <x:c r="B11" s="2" t="s">
        <x:v>1510</x:v>
      </x:c>
      <x:c r="C11" s="2" t="s">
        <x:v>1511</x:v>
      </x:c>
      <x:c r="D11" s="2" t="s">
        <x:v>1512</x:v>
      </x:c>
      <x:c r="E11" s="2" t="s">
        <x:v>1513</x:v>
      </x:c>
      <x:c r="F11" s="45" t="s">
        <x:v>1514</x:v>
      </x:c>
    </x:row>
    <x:row r="12" ht="26.450000762939453" customHeight="1">
      <x:c r="A12" s="44" t="s">
        <x:v>1515</x:v>
      </x:c>
      <x:c r="B12" s="2" t="s">
        <x:v>1516</x:v>
      </x:c>
      <x:c r="C12" s="2" t="s">
        <x:v>1511</x:v>
      </x:c>
      <x:c r="D12" s="2" t="s">
        <x:v>1512</x:v>
      </x:c>
      <x:c r="E12" s="2" t="s">
        <x:v>1513</x:v>
      </x:c>
      <x:c r="F12" s="45" t="s">
        <x:v>1517</x:v>
      </x:c>
    </x:row>
    <x:row r="13" ht="15" customHeight="1">
      <x:c r="A13" s="44" t="s">
        <x:v>1518</x:v>
      </x:c>
      <x:c r="B13" s="2" t="s">
        <x:v>1519</x:v>
      </x:c>
      <x:c r="C13" s="2" t="s">
        <x:v>1016</x:v>
      </x:c>
      <x:c r="D13" s="2" t="s">
        <x:v>955</x:v>
      </x:c>
      <x:c r="E13" s="2" t="s">
        <x:v>1520</x:v>
      </x:c>
      <x:c r="F13" s="45" t="s">
        <x:v>1521</x:v>
      </x:c>
    </x:row>
    <x:row r="14" ht="15" customHeight="1">
      <x:c r="A14" s="44" t="s">
        <x:v>1522</x:v>
      </x:c>
      <x:c r="B14" s="2" t="s">
        <x:v>1523</x:v>
      </x:c>
      <x:c r="C14" s="2" t="s">
        <x:v>1524</x:v>
      </x:c>
      <x:c r="D14" s="2" t="s">
        <x:v>249</x:v>
      </x:c>
      <x:c r="E14" s="2" t="s">
        <x:v>1520</x:v>
      </x:c>
      <x:c r="F14" s="45" t="s">
        <x:v>1525</x:v>
      </x:c>
    </x:row>
    <x:row r="15" ht="26.450000762939453" customHeight="1">
      <x:c r="A15" s="44" t="s">
        <x:v>1526</x:v>
      </x:c>
      <x:c r="B15" s="2" t="s">
        <x:v>1527</x:v>
      </x:c>
      <x:c r="C15" s="2" t="s">
        <x:v>261</x:v>
      </x:c>
      <x:c r="D15" s="2" t="s">
        <x:v>249</x:v>
      </x:c>
      <x:c r="E15" s="2" t="s">
        <x:v>1520</x:v>
      </x:c>
      <x:c r="F15" s="45" t="s">
        <x:v>1528</x:v>
      </x:c>
    </x:row>
    <x:row r="16" ht="15" customHeight="1">
      <x:c r="A16" s="44" t="s">
        <x:v>1529</x:v>
      </x:c>
      <x:c r="B16" s="2" t="s">
        <x:v>1530</x:v>
      </x:c>
      <x:c r="C16" s="2" t="s">
        <x:v>267</x:v>
      </x:c>
      <x:c r="D16" s="2" t="s">
        <x:v>249</x:v>
      </x:c>
      <x:c r="E16" s="2" t="s">
        <x:v>1520</x:v>
      </x:c>
      <x:c r="F16" s="45" t="s">
        <x:v>1531</x:v>
      </x:c>
    </x:row>
    <x:row r="17" ht="15" customHeight="1">
      <x:c r="A17" s="44" t="s">
        <x:v>1532</x:v>
      </x:c>
      <x:c r="B17" s="2" t="s">
        <x:v>1533</x:v>
      </x:c>
      <x:c r="C17" s="2" t="s">
        <x:v>275</x:v>
      </x:c>
      <x:c r="D17" s="2" t="s">
        <x:v>249</x:v>
      </x:c>
      <x:c r="E17" s="2" t="s">
        <x:v>1520</x:v>
      </x:c>
      <x:c r="F17" s="45" t="s">
        <x:v>1534</x:v>
      </x:c>
    </x:row>
    <x:row r="18" ht="15" customHeight="1">
      <x:c r="A18" s="44" t="s">
        <x:v>1535</x:v>
      </x:c>
      <x:c r="B18" s="2" t="s">
        <x:v>1536</x:v>
      </x:c>
      <x:c r="C18" s="2" t="s">
        <x:v>281</x:v>
      </x:c>
      <x:c r="D18" s="2" t="s">
        <x:v>249</x:v>
      </x:c>
      <x:c r="E18" s="2" t="s">
        <x:v>1520</x:v>
      </x:c>
      <x:c r="F18" s="45" t="s">
        <x:v>1537</x:v>
      </x:c>
    </x:row>
    <x:row r="19" ht="15" customHeight="1">
      <x:c r="A19" s="44" t="s">
        <x:v>1538</x:v>
      </x:c>
      <x:c r="B19" s="2" t="s">
        <x:v>1539</x:v>
      </x:c>
      <x:c r="C19" s="2" t="s">
        <x:v>466</x:v>
      </x:c>
      <x:c r="D19" s="2" t="s">
        <x:v>456</x:v>
      </x:c>
      <x:c r="E19" s="2" t="s">
        <x:v>51</x:v>
      </x:c>
      <x:c r="F19" s="45" t="s">
        <x:v>1540</x:v>
      </x:c>
    </x:row>
    <x:row r="20" ht="15" customHeight="1">
      <x:c r="A20" s="44" t="s">
        <x:v>1541</x:v>
      </x:c>
      <x:c r="B20" s="2" t="s">
        <x:v>1542</x:v>
      </x:c>
      <x:c r="C20" s="2" t="s">
        <x:v>472</x:v>
      </x:c>
      <x:c r="D20" s="2" t="s">
        <x:v>456</x:v>
      </x:c>
      <x:c r="E20" s="2" t="s">
        <x:v>51</x:v>
      </x:c>
      <x:c r="F20" s="45" t="s">
        <x:v>1543</x:v>
      </x:c>
    </x:row>
    <x:row r="21" ht="15" customHeight="1">
      <x:c r="A21" s="44" t="s">
        <x:v>1544</x:v>
      </x:c>
      <x:c r="B21" s="2" t="s">
        <x:v>1545</x:v>
      </x:c>
      <x:c r="C21" s="2" t="s">
        <x:v>476</x:v>
      </x:c>
      <x:c r="D21" s="2" t="s">
        <x:v>456</x:v>
      </x:c>
      <x:c r="E21" s="2" t="s">
        <x:v>51</x:v>
      </x:c>
      <x:c r="F21" s="45" t="s">
        <x:v>1546</x:v>
      </x:c>
    </x:row>
    <x:row r="22" ht="26.450000762939453" customHeight="1">
      <x:c r="A22" s="44" t="s">
        <x:v>1547</x:v>
      </x:c>
      <x:c r="B22" s="2" t="s">
        <x:v>1548</x:v>
      </x:c>
      <x:c r="C22" s="2" t="s">
        <x:v>481</x:v>
      </x:c>
      <x:c r="D22" s="2" t="s">
        <x:v>456</x:v>
      </x:c>
      <x:c r="E22" s="2" t="s">
        <x:v>51</x:v>
      </x:c>
      <x:c r="F22" s="45" t="s">
        <x:v>1543</x:v>
      </x:c>
    </x:row>
    <x:row r="23" ht="15" customHeight="1">
      <x:c r="A23" s="44" t="s">
        <x:v>1549</x:v>
      </x:c>
      <x:c r="B23" s="2" t="s">
        <x:v>1550</x:v>
      </x:c>
      <x:c r="C23" s="2" t="s">
        <x:v>485</x:v>
      </x:c>
      <x:c r="D23" s="2" t="s">
        <x:v>456</x:v>
      </x:c>
      <x:c r="E23" s="2" t="s">
        <x:v>51</x:v>
      </x:c>
      <x:c r="F23" s="45" t="s">
        <x:v>1551</x:v>
      </x:c>
    </x:row>
    <x:row r="24" ht="15" customHeight="1">
      <x:c r="A24" s="44" t="s">
        <x:v>1552</x:v>
      </x:c>
      <x:c r="B24" s="2" t="s">
        <x:v>1553</x:v>
      </x:c>
      <x:c r="C24" s="2" t="s">
        <x:v>489</x:v>
      </x:c>
      <x:c r="D24" s="2" t="s">
        <x:v>456</x:v>
      </x:c>
      <x:c r="E24" s="2" t="s">
        <x:v>1520</x:v>
      </x:c>
      <x:c r="F24" s="45" t="s">
        <x:v>1554</x:v>
      </x:c>
    </x:row>
    <x:row r="25" ht="15" customHeight="1">
      <x:c r="A25" s="44" t="s">
        <x:v>1555</x:v>
      </x:c>
      <x:c r="B25" s="2" t="s">
        <x:v>1556</x:v>
      </x:c>
      <x:c r="C25" s="2" t="s">
        <x:v>1557</x:v>
      </x:c>
      <x:c r="D25" s="2" t="s">
        <x:v>1558</x:v>
      </x:c>
      <x:c r="E25" s="2" t="s">
        <x:v>1520</x:v>
      </x:c>
      <x:c r="F25" s="45" t="s">
        <x:v>1559</x:v>
      </x:c>
    </x:row>
    <x:row r="26" ht="26.450000762939453" customHeight="1">
      <x:c r="A26" s="44" t="s">
        <x:v>1560</x:v>
      </x:c>
      <x:c r="B26" s="2" t="s">
        <x:v>1561</x:v>
      </x:c>
      <x:c r="C26" s="2" t="s">
        <x:v>1557</x:v>
      </x:c>
      <x:c r="D26" s="2" t="s">
        <x:v>1558</x:v>
      </x:c>
      <x:c r="E26" s="2" t="s">
        <x:v>1520</x:v>
      </x:c>
      <x:c r="F26" s="45" t="s">
        <x:v>1559</x:v>
      </x:c>
    </x:row>
    <x:row r="27" ht="15" customHeight="1">
      <x:c r="A27" s="44" t="s">
        <x:v>1562</x:v>
      </x:c>
      <x:c r="B27" s="2" t="s">
        <x:v>1563</x:v>
      </x:c>
      <x:c r="C27" s="2" t="s">
        <x:v>1564</x:v>
      </x:c>
      <x:c r="D27" s="2" t="s">
        <x:v>1565</x:v>
      </x:c>
      <x:c r="E27" s="2" t="s">
        <x:v>1520</x:v>
      </x:c>
      <x:c r="F27" s="45" t="s">
        <x:v>1566</x:v>
      </x:c>
    </x:row>
    <x:row r="28" ht="15" customHeight="1">
      <x:c r="A28" s="44" t="s">
        <x:v>1567</x:v>
      </x:c>
      <x:c r="B28" s="2" t="s">
        <x:v>1568</x:v>
      </x:c>
      <x:c r="C28" s="2" t="s">
        <x:v>1043</x:v>
      </x:c>
      <x:c r="D28" s="2" t="s">
        <x:v>955</x:v>
      </x:c>
      <x:c r="E28" s="2" t="s">
        <x:v>1513</x:v>
      </x:c>
      <x:c r="F28" s="45" t="s">
        <x:v>1569</x:v>
      </x:c>
    </x:row>
    <x:row r="29" ht="15" customHeight="1">
      <x:c r="A29" s="44" t="s">
        <x:v>1570</x:v>
      </x:c>
      <x:c r="B29" s="2" t="s">
        <x:v>1571</x:v>
      </x:c>
      <x:c r="C29" s="2" t="s">
        <x:v>777</x:v>
      </x:c>
      <x:c r="D29" s="2" t="s">
        <x:v>720</x:v>
      </x:c>
      <x:c r="E29" s="2" t="s">
        <x:v>1520</x:v>
      </x:c>
      <x:c r="F29" s="45" t="s">
        <x:v>1572</x:v>
      </x:c>
    </x:row>
    <x:row r="30" ht="15" customHeight="1">
      <x:c r="A30" s="44" t="s">
        <x:v>1573</x:v>
      </x:c>
      <x:c r="B30" s="2" t="s">
        <x:v>1574</x:v>
      </x:c>
      <x:c r="C30" s="2" t="s">
        <x:v>1575</x:v>
      </x:c>
      <x:c r="D30" s="2" t="s">
        <x:v>1576</x:v>
      </x:c>
      <x:c r="E30" s="2" t="s">
        <x:v>1513</x:v>
      </x:c>
      <x:c r="F30" s="45" t="s">
        <x:v>1577</x:v>
      </x:c>
    </x:row>
    <x:row r="31" ht="15" customHeight="1">
      <x:c r="A31" s="44" t="s">
        <x:v>1578</x:v>
      </x:c>
      <x:c r="B31" s="2" t="s">
        <x:v>1579</x:v>
      </x:c>
      <x:c r="C31" s="2" t="s">
        <x:v>205</x:v>
      </x:c>
      <x:c r="D31" s="2" t="s">
        <x:v>200</x:v>
      </x:c>
      <x:c r="E31" s="2" t="s">
        <x:v>1520</x:v>
      </x:c>
      <x:c r="F31" s="45" t="s">
        <x:v>1580</x:v>
      </x:c>
    </x:row>
    <x:row r="32" ht="26.450000762939453" customHeight="1">
      <x:c r="A32" s="44" t="s">
        <x:v>1581</x:v>
      </x:c>
      <x:c r="B32" s="2" t="s">
        <x:v>1582</x:v>
      </x:c>
      <x:c r="C32" s="2" t="s">
        <x:v>1583</x:v>
      </x:c>
      <x:c r="D32" s="2" t="s">
        <x:v>547</x:v>
      </x:c>
      <x:c r="E32" s="2" t="s">
        <x:v>1520</x:v>
      </x:c>
      <x:c r="F32" s="45" t="s">
        <x:v>1584</x:v>
      </x:c>
    </x:row>
    <x:row r="33" ht="15" customHeight="1">
      <x:c r="A33" s="44" t="s">
        <x:v>1585</x:v>
      </x:c>
      <x:c r="B33" s="2" t="s">
        <x:v>1586</x:v>
      </x:c>
      <x:c r="C33" s="2" t="s">
        <x:v>1587</x:v>
      </x:c>
      <x:c r="D33" s="2" t="s">
        <x:v>547</x:v>
      </x:c>
      <x:c r="E33" s="2" t="s">
        <x:v>1520</x:v>
      </x:c>
      <x:c r="F33" s="45" t="s">
        <x:v>1588</x:v>
      </x:c>
    </x:row>
    <x:row r="34" ht="15" customHeight="1">
      <x:c r="A34" s="44" t="s">
        <x:v>1589</x:v>
      </x:c>
      <x:c r="B34" s="2" t="s">
        <x:v>1590</x:v>
      </x:c>
      <x:c r="C34" s="2" t="s">
        <x:v>1591</x:v>
      </x:c>
      <x:c r="D34" s="2" t="s">
        <x:v>631</x:v>
      </x:c>
      <x:c r="E34" s="2" t="s">
        <x:v>1520</x:v>
      </x:c>
      <x:c r="F34" s="45" t="s">
        <x:v>1592</x:v>
      </x:c>
    </x:row>
    <x:row r="35" ht="15" customHeight="1">
      <x:c r="A35" s="44" t="s">
        <x:v>1593</x:v>
      </x:c>
      <x:c r="B35" s="2" t="s">
        <x:v>1594</x:v>
      </x:c>
      <x:c r="C35" s="2" t="s">
        <x:v>1595</x:v>
      </x:c>
      <x:c r="D35" s="2" t="s">
        <x:v>874</x:v>
      </x:c>
      <x:c r="E35" s="2" t="s">
        <x:v>1513</x:v>
      </x:c>
      <x:c r="F35" s="45" t="s">
        <x:v>1596</x:v>
      </x:c>
    </x:row>
    <x:row r="36" ht="15" customHeight="1">
      <x:c r="A36" s="44" t="s">
        <x:v>1597</x:v>
      </x:c>
      <x:c r="B36" s="2" t="s">
        <x:v>1598</x:v>
      </x:c>
      <x:c r="C36" s="2" t="s">
        <x:v>1599</x:v>
      </x:c>
      <x:c r="D36" s="2" t="s">
        <x:v>874</x:v>
      </x:c>
      <x:c r="E36" s="2" t="s">
        <x:v>1513</x:v>
      </x:c>
      <x:c r="F36" s="45" t="s">
        <x:v>1600</x:v>
      </x:c>
    </x:row>
    <x:row r="37" ht="15" customHeight="1">
      <x:c r="A37" s="44" t="s">
        <x:v>1601</x:v>
      </x:c>
      <x:c r="B37" s="2" t="s">
        <x:v>1602</x:v>
      </x:c>
      <x:c r="C37" s="2" t="s">
        <x:v>1146</x:v>
      </x:c>
      <x:c r="D37" s="2" t="s">
        <x:v>1122</x:v>
      </x:c>
      <x:c r="E37" s="2" t="s">
        <x:v>1520</x:v>
      </x:c>
      <x:c r="F37" s="45" t="s">
        <x:v>1559</x:v>
      </x:c>
    </x:row>
    <x:row r="38" ht="15" customHeight="1">
      <x:c r="A38" s="44" t="s">
        <x:v>1603</x:v>
      </x:c>
      <x:c r="B38" s="2" t="s">
        <x:v>1604</x:v>
      </x:c>
      <x:c r="C38" s="2" t="s">
        <x:v>1605</x:v>
      </x:c>
      <x:c r="D38" s="2" t="s">
        <x:v>1606</x:v>
      </x:c>
      <x:c r="E38" s="2" t="s">
        <x:v>1607</x:v>
      </x:c>
      <x:c r="F38" s="45" t="s">
        <x:v>1608</x:v>
      </x:c>
    </x:row>
    <x:row r="39">
      <x:c r="A39" s="44" t="s">
        <x:v>1609</x:v>
      </x:c>
      <x:c r="B39" s="2" t="s">
        <x:v>1610</x:v>
      </x:c>
      <x:c r="C39" s="2" t="s">
        <x:v>1605</x:v>
      </x:c>
      <x:c r="D39" s="2" t="s">
        <x:v>1606</x:v>
      </x:c>
      <x:c r="E39" s="2" t="s">
        <x:v>1607</x:v>
      </x:c>
      <x:c r="F39" s="45" t="s">
        <x:v>1611</x:v>
      </x:c>
    </x:row>
    <x:row r="40">
      <x:c r="A40" s="44" t="s">
        <x:v>1612</x:v>
      </x:c>
      <x:c r="B40" s="2" t="s">
        <x:v>1613</x:v>
      </x:c>
      <x:c r="C40" s="2" t="s">
        <x:v>1605</x:v>
      </x:c>
      <x:c r="D40" s="2" t="s">
        <x:v>1606</x:v>
      </x:c>
      <x:c r="E40" s="2" t="s">
        <x:v>1607</x:v>
      </x:c>
      <x:c r="F40" s="45" t="s">
        <x:v>1614</x:v>
      </x:c>
    </x:row>
    <x:row r="41">
      <x:c r="A41" s="44" t="s">
        <x:v>1615</x:v>
      </x:c>
      <x:c r="B41" s="2" t="s">
        <x:v>1616</x:v>
      </x:c>
      <x:c r="C41" s="2" t="s">
        <x:v>1605</x:v>
      </x:c>
      <x:c r="D41" s="2" t="s">
        <x:v>1606</x:v>
      </x:c>
      <x:c r="E41" s="2" t="s">
        <x:v>1607</x:v>
      </x:c>
      <x:c r="F41" s="45" t="s">
        <x:v>1617</x:v>
      </x:c>
    </x:row>
    <x:row r="42">
      <x:c r="A42" s="44" t="s">
        <x:v>1618</x:v>
      </x:c>
      <x:c r="B42" s="2" t="s">
        <x:v>1619</x:v>
      </x:c>
      <x:c r="C42" s="2" t="s">
        <x:v>1259</x:v>
      </x:c>
      <x:c r="D42" s="2" t="s">
        <x:v>875</x:v>
      </x:c>
      <x:c r="E42" s="2" t="s">
        <x:v>1620</x:v>
      </x:c>
      <x:c r="F42" s="45" t="s">
        <x:v>1621</x:v>
      </x:c>
    </x:row>
    <x:row r="43">
      <x:c r="A43" s="44" t="s">
        <x:v>1622</x:v>
      </x:c>
      <x:c r="B43" s="2" t="s">
        <x:v>1623</x:v>
      </x:c>
      <x:c r="C43" s="2" t="s">
        <x:v>1624</x:v>
      </x:c>
      <x:c r="D43" s="2" t="s">
        <x:v>1625</x:v>
      </x:c>
      <x:c r="E43" s="2" t="s">
        <x:v>1620</x:v>
      </x:c>
      <x:c r="F43" s="45" t="s">
        <x:v>1626</x:v>
      </x:c>
    </x:row>
    <x:row r="44">
      <x:c r="A44" s="44" t="s">
        <x:v>1627</x:v>
      </x:c>
      <x:c r="B44" s="2" t="s">
        <x:v>1628</x:v>
      </x:c>
      <x:c r="C44" s="2" t="s">
        <x:v>1629</x:v>
      </x:c>
      <x:c r="D44" s="2" t="s">
        <x:v>1630</x:v>
      </x:c>
      <x:c r="E44" s="2" t="s">
        <x:v>1620</x:v>
      </x:c>
      <x:c r="F44" s="45" t="s">
        <x:v>1631</x:v>
      </x:c>
    </x:row>
    <x:row r="45">
      <x:c r="A45" s="44" t="s">
        <x:v>1632</x:v>
      </x:c>
      <x:c r="B45" s="2" t="s">
        <x:v>1633</x:v>
      </x:c>
      <x:c r="C45" s="2" t="s">
        <x:v>1634</x:v>
      </x:c>
      <x:c r="D45" s="2" t="s">
        <x:v>1630</x:v>
      </x:c>
      <x:c r="E45" s="2" t="s">
        <x:v>1620</x:v>
      </x:c>
      <x:c r="F45" s="45" t="s">
        <x:v>1635</x:v>
      </x:c>
    </x:row>
    <x:row r="46">
      <x:c r="A46" s="44" t="s">
        <x:v>1636</x:v>
      </x:c>
      <x:c r="B46" s="2" t="s">
        <x:v>1637</x:v>
      </x:c>
      <x:c r="C46" s="2" t="s">
        <x:v>1638</x:v>
      </x:c>
      <x:c r="D46" s="2" t="s">
        <x:v>1630</x:v>
      </x:c>
      <x:c r="E46" s="2" t="s">
        <x:v>1620</x:v>
      </x:c>
      <x:c r="F46" s="45" t="s">
        <x:v>1639</x:v>
      </x:c>
    </x:row>
    <x:row r="47">
      <x:c r="A47" s="44" t="s">
        <x:v>1640</x:v>
      </x:c>
      <x:c r="B47" s="2" t="s">
        <x:v>1641</x:v>
      </x:c>
      <x:c r="C47" s="2" t="s">
        <x:v>1188</x:v>
      </x:c>
      <x:c r="D47" s="2" t="s">
        <x:v>1164</x:v>
      </x:c>
      <x:c r="E47" s="2" t="s">
        <x:v>1620</x:v>
      </x:c>
      <x:c r="F47" s="45" t="s">
        <x:v>1642</x:v>
      </x:c>
    </x:row>
    <x:row r="48">
      <x:c r="A48" s="44" t="s">
        <x:v>1643</x:v>
      </x:c>
      <x:c r="B48" s="2" t="s">
        <x:v>1644</x:v>
      </x:c>
      <x:c r="C48" s="2" t="s">
        <x:v>1194</x:v>
      </x:c>
      <x:c r="D48" s="2" t="s">
        <x:v>1164</x:v>
      </x:c>
      <x:c r="E48" s="2" t="s">
        <x:v>1620</x:v>
      </x:c>
      <x:c r="F48" s="45" t="s">
        <x:v>1645</x:v>
      </x:c>
    </x:row>
    <x:row r="49">
      <x:c r="A49" s="44" t="s">
        <x:v>1646</x:v>
      </x:c>
      <x:c r="B49" s="2" t="s">
        <x:v>1647</x:v>
      </x:c>
      <x:c r="C49" s="2" t="s">
        <x:v>1200</x:v>
      </x:c>
      <x:c r="D49" s="2" t="s">
        <x:v>1164</x:v>
      </x:c>
      <x:c r="E49" s="2" t="s">
        <x:v>1620</x:v>
      </x:c>
      <x:c r="F49" s="45" t="s">
        <x:v>1648</x:v>
      </x:c>
    </x:row>
    <x:row r="50">
      <x:c r="A50" s="44" t="s">
        <x:v>1649</x:v>
      </x:c>
      <x:c r="B50" s="2" t="s">
        <x:v>1650</x:v>
      </x:c>
      <x:c r="C50" s="2" t="s">
        <x:v>1651</x:v>
      </x:c>
      <x:c r="D50" s="2" t="s">
        <x:v>1652</x:v>
      </x:c>
      <x:c r="E50" s="2" t="s">
        <x:v>1620</x:v>
      </x:c>
      <x:c r="F50" s="45" t="s">
        <x:v>1653</x:v>
      </x:c>
    </x:row>
    <x:row r="51">
      <x:c r="A51" s="44" t="s">
        <x:v>1654</x:v>
      </x:c>
      <x:c r="B51" s="2" t="s">
        <x:v>1655</x:v>
      </x:c>
      <x:c r="C51" s="2" t="s">
        <x:v>1656</x:v>
      </x:c>
      <x:c r="D51" s="2" t="s">
        <x:v>1657</x:v>
      </x:c>
      <x:c r="E51" s="2" t="s">
        <x:v>1620</x:v>
      </x:c>
      <x:c r="F51" s="45" t="s">
        <x:v>1658</x:v>
      </x:c>
    </x:row>
    <x:row r="52" ht="30">
      <x:c r="A52" s="44" t="s">
        <x:v>1659</x:v>
      </x:c>
      <x:c r="B52" s="2" t="s">
        <x:v>1660</x:v>
      </x:c>
      <x:c r="C52" s="2" t="s">
        <x:v>1661</x:v>
      </x:c>
      <x:c r="D52" s="2" t="s">
        <x:v>1662</x:v>
      </x:c>
      <x:c r="E52" s="2" t="s">
        <x:v>1513</x:v>
      </x:c>
      <x:c r="F52" s="45" t="s">
        <x:v>1663</x:v>
      </x:c>
    </x:row>
    <x:row r="53">
      <x:c r="A53" s="44" t="s">
        <x:v>1664</x:v>
      </x:c>
      <x:c r="B53" s="2" t="s">
        <x:v>1665</x:v>
      </x:c>
      <x:c r="C53" s="2" t="s">
        <x:v>1666</x:v>
      </x:c>
      <x:c r="D53" s="2" t="s">
        <x:v>1512</x:v>
      </x:c>
      <x:c r="E53" s="2" t="s">
        <x:v>1620</x:v>
      </x:c>
      <x:c r="F53" s="45" t="s">
        <x:v>1667</x:v>
      </x:c>
    </x:row>
    <x:row r="54">
      <x:c r="A54" s="44" t="s">
        <x:v>1668</x:v>
      </x:c>
      <x:c r="B54" s="2" t="s">
        <x:v>1669</x:v>
      </x:c>
      <x:c r="C54" s="2" t="s">
        <x:v>1670</x:v>
      </x:c>
      <x:c r="D54" s="2" t="s">
        <x:v>1512</x:v>
      </x:c>
      <x:c r="E54" s="2" t="s">
        <x:v>1620</x:v>
      </x:c>
      <x:c r="F54" s="45" t="s">
        <x:v>1671</x:v>
      </x:c>
    </x:row>
    <x:row r="55">
      <x:c r="A55" s="44" t="s">
        <x:v>1672</x:v>
      </x:c>
      <x:c r="B55" s="2" t="s">
        <x:v>1673</x:v>
      </x:c>
      <x:c r="C55" s="2" t="s">
        <x:v>1674</x:v>
      </x:c>
      <x:c r="D55" s="2" t="s">
        <x:v>1512</x:v>
      </x:c>
      <x:c r="E55" s="2" t="s">
        <x:v>1620</x:v>
      </x:c>
      <x:c r="F55" s="45" t="s">
        <x:v>1675</x:v>
      </x:c>
    </x:row>
    <x:row r="56">
      <x:c r="A56" s="44" t="s">
        <x:v>1676</x:v>
      </x:c>
      <x:c r="B56" s="2" t="s">
        <x:v>1677</x:v>
      </x:c>
      <x:c r="C56" s="2" t="s">
        <x:v>1678</x:v>
      </x:c>
      <x:c r="D56" s="2" t="s">
        <x:v>955</x:v>
      </x:c>
      <x:c r="E56" s="2" t="s">
        <x:v>1620</x:v>
      </x:c>
      <x:c r="F56" s="45" t="s">
        <x:v>1679</x:v>
      </x:c>
    </x:row>
    <x:row r="57">
      <x:c r="A57" s="44" t="s">
        <x:v>1680</x:v>
      </x:c>
      <x:c r="B57" s="2" t="s">
        <x:v>1681</x:v>
      </x:c>
      <x:c r="C57" s="2" t="s">
        <x:v>1682</x:v>
      </x:c>
      <x:c r="D57" s="2" t="s">
        <x:v>1683</x:v>
      </x:c>
      <x:c r="E57" s="2" t="s">
        <x:v>1620</x:v>
      </x:c>
      <x:c r="F57" s="45" t="s">
        <x:v>1684</x:v>
      </x:c>
    </x:row>
    <x:row r="58" ht="30">
      <x:c r="A58" s="44" t="s">
        <x:v>1685</x:v>
      </x:c>
      <x:c r="B58" s="2" t="s">
        <x:v>1686</x:v>
      </x:c>
      <x:c r="C58" s="2" t="s">
        <x:v>1687</x:v>
      </x:c>
      <x:c r="D58" s="2" t="s">
        <x:v>874</x:v>
      </x:c>
      <x:c r="E58" s="2" t="s">
        <x:v>1620</x:v>
      </x:c>
      <x:c r="F58" s="45" t="s">
        <x:v>1688</x:v>
      </x:c>
    </x:row>
    <x:row r="59">
      <x:c r="A59" s="44" t="s">
        <x:v>1689</x:v>
      </x:c>
      <x:c r="B59" s="2" t="s">
        <x:v>1690</x:v>
      </x:c>
      <x:c r="C59" s="2" t="s">
        <x:v>1324</x:v>
      </x:c>
      <x:c r="D59" s="2" t="s">
        <x:v>965</x:v>
      </x:c>
      <x:c r="E59" s="2" t="s">
        <x:v>1620</x:v>
      </x:c>
      <x:c r="F59" s="45" t="s">
        <x:v>1691</x:v>
      </x:c>
    </x:row>
    <x:row r="60" ht="30">
      <x:c r="A60" s="46" t="s">
        <x:v>1692</x:v>
      </x:c>
      <x:c r="B60" s="40" t="s">
        <x:v>1693</x:v>
      </x:c>
      <x:c r="C60" s="40" t="s">
        <x:v>1339</x:v>
      </x:c>
      <x:c r="D60" s="40" t="s">
        <x:v>955</x:v>
      </x:c>
      <x:c r="E60" s="40" t="s">
        <x:v>1620</x:v>
      </x:c>
      <x:c r="F60" s="47" t="s">
        <x:v>1694</x:v>
      </x:c>
    </x:row>
    <x:row r="61">
      <x:c r="A61" t="s">
        <x:v>1695</x:v>
      </x:c>
      <x:c r="B61" t="s">
        <x:v>1696</x:v>
      </x:c>
      <x:c r="C61" t="s">
        <x:v>1697</x:v>
      </x:c>
      <x:c r="D61" t="s">
        <x:v>1698</x:v>
      </x:c>
      <x:c r="E61" t="s">
        <x:v>1513</x:v>
      </x:c>
      <x:c r="F61" t="s">
        <x:v>1699</x:v>
      </x:c>
    </x:row>
    <x:row r="62" ht="90">
      <x:c r="A62" s="78" t="s">
        <x:v>1700</x:v>
      </x:c>
      <x:c r="B62" s="75" t="s">
        <x:v>1701</x:v>
      </x:c>
      <x:c r="C62" s="75" t="s">
        <x:v>1702</x:v>
      </x:c>
      <x:c r="D62" s="75"/>
      <x:c r="E62" s="75" t="s">
        <x:v>1703</x:v>
      </x:c>
      <x:c r="F62" s="75" t="s">
        <x:v>1704</x:v>
      </x:c>
    </x:row>
    <x:row r="63" ht="105">
      <x:c r="A63" s="78" t="s">
        <x:v>1705</x:v>
      </x:c>
      <x:c r="B63" s="75" t="s">
        <x:v>1706</x:v>
      </x:c>
      <x:c r="C63" s="75" t="s">
        <x:v>1707</x:v>
      </x:c>
      <x:c r="D63" s="75"/>
      <x:c r="E63" s="75" t="s">
        <x:v>1703</x:v>
      </x:c>
      <x:c r="F63" s="75" t="s">
        <x:v>1708</x:v>
      </x:c>
    </x:row>
    <x:row r="64" ht="75">
      <x:c r="A64" s="78" t="s">
        <x:v>1709</x:v>
      </x:c>
      <x:c r="B64" s="75" t="s">
        <x:v>1710</x:v>
      </x:c>
      <x:c r="C64" s="75" t="s">
        <x:v>1711</x:v>
      </x:c>
      <x:c r="D64" s="75"/>
      <x:c r="E64" s="75" t="s">
        <x:v>1703</x:v>
      </x:c>
      <x:c r="F64" s="75" t="s">
        <x:v>1712</x:v>
      </x:c>
    </x:row>
    <x:row r="65" ht="75">
      <x:c r="A65" s="78" t="s">
        <x:v>1713</x:v>
      </x:c>
      <x:c r="B65" s="75" t="s">
        <x:v>1714</x:v>
      </x:c>
      <x:c r="C65" s="75" t="s">
        <x:v>1715</x:v>
      </x:c>
      <x:c r="D65" s="75"/>
      <x:c r="E65" s="75" t="s">
        <x:v>1716</x:v>
      </x:c>
      <x:c r="F65" s="75" t="s">
        <x:v>1717</x:v>
      </x:c>
    </x:row>
    <x:row r="66" ht="105">
      <x:c r="A66" s="78" t="s">
        <x:v>1718</x:v>
      </x:c>
      <x:c r="B66" s="75" t="s">
        <x:v>1719</x:v>
      </x:c>
      <x:c r="C66" s="75" t="s">
        <x:v>1720</x:v>
      </x:c>
      <x:c r="D66" s="75"/>
      <x:c r="E66" s="75" t="s">
        <x:v>1703</x:v>
      </x:c>
      <x:c r="F66" s="75" t="s">
        <x:v>1721</x:v>
      </x:c>
    </x:row>
    <x:row r="67" ht="60">
      <x:c r="A67" s="78" t="s">
        <x:v>1722</x:v>
      </x:c>
      <x:c r="B67" s="75" t="s">
        <x:v>1723</x:v>
      </x:c>
      <x:c r="C67" s="75" t="s">
        <x:v>1724</x:v>
      </x:c>
      <x:c r="D67" s="75"/>
      <x:c r="E67" s="75" t="s">
        <x:v>1725</x:v>
      </x:c>
      <x:c r="F67" s="75" t="s">
        <x:v>1726</x:v>
      </x:c>
    </x:row>
    <x:row r="68" ht="90">
      <x:c r="A68" s="78" t="s">
        <x:v>1727</x:v>
      </x:c>
      <x:c r="B68" s="75" t="s">
        <x:v>1728</x:v>
      </x:c>
      <x:c r="C68" s="75" t="s">
        <x:v>1729</x:v>
      </x:c>
      <x:c r="D68" s="75"/>
      <x:c r="E68" s="75" t="s">
        <x:v>1730</x:v>
      </x:c>
      <x:c r="F68" s="75" t="s">
        <x:v>1731</x:v>
      </x:c>
    </x:row>
    <x:row r="69" ht="90">
      <x:c r="A69" s="78" t="s">
        <x:v>1732</x:v>
      </x:c>
      <x:c r="B69" s="75" t="s">
        <x:v>1733</x:v>
      </x:c>
      <x:c r="C69" s="75" t="s">
        <x:v>1734</x:v>
      </x:c>
      <x:c r="D69" s="75"/>
      <x:c r="E69" s="75" t="s">
        <x:v>1735</x:v>
      </x:c>
      <x:c r="F69" s="75" t="s">
        <x:v>1736</x:v>
      </x:c>
    </x:row>
    <x:row r="70" ht="45">
      <x:c r="A70" s="79" t="s">
        <x:v>1737</x:v>
      </x:c>
      <x:c r="B70" s="74" t="s">
        <x:v>1738</x:v>
      </x:c>
      <x:c r="C70" s="74" t="s">
        <x:v>1739</x:v>
      </x:c>
      <x:c r="D70" s="74"/>
      <x:c r="E70" s="74" t="s">
        <x:v>1740</x:v>
      </x:c>
      <x:c r="F70" s="74" t="s">
        <x:v>1741</x:v>
      </x:c>
    </x:row>
    <x:row r="71" ht="75">
      <x:c r="A71" s="78" t="s">
        <x:v>1742</x:v>
      </x:c>
      <x:c r="B71" s="75" t="s">
        <x:v>1743</x:v>
      </x:c>
      <x:c r="C71" s="75" t="s">
        <x:v>1744</x:v>
      </x:c>
      <x:c r="D71" s="75"/>
      <x:c r="E71" s="75" t="s">
        <x:v>1745</x:v>
      </x:c>
      <x:c r="F71" s="75" t="s">
        <x:v>1746</x:v>
      </x:c>
    </x:row>
    <x:row r="72" ht="60">
      <x:c r="A72" s="79" t="s">
        <x:v>1747</x:v>
      </x:c>
      <x:c r="B72" s="74" t="s">
        <x:v>1748</x:v>
      </x:c>
      <x:c r="C72" s="74" t="s">
        <x:v>1749</x:v>
      </x:c>
      <x:c r="D72" s="74"/>
      <x:c r="E72" s="74" t="s">
        <x:v>1725</x:v>
      </x:c>
      <x:c r="F72" s="74" t="s">
        <x:v>1750</x:v>
      </x:c>
    </x:row>
    <x:row r="73" ht="90">
      <x:c r="A73" s="78" t="s">
        <x:v>1751</x:v>
      </x:c>
      <x:c r="B73" s="75" t="s">
        <x:v>1752</x:v>
      </x:c>
      <x:c r="C73" s="75" t="s">
        <x:v>1753</x:v>
      </x:c>
      <x:c r="D73" s="75"/>
      <x:c r="E73" s="75" t="s">
        <x:v>1754</x:v>
      </x:c>
      <x:c r="F73" s="75" t="s">
        <x:v>1755</x:v>
      </x:c>
    </x:row>
    <x:row r="74" ht="60">
      <x:c r="A74" s="78" t="s">
        <x:v>1756</x:v>
      </x:c>
      <x:c r="B74" s="75" t="s">
        <x:v>1757</x:v>
      </x:c>
      <x:c r="C74" s="75" t="s">
        <x:v>1758</x:v>
      </x:c>
      <x:c r="D74" s="75"/>
      <x:c r="E74" s="75" t="s">
        <x:v>1759</x:v>
      </x:c>
      <x:c r="F74" s="75" t="s">
        <x:v>1760</x:v>
      </x:c>
    </x:row>
    <x:row r="75" ht="90">
      <x:c r="A75" s="78" t="s">
        <x:v>1761</x:v>
      </x:c>
      <x:c r="B75" s="75" t="s">
        <x:v>1762</x:v>
      </x:c>
      <x:c r="C75" s="75" t="s">
        <x:v>1763</x:v>
      </x:c>
      <x:c r="D75" s="75"/>
      <x:c r="E75" s="75" t="s">
        <x:v>1764</x:v>
      </x:c>
      <x:c r="F75" s="75" t="s">
        <x:v>1765</x:v>
      </x:c>
    </x:row>
    <x:row r="76" ht="60">
      <x:c r="A76" s="79" t="s">
        <x:v>1766</x:v>
      </x:c>
      <x:c r="B76" s="74" t="s">
        <x:v>1767</x:v>
      </x:c>
      <x:c r="C76" s="74" t="s">
        <x:v>1768</x:v>
      </x:c>
      <x:c r="D76" s="74"/>
      <x:c r="E76" s="74" t="s">
        <x:v>1769</x:v>
      </x:c>
      <x:c r="F76" s="74" t="s">
        <x:v>1770</x:v>
      </x:c>
    </x:row>
    <x:row r="77" ht="60">
      <x:c r="A77" s="79" t="s">
        <x:v>1771</x:v>
      </x:c>
      <x:c r="B77" s="74" t="s">
        <x:v>1772</x:v>
      </x:c>
      <x:c r="C77" s="74" t="s">
        <x:v>1773</x:v>
      </x:c>
      <x:c r="D77" s="74"/>
      <x:c r="E77" s="74" t="s">
        <x:v>1774</x:v>
      </x:c>
      <x:c r="F77" s="74" t="s">
        <x:v>1775</x:v>
      </x:c>
    </x:row>
    <x:row r="78" ht="75">
      <x:c r="A78" s="79" t="s">
        <x:v>1776</x:v>
      </x:c>
      <x:c r="B78" s="74" t="s">
        <x:v>1777</x:v>
      </x:c>
      <x:c r="C78" s="74" t="s">
        <x:v>1778</x:v>
      </x:c>
      <x:c r="D78" s="74"/>
      <x:c r="E78" s="74" t="s">
        <x:v>1779</x:v>
      </x:c>
      <x:c r="F78" s="74" t="s">
        <x:v>1780</x:v>
      </x:c>
    </x:row>
    <x:row r="79" ht="60">
      <x:c r="A79" s="78" t="s">
        <x:v>1781</x:v>
      </x:c>
      <x:c r="B79" s="75" t="s">
        <x:v>1782</x:v>
      </x:c>
      <x:c r="C79" s="75" t="s">
        <x:v>1783</x:v>
      </x:c>
      <x:c r="D79" s="75"/>
      <x:c r="E79" s="75" t="s">
        <x:v>1620</x:v>
      </x:c>
      <x:c r="F79" s="75" t="s">
        <x:v>1784</x:v>
      </x:c>
    </x:row>
    <x:row r="80" ht="75">
      <x:c r="A80" s="79" t="s">
        <x:v>1785</x:v>
      </x:c>
      <x:c r="B80" s="74" t="s">
        <x:v>1786</x:v>
      </x:c>
      <x:c r="C80" s="74" t="s">
        <x:v>291</x:v>
      </x:c>
      <x:c r="D80" s="74"/>
      <x:c r="E80" s="74" t="s">
        <x:v>1787</x:v>
      </x:c>
      <x:c r="F80" s="74" t="s">
        <x:v>1788</x:v>
      </x:c>
    </x:row>
    <x:row r="81" ht="75">
      <x:c r="A81" s="78" t="s">
        <x:v>1789</x:v>
      </x:c>
      <x:c r="B81" s="75" t="s">
        <x:v>1790</x:v>
      </x:c>
      <x:c r="C81" s="75" t="s">
        <x:v>1791</x:v>
      </x:c>
      <x:c r="D81" s="75"/>
      <x:c r="E81" s="75" t="s">
        <x:v>1792</x:v>
      </x:c>
      <x:c r="F81" s="75" t="s">
        <x:v>1793</x:v>
      </x:c>
    </x:row>
    <x:row r="82" ht="60">
      <x:c r="A82" s="79" t="s">
        <x:v>1794</x:v>
      </x:c>
      <x:c r="B82" s="74" t="s">
        <x:v>1795</x:v>
      </x:c>
      <x:c r="C82" s="74" t="s">
        <x:v>1796</x:v>
      </x:c>
      <x:c r="D82" s="74"/>
      <x:c r="E82" s="74" t="s">
        <x:v>1797</x:v>
      </x:c>
      <x:c r="F82" s="74" t="s">
        <x:v>1798</x:v>
      </x:c>
    </x:row>
    <x:row r="83" ht="45">
      <x:c r="A83" s="79" t="s">
        <x:v>1799</x:v>
      </x:c>
      <x:c r="B83" s="74" t="s">
        <x:v>1800</x:v>
      </x:c>
      <x:c r="C83" s="74" t="s">
        <x:v>1801</x:v>
      </x:c>
      <x:c r="D83" s="74"/>
      <x:c r="E83" s="74" t="s">
        <x:v>1797</x:v>
      </x:c>
      <x:c r="F83" s="74" t="s">
        <x:v>1802</x:v>
      </x:c>
    </x:row>
    <x:row r="84" ht="75">
      <x:c r="A84" s="78" t="s">
        <x:v>1803</x:v>
      </x:c>
      <x:c r="B84" s="75" t="s">
        <x:v>1804</x:v>
      </x:c>
      <x:c r="C84" s="75" t="s">
        <x:v>1805</x:v>
      </x:c>
      <x:c r="D84" s="75"/>
      <x:c r="E84" s="75" t="s">
        <x:v>1806</x:v>
      </x:c>
      <x:c r="F84" s="75" t="s">
        <x:v>1807</x:v>
      </x:c>
    </x:row>
    <x:row r="85" ht="60">
      <x:c r="A85" s="78" t="s">
        <x:v>1808</x:v>
      </x:c>
      <x:c r="B85" s="75" t="s">
        <x:v>1809</x:v>
      </x:c>
      <x:c r="C85" s="75" t="s">
        <x:v>1810</x:v>
      </x:c>
      <x:c r="D85" s="75"/>
      <x:c r="E85" s="75" t="s">
        <x:v>1620</x:v>
      </x:c>
      <x:c r="F85" s="75" t="s">
        <x:v>1811</x:v>
      </x:c>
    </x:row>
    <x:row r="86" ht="75">
      <x:c r="A86" s="78" t="s">
        <x:v>1812</x:v>
      </x:c>
      <x:c r="B86" s="75" t="s">
        <x:v>1813</x:v>
      </x:c>
      <x:c r="C86" s="75" t="s">
        <x:v>1814</x:v>
      </x:c>
      <x:c r="D86" s="75"/>
      <x:c r="E86" s="75" t="s">
        <x:v>1620</x:v>
      </x:c>
      <x:c r="F86" s="75" t="s">
        <x:v>1815</x:v>
      </x:c>
    </x:row>
    <x:row r="87" ht="60">
      <x:c r="A87" s="78" t="s">
        <x:v>1816</x:v>
      </x:c>
      <x:c r="B87" s="75" t="s">
        <x:v>1817</x:v>
      </x:c>
      <x:c r="C87" s="75" t="s">
        <x:v>1818</x:v>
      </x:c>
      <x:c r="D87" s="75"/>
      <x:c r="E87" s="75" t="s">
        <x:v>1620</x:v>
      </x:c>
      <x:c r="F87" s="75" t="s">
        <x:v>1819</x:v>
      </x:c>
    </x:row>
    <x:row r="88" ht="75">
      <x:c r="A88" s="78" t="s">
        <x:v>1820</x:v>
      </x:c>
      <x:c r="B88" s="75" t="s">
        <x:v>1821</x:v>
      </x:c>
      <x:c r="C88" s="75" t="s">
        <x:v>1822</x:v>
      </x:c>
      <x:c r="D88" s="75"/>
      <x:c r="E88" s="75" t="s">
        <x:v>1620</x:v>
      </x:c>
      <x:c r="F88" s="75" t="s">
        <x:v>1823</x:v>
      </x:c>
    </x:row>
    <x:row r="89" ht="60">
      <x:c r="A89" s="79" t="s">
        <x:v>1824</x:v>
      </x:c>
      <x:c r="B89" s="74" t="s">
        <x:v>1825</x:v>
      </x:c>
      <x:c r="C89" s="74" t="s">
        <x:v>820</x:v>
      </x:c>
      <x:c r="D89" s="74"/>
      <x:c r="E89" s="74" t="s">
        <x:v>1826</x:v>
      </x:c>
      <x:c r="F89" s="74" t="s">
        <x:v>1827</x:v>
      </x:c>
    </x:row>
    <x:row r="90" ht="60">
      <x:c r="A90" s="78" t="s">
        <x:v>1828</x:v>
      </x:c>
      <x:c r="B90" s="75" t="s">
        <x:v>1829</x:v>
      </x:c>
      <x:c r="C90" s="75" t="s">
        <x:v>1830</x:v>
      </x:c>
      <x:c r="D90" s="75"/>
      <x:c r="E90" s="75" t="s">
        <x:v>1787</x:v>
      </x:c>
      <x:c r="F90" s="75" t="s">
        <x:v>1831</x:v>
      </x:c>
    </x:row>
    <x:row r="91" ht="75">
      <x:c r="A91" s="79" t="s">
        <x:v>1832</x:v>
      </x:c>
      <x:c r="B91" s="74" t="s">
        <x:v>1833</x:v>
      </x:c>
      <x:c r="C91" s="74" t="s">
        <x:v>1834</x:v>
      </x:c>
      <x:c r="D91" s="74"/>
      <x:c r="E91" s="74" t="s">
        <x:v>1787</x:v>
      </x:c>
      <x:c r="F91" s="74" t="s">
        <x:v>1835</x:v>
      </x:c>
    </x:row>
    <x:row r="92" ht="45">
      <x:c r="A92" s="79" t="s">
        <x:v>1836</x:v>
      </x:c>
      <x:c r="B92" s="74" t="s">
        <x:v>1837</x:v>
      </x:c>
      <x:c r="C92" s="74" t="s">
        <x:v>1838</x:v>
      </x:c>
      <x:c r="D92" s="74"/>
      <x:c r="E92" s="74" t="s">
        <x:v>1839</x:v>
      </x:c>
      <x:c r="F92" s="74" t="s">
        <x:v>1840</x:v>
      </x:c>
    </x:row>
  </x:sheetData>
  <x:mergeCells>
    <x:mergeCell ref="A1:F1"/>
    <x:mergeCell ref="A2:F2"/>
  </x:mergeCells>
  <x:conditionalFormatting sqref="E8:E38">
    <x:cfRule type="expression" dxfId="25" priority="1">
      <x:formula>E8="EXPANDED"</x:formula>
    </x:cfRule>
    <x:cfRule type="expression" dxfId="24" priority="2">
      <x:formula>E8="GLOBAL LAW"</x:formula>
    </x:cfRule>
    <x:cfRule type="expression" dxfId="23" priority="3">
      <x:formula>E8="EXISTING"</x:formula>
    </x:cfRule>
  </x:conditionalFormatting>
  <x:conditionalFormatting sqref="I3:I3">
    <x:cfRule type="expression" dxfId="22" priority="4">
      <x:formula>I3=0</x:formula>
    </x:cfRule>
    <x:cfRule type="expression" dxfId="21" priority="5">
      <x:formula>I3&gt;0</x:formula>
    </x:cfRule>
  </x:conditionalFormatting>
  <x:pageMargins left="0.7" right="0.7" top="0.75" bottom="0.75" header="0.3" footer="0.3"/>
  <x:tableParts count="1">
    <x:tablePart xmlns:r="http://schemas.openxmlformats.org/officeDocument/2006/relationships" r:id="Ra94864c857f44bb3"/>
  </x:tableParts>
</x:worksheet>
</file>

<file path=xl/worksheets/sheet6.xml><?xml version="1.0" encoding="utf-8"?>
<x:worksheet xmlns:x="http://schemas.openxmlformats.org/spreadsheetml/2006/main">
  <x:sheetFormatPr defaultRowHeight="15"/>
  <x:cols>
    <x:col min="1" max="1" width="26" customWidth="1"/>
    <x:col min="2" max="2" width="14" customWidth="1"/>
    <x:col min="3" max="3" width="10" customWidth="1"/>
    <x:col min="4" max="4" width="42" customWidth="1"/>
    <x:col min="5" max="5" width="8" customWidth="1"/>
    <x:col min="6" max="6" width="24" customWidth="1"/>
    <x:col min="7" max="7" width="34" customWidth="1"/>
    <x:col min="8" max="8" width="60" customWidth="1"/>
    <x:col min="9" max="9" width="38" customWidth="1"/>
    <x:col min="10" max="10" width="13" customWidth="1"/>
    <x:col min="11" max="11" width="34" customWidth="1"/>
    <x:col min="12" max="12" width="58" customWidth="1"/>
  </x:cols>
  <x:sheetData>
    <x:row r="1" ht="18.75">
      <x:c r="A1" s="123" t="str">
        <x:v>PPIQ Worker 3 Lane — historical SAFE-NOW plan; v2.11 active queue is AI Agent Queues / Calendar</x:v>
      </x:c>
      <x:c r="B1" s="123"/>
      <x:c r="C1" s="123"/>
      <x:c r="D1" s="123"/>
      <x:c r="E1" s="123"/>
      <x:c r="F1" s="123"/>
      <x:c r="G1" s="123"/>
      <x:c r="H1" s="123"/>
      <x:c r="I1" s="123"/>
      <x:c r="J1" s="123"/>
      <x:c r="K1" s="2"/>
      <x:c r="L1" s="2"/>
    </x:row>
    <x:row r="2">
      <x:c r="A2" s="124" t="s">
        <x:v>1841</x:v>
      </x:c>
      <x:c r="B2" s="124"/>
      <x:c r="C2" s="124"/>
      <x:c r="D2" s="124"/>
      <x:c r="E2" s="124"/>
      <x:c r="F2" s="124"/>
      <x:c r="G2" s="124"/>
      <x:c r="H2" s="124"/>
      <x:c r="I2" s="124"/>
      <x:c r="J2" s="124"/>
      <x:c r="K2" s="2"/>
      <x:c r="L2" s="2"/>
    </x:row>
    <x:row r="3">
      <x:c r="A3" s="2"/>
      <x:c r="B3" s="2"/>
      <x:c r="C3" s="2"/>
      <x:c r="D3" s="2"/>
      <x:c r="E3" s="2"/>
      <x:c r="F3" s="2"/>
      <x:c r="G3" s="2"/>
      <x:c r="H3" s="2"/>
      <x:c r="I3" s="2"/>
      <x:c r="J3" s="2"/>
      <x:c r="K3" s="2"/>
      <x:c r="L3" s="2"/>
    </x:row>
    <x:row r="4">
      <x:c r="A4" s="94" t="s">
        <x:v>1842</x:v>
      </x:c>
      <x:c r="B4" s="95" t="s">
        <x:v>1148</x:v>
      </x:c>
      <x:c r="C4" s="2"/>
      <x:c r="D4" s="125" t="s">
        <x:v>1843</x:v>
      </x:c>
      <x:c r="E4" s="125"/>
      <x:c r="F4" s="125"/>
      <x:c r="G4" s="125"/>
      <x:c r="H4" s="125"/>
      <x:c r="I4" s="125"/>
      <x:c r="J4" s="125"/>
      <x:c r="K4" s="2"/>
      <x:c r="L4" s="2"/>
    </x:row>
    <x:row r="5">
      <x:c r="A5" s="44" t="s">
        <x:v>1844</x:v>
      </x:c>
      <x:c r="B5" s="45" t="n">
        <x:f>COUNTIF(Backlog!$M:$M,"W3 SAFE NOW")</x:f>
        <x:v>0</x:v>
      </x:c>
      <x:c r="C5" s="2"/>
      <x:c r="D5" s="122" t="s">
        <x:v>1845</x:v>
      </x:c>
      <x:c r="E5" s="122"/>
      <x:c r="F5" s="122"/>
      <x:c r="G5" s="122"/>
      <x:c r="H5" s="122"/>
      <x:c r="I5" s="122"/>
      <x:c r="J5" s="122"/>
      <x:c r="K5" s="2"/>
      <x:c r="L5" s="2"/>
    </x:row>
    <x:row r="6">
      <x:c r="A6" s="44" t="s">
        <x:v>1846</x:v>
      </x:c>
      <x:c r="B6" s="45" t="n">
        <x:f>SUMIF(Backlog!$M:$M,"W3 SAFE NOW",Backlog!$J:$J)</x:f>
        <x:v>0</x:v>
      </x:c>
      <x:c r="C6" s="2"/>
      <x:c r="D6" s="122" t="s">
        <x:v>1847</x:v>
      </x:c>
      <x:c r="E6" s="122"/>
      <x:c r="F6" s="122"/>
      <x:c r="G6" s="122"/>
      <x:c r="H6" s="122"/>
      <x:c r="I6" s="122"/>
      <x:c r="J6" s="122"/>
      <x:c r="K6" s="2"/>
      <x:c r="L6" s="2"/>
    </x:row>
    <x:row r="7" ht="30">
      <x:c r="A7" s="46" t="s">
        <x:v>1848</x:v>
      </x:c>
      <x:c r="B7" s="47" t="n">
        <x:f>SUMIF(Backlog!$L:$L,"Worker 3",Backlog!$J:$J)+SUMIF(Backlog!$L:$L,"Shared: Core Platform + Worker 3",Backlog!$J:$J)+SUMIF(Backlog!$L:$L,"Shared: Infrastructure + Worker 3",Backlog!$J:$J)</x:f>
        <x:v>771</x:v>
      </x:c>
      <x:c r="C7" s="2"/>
      <x:c r="D7" s="122" t="s">
        <x:v>1849</x:v>
      </x:c>
      <x:c r="E7" s="122"/>
      <x:c r="F7" s="122"/>
      <x:c r="G7" s="122"/>
      <x:c r="H7" s="122"/>
      <x:c r="I7" s="122"/>
      <x:c r="J7" s="122"/>
      <x:c r="K7" s="2"/>
      <x:c r="L7" s="2"/>
    </x:row>
    <x:row r="8">
      <x:c r="A8" s="2"/>
      <x:c r="B8" s="2"/>
      <x:c r="C8" s="2"/>
      <x:c r="D8" s="122" t="s">
        <x:v>1850</x:v>
      </x:c>
      <x:c r="E8" s="122"/>
      <x:c r="F8" s="122"/>
      <x:c r="G8" s="122"/>
      <x:c r="H8" s="122"/>
      <x:c r="I8" s="122"/>
      <x:c r="J8" s="122"/>
      <x:c r="K8" s="2"/>
      <x:c r="L8" s="2"/>
    </x:row>
    <x:row r="9">
      <x:c r="A9" s="2"/>
      <x:c r="B9" s="2"/>
      <x:c r="C9" s="2"/>
      <x:c r="D9" s="122" t="s">
        <x:v>1851</x:v>
      </x:c>
      <x:c r="E9" s="122"/>
      <x:c r="F9" s="122"/>
      <x:c r="G9" s="122"/>
      <x:c r="H9" s="122"/>
      <x:c r="I9" s="122"/>
      <x:c r="J9" s="122"/>
      <x:c r="K9" s="2"/>
      <x:c r="L9" s="2"/>
    </x:row>
    <x:row r="10">
      <x:c r="A10" s="2"/>
      <x:c r="B10" s="2"/>
      <x:c r="C10" s="2"/>
      <x:c r="D10" s="2"/>
      <x:c r="E10" s="2"/>
      <x:c r="F10" s="2"/>
      <x:c r="G10" s="2"/>
      <x:c r="H10" s="2"/>
      <x:c r="I10" s="2"/>
      <x:c r="J10" s="2"/>
      <x:c r="K10" s="2"/>
      <x:c r="L10" s="2"/>
    </x:row>
    <x:row r="11">
      <x:c r="A11" s="2"/>
      <x:c r="B11" s="2"/>
      <x:c r="C11" s="2"/>
      <x:c r="D11" s="2"/>
      <x:c r="E11" s="2"/>
      <x:c r="F11" s="2"/>
      <x:c r="G11" s="2"/>
      <x:c r="H11" s="2"/>
      <x:c r="I11" s="2"/>
      <x:c r="J11" s="2"/>
      <x:c r="K11" s="2"/>
      <x:c r="L11" s="2"/>
    </x:row>
    <x:row r="12">
      <x:c r="A12" s="96" t="s">
        <x:v>1852</x:v>
      </x:c>
      <x:c r="B12" s="97" t="s">
        <x:v>1853</x:v>
      </x:c>
      <x:c r="C12" s="97" t="s">
        <x:v>0</x:v>
      </x:c>
      <x:c r="D12" s="97" t="s">
        <x:v>3</x:v>
      </x:c>
      <x:c r="E12" s="97" t="s">
        <x:v>9</x:v>
      </x:c>
      <x:c r="F12" s="97" t="s">
        <x:v>1854</x:v>
      </x:c>
      <x:c r="G12" s="97" t="s">
        <x:v>1855</x:v>
      </x:c>
      <x:c r="H12" s="97" t="s">
        <x:v>1856</x:v>
      </x:c>
      <x:c r="I12" s="97" t="s">
        <x:v>1857</x:v>
      </x:c>
      <x:c r="J12" s="98" t="s">
        <x:v>10</x:v>
      </x:c>
      <x:c r="K12" s="77" t="s">
        <x:v>1858</x:v>
      </x:c>
      <x:c r="L12" s="77" t="s">
        <x:v>1859</x:v>
      </x:c>
    </x:row>
    <x:row r="13" ht="75">
      <x:c r="A13" s="11">
        <x:v>1</x:v>
      </x:c>
      <x:c r="B13" s="7" t="s">
        <x:v>1860</x:v>
      </x:c>
      <x:c r="C13" s="7" t="s">
        <x:v>1221</x:v>
      </x:c>
      <x:c r="D13" s="7" t="s">
        <x:v>1222</x:v>
      </x:c>
      <x:c r="E13" s="7">
        <x:v>10</x:v>
      </x:c>
      <x:c r="F13" s="7" t="s">
        <x:v>1446</x:v>
      </x:c>
      <x:c r="G13" s="7" t="s">
        <x:v>1861</x:v>
      </x:c>
      <x:c r="H13" s="7" t="s">
        <x:v>1862</x:v>
      </x:c>
      <x:c r="I13" s="7" t="s">
        <x:v>1863</x:v>
      </x:c>
      <x:c r="J13" s="99" t="s">
        <x:v>49</x:v>
      </x:c>
      <x:c r="K13" s="2" t="s">
        <x:v>1229</x:v>
      </x:c>
      <x:c r="L13" s="2" t="s">
        <x:v>1227</x:v>
      </x:c>
    </x:row>
    <x:row r="14" ht="45">
      <x:c r="A14" s="11">
        <x:v>2</x:v>
      </x:c>
      <x:c r="B14" s="7" t="s">
        <x:v>1860</x:v>
      </x:c>
      <x:c r="C14" s="7" t="s">
        <x:v>1182</x:v>
      </x:c>
      <x:c r="D14" s="7" t="s">
        <x:v>1183</x:v>
      </x:c>
      <x:c r="E14" s="7">
        <x:v>10</x:v>
      </x:c>
      <x:c r="F14" s="7" t="s">
        <x:v>1446</x:v>
      </x:c>
      <x:c r="G14" s="7" t="s">
        <x:v>949</x:v>
      </x:c>
      <x:c r="H14" s="7" t="s">
        <x:v>948</x:v>
      </x:c>
      <x:c r="I14" s="7" t="s">
        <x:v>1864</x:v>
      </x:c>
      <x:c r="J14" s="99" t="s">
        <x:v>49</x:v>
      </x:c>
      <x:c r="K14" s="2" t="s">
        <x:v>1187</x:v>
      </x:c>
      <x:c r="L14" s="2" t="s">
        <x:v>949</x:v>
      </x:c>
    </x:row>
    <x:row r="15" ht="45">
      <x:c r="A15" s="11">
        <x:v>3</x:v>
      </x:c>
      <x:c r="B15" s="7" t="s">
        <x:v>1860</x:v>
      </x:c>
      <x:c r="C15" s="7" t="s">
        <x:v>1163</x:v>
      </x:c>
      <x:c r="D15" s="7" t="s">
        <x:v>1165</x:v>
      </x:c>
      <x:c r="E15" s="7">
        <x:v>12</x:v>
      </x:c>
      <x:c r="F15" s="7" t="s">
        <x:v>1446</x:v>
      </x:c>
      <x:c r="G15" s="7" t="s">
        <x:v>949</x:v>
      </x:c>
      <x:c r="H15" s="7" t="s">
        <x:v>948</x:v>
      </x:c>
      <x:c r="I15" s="7" t="s">
        <x:v>1865</x:v>
      </x:c>
      <x:c r="J15" s="99" t="s">
        <x:v>49</x:v>
      </x:c>
      <x:c r="K15" s="2" t="s">
        <x:v>1170</x:v>
      </x:c>
      <x:c r="L15" s="2" t="s">
        <x:v>949</x:v>
      </x:c>
    </x:row>
    <x:row r="16" ht="90">
      <x:c r="A16" s="11">
        <x:v>4</x:v>
      </x:c>
      <x:c r="B16" s="7" t="s">
        <x:v>1860</x:v>
      </x:c>
      <x:c r="C16" s="7" t="s">
        <x:v>1171</x:v>
      </x:c>
      <x:c r="D16" s="7" t="s">
        <x:v>1172</x:v>
      </x:c>
      <x:c r="E16" s="7">
        <x:v>10</x:v>
      </x:c>
      <x:c r="F16" s="7" t="s">
        <x:v>1446</x:v>
      </x:c>
      <x:c r="G16" s="7" t="s">
        <x:v>949</x:v>
      </x:c>
      <x:c r="H16" s="7" t="s">
        <x:v>948</x:v>
      </x:c>
      <x:c r="I16" s="7" t="s">
        <x:v>1866</x:v>
      </x:c>
      <x:c r="J16" s="99" t="s">
        <x:v>49</x:v>
      </x:c>
      <x:c r="K16" s="2" t="s">
        <x:v>1176</x:v>
      </x:c>
      <x:c r="L16" s="2" t="s">
        <x:v>1867</x:v>
      </x:c>
    </x:row>
    <x:row r="17" ht="75">
      <x:c r="A17" s="11">
        <x:v>5</x:v>
      </x:c>
      <x:c r="B17" s="7" t="s">
        <x:v>1860</x:v>
      </x:c>
      <x:c r="C17" s="7" t="s">
        <x:v>1206</x:v>
      </x:c>
      <x:c r="D17" s="7" t="s">
        <x:v>1207</x:v>
      </x:c>
      <x:c r="E17" s="7">
        <x:v>12</x:v>
      </x:c>
      <x:c r="F17" s="7" t="s">
        <x:v>1446</x:v>
      </x:c>
      <x:c r="G17" s="7" t="s">
        <x:v>1868</x:v>
      </x:c>
      <x:c r="H17" s="7" t="s">
        <x:v>1869</x:v>
      </x:c>
      <x:c r="I17" s="7" t="s">
        <x:v>1870</x:v>
      </x:c>
      <x:c r="J17" s="99" t="s">
        <x:v>49</x:v>
      </x:c>
      <x:c r="K17" s="2" t="s">
        <x:v>1213</x:v>
      </x:c>
      <x:c r="L17" s="2" t="s">
        <x:v>1214</x:v>
      </x:c>
    </x:row>
    <x:row r="18" ht="45">
      <x:c r="A18" s="11">
        <x:v>6</x:v>
      </x:c>
      <x:c r="B18" s="7" t="s">
        <x:v>1860</x:v>
      </x:c>
      <x:c r="C18" s="7" t="s">
        <x:v>1215</x:v>
      </x:c>
      <x:c r="D18" s="7" t="s">
        <x:v>1216</x:v>
      </x:c>
      <x:c r="E18" s="7">
        <x:v>12</x:v>
      </x:c>
      <x:c r="F18" s="7" t="s">
        <x:v>1446</x:v>
      </x:c>
      <x:c r="G18" s="7" t="s">
        <x:v>949</x:v>
      </x:c>
      <x:c r="H18" s="7" t="s">
        <x:v>948</x:v>
      </x:c>
      <x:c r="I18" s="7" t="s">
        <x:v>1871</x:v>
      </x:c>
      <x:c r="J18" s="99" t="s">
        <x:v>49</x:v>
      </x:c>
      <x:c r="K18" s="2" t="s">
        <x:v>1220</x:v>
      </x:c>
      <x:c r="L18" s="2" t="s">
        <x:v>949</x:v>
      </x:c>
    </x:row>
    <x:row r="19" ht="90">
      <x:c r="A19" s="11">
        <x:v>7</x:v>
      </x:c>
      <x:c r="B19" s="7" t="s">
        <x:v>1860</x:v>
      </x:c>
      <x:c r="C19" s="7" t="s">
        <x:v>1194</x:v>
      </x:c>
      <x:c r="D19" s="7" t="s">
        <x:v>1195</x:v>
      </x:c>
      <x:c r="E19" s="7">
        <x:v>12</x:v>
      </x:c>
      <x:c r="F19" s="7" t="s">
        <x:v>1446</x:v>
      </x:c>
      <x:c r="G19" s="7" t="s">
        <x:v>949</x:v>
      </x:c>
      <x:c r="H19" s="7" t="s">
        <x:v>948</x:v>
      </x:c>
      <x:c r="I19" s="7" t="s">
        <x:v>1872</x:v>
      </x:c>
      <x:c r="J19" s="99" t="s">
        <x:v>49</x:v>
      </x:c>
      <x:c r="K19" s="2" t="s">
        <x:v>1199</x:v>
      </x:c>
      <x:c r="L19" s="2" t="s">
        <x:v>1867</x:v>
      </x:c>
    </x:row>
    <x:row r="20" ht="45">
      <x:c r="A20" s="11">
        <x:v>8</x:v>
      </x:c>
      <x:c r="B20" s="7" t="s">
        <x:v>1860</x:v>
      </x:c>
      <x:c r="C20" s="7" t="s">
        <x:v>1200</x:v>
      </x:c>
      <x:c r="D20" s="7" t="s">
        <x:v>1201</x:v>
      </x:c>
      <x:c r="E20" s="7">
        <x:v>10</x:v>
      </x:c>
      <x:c r="F20" s="7" t="s">
        <x:v>1446</x:v>
      </x:c>
      <x:c r="G20" s="7" t="s">
        <x:v>949</x:v>
      </x:c>
      <x:c r="H20" s="7" t="s">
        <x:v>948</x:v>
      </x:c>
      <x:c r="I20" s="7" t="s">
        <x:v>1873</x:v>
      </x:c>
      <x:c r="J20" s="99" t="s">
        <x:v>49</x:v>
      </x:c>
      <x:c r="K20" s="2" t="s">
        <x:v>1205</x:v>
      </x:c>
      <x:c r="L20" s="2" t="s">
        <x:v>949</x:v>
      </x:c>
    </x:row>
    <x:row r="21" ht="90">
      <x:c r="A21" s="11">
        <x:v>9</x:v>
      </x:c>
      <x:c r="B21" s="7" t="s">
        <x:v>1860</x:v>
      </x:c>
      <x:c r="C21" s="7" t="s">
        <x:v>1177</x:v>
      </x:c>
      <x:c r="D21" s="7" t="s">
        <x:v>1178</x:v>
      </x:c>
      <x:c r="E21" s="7">
        <x:v>10</x:v>
      </x:c>
      <x:c r="F21" s="7" t="s">
        <x:v>1446</x:v>
      </x:c>
      <x:c r="G21" s="7" t="s">
        <x:v>949</x:v>
      </x:c>
      <x:c r="H21" s="7" t="s">
        <x:v>948</x:v>
      </x:c>
      <x:c r="I21" s="7" t="s">
        <x:v>1874</x:v>
      </x:c>
      <x:c r="J21" s="99" t="s">
        <x:v>49</x:v>
      </x:c>
      <x:c r="K21" s="2" t="s">
        <x:v>1181</x:v>
      </x:c>
      <x:c r="L21" s="2" t="s">
        <x:v>1867</x:v>
      </x:c>
    </x:row>
    <x:row r="22" ht="90">
      <x:c r="A22" s="11">
        <x:v>10</x:v>
      </x:c>
      <x:c r="B22" s="7" t="s">
        <x:v>1860</x:v>
      </x:c>
      <x:c r="C22" s="7" t="s">
        <x:v>1188</x:v>
      </x:c>
      <x:c r="D22" s="7" t="s">
        <x:v>1189</x:v>
      </x:c>
      <x:c r="E22" s="7">
        <x:v>12</x:v>
      </x:c>
      <x:c r="F22" s="7" t="s">
        <x:v>1446</x:v>
      </x:c>
      <x:c r="G22" s="7" t="s">
        <x:v>949</x:v>
      </x:c>
      <x:c r="H22" s="7" t="s">
        <x:v>948</x:v>
      </x:c>
      <x:c r="I22" s="7" t="s">
        <x:v>1875</x:v>
      </x:c>
      <x:c r="J22" s="99" t="s">
        <x:v>49</x:v>
      </x:c>
      <x:c r="K22" s="2" t="s">
        <x:v>1193</x:v>
      </x:c>
      <x:c r="L22" s="2" t="s">
        <x:v>1867</x:v>
      </x:c>
    </x:row>
    <x:row r="23" ht="45">
      <x:c r="A23" s="11">
        <x:v>11</x:v>
      </x:c>
      <x:c r="B23" s="7" t="s">
        <x:v>1860</x:v>
      </x:c>
      <x:c r="C23" s="7" t="s">
        <x:v>1230</x:v>
      </x:c>
      <x:c r="D23" s="7" t="s">
        <x:v>1231</x:v>
      </x:c>
      <x:c r="E23" s="7">
        <x:v>8</x:v>
      </x:c>
      <x:c r="F23" s="7" t="s">
        <x:v>1446</x:v>
      </x:c>
      <x:c r="G23" s="7" t="s">
        <x:v>949</x:v>
      </x:c>
      <x:c r="H23" s="7" t="s">
        <x:v>948</x:v>
      </x:c>
      <x:c r="I23" s="7" t="s">
        <x:v>1876</x:v>
      </x:c>
      <x:c r="J23" s="99" t="s">
        <x:v>49</x:v>
      </x:c>
      <x:c r="K23" s="2" t="s">
        <x:v>1234</x:v>
      </x:c>
      <x:c r="L23" s="2" t="s">
        <x:v>949</x:v>
      </x:c>
    </x:row>
    <x:row r="24" ht="45">
      <x:c r="A24" s="11">
        <x:v>12</x:v>
      </x:c>
      <x:c r="B24" s="7" t="s">
        <x:v>1860</x:v>
      </x:c>
      <x:c r="C24" s="7" t="s">
        <x:v>1235</x:v>
      </x:c>
      <x:c r="D24" s="7" t="s">
        <x:v>1236</x:v>
      </x:c>
      <x:c r="E24" s="7">
        <x:v>10</x:v>
      </x:c>
      <x:c r="F24" s="7" t="s">
        <x:v>1446</x:v>
      </x:c>
      <x:c r="G24" s="7" t="s">
        <x:v>949</x:v>
      </x:c>
      <x:c r="H24" s="7" t="s">
        <x:v>948</x:v>
      </x:c>
      <x:c r="I24" s="7" t="s">
        <x:v>1877</x:v>
      </x:c>
      <x:c r="J24" s="99" t="s">
        <x:v>49</x:v>
      </x:c>
      <x:c r="K24" s="2" t="s">
        <x:v>1240</x:v>
      </x:c>
      <x:c r="L24" s="2" t="s">
        <x:v>949</x:v>
      </x:c>
    </x:row>
    <x:row r="25" ht="90">
      <x:c r="A25" s="11">
        <x:v>13</x:v>
      </x:c>
      <x:c r="B25" s="7" t="s">
        <x:v>1860</x:v>
      </x:c>
      <x:c r="C25" s="7" t="s">
        <x:v>1241</x:v>
      </x:c>
      <x:c r="D25" s="7" t="s">
        <x:v>1242</x:v>
      </x:c>
      <x:c r="E25" s="7">
        <x:v>12</x:v>
      </x:c>
      <x:c r="F25" s="7" t="s">
        <x:v>1446</x:v>
      </x:c>
      <x:c r="G25" s="7" t="s">
        <x:v>949</x:v>
      </x:c>
      <x:c r="H25" s="7" t="s">
        <x:v>948</x:v>
      </x:c>
      <x:c r="I25" s="7" t="s">
        <x:v>1878</x:v>
      </x:c>
      <x:c r="J25" s="99" t="s">
        <x:v>49</x:v>
      </x:c>
      <x:c r="K25" s="2" t="s">
        <x:v>1246</x:v>
      </x:c>
      <x:c r="L25" s="2" t="s">
        <x:v>1867</x:v>
      </x:c>
    </x:row>
    <x:row r="26" ht="45">
      <x:c r="A26" s="11">
        <x:v>14</x:v>
      </x:c>
      <x:c r="B26" s="7" t="s">
        <x:v>1860</x:v>
      </x:c>
      <x:c r="C26" s="7" t="s">
        <x:v>1247</x:v>
      </x:c>
      <x:c r="D26" s="7" t="s">
        <x:v>1248</x:v>
      </x:c>
      <x:c r="E26" s="7">
        <x:v>12</x:v>
      </x:c>
      <x:c r="F26" s="7" t="s">
        <x:v>1446</x:v>
      </x:c>
      <x:c r="G26" s="7" t="s">
        <x:v>949</x:v>
      </x:c>
      <x:c r="H26" s="7" t="s">
        <x:v>948</x:v>
      </x:c>
      <x:c r="I26" s="7" t="s">
        <x:v>1879</x:v>
      </x:c>
      <x:c r="J26" s="99" t="s">
        <x:v>49</x:v>
      </x:c>
      <x:c r="K26" s="2" t="s">
        <x:v>1252</x:v>
      </x:c>
      <x:c r="L26" s="2" t="s">
        <x:v>949</x:v>
      </x:c>
    </x:row>
    <x:row r="27" ht="45">
      <x:c r="A27" s="11">
        <x:v>15</x:v>
      </x:c>
      <x:c r="B27" s="7" t="s">
        <x:v>1860</x:v>
      </x:c>
      <x:c r="C27" s="7" t="s">
        <x:v>942</x:v>
      </x:c>
      <x:c r="D27" s="7" t="s">
        <x:v>944</x:v>
      </x:c>
      <x:c r="E27" s="7">
        <x:v>10</x:v>
      </x:c>
      <x:c r="F27" s="7" t="s">
        <x:v>1446</x:v>
      </x:c>
      <x:c r="G27" s="7" t="s">
        <x:v>949</x:v>
      </x:c>
      <x:c r="H27" s="7" t="s">
        <x:v>948</x:v>
      </x:c>
      <x:c r="I27" s="7" t="s">
        <x:v>1880</x:v>
      </x:c>
      <x:c r="J27" s="99" t="s">
        <x:v>49</x:v>
      </x:c>
      <x:c r="K27" s="2" t="s">
        <x:v>950</x:v>
      </x:c>
      <x:c r="L27" s="2" t="s">
        <x:v>949</x:v>
      </x:c>
    </x:row>
    <x:row r="28" ht="135">
      <x:c r="A28" s="11">
        <x:v>16</x:v>
      </x:c>
      <x:c r="B28" s="7" t="s">
        <x:v>1860</x:v>
      </x:c>
      <x:c r="C28" s="7" t="s">
        <x:v>1253</x:v>
      </x:c>
      <x:c r="D28" s="7" t="s">
        <x:v>1254</x:v>
      </x:c>
      <x:c r="E28" s="7">
        <x:v>10</x:v>
      </x:c>
      <x:c r="F28" s="7" t="s">
        <x:v>1446</x:v>
      </x:c>
      <x:c r="G28" s="7" t="s">
        <x:v>949</x:v>
      </x:c>
      <x:c r="H28" s="7" t="s">
        <x:v>948</x:v>
      </x:c>
      <x:c r="I28" s="7" t="s">
        <x:v>1881</x:v>
      </x:c>
      <x:c r="J28" s="99" t="s">
        <x:v>49</x:v>
      </x:c>
      <x:c r="K28" s="2" t="s">
        <x:v>1258</x:v>
      </x:c>
      <x:c r="L28" s="2" t="s">
        <x:v>1882</x:v>
      </x:c>
    </x:row>
    <x:row r="29" ht="195">
      <x:c r="A29" s="11">
        <x:v>17</x:v>
      </x:c>
      <x:c r="B29" s="7" t="s">
        <x:v>1883</x:v>
      </x:c>
      <x:c r="C29" s="7" t="s">
        <x:v>1259</x:v>
      </x:c>
      <x:c r="D29" s="7" t="s">
        <x:v>1260</x:v>
      </x:c>
      <x:c r="E29" s="7">
        <x:v>12</x:v>
      </x:c>
      <x:c r="F29" s="7" t="s">
        <x:v>751</x:v>
      </x:c>
      <x:c r="G29" s="7" t="s">
        <x:v>1884</x:v>
      </x:c>
      <x:c r="H29" s="7" t="s">
        <x:v>878</x:v>
      </x:c>
      <x:c r="I29" s="7" t="s">
        <x:v>1260</x:v>
      </x:c>
      <x:c r="J29" s="12" t="s">
        <x:v>328</x:v>
      </x:c>
      <x:c r="K29" s="2"/>
      <x:c r="L29" s="2" t="s">
        <x:v>1885</x:v>
      </x:c>
    </x:row>
    <x:row r="30" ht="195">
      <x:c r="A30" s="11">
        <x:v>18</x:v>
      </x:c>
      <x:c r="B30" s="7" t="s">
        <x:v>1883</x:v>
      </x:c>
      <x:c r="C30" s="7" t="s">
        <x:v>873</x:v>
      </x:c>
      <x:c r="D30" s="7" t="s">
        <x:v>876</x:v>
      </x:c>
      <x:c r="E30" s="7">
        <x:v>10</x:v>
      </x:c>
      <x:c r="F30" s="7" t="s">
        <x:v>751</x:v>
      </x:c>
      <x:c r="G30" s="7" t="s">
        <x:v>1886</x:v>
      </x:c>
      <x:c r="H30" s="7" t="s">
        <x:v>878</x:v>
      </x:c>
      <x:c r="I30" s="7" t="s">
        <x:v>876</x:v>
      </x:c>
      <x:c r="J30" s="12" t="s">
        <x:v>328</x:v>
      </x:c>
      <x:c r="K30" s="2"/>
      <x:c r="L30" s="2" t="s">
        <x:v>1887</x:v>
      </x:c>
    </x:row>
    <x:row r="31" ht="195">
      <x:c r="A31" s="11">
        <x:v>19</x:v>
      </x:c>
      <x:c r="B31" s="7" t="s">
        <x:v>1883</x:v>
      </x:c>
      <x:c r="C31" s="7" t="s">
        <x:v>927</x:v>
      </x:c>
      <x:c r="D31" s="7" t="s">
        <x:v>928</x:v>
      </x:c>
      <x:c r="E31" s="7">
        <x:v>10</x:v>
      </x:c>
      <x:c r="F31" s="7" t="s">
        <x:v>751</x:v>
      </x:c>
      <x:c r="G31" s="7" t="s">
        <x:v>1888</x:v>
      </x:c>
      <x:c r="H31" s="7" t="s">
        <x:v>878</x:v>
      </x:c>
      <x:c r="I31" s="7" t="s">
        <x:v>928</x:v>
      </x:c>
      <x:c r="J31" s="12" t="s">
        <x:v>328</x:v>
      </x:c>
      <x:c r="K31" s="2"/>
      <x:c r="L31" s="2" t="s">
        <x:v>1889</x:v>
      </x:c>
    </x:row>
    <x:row r="32" ht="210">
      <x:c r="A32" s="11">
        <x:v>20</x:v>
      </x:c>
      <x:c r="B32" s="7" t="s">
        <x:v>1883</x:v>
      </x:c>
      <x:c r="C32" s="7" t="s">
        <x:v>1268</x:v>
      </x:c>
      <x:c r="D32" s="7" t="s">
        <x:v>1269</x:v>
      </x:c>
      <x:c r="E32" s="7">
        <x:v>12</x:v>
      </x:c>
      <x:c r="F32" s="7" t="s">
        <x:v>751</x:v>
      </x:c>
      <x:c r="G32" s="7" t="s">
        <x:v>1890</x:v>
      </x:c>
      <x:c r="H32" s="7" t="s">
        <x:v>878</x:v>
      </x:c>
      <x:c r="I32" s="7" t="s">
        <x:v>1269</x:v>
      </x:c>
      <x:c r="J32" s="12" t="s">
        <x:v>328</x:v>
      </x:c>
      <x:c r="K32" s="2"/>
      <x:c r="L32" s="2" t="s">
        <x:v>1891</x:v>
      </x:c>
    </x:row>
    <x:row r="33" ht="135">
      <x:c r="A33" s="11">
        <x:v>21</x:v>
      </x:c>
      <x:c r="B33" s="7" t="s">
        <x:v>1883</x:v>
      </x:c>
      <x:c r="C33" s="7" t="s">
        <x:v>886</x:v>
      </x:c>
      <x:c r="D33" s="7" t="s">
        <x:v>887</x:v>
      </x:c>
      <x:c r="E33" s="7">
        <x:v>12</x:v>
      </x:c>
      <x:c r="F33" s="7" t="s">
        <x:v>751</x:v>
      </x:c>
      <x:c r="G33" s="7" t="s">
        <x:v>1892</x:v>
      </x:c>
      <x:c r="H33" s="7" t="s">
        <x:v>878</x:v>
      </x:c>
      <x:c r="I33" s="7" t="s">
        <x:v>887</x:v>
      </x:c>
      <x:c r="J33" s="12" t="s">
        <x:v>328</x:v>
      </x:c>
      <x:c r="K33" s="2"/>
      <x:c r="L33" s="2" t="s">
        <x:v>1893</x:v>
      </x:c>
    </x:row>
    <x:row r="34" ht="135">
      <x:c r="A34" s="11">
        <x:v>22</x:v>
      </x:c>
      <x:c r="B34" s="7" t="s">
        <x:v>1883</x:v>
      </x:c>
      <x:c r="C34" s="7" t="s">
        <x:v>894</x:v>
      </x:c>
      <x:c r="D34" s="7" t="s">
        <x:v>895</x:v>
      </x:c>
      <x:c r="E34" s="7">
        <x:v>12</x:v>
      </x:c>
      <x:c r="F34" s="7" t="s">
        <x:v>751</x:v>
      </x:c>
      <x:c r="G34" s="7" t="s">
        <x:v>1892</x:v>
      </x:c>
      <x:c r="H34" s="7" t="s">
        <x:v>878</x:v>
      </x:c>
      <x:c r="I34" s="7" t="s">
        <x:v>895</x:v>
      </x:c>
      <x:c r="J34" s="12" t="s">
        <x:v>328</x:v>
      </x:c>
      <x:c r="K34" s="2"/>
      <x:c r="L34" s="2" t="s">
        <x:v>1893</x:v>
      </x:c>
    </x:row>
    <x:row r="35" ht="45">
      <x:c r="A35" s="11">
        <x:v>23</x:v>
      </x:c>
      <x:c r="B35" s="7" t="s">
        <x:v>1883</x:v>
      </x:c>
      <x:c r="C35" s="7" t="s">
        <x:v>899</x:v>
      </x:c>
      <x:c r="D35" s="7" t="s">
        <x:v>900</x:v>
      </x:c>
      <x:c r="E35" s="7">
        <x:v>12</x:v>
      </x:c>
      <x:c r="F35" s="7" t="s">
        <x:v>751</x:v>
      </x:c>
      <x:c r="G35" s="7" t="s">
        <x:v>904</x:v>
      </x:c>
      <x:c r="H35" s="7" t="s">
        <x:v>878</x:v>
      </x:c>
      <x:c r="I35" s="7" t="s">
        <x:v>900</x:v>
      </x:c>
      <x:c r="J35" s="12" t="s">
        <x:v>328</x:v>
      </x:c>
      <x:c r="K35" s="2"/>
      <x:c r="L35" s="2" t="s">
        <x:v>904</x:v>
      </x:c>
    </x:row>
    <x:row r="36" ht="45">
      <x:c r="A36" s="11">
        <x:v>24</x:v>
      </x:c>
      <x:c r="B36" s="7" t="s">
        <x:v>1883</x:v>
      </x:c>
      <x:c r="C36" s="7" t="s">
        <x:v>905</x:v>
      </x:c>
      <x:c r="D36" s="7" t="s">
        <x:v>906</x:v>
      </x:c>
      <x:c r="E36" s="7">
        <x:v>12</x:v>
      </x:c>
      <x:c r="F36" s="7" t="s">
        <x:v>751</x:v>
      </x:c>
      <x:c r="G36" s="7" t="s">
        <x:v>899</x:v>
      </x:c>
      <x:c r="H36" s="7" t="s">
        <x:v>878</x:v>
      </x:c>
      <x:c r="I36" s="7" t="s">
        <x:v>906</x:v>
      </x:c>
      <x:c r="J36" s="12" t="s">
        <x:v>328</x:v>
      </x:c>
      <x:c r="K36" s="2"/>
      <x:c r="L36" s="2" t="s">
        <x:v>899</x:v>
      </x:c>
    </x:row>
    <x:row r="37" ht="180">
      <x:c r="A37" s="11">
        <x:v>25</x:v>
      </x:c>
      <x:c r="B37" s="7" t="s">
        <x:v>1894</x:v>
      </x:c>
      <x:c r="C37" s="7" t="s">
        <x:v>1277</x:v>
      </x:c>
      <x:c r="D37" s="7" t="s">
        <x:v>1278</x:v>
      </x:c>
      <x:c r="E37" s="7">
        <x:v>12</x:v>
      </x:c>
      <x:c r="F37" s="7" t="s">
        <x:v>914</x:v>
      </x:c>
      <x:c r="G37" s="7" t="s">
        <x:v>1895</x:v>
      </x:c>
      <x:c r="H37" s="7" t="s">
        <x:v>915</x:v>
      </x:c>
      <x:c r="I37" s="7" t="s">
        <x:v>1278</x:v>
      </x:c>
      <x:c r="J37" s="12" t="s">
        <x:v>328</x:v>
      </x:c>
      <x:c r="K37" s="2"/>
      <x:c r="L37" s="2" t="s">
        <x:v>1896</x:v>
      </x:c>
    </x:row>
    <x:row r="38" ht="225">
      <x:c r="A38" s="11">
        <x:v>26</x:v>
      </x:c>
      <x:c r="B38" s="7" t="s">
        <x:v>1894</x:v>
      </x:c>
      <x:c r="C38" s="7" t="s">
        <x:v>1286</x:v>
      </x:c>
      <x:c r="D38" s="7" t="s">
        <x:v>1287</x:v>
      </x:c>
      <x:c r="E38" s="7">
        <x:v>12</x:v>
      </x:c>
      <x:c r="F38" s="7" t="s">
        <x:v>914</x:v>
      </x:c>
      <x:c r="G38" s="7" t="s">
        <x:v>1897</x:v>
      </x:c>
      <x:c r="H38" s="7" t="s">
        <x:v>915</x:v>
      </x:c>
      <x:c r="I38" s="7" t="s">
        <x:v>1287</x:v>
      </x:c>
      <x:c r="J38" s="12" t="s">
        <x:v>328</x:v>
      </x:c>
      <x:c r="K38" s="2"/>
      <x:c r="L38" s="2" t="s">
        <x:v>1898</x:v>
      </x:c>
    </x:row>
    <x:row r="39" ht="45">
      <x:c r="A39" s="11">
        <x:v>27</x:v>
      </x:c>
      <x:c r="B39" s="7" t="s">
        <x:v>1894</x:v>
      </x:c>
      <x:c r="C39" s="7" t="s">
        <x:v>909</x:v>
      </x:c>
      <x:c r="D39" s="7" t="s">
        <x:v>911</x:v>
      </x:c>
      <x:c r="E39" s="7">
        <x:v>12</x:v>
      </x:c>
      <x:c r="F39" s="7" t="s">
        <x:v>914</x:v>
      </x:c>
      <x:c r="G39" s="7" t="s">
        <x:v>916</x:v>
      </x:c>
      <x:c r="H39" s="7" t="s">
        <x:v>915</x:v>
      </x:c>
      <x:c r="I39" s="7" t="s">
        <x:v>911</x:v>
      </x:c>
      <x:c r="J39" s="12" t="s">
        <x:v>328</x:v>
      </x:c>
      <x:c r="K39" s="2"/>
      <x:c r="L39" s="2" t="s">
        <x:v>916</x:v>
      </x:c>
    </x:row>
    <x:row r="40" ht="135">
      <x:c r="A40" s="11">
        <x:v>28</x:v>
      </x:c>
      <x:c r="B40" s="7" t="s">
        <x:v>1894</x:v>
      </x:c>
      <x:c r="C40" s="7" t="s">
        <x:v>918</x:v>
      </x:c>
      <x:c r="D40" s="7" t="s">
        <x:v>919</x:v>
      </x:c>
      <x:c r="E40" s="7">
        <x:v>12</x:v>
      </x:c>
      <x:c r="F40" s="7" t="s">
        <x:v>914</x:v>
      </x:c>
      <x:c r="G40" s="7" t="s">
        <x:v>1899</x:v>
      </x:c>
      <x:c r="H40" s="7" t="s">
        <x:v>915</x:v>
      </x:c>
      <x:c r="I40" s="7" t="s">
        <x:v>919</x:v>
      </x:c>
      <x:c r="J40" s="12" t="s">
        <x:v>328</x:v>
      </x:c>
      <x:c r="K40" s="2"/>
      <x:c r="L40" s="2" t="s">
        <x:v>1900</x:v>
      </x:c>
    </x:row>
    <x:row r="41" ht="45">
      <x:c r="A41" s="11">
        <x:v>29</x:v>
      </x:c>
      <x:c r="B41" s="7" t="s">
        <x:v>1894</x:v>
      </x:c>
      <x:c r="C41" s="7" t="s">
        <x:v>936</x:v>
      </x:c>
      <x:c r="D41" s="7" t="s">
        <x:v>937</x:v>
      </x:c>
      <x:c r="E41" s="7">
        <x:v>10</x:v>
      </x:c>
      <x:c r="F41" s="7" t="s">
        <x:v>914</x:v>
      </x:c>
      <x:c r="G41" s="7" t="s">
        <x:v>940</x:v>
      </x:c>
      <x:c r="H41" s="7" t="s">
        <x:v>915</x:v>
      </x:c>
      <x:c r="I41" s="7" t="s">
        <x:v>937</x:v>
      </x:c>
      <x:c r="J41" s="12" t="s">
        <x:v>328</x:v>
      </x:c>
      <x:c r="K41" s="2"/>
      <x:c r="L41" s="2" t="s">
        <x:v>940</x:v>
      </x:c>
    </x:row>
    <x:row r="42" ht="90">
      <x:c r="A42" s="11">
        <x:v>30</x:v>
      </x:c>
      <x:c r="B42" s="7" t="s">
        <x:v>1894</x:v>
      </x:c>
      <x:c r="C42" s="7" t="s">
        <x:v>1305</x:v>
      </x:c>
      <x:c r="D42" s="7" t="s">
        <x:v>1306</x:v>
      </x:c>
      <x:c r="E42" s="7">
        <x:v>10</x:v>
      </x:c>
      <x:c r="F42" s="7" t="s">
        <x:v>914</x:v>
      </x:c>
      <x:c r="G42" s="7" t="s">
        <x:v>1901</x:v>
      </x:c>
      <x:c r="H42" s="7" t="s">
        <x:v>915</x:v>
      </x:c>
      <x:c r="I42" s="7" t="s">
        <x:v>1306</x:v>
      </x:c>
      <x:c r="J42" s="12" t="s">
        <x:v>328</x:v>
      </x:c>
      <x:c r="K42" s="2"/>
      <x:c r="L42" s="2" t="s">
        <x:v>1902</x:v>
      </x:c>
    </x:row>
    <x:row r="43" ht="180">
      <x:c r="A43" s="11">
        <x:v>31</x:v>
      </x:c>
      <x:c r="B43" s="7" t="s">
        <x:v>1894</x:v>
      </x:c>
      <x:c r="C43" s="7" t="s">
        <x:v>1295</x:v>
      </x:c>
      <x:c r="D43" s="7" t="s">
        <x:v>1296</x:v>
      </x:c>
      <x:c r="E43" s="7">
        <x:v>12</x:v>
      </x:c>
      <x:c r="F43" s="7" t="s">
        <x:v>1300</x:v>
      </x:c>
      <x:c r="G43" s="7" t="s">
        <x:v>1903</x:v>
      </x:c>
      <x:c r="H43" s="7" t="s">
        <x:v>1301</x:v>
      </x:c>
      <x:c r="I43" s="7" t="s">
        <x:v>1296</x:v>
      </x:c>
      <x:c r="J43" s="12" t="s">
        <x:v>328</x:v>
      </x:c>
      <x:c r="K43" s="2"/>
      <x:c r="L43" s="2" t="s">
        <x:v>1904</x:v>
      </x:c>
    </x:row>
    <x:row r="44" ht="165">
      <x:c r="A44" s="11">
        <x:v>32</x:v>
      </x:c>
      <x:c r="B44" s="7" t="s">
        <x:v>1905</x:v>
      </x:c>
      <x:c r="C44" s="7" t="s">
        <x:v>964</x:v>
      </x:c>
      <x:c r="D44" s="7" t="s">
        <x:v>966</x:v>
      </x:c>
      <x:c r="E44" s="7">
        <x:v>12</x:v>
      </x:c>
      <x:c r="F44" s="7" t="s">
        <x:v>958</x:v>
      </x:c>
      <x:c r="G44" s="7" t="s">
        <x:v>970</x:v>
      </x:c>
      <x:c r="H44" s="7" t="s">
        <x:v>968</x:v>
      </x:c>
      <x:c r="I44" s="7" t="s">
        <x:v>966</x:v>
      </x:c>
      <x:c r="J44" s="12" t="s">
        <x:v>328</x:v>
      </x:c>
      <x:c r="K44" s="2"/>
      <x:c r="L44" s="2" t="s">
        <x:v>1906</x:v>
      </x:c>
    </x:row>
    <x:row r="45" ht="45">
      <x:c r="A45" s="11">
        <x:v>33</x:v>
      </x:c>
      <x:c r="B45" s="7" t="s">
        <x:v>1905</x:v>
      </x:c>
      <x:c r="C45" s="7" t="s">
        <x:v>971</x:v>
      </x:c>
      <x:c r="D45" s="7" t="s">
        <x:v>972</x:v>
      </x:c>
      <x:c r="E45" s="7">
        <x:v>12</x:v>
      </x:c>
      <x:c r="F45" s="7" t="s">
        <x:v>958</x:v>
      </x:c>
      <x:c r="G45" s="7" t="s">
        <x:v>975</x:v>
      </x:c>
      <x:c r="H45" s="7" t="s">
        <x:v>968</x:v>
      </x:c>
      <x:c r="I45" s="7" t="s">
        <x:v>972</x:v>
      </x:c>
      <x:c r="J45" s="12" t="s">
        <x:v>328</x:v>
      </x:c>
      <x:c r="K45" s="2"/>
      <x:c r="L45" s="2" t="s">
        <x:v>975</x:v>
      </x:c>
    </x:row>
    <x:row r="46" ht="45">
      <x:c r="A46" s="11">
        <x:v>34</x:v>
      </x:c>
      <x:c r="B46" s="7" t="s">
        <x:v>1905</x:v>
      </x:c>
      <x:c r="C46" s="7" t="s">
        <x:v>976</x:v>
      </x:c>
      <x:c r="D46" s="7" t="s">
        <x:v>977</x:v>
      </x:c>
      <x:c r="E46" s="7">
        <x:v>12</x:v>
      </x:c>
      <x:c r="F46" s="7" t="s">
        <x:v>980</x:v>
      </x:c>
      <x:c r="G46" s="7" t="s">
        <x:v>982</x:v>
      </x:c>
      <x:c r="H46" s="7" t="s">
        <x:v>981</x:v>
      </x:c>
      <x:c r="I46" s="7" t="s">
        <x:v>977</x:v>
      </x:c>
      <x:c r="J46" s="12" t="s">
        <x:v>328</x:v>
      </x:c>
      <x:c r="K46" s="2"/>
      <x:c r="L46" s="2" t="s">
        <x:v>982</x:v>
      </x:c>
    </x:row>
    <x:row r="47" ht="45">
      <x:c r="A47" s="11">
        <x:v>35</x:v>
      </x:c>
      <x:c r="B47" s="7" t="s">
        <x:v>1905</x:v>
      </x:c>
      <x:c r="C47" s="7" t="s">
        <x:v>984</x:v>
      </x:c>
      <x:c r="D47" s="7" t="s">
        <x:v>985</x:v>
      </x:c>
      <x:c r="E47" s="7">
        <x:v>8</x:v>
      </x:c>
      <x:c r="F47" s="7" t="s">
        <x:v>958</x:v>
      </x:c>
      <x:c r="G47" s="7" t="s">
        <x:v>989</x:v>
      </x:c>
      <x:c r="H47" s="7" t="s">
        <x:v>968</x:v>
      </x:c>
      <x:c r="I47" s="7" t="s">
        <x:v>985</x:v>
      </x:c>
      <x:c r="J47" s="12" t="s">
        <x:v>328</x:v>
      </x:c>
      <x:c r="K47" s="2"/>
      <x:c r="L47" s="2" t="s">
        <x:v>989</x:v>
      </x:c>
    </x:row>
    <x:row r="48" ht="45">
      <x:c r="A48" s="11">
        <x:v>36</x:v>
      </x:c>
      <x:c r="B48" s="7" t="s">
        <x:v>1905</x:v>
      </x:c>
      <x:c r="C48" s="7" t="s">
        <x:v>990</x:v>
      </x:c>
      <x:c r="D48" s="7" t="s">
        <x:v>991</x:v>
      </x:c>
      <x:c r="E48" s="7">
        <x:v>8</x:v>
      </x:c>
      <x:c r="F48" s="7" t="s">
        <x:v>958</x:v>
      </x:c>
      <x:c r="G48" s="7" t="s">
        <x:v>994</x:v>
      </x:c>
      <x:c r="H48" s="7" t="s">
        <x:v>968</x:v>
      </x:c>
      <x:c r="I48" s="7" t="s">
        <x:v>991</x:v>
      </x:c>
      <x:c r="J48" s="12" t="s">
        <x:v>328</x:v>
      </x:c>
      <x:c r="K48" s="2"/>
      <x:c r="L48" s="2" t="s">
        <x:v>994</x:v>
      </x:c>
    </x:row>
    <x:row r="49" ht="45">
      <x:c r="A49" s="11">
        <x:v>37</x:v>
      </x:c>
      <x:c r="B49" s="7" t="s">
        <x:v>1905</x:v>
      </x:c>
      <x:c r="C49" s="7" t="s">
        <x:v>995</x:v>
      </x:c>
      <x:c r="D49" s="7" t="s">
        <x:v>996</x:v>
      </x:c>
      <x:c r="E49" s="7">
        <x:v>8</x:v>
      </x:c>
      <x:c r="F49" s="7" t="s">
        <x:v>958</x:v>
      </x:c>
      <x:c r="G49" s="7" t="s">
        <x:v>990</x:v>
      </x:c>
      <x:c r="H49" s="7" t="s">
        <x:v>968</x:v>
      </x:c>
      <x:c r="I49" s="7" t="s">
        <x:v>996</x:v>
      </x:c>
      <x:c r="J49" s="12" t="s">
        <x:v>328</x:v>
      </x:c>
      <x:c r="K49" s="2"/>
      <x:c r="L49" s="2" t="s">
        <x:v>990</x:v>
      </x:c>
    </x:row>
    <x:row r="50" ht="45">
      <x:c r="A50" s="11">
        <x:v>38</x:v>
      </x:c>
      <x:c r="B50" s="7" t="s">
        <x:v>1905</x:v>
      </x:c>
      <x:c r="C50" s="7" t="s">
        <x:v>1000</x:v>
      </x:c>
      <x:c r="D50" s="7" t="s">
        <x:v>1001</x:v>
      </x:c>
      <x:c r="E50" s="7">
        <x:v>8</x:v>
      </x:c>
      <x:c r="F50" s="7" t="s">
        <x:v>958</x:v>
      </x:c>
      <x:c r="G50" s="7" t="s">
        <x:v>995</x:v>
      </x:c>
      <x:c r="H50" s="7" t="s">
        <x:v>968</x:v>
      </x:c>
      <x:c r="I50" s="7" t="s">
        <x:v>1001</x:v>
      </x:c>
      <x:c r="J50" s="12" t="s">
        <x:v>328</x:v>
      </x:c>
      <x:c r="K50" s="2"/>
      <x:c r="L50" s="2" t="s">
        <x:v>995</x:v>
      </x:c>
    </x:row>
    <x:row r="51" ht="90">
      <x:c r="A51" s="11">
        <x:v>39</x:v>
      </x:c>
      <x:c r="B51" s="7" t="s">
        <x:v>1905</x:v>
      </x:c>
      <x:c r="C51" s="7" t="s">
        <x:v>1312</x:v>
      </x:c>
      <x:c r="D51" s="7" t="s">
        <x:v>1313</x:v>
      </x:c>
      <x:c r="E51" s="7">
        <x:v>12</x:v>
      </x:c>
      <x:c r="F51" s="7" t="s">
        <x:v>958</x:v>
      </x:c>
      <x:c r="G51" s="7" t="s">
        <x:v>1317</x:v>
      </x:c>
      <x:c r="H51" s="7" t="s">
        <x:v>968</x:v>
      </x:c>
      <x:c r="I51" s="7" t="s">
        <x:v>1313</x:v>
      </x:c>
      <x:c r="J51" s="12" t="s">
        <x:v>328</x:v>
      </x:c>
      <x:c r="K51" s="2"/>
      <x:c r="L51" s="2" t="s">
        <x:v>1907</x:v>
      </x:c>
    </x:row>
    <x:row r="52" ht="45">
      <x:c r="A52" s="11">
        <x:v>40</x:v>
      </x:c>
      <x:c r="B52" s="7" t="s">
        <x:v>1905</x:v>
      </x:c>
      <x:c r="C52" s="7" t="s">
        <x:v>1318</x:v>
      </x:c>
      <x:c r="D52" s="7" t="s">
        <x:v>1319</x:v>
      </x:c>
      <x:c r="E52" s="7">
        <x:v>12</x:v>
      </x:c>
      <x:c r="F52" s="7" t="s">
        <x:v>958</x:v>
      </x:c>
      <x:c r="G52" s="7" t="s">
        <x:v>1323</x:v>
      </x:c>
      <x:c r="H52" s="7" t="s">
        <x:v>968</x:v>
      </x:c>
      <x:c r="I52" s="7" t="s">
        <x:v>1319</x:v>
      </x:c>
      <x:c r="J52" s="12" t="s">
        <x:v>328</x:v>
      </x:c>
      <x:c r="K52" s="2"/>
      <x:c r="L52" s="2" t="s">
        <x:v>1323</x:v>
      </x:c>
    </x:row>
    <x:row r="53" ht="45">
      <x:c r="A53" s="11">
        <x:v>41</x:v>
      </x:c>
      <x:c r="B53" s="7" t="s">
        <x:v>1905</x:v>
      </x:c>
      <x:c r="C53" s="7" t="s">
        <x:v>1324</x:v>
      </x:c>
      <x:c r="D53" s="7" t="s">
        <x:v>1325</x:v>
      </x:c>
      <x:c r="E53" s="7">
        <x:v>12</x:v>
      </x:c>
      <x:c r="F53" s="7" t="s">
        <x:v>958</x:v>
      </x:c>
      <x:c r="G53" s="7" t="s">
        <x:v>1329</x:v>
      </x:c>
      <x:c r="H53" s="7" t="s">
        <x:v>968</x:v>
      </x:c>
      <x:c r="I53" s="7" t="s">
        <x:v>1325</x:v>
      </x:c>
      <x:c r="J53" s="12" t="s">
        <x:v>328</x:v>
      </x:c>
      <x:c r="K53" s="2"/>
      <x:c r="L53" s="2" t="s">
        <x:v>1329</x:v>
      </x:c>
    </x:row>
    <x:row r="54" ht="210">
      <x:c r="A54" s="11">
        <x:v>42</x:v>
      </x:c>
      <x:c r="B54" s="7" t="s">
        <x:v>1908</x:v>
      </x:c>
      <x:c r="C54" s="7" t="s">
        <x:v>1016</x:v>
      </x:c>
      <x:c r="D54" s="7" t="s">
        <x:v>1017</x:v>
      </x:c>
      <x:c r="E54" s="7">
        <x:v>12</x:v>
      </x:c>
      <x:c r="F54" s="7" t="s">
        <x:v>1009</x:v>
      </x:c>
      <x:c r="G54" s="7" t="s">
        <x:v>1909</x:v>
      </x:c>
      <x:c r="H54" s="7" t="s">
        <x:v>1010</x:v>
      </x:c>
      <x:c r="I54" s="7" t="s">
        <x:v>1017</x:v>
      </x:c>
      <x:c r="J54" s="12" t="s">
        <x:v>328</x:v>
      </x:c>
      <x:c r="K54" s="2"/>
      <x:c r="L54" s="2" t="s">
        <x:v>1910</x:v>
      </x:c>
    </x:row>
    <x:row r="55" ht="60">
      <x:c r="A55" s="11">
        <x:v>43</x:v>
      </x:c>
      <x:c r="B55" s="7" t="s">
        <x:v>1908</x:v>
      </x:c>
      <x:c r="C55" s="7" t="s">
        <x:v>1004</x:v>
      </x:c>
      <x:c r="D55" s="7" t="s">
        <x:v>1005</x:v>
      </x:c>
      <x:c r="E55" s="7">
        <x:v>10</x:v>
      </x:c>
      <x:c r="F55" s="7" t="s">
        <x:v>1009</x:v>
      </x:c>
      <x:c r="G55" s="7" t="s">
        <x:v>1909</x:v>
      </x:c>
      <x:c r="H55" s="7" t="s">
        <x:v>1010</x:v>
      </x:c>
      <x:c r="I55" s="7" t="s">
        <x:v>1005</x:v>
      </x:c>
      <x:c r="J55" s="12" t="s">
        <x:v>328</x:v>
      </x:c>
      <x:c r="K55" s="2"/>
      <x:c r="L55" s="2" t="s">
        <x:v>1911</x:v>
      </x:c>
    </x:row>
    <x:row r="56" ht="45">
      <x:c r="A56" s="11">
        <x:v>44</x:v>
      </x:c>
      <x:c r="B56" s="7" t="s">
        <x:v>1908</x:v>
      </x:c>
      <x:c r="C56" s="7" t="s">
        <x:v>954</x:v>
      </x:c>
      <x:c r="D56" s="7" t="s">
        <x:v>956</x:v>
      </x:c>
      <x:c r="E56" s="7">
        <x:v>12</x:v>
      </x:c>
      <x:c r="F56" s="7" t="s">
        <x:v>958</x:v>
      </x:c>
      <x:c r="G56" s="7" t="s">
        <x:v>960</x:v>
      </x:c>
      <x:c r="H56" s="7" t="s">
        <x:v>959</x:v>
      </x:c>
      <x:c r="I56" s="7" t="s">
        <x:v>956</x:v>
      </x:c>
      <x:c r="J56" s="12" t="s">
        <x:v>328</x:v>
      </x:c>
      <x:c r="K56" s="2"/>
      <x:c r="L56" s="2" t="s">
        <x:v>960</x:v>
      </x:c>
    </x:row>
    <x:row r="57" ht="45">
      <x:c r="A57" s="11">
        <x:v>45</x:v>
      </x:c>
      <x:c r="B57" s="7" t="s">
        <x:v>1908</x:v>
      </x:c>
      <x:c r="C57" s="7" t="s">
        <x:v>1339</x:v>
      </x:c>
      <x:c r="D57" s="7" t="s">
        <x:v>1340</x:v>
      </x:c>
      <x:c r="E57" s="7">
        <x:v>10</x:v>
      </x:c>
      <x:c r="F57" s="7" t="s">
        <x:v>1343</x:v>
      </x:c>
      <x:c r="G57" s="7" t="s">
        <x:v>1345</x:v>
      </x:c>
      <x:c r="H57" s="7" t="s">
        <x:v>1344</x:v>
      </x:c>
      <x:c r="I57" s="7" t="s">
        <x:v>1340</x:v>
      </x:c>
      <x:c r="J57" s="12" t="s">
        <x:v>328</x:v>
      </x:c>
      <x:c r="K57" s="2"/>
      <x:c r="L57" s="2" t="s">
        <x:v>1345</x:v>
      </x:c>
    </x:row>
    <x:row r="58" ht="45">
      <x:c r="A58" s="11">
        <x:v>46</x:v>
      </x:c>
      <x:c r="B58" s="7" t="s">
        <x:v>1908</x:v>
      </x:c>
      <x:c r="C58" s="7" t="s">
        <x:v>1330</x:v>
      </x:c>
      <x:c r="D58" s="7" t="s">
        <x:v>1331</x:v>
      </x:c>
      <x:c r="E58" s="7">
        <x:v>10</x:v>
      </x:c>
      <x:c r="F58" s="7" t="s">
        <x:v>1335</x:v>
      </x:c>
      <x:c r="G58" s="7" t="s">
        <x:v>1337</x:v>
      </x:c>
      <x:c r="H58" s="7" t="s">
        <x:v>1336</x:v>
      </x:c>
      <x:c r="I58" s="7" t="s">
        <x:v>1331</x:v>
      </x:c>
      <x:c r="J58" s="12" t="s">
        <x:v>328</x:v>
      </x:c>
      <x:c r="K58" s="2"/>
      <x:c r="L58" s="2" t="s">
        <x:v>1337</x:v>
      </x:c>
    </x:row>
    <x:row r="59" ht="90">
      <x:c r="A59" s="11">
        <x:v>47</x:v>
      </x:c>
      <x:c r="B59" s="7" t="s">
        <x:v>1912</x:v>
      </x:c>
      <x:c r="C59" s="7" t="s">
        <x:v>1106</x:v>
      </x:c>
      <x:c r="D59" s="7" t="s">
        <x:v>1107</x:v>
      </x:c>
      <x:c r="E59" s="7">
        <x:v>12</x:v>
      </x:c>
      <x:c r="F59" s="7" t="s">
        <x:v>1111</x:v>
      </x:c>
      <x:c r="G59" s="7" t="s">
        <x:v>1113</x:v>
      </x:c>
      <x:c r="H59" s="7" t="s">
        <x:v>1112</x:v>
      </x:c>
      <x:c r="I59" s="7" t="s">
        <x:v>1107</x:v>
      </x:c>
      <x:c r="J59" s="12" t="s">
        <x:v>328</x:v>
      </x:c>
      <x:c r="K59" s="2"/>
      <x:c r="L59" s="2" t="s">
        <x:v>1913</x:v>
      </x:c>
    </x:row>
    <x:row r="60" ht="30">
      <x:c r="A60" s="11">
        <x:v>48</x:v>
      </x:c>
      <x:c r="B60" s="7" t="s">
        <x:v>1912</x:v>
      </x:c>
      <x:c r="C60" s="7" t="s">
        <x:v>1117</x:v>
      </x:c>
      <x:c r="D60" s="7" t="s">
        <x:v>1118</x:v>
      </x:c>
      <x:c r="E60" s="7">
        <x:v>12</x:v>
      </x:c>
      <x:c r="F60" s="7" t="s">
        <x:v>1111</x:v>
      </x:c>
      <x:c r="G60" s="7" t="s">
        <x:v>1113</x:v>
      </x:c>
      <x:c r="H60" s="7" t="s">
        <x:v>1112</x:v>
      </x:c>
      <x:c r="I60" s="7" t="s">
        <x:v>1118</x:v>
      </x:c>
      <x:c r="J60" s="12" t="s">
        <x:v>328</x:v>
      </x:c>
      <x:c r="K60" s="2"/>
      <x:c r="L60" s="2" t="s">
        <x:v>1113</x:v>
      </x:c>
    </x:row>
    <x:row r="61" ht="75">
      <x:c r="A61" s="11">
        <x:v>49</x:v>
      </x:c>
      <x:c r="B61" s="7" t="s">
        <x:v>1912</x:v>
      </x:c>
      <x:c r="C61" s="7" t="s">
        <x:v>1088</x:v>
      </x:c>
      <x:c r="D61" s="7" t="s">
        <x:v>1089</x:v>
      </x:c>
      <x:c r="E61" s="7">
        <x:v>12</x:v>
      </x:c>
      <x:c r="F61" s="7" t="s">
        <x:v>1092</x:v>
      </x:c>
      <x:c r="G61" s="7" t="s">
        <x:v>1094</x:v>
      </x:c>
      <x:c r="H61" s="7" t="s">
        <x:v>1093</x:v>
      </x:c>
      <x:c r="I61" s="7" t="s">
        <x:v>1089</x:v>
      </x:c>
      <x:c r="J61" s="12" t="s">
        <x:v>328</x:v>
      </x:c>
      <x:c r="K61" s="2"/>
      <x:c r="L61" s="2" t="s">
        <x:v>1914</x:v>
      </x:c>
    </x:row>
    <x:row r="62" ht="135">
      <x:c r="A62" s="13">
        <x:v>50</x:v>
      </x:c>
      <x:c r="B62" s="14" t="s">
        <x:v>1912</x:v>
      </x:c>
      <x:c r="C62" s="14" t="s">
        <x:v>1121</x:v>
      </x:c>
      <x:c r="D62" s="14" t="s">
        <x:v>1123</x:v>
      </x:c>
      <x:c r="E62" s="14">
        <x:v>12</x:v>
      </x:c>
      <x:c r="F62" s="14" t="s">
        <x:v>1092</x:v>
      </x:c>
      <x:c r="G62" s="14" t="s">
        <x:v>1094</x:v>
      </x:c>
      <x:c r="H62" s="14" t="s">
        <x:v>1093</x:v>
      </x:c>
      <x:c r="I62" s="14" t="s">
        <x:v>1123</x:v>
      </x:c>
      <x:c r="J62" s="15" t="s">
        <x:v>328</x:v>
      </x:c>
      <x:c r="K62" s="2"/>
      <x:c r="L62" s="2" t="s">
        <x:v>1915</x:v>
      </x:c>
    </x:row>
    <x:row r="63" ht="45">
      <x:c r="A63" s="2" t="s">
        <x:v>1916</x:v>
      </x:c>
      <x:c r="B63" s="2" t="s">
        <x:v>1917</x:v>
      </x:c>
      <x:c r="C63" s="2" t="s">
        <x:v>1357</x:v>
      </x:c>
      <x:c r="D63" s="2" t="s">
        <x:v>1358</x:v>
      </x:c>
      <x:c r="E63" s="2">
        <x:v>10</x:v>
      </x:c>
      <x:c r="F63" s="2" t="s">
        <x:v>1362</x:v>
      </x:c>
      <x:c r="G63" s="2" t="s">
        <x:v>1364</x:v>
      </x:c>
      <x:c r="H63" s="2" t="s">
        <x:v>1363</x:v>
      </x:c>
      <x:c r="I63" s="2" t="s">
        <x:v>1918</x:v>
      </x:c>
      <x:c r="J63" s="2" t="s">
        <x:v>328</x:v>
      </x:c>
      <x:c r="K63" s="2"/>
      <x:c r="L63" s="2" t="s">
        <x:v>1919</x:v>
      </x:c>
    </x:row>
  </x:sheetData>
  <x:mergeCells>
    <x:mergeCell ref="D7:J7"/>
    <x:mergeCell ref="D8:J8"/>
    <x:mergeCell ref="D9:J9"/>
    <x:mergeCell ref="A1:J1"/>
    <x:mergeCell ref="A2:J2"/>
    <x:mergeCell ref="D4:J4"/>
    <x:mergeCell ref="D5:J5"/>
    <x:mergeCell ref="D6:J6"/>
  </x:mergeCells>
  <x:conditionalFormatting sqref="F13:F62">
    <x:cfRule type="expression" dxfId="20" priority="1">
      <x:formula>F13="W3 SAFE NOW"</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34" customWidth="1"/>
    <x:col min="2" max="2" width="28" customWidth="1"/>
    <x:col min="3" max="3" width="24" customWidth="1"/>
    <x:col min="4" max="4" width="26" customWidth="1"/>
    <x:col min="5" max="5" width="28" customWidth="1"/>
    <x:col min="6" max="6" width="26" customWidth="1"/>
    <x:col min="7" max="7" width="14" customWidth="1"/>
    <x:col min="8" max="8" width="52" customWidth="1"/>
  </x:cols>
  <x:sheetData>
    <x:row r="1" ht="18.75">
      <x:c r="A1" s="126" t="str">
        <x:v>AI/ML Architecture Coverage — original v2.10 coverage retained; v2.11 additions are governed by Master Design v4.7 / Layer-B Rev8 / Concept Rulings v2.11</x:v>
      </x:c>
      <x:c r="B1" s="126"/>
      <x:c r="C1" s="126"/>
      <x:c r="D1" s="126"/>
      <x:c r="E1" s="126"/>
      <x:c r="F1" s="126"/>
      <x:c r="G1" s="126"/>
      <x:c r="H1" s="126"/>
    </x:row>
    <x:row r="3">
      <x:c r="A3" s="41" t="s">
        <x:v>1920</x:v>
      </x:c>
      <x:c r="B3" s="42" t="s">
        <x:v>1921</x:v>
      </x:c>
      <x:c r="C3" s="42" t="s">
        <x:v>1922</x:v>
      </x:c>
      <x:c r="D3" s="42" t="s">
        <x:v>1923</x:v>
      </x:c>
      <x:c r="E3" s="42" t="s">
        <x:v>1924</x:v>
      </x:c>
      <x:c r="F3" s="42" t="s">
        <x:v>1925</x:v>
      </x:c>
      <x:c r="G3" s="42" t="s">
        <x:v>1926</x:v>
      </x:c>
      <x:c r="H3" s="43" t="s">
        <x:v>1927</x:v>
      </x:c>
    </x:row>
    <x:row r="4" ht="60">
      <x:c r="A4" s="11" t="s">
        <x:v>1928</x:v>
      </x:c>
      <x:c r="B4" s="7" t="s">
        <x:v>1259</x:v>
      </x:c>
      <x:c r="C4" s="7" t="s">
        <x:v>1929</x:v>
      </x:c>
      <x:c r="D4" s="7" t="s">
        <x:v>1930</x:v>
      </x:c>
      <x:c r="E4" s="7" t="s">
        <x:v>1931</x:v>
      </x:c>
      <x:c r="F4" s="7" t="s">
        <x:v>1932</x:v>
      </x:c>
      <x:c r="G4" s="7" t="s">
        <x:v>1933</x:v>
      </x:c>
      <x:c r="H4" s="12" t="s">
        <x:v>1934</x:v>
      </x:c>
    </x:row>
    <x:row r="5" ht="45">
      <x:c r="A5" s="11" t="s">
        <x:v>1935</x:v>
      </x:c>
      <x:c r="B5" s="7" t="s">
        <x:v>1936</x:v>
      </x:c>
      <x:c r="C5" s="7" t="s">
        <x:v>1937</x:v>
      </x:c>
      <x:c r="D5" s="7" t="s">
        <x:v>1938</x:v>
      </x:c>
      <x:c r="E5" s="7" t="s">
        <x:v>1939</x:v>
      </x:c>
      <x:c r="F5" s="7" t="s">
        <x:v>1940</x:v>
      </x:c>
      <x:c r="G5" s="7" t="s">
        <x:v>1933</x:v>
      </x:c>
      <x:c r="H5" s="12" t="s">
        <x:v>1941</x:v>
      </x:c>
    </x:row>
    <x:row r="6" ht="45">
      <x:c r="A6" s="11" t="s">
        <x:v>1942</x:v>
      </x:c>
      <x:c r="B6" s="7" t="s">
        <x:v>1943</x:v>
      </x:c>
      <x:c r="C6" s="7" t="s">
        <x:v>1937</x:v>
      </x:c>
      <x:c r="D6" s="7" t="s">
        <x:v>1944</x:v>
      </x:c>
      <x:c r="E6" s="7" t="s">
        <x:v>1939</x:v>
      </x:c>
      <x:c r="F6" s="7" t="s">
        <x:v>1945</x:v>
      </x:c>
      <x:c r="G6" s="7" t="s">
        <x:v>1933</x:v>
      </x:c>
      <x:c r="H6" s="12" t="s">
        <x:v>1946</x:v>
      </x:c>
    </x:row>
    <x:row r="7" ht="30">
      <x:c r="A7" s="11" t="s">
        <x:v>1947</x:v>
      </x:c>
      <x:c r="B7" s="7" t="s">
        <x:v>1948</x:v>
      </x:c>
      <x:c r="C7" s="7" t="s">
        <x:v>1949</x:v>
      </x:c>
      <x:c r="D7" s="7" t="s">
        <x:v>1950</x:v>
      </x:c>
      <x:c r="E7" s="7" t="s">
        <x:v>1951</x:v>
      </x:c>
      <x:c r="F7" s="7" t="s">
        <x:v>1952</x:v>
      </x:c>
      <x:c r="G7" s="7" t="s">
        <x:v>1933</x:v>
      </x:c>
      <x:c r="H7" s="12" t="s">
        <x:v>1953</x:v>
      </x:c>
    </x:row>
    <x:row r="8" ht="45">
      <x:c r="A8" s="11" t="s">
        <x:v>1954</x:v>
      </x:c>
      <x:c r="B8" s="7" t="s">
        <x:v>1955</x:v>
      </x:c>
      <x:c r="C8" s="7" t="s">
        <x:v>1956</x:v>
      </x:c>
      <x:c r="D8" s="7" t="s">
        <x:v>1957</x:v>
      </x:c>
      <x:c r="E8" s="7" t="s">
        <x:v>1958</x:v>
      </x:c>
      <x:c r="F8" s="7" t="s">
        <x:v>1959</x:v>
      </x:c>
      <x:c r="G8" s="7" t="s">
        <x:v>1933</x:v>
      </x:c>
      <x:c r="H8" s="12" t="s">
        <x:v>1960</x:v>
      </x:c>
    </x:row>
    <x:row r="9">
      <x:c r="A9" s="11" t="s">
        <x:v>1961</x:v>
      </x:c>
      <x:c r="B9" s="7" t="s">
        <x:v>1962</x:v>
      </x:c>
      <x:c r="C9" s="7" t="s">
        <x:v>1963</x:v>
      </x:c>
      <x:c r="D9" s="7" t="s">
        <x:v>1964</x:v>
      </x:c>
      <x:c r="E9" s="7" t="s">
        <x:v>1958</x:v>
      </x:c>
      <x:c r="F9" s="7" t="s">
        <x:v>1965</x:v>
      </x:c>
      <x:c r="G9" s="7" t="s">
        <x:v>1933</x:v>
      </x:c>
      <x:c r="H9" s="12" t="s">
        <x:v>1966</x:v>
      </x:c>
    </x:row>
    <x:row r="10">
      <x:c r="A10" s="11" t="s">
        <x:v>1967</x:v>
      </x:c>
      <x:c r="B10" s="7" t="s">
        <x:v>1968</x:v>
      </x:c>
      <x:c r="C10" s="7" t="s">
        <x:v>1963</x:v>
      </x:c>
      <x:c r="D10" s="7" t="s">
        <x:v>1964</x:v>
      </x:c>
      <x:c r="E10" s="7" t="s">
        <x:v>1958</x:v>
      </x:c>
      <x:c r="F10" s="7" t="s">
        <x:v>1969</x:v>
      </x:c>
      <x:c r="G10" s="7" t="s">
        <x:v>1933</x:v>
      </x:c>
      <x:c r="H10" s="12" t="s">
        <x:v>1970</x:v>
      </x:c>
    </x:row>
    <x:row r="11">
      <x:c r="A11" s="11" t="s">
        <x:v>1202</x:v>
      </x:c>
      <x:c r="B11" s="7" t="s">
        <x:v>1971</x:v>
      </x:c>
      <x:c r="C11" s="7" t="s">
        <x:v>1963</x:v>
      </x:c>
      <x:c r="D11" s="7" t="s">
        <x:v>1964</x:v>
      </x:c>
      <x:c r="E11" s="7" t="s">
        <x:v>1958</x:v>
      </x:c>
      <x:c r="F11" s="7" t="s">
        <x:v>1972</x:v>
      </x:c>
      <x:c r="G11" s="7" t="s">
        <x:v>1933</x:v>
      </x:c>
      <x:c r="H11" s="12" t="s">
        <x:v>1973</x:v>
      </x:c>
    </x:row>
    <x:row r="12">
      <x:c r="A12" s="11" t="s">
        <x:v>1974</x:v>
      </x:c>
      <x:c r="B12" s="7" t="s">
        <x:v>1975</x:v>
      </x:c>
      <x:c r="C12" s="7" t="s">
        <x:v>1963</x:v>
      </x:c>
      <x:c r="D12" s="7" t="s">
        <x:v>1964</x:v>
      </x:c>
      <x:c r="E12" s="7" t="s">
        <x:v>1958</x:v>
      </x:c>
      <x:c r="F12" s="7" t="s">
        <x:v>1976</x:v>
      </x:c>
      <x:c r="G12" s="7" t="s">
        <x:v>1933</x:v>
      </x:c>
      <x:c r="H12" s="12" t="s">
        <x:v>1977</x:v>
      </x:c>
    </x:row>
    <x:row r="13" ht="30">
      <x:c r="A13" s="11" t="s">
        <x:v>1978</x:v>
      </x:c>
      <x:c r="B13" s="7" t="s">
        <x:v>1979</x:v>
      </x:c>
      <x:c r="C13" s="7" t="s">
        <x:v>1980</x:v>
      </x:c>
      <x:c r="D13" s="7" t="s">
        <x:v>1981</x:v>
      </x:c>
      <x:c r="E13" s="7" t="s">
        <x:v>1982</x:v>
      </x:c>
      <x:c r="F13" s="7" t="s">
        <x:v>1983</x:v>
      </x:c>
      <x:c r="G13" s="7" t="s">
        <x:v>1933</x:v>
      </x:c>
      <x:c r="H13" s="12" t="s">
        <x:v>1984</x:v>
      </x:c>
    </x:row>
    <x:row r="14" ht="30">
      <x:c r="A14" s="11" t="s">
        <x:v>1985</x:v>
      </x:c>
      <x:c r="B14" s="7" t="s">
        <x:v>1986</x:v>
      </x:c>
      <x:c r="C14" s="7" t="s">
        <x:v>1980</x:v>
      </x:c>
      <x:c r="D14" s="7" t="s">
        <x:v>1987</x:v>
      </x:c>
      <x:c r="E14" s="7" t="s">
        <x:v>1988</x:v>
      </x:c>
      <x:c r="F14" s="7" t="s">
        <x:v>1989</x:v>
      </x:c>
      <x:c r="G14" s="7" t="s">
        <x:v>1933</x:v>
      </x:c>
      <x:c r="H14" s="12" t="s">
        <x:v>1990</x:v>
      </x:c>
    </x:row>
    <x:row r="15" ht="30">
      <x:c r="A15" s="11" t="s">
        <x:v>1991</x:v>
      </x:c>
      <x:c r="B15" s="7" t="s">
        <x:v>1329</x:v>
      </x:c>
      <x:c r="C15" s="7" t="s">
        <x:v>1980</x:v>
      </x:c>
      <x:c r="D15" s="7" t="s">
        <x:v>1987</x:v>
      </x:c>
      <x:c r="E15" s="7" t="s">
        <x:v>1992</x:v>
      </x:c>
      <x:c r="F15" s="7" t="s">
        <x:v>1993</x:v>
      </x:c>
      <x:c r="G15" s="7" t="s">
        <x:v>1933</x:v>
      </x:c>
      <x:c r="H15" s="12" t="s">
        <x:v>1994</x:v>
      </x:c>
    </x:row>
    <x:row r="16">
      <x:c r="A16" s="11" t="s">
        <x:v>1995</x:v>
      </x:c>
      <x:c r="B16" s="7" t="s">
        <x:v>1996</x:v>
      </x:c>
      <x:c r="C16" s="7" t="s">
        <x:v>1997</x:v>
      </x:c>
      <x:c r="D16" s="7" t="s">
        <x:v>1998</x:v>
      </x:c>
      <x:c r="E16" s="7" t="s">
        <x:v>1999</x:v>
      </x:c>
      <x:c r="F16" s="7" t="s">
        <x:v>2000</x:v>
      </x:c>
      <x:c r="G16" s="7" t="s">
        <x:v>1933</x:v>
      </x:c>
      <x:c r="H16" s="12" t="s">
        <x:v>2001</x:v>
      </x:c>
    </x:row>
    <x:row r="17" ht="30">
      <x:c r="A17" s="11" t="s">
        <x:v>2002</x:v>
      </x:c>
      <x:c r="B17" s="7" t="s">
        <x:v>2003</x:v>
      </x:c>
      <x:c r="C17" s="7" t="s">
        <x:v>2004</x:v>
      </x:c>
      <x:c r="D17" s="7" t="s">
        <x:v>2005</x:v>
      </x:c>
      <x:c r="E17" s="7" t="s">
        <x:v>2006</x:v>
      </x:c>
      <x:c r="F17" s="7" t="s">
        <x:v>2007</x:v>
      </x:c>
      <x:c r="G17" s="7" t="s">
        <x:v>1933</x:v>
      </x:c>
      <x:c r="H17" s="12" t="s">
        <x:v>2008</x:v>
      </x:c>
    </x:row>
    <x:row r="18" ht="30">
      <x:c r="A18" s="11" t="s">
        <x:v>2009</x:v>
      </x:c>
      <x:c r="B18" s="7" t="s">
        <x:v>2010</x:v>
      </x:c>
      <x:c r="C18" s="7" t="s">
        <x:v>2011</x:v>
      </x:c>
      <x:c r="D18" s="7" t="s">
        <x:v>2012</x:v>
      </x:c>
      <x:c r="E18" s="7" t="s">
        <x:v>2013</x:v>
      </x:c>
      <x:c r="F18" s="7" t="s">
        <x:v>2014</x:v>
      </x:c>
      <x:c r="G18" s="7" t="s">
        <x:v>1933</x:v>
      </x:c>
      <x:c r="H18" s="12" t="s">
        <x:v>2015</x:v>
      </x:c>
    </x:row>
    <x:row r="19" ht="30">
      <x:c r="A19" s="11" t="s">
        <x:v>2016</x:v>
      </x:c>
      <x:c r="B19" s="7" t="s">
        <x:v>1324</x:v>
      </x:c>
      <x:c r="C19" s="7" t="s">
        <x:v>1963</x:v>
      </x:c>
      <x:c r="D19" s="7" t="s">
        <x:v>2005</x:v>
      </x:c>
      <x:c r="E19" s="7" t="s">
        <x:v>2017</x:v>
      </x:c>
      <x:c r="F19" s="7" t="s">
        <x:v>2018</x:v>
      </x:c>
      <x:c r="G19" s="7" t="s">
        <x:v>1933</x:v>
      </x:c>
      <x:c r="H19" s="12" t="s">
        <x:v>2019</x:v>
      </x:c>
    </x:row>
    <x:row r="20">
      <x:c r="A20" s="11" t="s">
        <x:v>2020</x:v>
      </x:c>
      <x:c r="B20" s="7" t="s">
        <x:v>2021</x:v>
      </x:c>
      <x:c r="C20" s="7" t="s">
        <x:v>2022</x:v>
      </x:c>
      <x:c r="D20" s="7" t="s">
        <x:v>2023</x:v>
      </x:c>
      <x:c r="E20" s="7" t="s">
        <x:v>2024</x:v>
      </x:c>
      <x:c r="F20" s="7" t="s">
        <x:v>2025</x:v>
      </x:c>
      <x:c r="G20" s="7" t="s">
        <x:v>1933</x:v>
      </x:c>
      <x:c r="H20" s="12" t="s">
        <x:v>2026</x:v>
      </x:c>
    </x:row>
    <x:row r="21">
      <x:c r="A21" s="11" t="s">
        <x:v>2027</x:v>
      </x:c>
      <x:c r="B21" s="7" t="s">
        <x:v>2028</x:v>
      </x:c>
      <x:c r="C21" s="7" t="s">
        <x:v>2022</x:v>
      </x:c>
      <x:c r="D21" s="7" t="s">
        <x:v>1964</x:v>
      </x:c>
      <x:c r="E21" s="7" t="s">
        <x:v>2029</x:v>
      </x:c>
      <x:c r="F21" s="7" t="s">
        <x:v>2030</x:v>
      </x:c>
      <x:c r="G21" s="7" t="s">
        <x:v>1933</x:v>
      </x:c>
      <x:c r="H21" s="12" t="s">
        <x:v>2031</x:v>
      </x:c>
    </x:row>
    <x:row r="22">
      <x:c r="A22" s="11" t="s">
        <x:v>2032</x:v>
      </x:c>
      <x:c r="B22" s="7" t="s">
        <x:v>2033</x:v>
      </x:c>
      <x:c r="C22" s="7" t="s">
        <x:v>2034</x:v>
      </x:c>
      <x:c r="D22" s="7" t="s">
        <x:v>1964</x:v>
      </x:c>
      <x:c r="E22" s="7" t="s">
        <x:v>2035</x:v>
      </x:c>
      <x:c r="F22" s="7" t="s">
        <x:v>2036</x:v>
      </x:c>
      <x:c r="G22" s="7" t="s">
        <x:v>1933</x:v>
      </x:c>
      <x:c r="H22" s="12" t="s">
        <x:v>2037</x:v>
      </x:c>
    </x:row>
    <x:row r="23">
      <x:c r="A23" s="11" t="s">
        <x:v>2038</x:v>
      </x:c>
      <x:c r="B23" s="7" t="s">
        <x:v>2039</x:v>
      </x:c>
      <x:c r="C23" s="7" t="s">
        <x:v>1963</x:v>
      </x:c>
      <x:c r="D23" s="7" t="s">
        <x:v>1964</x:v>
      </x:c>
      <x:c r="E23" s="7" t="s">
        <x:v>2024</x:v>
      </x:c>
      <x:c r="F23" s="7" t="s">
        <x:v>2040</x:v>
      </x:c>
      <x:c r="G23" s="7" t="s">
        <x:v>1933</x:v>
      </x:c>
      <x:c r="H23" s="12" t="s">
        <x:v>2041</x:v>
      </x:c>
    </x:row>
    <x:row r="24">
      <x:c r="A24" s="11" t="s">
        <x:v>2042</x:v>
      </x:c>
      <x:c r="B24" s="7" t="s">
        <x:v>2043</x:v>
      </x:c>
      <x:c r="C24" s="7" t="s">
        <x:v>2044</x:v>
      </x:c>
      <x:c r="D24" s="7" t="s">
        <x:v>2045</x:v>
      </x:c>
      <x:c r="E24" s="7" t="s">
        <x:v>1992</x:v>
      </x:c>
      <x:c r="F24" s="7" t="s">
        <x:v>2046</x:v>
      </x:c>
      <x:c r="G24" s="7" t="s">
        <x:v>1933</x:v>
      </x:c>
      <x:c r="H24" s="12" t="s">
        <x:v>2047</x:v>
      </x:c>
    </x:row>
    <x:row r="25" ht="30">
      <x:c r="A25" s="11" t="s">
        <x:v>2048</x:v>
      </x:c>
      <x:c r="B25" s="7" t="s">
        <x:v>2049</x:v>
      </x:c>
      <x:c r="C25" s="7" t="s">
        <x:v>2050</x:v>
      </x:c>
      <x:c r="D25" s="7" t="s">
        <x:v>2051</x:v>
      </x:c>
      <x:c r="E25" s="7" t="s">
        <x:v>1992</x:v>
      </x:c>
      <x:c r="F25" s="7" t="s">
        <x:v>2052</x:v>
      </x:c>
      <x:c r="G25" s="7" t="s">
        <x:v>1933</x:v>
      </x:c>
      <x:c r="H25" s="12" t="s">
        <x:v>2053</x:v>
      </x:c>
    </x:row>
    <x:row r="26" ht="30">
      <x:c r="A26" s="13" t="s">
        <x:v>2054</x:v>
      </x:c>
      <x:c r="B26" s="14" t="s">
        <x:v>1339</x:v>
      </x:c>
      <x:c r="C26" s="14" t="s">
        <x:v>1963</x:v>
      </x:c>
      <x:c r="D26" s="14" t="s">
        <x:v>2005</x:v>
      </x:c>
      <x:c r="E26" s="14" t="s">
        <x:v>1992</x:v>
      </x:c>
      <x:c r="F26" s="14" t="s">
        <x:v>2055</x:v>
      </x:c>
      <x:c r="G26" s="14" t="s">
        <x:v>1933</x:v>
      </x:c>
      <x:c r="H26" s="15" t="s">
        <x:v>2056</x:v>
      </x:c>
    </x:row>
    <x:row r="27">
      <x:c r="A27" t="s">
        <x:v>2057</x:v>
      </x:c>
      <x:c r="B27" t="s">
        <x:v>2058</x:v>
      </x:c>
      <x:c r="C27" t="s">
        <x:v>2059</x:v>
      </x:c>
      <x:c r="D27" t="s">
        <x:v>2060</x:v>
      </x:c>
      <x:c r="E27" t="s">
        <x:v>2061</x:v>
      </x:c>
      <x:c r="F27" t="s">
        <x:v>2062</x:v>
      </x:c>
      <x:c r="G27" t="s">
        <x:v>1933</x:v>
      </x:c>
      <x:c r="H27" t="s">
        <x:v>2063</x:v>
      </x:c>
    </x:row>
    <x:row r="28" ht="60">
      <x:c r="A28" s="101" t="s">
        <x:v>2064</x:v>
      </x:c>
      <x:c r="B28" s="101" t="s">
        <x:v>2065</x:v>
      </x:c>
      <x:c r="C28" s="101" t="s">
        <x:v>2066</x:v>
      </x:c>
      <x:c r="D28" s="101" t="s">
        <x:v>2067</x:v>
      </x:c>
      <x:c r="E28" s="101" t="s">
        <x:v>2068</x:v>
      </x:c>
      <x:c r="F28" s="101" t="s">
        <x:v>2069</x:v>
      </x:c>
      <x:c r="G28" s="101" t="s">
        <x:v>1933</x:v>
      </x:c>
      <x:c r="H28" s="101" t="s">
        <x:v>2070</x:v>
      </x:c>
    </x:row>
  </x:sheetData>
  <x:mergeCells>
    <x:mergeCell ref="A1:H1"/>
  </x:mergeCells>
  <x:conditionalFormatting sqref="G4:G26">
    <x:cfRule type="expression" dxfId="19" priority="1">
      <x:formula>G4="COVERED"</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2" width="24" customWidth="1"/>
    <x:col min="3" max="4" width="48" customWidth="1"/>
    <x:col min="5" max="5" width="30" customWidth="1"/>
    <x:col min="6" max="6" width="42" customWidth="1"/>
  </x:cols>
  <x:sheetData>
    <x:row r="1" ht="17.25">
      <x:c r="A1" s="127" t="str">
        <x:v>SUPERSEDED by v2.11 Change Log — retained for historical traceability</x:v>
      </x:c>
      <x:c r="B1" s="127"/>
      <x:c r="C1" s="127"/>
      <x:c r="D1" s="127"/>
      <x:c r="E1" s="127"/>
      <x:c r="F1" s="127"/>
    </x:row>
    <x:row r="3">
      <x:c r="A3" s="38" t="s">
        <x:v>2071</x:v>
      </x:c>
      <x:c r="B3" s="39" t="s">
        <x:v>2072</x:v>
      </x:c>
      <x:c r="D3" s="128" t="s">
        <x:v>2073</x:v>
      </x:c>
      <x:c r="E3" s="128"/>
      <x:c r="F3" s="128"/>
    </x:row>
    <x:row r="4">
      <x:c r="A4" s="17" t="s">
        <x:v>2074</x:v>
      </x:c>
      <x:c r="B4" s="18" t="s">
        <x:v>2075</x:v>
      </x:c>
      <x:c r="D4" s="129" t="s">
        <x:v>2076</x:v>
      </x:c>
      <x:c r="E4" s="129"/>
      <x:c r="F4" s="129"/>
    </x:row>
    <x:row r="5">
      <x:c r="A5" s="17" t="s">
        <x:v>2077</x:v>
      </x:c>
      <x:c r="B5" s="18" t="s">
        <x:v>2078</x:v>
      </x:c>
      <x:c r="D5" s="129"/>
      <x:c r="E5" s="129"/>
      <x:c r="F5" s="129"/>
    </x:row>
    <x:row r="6">
      <x:c r="A6" s="17" t="s">
        <x:v>2079</x:v>
      </x:c>
      <x:c r="B6" s="18" t="s">
        <x:v>2080</x:v>
      </x:c>
      <x:c r="D6" s="129"/>
      <x:c r="E6" s="129"/>
      <x:c r="F6" s="129"/>
    </x:row>
    <x:row r="7">
      <x:c r="A7" s="17" t="s">
        <x:v>2081</x:v>
      </x:c>
      <x:c r="B7" s="18" t="s">
        <x:v>2082</x:v>
      </x:c>
      <x:c r="D7" s="129"/>
      <x:c r="E7" s="129"/>
      <x:c r="F7" s="129"/>
    </x:row>
    <x:row r="8">
      <x:c r="A8" s="17" t="s">
        <x:v>2083</x:v>
      </x:c>
      <x:c r="B8" s="18" t="s">
        <x:v>2084</x:v>
      </x:c>
      <x:c r="D8" s="129"/>
      <x:c r="E8" s="129"/>
      <x:c r="F8" s="129"/>
    </x:row>
    <x:row r="9">
      <x:c r="A9" s="19" t="s">
        <x:v>2085</x:v>
      </x:c>
      <x:c r="B9" s="20" t="s">
        <x:v>2086</x:v>
      </x:c>
    </x:row>
    <x:row r="12">
      <x:c r="A12" s="94" t="s">
        <x:v>2087</x:v>
      </x:c>
      <x:c r="B12" s="100" t="s">
        <x:v>2088</x:v>
      </x:c>
      <x:c r="C12" s="100" t="s">
        <x:v>2089</x:v>
      </x:c>
      <x:c r="D12" s="100" t="s">
        <x:v>2090</x:v>
      </x:c>
      <x:c r="E12" s="100" t="s">
        <x:v>2091</x:v>
      </x:c>
      <x:c r="F12" s="95" t="s">
        <x:v>2092</x:v>
      </x:c>
    </x:row>
    <x:row r="13" ht="30">
      <x:c r="A13" s="44" t="s">
        <x:v>2093</x:v>
      </x:c>
      <x:c r="B13" s="2" t="s">
        <x:v>2094</x:v>
      </x:c>
      <x:c r="C13" s="2" t="s">
        <x:v>2095</x:v>
      </x:c>
      <x:c r="D13" s="2" t="s">
        <x:v>2096</x:v>
      </x:c>
      <x:c r="E13" s="2" t="s">
        <x:v>2097</x:v>
      </x:c>
      <x:c r="F13" s="45" t="s">
        <x:v>2098</x:v>
      </x:c>
    </x:row>
    <x:row r="14" ht="45">
      <x:c r="A14" s="44" t="s">
        <x:v>2099</x:v>
      </x:c>
      <x:c r="B14" s="2" t="s">
        <x:v>2100</x:v>
      </x:c>
      <x:c r="C14" s="2" t="s">
        <x:v>2101</x:v>
      </x:c>
      <x:c r="D14" s="2" t="s">
        <x:v>2102</x:v>
      </x:c>
      <x:c r="E14" s="2" t="s">
        <x:v>2103</x:v>
      </x:c>
      <x:c r="F14" s="45" t="s">
        <x:v>2104</x:v>
      </x:c>
    </x:row>
    <x:row r="15" ht="30">
      <x:c r="A15" s="44" t="s">
        <x:v>2105</x:v>
      </x:c>
      <x:c r="B15" s="2" t="s">
        <x:v>2106</x:v>
      </x:c>
      <x:c r="C15" s="2" t="s">
        <x:v>2107</x:v>
      </x:c>
      <x:c r="D15" s="2" t="s">
        <x:v>2108</x:v>
      </x:c>
      <x:c r="E15" s="2" t="s">
        <x:v>2109</x:v>
      </x:c>
      <x:c r="F15" s="45" t="s">
        <x:v>2110</x:v>
      </x:c>
    </x:row>
    <x:row r="16" ht="45">
      <x:c r="A16" s="44" t="s">
        <x:v>2111</x:v>
      </x:c>
      <x:c r="B16" s="2" t="s">
        <x:v>2112</x:v>
      </x:c>
      <x:c r="C16" s="2" t="s">
        <x:v>2113</x:v>
      </x:c>
      <x:c r="D16" s="2" t="s">
        <x:v>2114</x:v>
      </x:c>
      <x:c r="E16" s="2" t="s">
        <x:v>2115</x:v>
      </x:c>
      <x:c r="F16" s="45" t="s">
        <x:v>2116</x:v>
      </x:c>
    </x:row>
    <x:row r="17" ht="30">
      <x:c r="A17" s="46" t="s">
        <x:v>2117</x:v>
      </x:c>
      <x:c r="B17" s="40" t="s">
        <x:v>2118</x:v>
      </x:c>
      <x:c r="C17" s="40" t="s">
        <x:v>2119</x:v>
      </x:c>
      <x:c r="D17" s="40" t="s">
        <x:v>2120</x:v>
      </x:c>
      <x:c r="E17" s="40" t="s">
        <x:v>2121</x:v>
      </x:c>
      <x:c r="F17" s="47" t="s">
        <x:v>2122</x:v>
      </x:c>
    </x:row>
    <x:row r="18" ht="60">
      <x:c r="A18" s="2" t="s">
        <x:v>2123</x:v>
      </x:c>
      <x:c r="B18" s="2" t="s">
        <x:v>2124</x:v>
      </x:c>
      <x:c r="C18" s="2" t="s">
        <x:v>2125</x:v>
      </x:c>
      <x:c r="D18" s="2" t="s">
        <x:v>2126</x:v>
      </x:c>
      <x:c r="E18" s="2" t="s">
        <x:v>2127</x:v>
      </x:c>
      <x:c r="F18" s="2" t="s">
        <x:v>2128</x:v>
      </x:c>
    </x:row>
    <x:row r="19" ht="75">
      <x:c r="A19" s="2" t="s">
        <x:v>2129</x:v>
      </x:c>
      <x:c r="B19" s="2" t="s">
        <x:v>2130</x:v>
      </x:c>
      <x:c r="C19" s="2" t="s">
        <x:v>2131</x:v>
      </x:c>
      <x:c r="D19" s="2" t="s">
        <x:v>2132</x:v>
      </x:c>
      <x:c r="E19" s="2" t="s">
        <x:v>2133</x:v>
      </x:c>
      <x:c r="F19" s="2" t="s">
        <x:v>2134</x:v>
      </x:c>
    </x:row>
    <x:row r="20" ht="45">
      <x:c r="A20" s="2" t="s">
        <x:v>2135</x:v>
      </x:c>
      <x:c r="B20" s="2" t="s">
        <x:v>2136</x:v>
      </x:c>
      <x:c r="C20" s="2" t="s">
        <x:v>2137</x:v>
      </x:c>
      <x:c r="D20" s="2" t="s">
        <x:v>2138</x:v>
      </x:c>
      <x:c r="E20" s="2" t="s">
        <x:v>2139</x:v>
      </x:c>
      <x:c r="F20" s="2" t="s">
        <x:v>2140</x:v>
      </x:c>
    </x:row>
    <x:row r="21" ht="60">
      <x:c r="A21" s="2" t="s">
        <x:v>2141</x:v>
      </x:c>
      <x:c r="B21" s="2" t="s">
        <x:v>2142</x:v>
      </x:c>
      <x:c r="C21" s="2" t="s">
        <x:v>2143</x:v>
      </x:c>
      <x:c r="D21" s="2" t="s">
        <x:v>2144</x:v>
      </x:c>
      <x:c r="E21" s="2" t="s">
        <x:v>2145</x:v>
      </x:c>
      <x:c r="F21" s="2" t="s">
        <x:v>2146</x:v>
      </x:c>
    </x:row>
    <x:row r="22" ht="60">
      <x:c r="A22" s="2" t="s">
        <x:v>2147</x:v>
      </x:c>
      <x:c r="B22" s="2" t="s">
        <x:v>291</x:v>
      </x:c>
      <x:c r="C22" s="2" t="s">
        <x:v>2148</x:v>
      </x:c>
      <x:c r="D22" s="2" t="s">
        <x:v>2149</x:v>
      </x:c>
      <x:c r="E22" s="2" t="s">
        <x:v>2150</x:v>
      </x:c>
      <x:c r="F22" s="2" t="s">
        <x:v>2151</x:v>
      </x:c>
    </x:row>
    <x:row r="23" ht="45">
      <x:c r="A23" s="2" t="s">
        <x:v>2152</x:v>
      </x:c>
      <x:c r="B23" s="2" t="s">
        <x:v>2153</x:v>
      </x:c>
      <x:c r="C23" s="2" t="s">
        <x:v>2154</x:v>
      </x:c>
      <x:c r="D23" s="2" t="s">
        <x:v>2155</x:v>
      </x:c>
      <x:c r="E23" s="2" t="s">
        <x:v>2121</x:v>
      </x:c>
      <x:c r="F23" s="2" t="s">
        <x:v>2156</x:v>
      </x:c>
    </x:row>
    <x:row r="25" ht="30">
      <x:c r="A25" s="2" t="s">
        <x:v>2157</x:v>
      </x:c>
      <x:c r="B25" s="2" t="s">
        <x:v>2158</x:v>
      </x:c>
      <x:c r="C25" s="2" t="s">
        <x:v>2159</x:v>
      </x:c>
      <x:c r="D25" s="2" t="s">
        <x:v>2160</x:v>
      </x:c>
      <x:c r="E25" s="2" t="s">
        <x:v>2161</x:v>
      </x:c>
      <x:c r="F25" s="2" t="s">
        <x:v>2162</x:v>
      </x:c>
    </x:row>
    <x:row r="26" ht="45">
      <x:c r="A26" s="2" t="s">
        <x:v>2163</x:v>
      </x:c>
      <x:c r="B26" s="2" t="s">
        <x:v>2158</x:v>
      </x:c>
      <x:c r="C26" s="2" t="s">
        <x:v>2164</x:v>
      </x:c>
      <x:c r="D26" s="2" t="s">
        <x:v>2165</x:v>
      </x:c>
      <x:c r="E26" s="2" t="s">
        <x:v>2161</x:v>
      </x:c>
      <x:c r="F26" s="2" t="s">
        <x:v>2166</x:v>
      </x:c>
    </x:row>
  </x:sheetData>
  <x:mergeCells>
    <x:mergeCell ref="A1:F1"/>
    <x:mergeCell ref="D3:F3"/>
    <x:mergeCell ref="D4:F8"/>
  </x:mergeCells>
  <x:pageMargins left="0.7" right="0.7" top="0.75" bottom="0.75" header="0.3" footer="0.3"/>
</x:worksheet>
</file>

<file path=xl/worksheets/sheet9.xml><?xml version="1.0" encoding="utf-8"?>
<x:worksheet xmlns:x="http://schemas.openxmlformats.org/spreadsheetml/2006/main">
  <x:sheetFormatPr defaultRowHeight="15"/>
  <x:cols>
    <x:col min="1" max="1" width="11" customWidth="1"/>
    <x:col min="2" max="2" width="15" customWidth="1"/>
    <x:col min="3" max="3" width="24" customWidth="1"/>
    <x:col min="4" max="4" width="30" customWidth="1"/>
    <x:col min="5" max="5" width="55" customWidth="1"/>
    <x:col min="6" max="6" width="38" customWidth="1"/>
    <x:col min="7" max="7" width="55" customWidth="1"/>
    <x:col min="8" max="8" width="22" customWidth="1"/>
  </x:cols>
  <x:sheetData>
    <x:row r="1" ht="30" customHeight="1">
      <x:c r="A1" s="415" t="s">
        <x:v>1503</x:v>
      </x:c>
      <x:c r="B1" s="415" t="s">
        <x:v>2167</x:v>
      </x:c>
      <x:c r="C1" s="415" t="s">
        <x:v>2168</x:v>
      </x:c>
      <x:c r="D1" s="415" t="s">
        <x:v>2169</x:v>
      </x:c>
      <x:c r="E1" s="415" t="s">
        <x:v>1504</x:v>
      </x:c>
      <x:c r="F1" s="415" t="s">
        <x:v>2170</x:v>
      </x:c>
      <x:c r="G1" s="415" t="s">
        <x:v>19</x:v>
      </x:c>
      <x:c r="H1" s="415" t="s">
        <x:v>1507</x:v>
      </x:c>
      <x:c r="I1" s="301"/>
      <x:c r="J1" s="301"/>
    </x:row>
    <x:row r="2" ht="87.94999694824219" customHeight="1">
      <x:c r="A2" s="304" t="s">
        <x:v>1700</x:v>
      </x:c>
      <x:c r="B2" s="420" t="s">
        <x:v>46</x:v>
      </x:c>
      <x:c r="C2" s="304" t="s">
        <x:v>2171</x:v>
      </x:c>
      <x:c r="D2" s="304" t="s">
        <x:v>1702</x:v>
      </x:c>
      <x:c r="E2" s="304" t="s">
        <x:v>1701</x:v>
      </x:c>
      <x:c r="F2" s="304" t="s">
        <x:v>2172</x:v>
      </x:c>
      <x:c r="G2" s="304" t="s">
        <x:v>1704</x:v>
      </x:c>
      <x:c r="H2" s="304" t="s">
        <x:v>1703</x:v>
      </x:c>
      <x:c r="I2" s="301"/>
      <x:c r="J2" s="301"/>
    </x:row>
    <x:row r="3" ht="87.94999694824219" customHeight="1">
      <x:c r="A3" s="304" t="s">
        <x:v>1705</x:v>
      </x:c>
      <x:c r="B3" s="420" t="s">
        <x:v>46</x:v>
      </x:c>
      <x:c r="C3" s="304" t="s">
        <x:v>2173</x:v>
      </x:c>
      <x:c r="D3" s="304" t="s">
        <x:v>1707</x:v>
      </x:c>
      <x:c r="E3" s="304" t="s">
        <x:v>1706</x:v>
      </x:c>
      <x:c r="F3" s="304" t="s">
        <x:v>2174</x:v>
      </x:c>
      <x:c r="G3" s="304" t="s">
        <x:v>1708</x:v>
      </x:c>
      <x:c r="H3" s="304" t="s">
        <x:v>1703</x:v>
      </x:c>
      <x:c r="I3" s="301"/>
      <x:c r="J3" s="301"/>
    </x:row>
    <x:row r="4" ht="87.94999694824219" customHeight="1">
      <x:c r="A4" s="304" t="s">
        <x:v>1709</x:v>
      </x:c>
      <x:c r="B4" s="420" t="s">
        <x:v>46</x:v>
      </x:c>
      <x:c r="C4" s="304" t="s">
        <x:v>2171</x:v>
      </x:c>
      <x:c r="D4" s="304" t="s">
        <x:v>1711</x:v>
      </x:c>
      <x:c r="E4" s="304" t="s">
        <x:v>1710</x:v>
      </x:c>
      <x:c r="F4" s="304" t="s">
        <x:v>2175</x:v>
      </x:c>
      <x:c r="G4" s="304" t="s">
        <x:v>1712</x:v>
      </x:c>
      <x:c r="H4" s="304" t="s">
        <x:v>1703</x:v>
      </x:c>
      <x:c r="I4" s="301"/>
      <x:c r="J4" s="301"/>
    </x:row>
    <x:row r="5" ht="87.94999694824219" customHeight="1">
      <x:c r="A5" s="304" t="s">
        <x:v>1713</x:v>
      </x:c>
      <x:c r="B5" s="420" t="s">
        <x:v>46</x:v>
      </x:c>
      <x:c r="C5" s="304" t="s">
        <x:v>2176</x:v>
      </x:c>
      <x:c r="D5" s="304" t="s">
        <x:v>1715</x:v>
      </x:c>
      <x:c r="E5" s="304" t="s">
        <x:v>1714</x:v>
      </x:c>
      <x:c r="F5" s="304" t="s">
        <x:v>2177</x:v>
      </x:c>
      <x:c r="G5" s="304" t="s">
        <x:v>1717</x:v>
      </x:c>
      <x:c r="H5" s="304" t="s">
        <x:v>1716</x:v>
      </x:c>
      <x:c r="I5" s="301"/>
      <x:c r="J5" s="301"/>
    </x:row>
    <x:row r="6" ht="87.94999694824219" customHeight="1">
      <x:c r="A6" s="304" t="s">
        <x:v>1718</x:v>
      </x:c>
      <x:c r="B6" s="420" t="s">
        <x:v>46</x:v>
      </x:c>
      <x:c r="C6" s="304" t="s">
        <x:v>2178</x:v>
      </x:c>
      <x:c r="D6" s="304" t="s">
        <x:v>1720</x:v>
      </x:c>
      <x:c r="E6" s="304" t="s">
        <x:v>1719</x:v>
      </x:c>
      <x:c r="F6" s="304" t="s">
        <x:v>2179</x:v>
      </x:c>
      <x:c r="G6" s="304" t="s">
        <x:v>1721</x:v>
      </x:c>
      <x:c r="H6" s="304" t="s">
        <x:v>1703</x:v>
      </x:c>
      <x:c r="I6" s="301"/>
      <x:c r="J6" s="301"/>
    </x:row>
    <x:row r="7" ht="87.94999694824219" customHeight="1">
      <x:c r="A7" s="304" t="s">
        <x:v>1722</x:v>
      </x:c>
      <x:c r="B7" s="420" t="s">
        <x:v>46</x:v>
      </x:c>
      <x:c r="C7" s="304" t="s">
        <x:v>2180</x:v>
      </x:c>
      <x:c r="D7" s="304" t="s">
        <x:v>1724</x:v>
      </x:c>
      <x:c r="E7" s="304" t="s">
        <x:v>1723</x:v>
      </x:c>
      <x:c r="F7" s="304" t="s">
        <x:v>2181</x:v>
      </x:c>
      <x:c r="G7" s="304" t="s">
        <x:v>1726</x:v>
      </x:c>
      <x:c r="H7" s="304" t="s">
        <x:v>1725</x:v>
      </x:c>
      <x:c r="I7" s="301"/>
      <x:c r="J7" s="301"/>
    </x:row>
    <x:row r="8" ht="87.94999694824219" customHeight="1">
      <x:c r="A8" s="304" t="s">
        <x:v>1727</x:v>
      </x:c>
      <x:c r="B8" s="420" t="s">
        <x:v>46</x:v>
      </x:c>
      <x:c r="C8" s="304" t="s">
        <x:v>2182</x:v>
      </x:c>
      <x:c r="D8" s="304" t="s">
        <x:v>1729</x:v>
      </x:c>
      <x:c r="E8" s="304" t="s">
        <x:v>1728</x:v>
      </x:c>
      <x:c r="F8" s="304" t="s">
        <x:v>2183</x:v>
      </x:c>
      <x:c r="G8" s="304" t="s">
        <x:v>1731</x:v>
      </x:c>
      <x:c r="H8" s="304" t="s">
        <x:v>1730</x:v>
      </x:c>
      <x:c r="I8" s="301"/>
      <x:c r="J8" s="301"/>
    </x:row>
    <x:row r="9" ht="87.94999694824219" customHeight="1">
      <x:c r="A9" s="304" t="s">
        <x:v>1732</x:v>
      </x:c>
      <x:c r="B9" s="420" t="s">
        <x:v>46</x:v>
      </x:c>
      <x:c r="C9" s="304" t="s">
        <x:v>2184</x:v>
      </x:c>
      <x:c r="D9" s="304" t="s">
        <x:v>1734</x:v>
      </x:c>
      <x:c r="E9" s="304" t="s">
        <x:v>1733</x:v>
      </x:c>
      <x:c r="F9" s="304" t="s">
        <x:v>2185</x:v>
      </x:c>
      <x:c r="G9" s="304" t="s">
        <x:v>1736</x:v>
      </x:c>
      <x:c r="H9" s="304" t="s">
        <x:v>1735</x:v>
      </x:c>
      <x:c r="I9" s="301"/>
      <x:c r="J9" s="301"/>
    </x:row>
    <x:row r="10" ht="87.94999694824219" customHeight="1">
      <x:c r="A10" s="304" t="s">
        <x:v>1737</x:v>
      </x:c>
      <x:c r="B10" s="421" t="s">
        <x:v>118</x:v>
      </x:c>
      <x:c r="C10" s="304" t="s">
        <x:v>2186</x:v>
      </x:c>
      <x:c r="D10" s="304" t="s">
        <x:v>1739</x:v>
      </x:c>
      <x:c r="E10" s="304" t="s">
        <x:v>1738</x:v>
      </x:c>
      <x:c r="F10" s="304" t="s">
        <x:v>2187</x:v>
      </x:c>
      <x:c r="G10" s="304" t="s">
        <x:v>1741</x:v>
      </x:c>
      <x:c r="H10" s="304" t="s">
        <x:v>1740</x:v>
      </x:c>
      <x:c r="I10" s="301"/>
      <x:c r="J10" s="301"/>
    </x:row>
    <x:row r="11" ht="87.94999694824219" customHeight="1">
      <x:c r="A11" s="304" t="s">
        <x:v>1742</x:v>
      </x:c>
      <x:c r="B11" s="420" t="s">
        <x:v>46</x:v>
      </x:c>
      <x:c r="C11" s="304" t="s">
        <x:v>2188</x:v>
      </x:c>
      <x:c r="D11" s="304" t="s">
        <x:v>1744</x:v>
      </x:c>
      <x:c r="E11" s="304" t="s">
        <x:v>1743</x:v>
      </x:c>
      <x:c r="F11" s="304" t="s">
        <x:v>2189</x:v>
      </x:c>
      <x:c r="G11" s="304" t="s">
        <x:v>1746</x:v>
      </x:c>
      <x:c r="H11" s="304" t="s">
        <x:v>1745</x:v>
      </x:c>
      <x:c r="I11" s="301"/>
      <x:c r="J11" s="301"/>
    </x:row>
    <x:row r="12" ht="87.94999694824219" customHeight="1">
      <x:c r="A12" s="304" t="s">
        <x:v>1747</x:v>
      </x:c>
      <x:c r="B12" s="421" t="s">
        <x:v>118</x:v>
      </x:c>
      <x:c r="C12" s="304" t="s">
        <x:v>2190</x:v>
      </x:c>
      <x:c r="D12" s="304" t="s">
        <x:v>1749</x:v>
      </x:c>
      <x:c r="E12" s="304" t="s">
        <x:v>1748</x:v>
      </x:c>
      <x:c r="F12" s="304" t="s">
        <x:v>2191</x:v>
      </x:c>
      <x:c r="G12" s="304" t="s">
        <x:v>1750</x:v>
      </x:c>
      <x:c r="H12" s="304" t="s">
        <x:v>1725</x:v>
      </x:c>
      <x:c r="I12" s="301"/>
      <x:c r="J12" s="301"/>
    </x:row>
    <x:row r="13" ht="87.94999694824219" customHeight="1">
      <x:c r="A13" s="304" t="s">
        <x:v>1751</x:v>
      </x:c>
      <x:c r="B13" s="420" t="s">
        <x:v>46</x:v>
      </x:c>
      <x:c r="C13" s="304" t="s">
        <x:v>2192</x:v>
      </x:c>
      <x:c r="D13" s="304" t="s">
        <x:v>1753</x:v>
      </x:c>
      <x:c r="E13" s="304" t="s">
        <x:v>1752</x:v>
      </x:c>
      <x:c r="F13" s="304" t="s">
        <x:v>2193</x:v>
      </x:c>
      <x:c r="G13" s="304" t="s">
        <x:v>1755</x:v>
      </x:c>
      <x:c r="H13" s="304" t="s">
        <x:v>1754</x:v>
      </x:c>
      <x:c r="I13" s="301"/>
      <x:c r="J13" s="301"/>
    </x:row>
    <x:row r="14" ht="87.94999694824219" customHeight="1">
      <x:c r="A14" s="304" t="s">
        <x:v>1756</x:v>
      </x:c>
      <x:c r="B14" s="420" t="s">
        <x:v>46</x:v>
      </x:c>
      <x:c r="C14" s="304" t="s">
        <x:v>2194</x:v>
      </x:c>
      <x:c r="D14" s="304" t="s">
        <x:v>1758</x:v>
      </x:c>
      <x:c r="E14" s="304" t="s">
        <x:v>1757</x:v>
      </x:c>
      <x:c r="F14" s="304" t="s">
        <x:v>2195</x:v>
      </x:c>
      <x:c r="G14" s="304" t="s">
        <x:v>1760</x:v>
      </x:c>
      <x:c r="H14" s="304" t="s">
        <x:v>1759</x:v>
      </x:c>
      <x:c r="I14" s="301"/>
      <x:c r="J14" s="301"/>
    </x:row>
    <x:row r="15" ht="87.94999694824219" customHeight="1">
      <x:c r="A15" s="304" t="s">
        <x:v>1761</x:v>
      </x:c>
      <x:c r="B15" s="420" t="s">
        <x:v>46</x:v>
      </x:c>
      <x:c r="C15" s="304" t="s">
        <x:v>2196</x:v>
      </x:c>
      <x:c r="D15" s="304" t="s">
        <x:v>1763</x:v>
      </x:c>
      <x:c r="E15" s="304" t="s">
        <x:v>1762</x:v>
      </x:c>
      <x:c r="F15" s="304" t="s">
        <x:v>2197</x:v>
      </x:c>
      <x:c r="G15" s="304" t="s">
        <x:v>1765</x:v>
      </x:c>
      <x:c r="H15" s="304" t="s">
        <x:v>1764</x:v>
      </x:c>
      <x:c r="I15" s="301"/>
      <x:c r="J15" s="301"/>
    </x:row>
    <x:row r="16" ht="87.94999694824219" customHeight="1">
      <x:c r="A16" s="304" t="s">
        <x:v>1766</x:v>
      </x:c>
      <x:c r="B16" s="421" t="s">
        <x:v>118</x:v>
      </x:c>
      <x:c r="C16" s="304" t="s">
        <x:v>2198</x:v>
      </x:c>
      <x:c r="D16" s="304" t="s">
        <x:v>1768</x:v>
      </x:c>
      <x:c r="E16" s="304" t="s">
        <x:v>1767</x:v>
      </x:c>
      <x:c r="F16" s="304" t="s">
        <x:v>2199</x:v>
      </x:c>
      <x:c r="G16" s="304" t="s">
        <x:v>1770</x:v>
      </x:c>
      <x:c r="H16" s="304" t="s">
        <x:v>1769</x:v>
      </x:c>
      <x:c r="I16" s="301"/>
      <x:c r="J16" s="301"/>
    </x:row>
    <x:row r="17" ht="87.94999694824219" customHeight="1">
      <x:c r="A17" s="304" t="s">
        <x:v>1771</x:v>
      </x:c>
      <x:c r="B17" s="421" t="s">
        <x:v>118</x:v>
      </x:c>
      <x:c r="C17" s="304" t="s">
        <x:v>2200</x:v>
      </x:c>
      <x:c r="D17" s="304" t="s">
        <x:v>1773</x:v>
      </x:c>
      <x:c r="E17" s="304" t="s">
        <x:v>1772</x:v>
      </x:c>
      <x:c r="F17" s="304" t="s">
        <x:v>2201</x:v>
      </x:c>
      <x:c r="G17" s="304" t="s">
        <x:v>1775</x:v>
      </x:c>
      <x:c r="H17" s="304" t="s">
        <x:v>1774</x:v>
      </x:c>
      <x:c r="I17" s="301"/>
      <x:c r="J17" s="301"/>
    </x:row>
    <x:row r="18" ht="87.94999694824219" customHeight="1">
      <x:c r="A18" s="304" t="s">
        <x:v>1776</x:v>
      </x:c>
      <x:c r="B18" s="421" t="s">
        <x:v>118</x:v>
      </x:c>
      <x:c r="C18" s="304" t="s">
        <x:v>2202</x:v>
      </x:c>
      <x:c r="D18" s="304" t="s">
        <x:v>1778</x:v>
      </x:c>
      <x:c r="E18" s="304" t="s">
        <x:v>1777</x:v>
      </x:c>
      <x:c r="F18" s="304" t="s">
        <x:v>2203</x:v>
      </x:c>
      <x:c r="G18" s="304" t="s">
        <x:v>1780</x:v>
      </x:c>
      <x:c r="H18" s="304" t="s">
        <x:v>1779</x:v>
      </x:c>
      <x:c r="I18" s="301"/>
      <x:c r="J18" s="301"/>
    </x:row>
    <x:row r="19" ht="87.94999694824219" customHeight="1">
      <x:c r="A19" s="304" t="s">
        <x:v>1781</x:v>
      </x:c>
      <x:c r="B19" s="420" t="s">
        <x:v>46</x:v>
      </x:c>
      <x:c r="C19" s="304" t="s">
        <x:v>2204</x:v>
      </x:c>
      <x:c r="D19" s="304" t="s">
        <x:v>1783</x:v>
      </x:c>
      <x:c r="E19" s="304" t="s">
        <x:v>1782</x:v>
      </x:c>
      <x:c r="F19" s="304" t="s">
        <x:v>2205</x:v>
      </x:c>
      <x:c r="G19" s="304" t="s">
        <x:v>1784</x:v>
      </x:c>
      <x:c r="H19" s="304" t="s">
        <x:v>1620</x:v>
      </x:c>
      <x:c r="I19" s="301"/>
      <x:c r="J19" s="301"/>
    </x:row>
    <x:row r="20" ht="87.94999694824219" customHeight="1">
      <x:c r="A20" s="304" t="s">
        <x:v>1785</x:v>
      </x:c>
      <x:c r="B20" s="421" t="s">
        <x:v>118</x:v>
      </x:c>
      <x:c r="C20" s="304" t="s">
        <x:v>2206</x:v>
      </x:c>
      <x:c r="D20" s="304" t="s">
        <x:v>291</x:v>
      </x:c>
      <x:c r="E20" s="304" t="s">
        <x:v>1786</x:v>
      </x:c>
      <x:c r="F20" s="304" t="s">
        <x:v>2207</x:v>
      </x:c>
      <x:c r="G20" s="304" t="s">
        <x:v>1788</x:v>
      </x:c>
      <x:c r="H20" s="304" t="s">
        <x:v>1787</x:v>
      </x:c>
      <x:c r="I20" s="301"/>
      <x:c r="J20" s="301"/>
    </x:row>
    <x:row r="21" ht="87.94999694824219" customHeight="1">
      <x:c r="A21" s="304" t="s">
        <x:v>1789</x:v>
      </x:c>
      <x:c r="B21" s="420" t="s">
        <x:v>46</x:v>
      </x:c>
      <x:c r="C21" s="304" t="s">
        <x:v>2208</x:v>
      </x:c>
      <x:c r="D21" s="304" t="s">
        <x:v>1791</x:v>
      </x:c>
      <x:c r="E21" s="304" t="s">
        <x:v>1790</x:v>
      </x:c>
      <x:c r="F21" s="304" t="s">
        <x:v>2209</x:v>
      </x:c>
      <x:c r="G21" s="304" t="s">
        <x:v>1793</x:v>
      </x:c>
      <x:c r="H21" s="304" t="s">
        <x:v>1792</x:v>
      </x:c>
      <x:c r="I21" s="301"/>
      <x:c r="J21" s="301"/>
    </x:row>
    <x:row r="22" ht="87.94999694824219" customHeight="1">
      <x:c r="A22" s="304" t="s">
        <x:v>1794</x:v>
      </x:c>
      <x:c r="B22" s="421" t="s">
        <x:v>118</x:v>
      </x:c>
      <x:c r="C22" s="304" t="s">
        <x:v>2210</x:v>
      </x:c>
      <x:c r="D22" s="304" t="s">
        <x:v>1796</x:v>
      </x:c>
      <x:c r="E22" s="304" t="s">
        <x:v>1795</x:v>
      </x:c>
      <x:c r="F22" s="304" t="s">
        <x:v>2211</x:v>
      </x:c>
      <x:c r="G22" s="304" t="s">
        <x:v>1798</x:v>
      </x:c>
      <x:c r="H22" s="304" t="s">
        <x:v>1797</x:v>
      </x:c>
      <x:c r="I22" s="301"/>
      <x:c r="J22" s="301"/>
    </x:row>
    <x:row r="23" ht="87.94999694824219" customHeight="1">
      <x:c r="A23" s="304" t="s">
        <x:v>1799</x:v>
      </x:c>
      <x:c r="B23" s="421" t="s">
        <x:v>118</x:v>
      </x:c>
      <x:c r="C23" s="304" t="s">
        <x:v>2212</x:v>
      </x:c>
      <x:c r="D23" s="304" t="s">
        <x:v>1801</x:v>
      </x:c>
      <x:c r="E23" s="304" t="s">
        <x:v>1800</x:v>
      </x:c>
      <x:c r="F23" s="304" t="s">
        <x:v>2213</x:v>
      </x:c>
      <x:c r="G23" s="304" t="s">
        <x:v>1802</x:v>
      </x:c>
      <x:c r="H23" s="304" t="s">
        <x:v>1797</x:v>
      </x:c>
      <x:c r="I23" s="301"/>
      <x:c r="J23" s="301"/>
    </x:row>
    <x:row r="24" ht="87.94999694824219" customHeight="1">
      <x:c r="A24" s="304" t="s">
        <x:v>1803</x:v>
      </x:c>
      <x:c r="B24" s="420" t="s">
        <x:v>46</x:v>
      </x:c>
      <x:c r="C24" s="304" t="s">
        <x:v>2214</x:v>
      </x:c>
      <x:c r="D24" s="304" t="s">
        <x:v>1805</x:v>
      </x:c>
      <x:c r="E24" s="304" t="s">
        <x:v>1804</x:v>
      </x:c>
      <x:c r="F24" s="304" t="s">
        <x:v>2215</x:v>
      </x:c>
      <x:c r="G24" s="304" t="s">
        <x:v>1807</x:v>
      </x:c>
      <x:c r="H24" s="304" t="s">
        <x:v>1806</x:v>
      </x:c>
      <x:c r="I24" s="301"/>
      <x:c r="J24" s="301"/>
    </x:row>
    <x:row r="25" ht="87.94999694824219" customHeight="1">
      <x:c r="A25" s="304" t="s">
        <x:v>1808</x:v>
      </x:c>
      <x:c r="B25" s="420" t="s">
        <x:v>46</x:v>
      </x:c>
      <x:c r="C25" s="304" t="s">
        <x:v>2216</x:v>
      </x:c>
      <x:c r="D25" s="304" t="s">
        <x:v>1810</x:v>
      </x:c>
      <x:c r="E25" s="304" t="s">
        <x:v>1809</x:v>
      </x:c>
      <x:c r="F25" s="304" t="s">
        <x:v>2217</x:v>
      </x:c>
      <x:c r="G25" s="304" t="s">
        <x:v>1811</x:v>
      </x:c>
      <x:c r="H25" s="304" t="s">
        <x:v>1620</x:v>
      </x:c>
      <x:c r="I25" s="301"/>
      <x:c r="J25" s="301"/>
    </x:row>
    <x:row r="26" ht="87.94999694824219" customHeight="1">
      <x:c r="A26" s="304" t="s">
        <x:v>1812</x:v>
      </x:c>
      <x:c r="B26" s="420" t="s">
        <x:v>46</x:v>
      </x:c>
      <x:c r="C26" s="304" t="s">
        <x:v>2218</x:v>
      </x:c>
      <x:c r="D26" s="304" t="s">
        <x:v>1814</x:v>
      </x:c>
      <x:c r="E26" s="304" t="s">
        <x:v>1813</x:v>
      </x:c>
      <x:c r="F26" s="304" t="s">
        <x:v>2219</x:v>
      </x:c>
      <x:c r="G26" s="304" t="s">
        <x:v>1815</x:v>
      </x:c>
      <x:c r="H26" s="304" t="s">
        <x:v>1620</x:v>
      </x:c>
      <x:c r="I26" s="301"/>
      <x:c r="J26" s="301"/>
    </x:row>
    <x:row r="27" ht="87.94999694824219" customHeight="1">
      <x:c r="A27" s="304" t="s">
        <x:v>1816</x:v>
      </x:c>
      <x:c r="B27" s="420" t="s">
        <x:v>46</x:v>
      </x:c>
      <x:c r="C27" s="304" t="s">
        <x:v>2220</x:v>
      </x:c>
      <x:c r="D27" s="304" t="s">
        <x:v>1818</x:v>
      </x:c>
      <x:c r="E27" s="304" t="s">
        <x:v>1817</x:v>
      </x:c>
      <x:c r="F27" s="304" t="s">
        <x:v>2221</x:v>
      </x:c>
      <x:c r="G27" s="304" t="s">
        <x:v>1819</x:v>
      </x:c>
      <x:c r="H27" s="304" t="s">
        <x:v>1620</x:v>
      </x:c>
      <x:c r="I27" s="301"/>
      <x:c r="J27" s="301"/>
    </x:row>
    <x:row r="28" ht="87.94999694824219" customHeight="1">
      <x:c r="A28" s="304" t="s">
        <x:v>1820</x:v>
      </x:c>
      <x:c r="B28" s="420" t="s">
        <x:v>46</x:v>
      </x:c>
      <x:c r="C28" s="304" t="s">
        <x:v>2222</x:v>
      </x:c>
      <x:c r="D28" s="304" t="s">
        <x:v>1822</x:v>
      </x:c>
      <x:c r="E28" s="304" t="s">
        <x:v>1821</x:v>
      </x:c>
      <x:c r="F28" s="304" t="s">
        <x:v>2223</x:v>
      </x:c>
      <x:c r="G28" s="304" t="s">
        <x:v>1823</x:v>
      </x:c>
      <x:c r="H28" s="304" t="s">
        <x:v>1620</x:v>
      </x:c>
      <x:c r="I28" s="301"/>
      <x:c r="J28" s="301"/>
    </x:row>
    <x:row r="29" ht="87.94999694824219" customHeight="1">
      <x:c r="A29" s="304" t="s">
        <x:v>1824</x:v>
      </x:c>
      <x:c r="B29" s="421" t="s">
        <x:v>118</x:v>
      </x:c>
      <x:c r="C29" s="304" t="s">
        <x:v>2214</x:v>
      </x:c>
      <x:c r="D29" s="304" t="s">
        <x:v>820</x:v>
      </x:c>
      <x:c r="E29" s="304" t="s">
        <x:v>1825</x:v>
      </x:c>
      <x:c r="F29" s="304" t="s">
        <x:v>2224</x:v>
      </x:c>
      <x:c r="G29" s="304" t="s">
        <x:v>1827</x:v>
      </x:c>
      <x:c r="H29" s="304" t="s">
        <x:v>1826</x:v>
      </x:c>
      <x:c r="I29" s="301"/>
      <x:c r="J29" s="301"/>
    </x:row>
    <x:row r="30" ht="87.94999694824219" customHeight="1">
      <x:c r="A30" s="304" t="s">
        <x:v>1828</x:v>
      </x:c>
      <x:c r="B30" s="420" t="s">
        <x:v>46</x:v>
      </x:c>
      <x:c r="C30" s="304" t="s">
        <x:v>2225</x:v>
      </x:c>
      <x:c r="D30" s="304" t="s">
        <x:v>1830</x:v>
      </x:c>
      <x:c r="E30" s="304" t="s">
        <x:v>1829</x:v>
      </x:c>
      <x:c r="F30" s="304" t="s">
        <x:v>2226</x:v>
      </x:c>
      <x:c r="G30" s="304" t="s">
        <x:v>1831</x:v>
      </x:c>
      <x:c r="H30" s="304" t="s">
        <x:v>1787</x:v>
      </x:c>
      <x:c r="I30" s="301"/>
      <x:c r="J30" s="301"/>
    </x:row>
    <x:row r="31" ht="87.94999694824219" customHeight="1">
      <x:c r="A31" s="304" t="s">
        <x:v>1832</x:v>
      </x:c>
      <x:c r="B31" s="421" t="s">
        <x:v>118</x:v>
      </x:c>
      <x:c r="C31" s="304" t="s">
        <x:v>2227</x:v>
      </x:c>
      <x:c r="D31" s="304" t="s">
        <x:v>1834</x:v>
      </x:c>
      <x:c r="E31" s="304" t="s">
        <x:v>1833</x:v>
      </x:c>
      <x:c r="F31" s="304" t="s">
        <x:v>2228</x:v>
      </x:c>
      <x:c r="G31" s="304" t="s">
        <x:v>1835</x:v>
      </x:c>
      <x:c r="H31" s="304" t="s">
        <x:v>1787</x:v>
      </x:c>
      <x:c r="I31" s="301"/>
      <x:c r="J31" s="301"/>
    </x:row>
    <x:row r="32" ht="87.94999694824219" customHeight="1">
      <x:c r="A32" s="304" t="s">
        <x:v>1836</x:v>
      </x:c>
      <x:c r="B32" s="421" t="s">
        <x:v>118</x:v>
      </x:c>
      <x:c r="C32" s="304" t="s">
        <x:v>2229</x:v>
      </x:c>
      <x:c r="D32" s="304" t="s">
        <x:v>1838</x:v>
      </x:c>
      <x:c r="E32" s="304" t="s">
        <x:v>1837</x:v>
      </x:c>
      <x:c r="F32" s="304" t="s">
        <x:v>2230</x:v>
      </x:c>
      <x:c r="G32" s="304" t="s">
        <x:v>1840</x:v>
      </x:c>
      <x:c r="H32" s="304" t="s">
        <x:v>1839</x:v>
      </x:c>
      <x:c r="I32" s="301"/>
      <x:c r="J32" s="301"/>
    </x:row>
    <x:row r="33">
      <x:c r="A33" s="301" t="str">
        <x:v>F-083</x:v>
      </x:c>
      <x:c r="B33" s="301" t="str">
        <x:v>Critical</x:v>
      </x:c>
      <x:c r="C33" s="301" t="str">
        <x:v>Genericity / runtime authority</x:v>
      </x:c>
      <x:c r="D33" s="301" t="str">
        <x:v>T-092, T-206, T-209</x:v>
      </x:c>
      <x:c r="E33" s="301" t="str">
        <x:v>Customer-defined dimensions are still compiled into a static DashboardDimensionRegistry, so an unknown customer's Tank/Pump/Stream dimensions require source edit/rebuild today.</x:v>
      </x:c>
      <x:c r="F33" s="301" t="str">
        <x:v>Master Design v4.7 genericity invariant; source audit 22-Aug</x:v>
      </x:c>
      <x:c r="G33" s="301" t="str">
        <x:v>T-092 must move dimensions/measures to canonical registry projections; T-206 proves same-binary genericity and forbids compiled customer vocabulary.</x:v>
      </x:c>
      <x:c r="H33" s="301" t="str">
        <x:v>NEW TASK + REVISE T-092</x:v>
      </x:c>
      <x:c r="I33" s="301"/>
      <x:c r="J33" s="301"/>
    </x:row>
    <x:row r="34">
      <x:c r="A34" s="301" t="str">
        <x:v>F-084</x:v>
      </x:c>
      <x:c r="B34" s="301" t="str">
        <x:v>Critical</x:v>
      </x:c>
      <x:c r="C34" s="301" t="str">
        <x:v>Genericity / analytical identity</x:v>
      </x:c>
      <x:c r="D34" s="301" t="str">
        <x:v>T-094, T-128, T-139, T-209</x:v>
      </x:c>
      <x:c r="E34" s="301" t="str">
        <x:v>Layer-B/current contracts still carry universal material/coil assumptions. Non-material subjects such as equipment-time or process windows cannot be first-class without a generic subject/grain authority.</x:v>
      </x:c>
      <x:c r="F34" s="301" t="str">
        <x:v>Layer-B Rev8; Master Design v4.7</x:v>
      </x:c>
      <x:c r="G34" s="301" t="str">
        <x:v>Add T-209 AnalysisSubject/GrainDefinition. material_unit_id becomes optional semantic link, never universal intelligence identity.</x:v>
      </x:c>
      <x:c r="H34" s="301" t="str">
        <x:v>NEW TASK + REVISE EXISTING TASKS</x:v>
      </x:c>
      <x:c r="I34" s="301"/>
      <x:c r="J34" s="301"/>
    </x:row>
    <x:row r="35">
      <x:c r="A35" s="301" t="str">
        <x:v>F-085</x:v>
      </x:c>
      <x:c r="B35" s="301" t="str">
        <x:v>Critical</x:v>
      </x:c>
      <x:c r="C35" s="301" t="str">
        <x:v>Correctness / aggregation semantics</x:v>
      </x:c>
      <x:c r="D35" s="301" t="str">
        <x:v>T-210, T-211, T-212, T-092</x:v>
      </x:c>
      <x:c r="E35" s="301" t="str">
        <x:v>Parameter definitions do not currently state signal/sampling/aggregation semantics; kpi bindings silently default to Average, which can produce plausible wrong values for irregular analog, states and counters.</x:v>
      </x:c>
      <x:c r="F35" s="301" t="str">
        <x:v>Master Design v4.7 aggregation contract</x:v>
      </x:c>
      <x:c r="G35" s="301" t="str">
        <x:v>Add canonical semantics T-210, known-answer kernel T-211 and BI integration T-212. Undeclared semantics refuse; no silent Average.</x:v>
      </x:c>
      <x:c r="H35" s="301" t="str">
        <x:v>NEW TASK REQUIRED</x:v>
      </x:c>
      <x:c r="I35" s="301"/>
      <x:c r="J35" s="301"/>
    </x:row>
    <x:row r="36">
      <x:c r="A36" s="301" t="str">
        <x:v>F-086</x:v>
      </x:c>
      <x:c r="B36" s="301" t="str">
        <x:v>Critical</x:v>
      </x:c>
      <x:c r="C36" s="301" t="str">
        <x:v>Temporal correctness</x:v>
      </x:c>
      <x:c r="D36" s="301" t="str">
        <x:v>T-216, T-217, T-219, T-200</x:v>
      </x:c>
      <x:c r="E36" s="301" t="str">
        <x:v>Reconciliation across source systems cannot be trusted without per-source timezone/clock/timestamp semantics and skew/tolerance. A time error can appear as a false conflict.</x:v>
      </x:c>
      <x:c r="F36" s="301" t="str">
        <x:v>Master Design v4.7 Temporal Authority</x:v>
      </x:c>
      <x:c r="G36" s="301" t="str">
        <x:v>Add T-216 canonical source-time authority and T-217 alignment kernel. T-200 only exposes settings; it is not a second authority.</x:v>
      </x:c>
      <x:c r="H36" s="301" t="str">
        <x:v>NEW TASK REQUIRED</x:v>
      </x:c>
      <x:c r="I36" s="301"/>
      <x:c r="J36" s="301"/>
    </x:row>
    <x:row r="37">
      <x:c r="A37" s="301" t="str">
        <x:v>F-087</x:v>
      </x:c>
      <x:c r="B37" s="301" t="str">
        <x:v>Critical</x:v>
      </x:c>
      <x:c r="C37" s="301" t="str">
        <x:v>Connector truth / OPC</x:v>
      </x:c>
      <x:c r="D37" s="301" t="str">
        <x:v>T-207, T-224, T-225, T-226, T-153</x:v>
      </x:c>
      <x:c r="E37" s="301" t="str">
        <x:v>Current OPC connector metadata advertises browse/bounded-read capability while the executable connector contract lacks real browse/read/subscription runtime; edge samples are deterministic simulator data.</x:v>
      </x:c>
      <x:c r="F37" s="301" t="str">
        <x:v>22-Aug source inspection + Honesty Contract</x:v>
      </x:c>
      <x:c r="G37" s="301" t="str">
        <x:v>T-207 removes false claims now. T-224..226 implement real edge OPC-UA runtime/site proof later. T-153 certifies executable connector families, never metadata alone.</x:v>
      </x:c>
      <x:c r="H37" s="301" t="str">
        <x:v>NEW TASK + TRIAL OWNER</x:v>
      </x:c>
      <x:c r="I37" s="301"/>
      <x:c r="J37" s="301"/>
    </x:row>
    <x:row r="38">
      <x:c r="A38" s="301" t="str">
        <x:v>F-088</x:v>
      </x:c>
      <x:c r="B38" s="301" t="str">
        <x:v>Very Important</x:v>
      </x:c>
      <x:c r="C38" s="301" t="str">
        <x:v>Reference authority / naming</x:v>
      </x:c>
      <x:c r="D38" s="301" t="str">
        <x:v>T-214, T-215, T-092</x:v>
      </x:c>
      <x:c r="E38" s="301" t="str">
        <x:v>The customer '100% reference' concept is distinct from cross-plant benchmarking and ML performance benchmarks; no first-class governed Performance Reference authority currently owns directionality/effective dating/precedence.</x:v>
      </x:c>
      <x:c r="F38" s="301" t="str">
        <x:v>Master Design v4.7 Performance Reference</x:v>
      </x:c>
      <x:c r="G38" s="301" t="str">
        <x:v>Add T-214/T-215. Declared standards/targets/envelopes are Layer A; learned best/baseline/peer references remain Layer B.</x:v>
      </x:c>
      <x:c r="H38" s="301" t="str">
        <x:v>NEW TASK REQUIRED</x:v>
      </x:c>
      <x:c r="I38" s="301"/>
      <x:c r="J38" s="301"/>
    </x:row>
    <x:row r="39">
      <x:c r="A39" s="301" t="str">
        <x:v>F-089</x:v>
      </x:c>
      <x:c r="B39" s="301" t="str">
        <x:v>Critical</x:v>
      </x:c>
      <x:c r="C39" s="301" t="str">
        <x:v>Evidence reconciliation</x:v>
      </x:c>
      <x:c r="D39" s="301" t="str">
        <x:v>T-216..T-223</x:v>
      </x:c>
      <x:c r="E39" s="301" t="str">
        <x:v>No governed authority currently reconciles manual/operational assertions with machine/business/maintenance evidence while preserving source-specific authority, temporal uncertainty and non-causal language.</x:v>
      </x:c>
      <x:c r="F39" s="301" t="str">
        <x:v>Master Design v4.7 Reconciliation + product honesty doctrine</x:v>
      </x:c>
      <x:c r="G39" s="301" t="str">
        <x:v>Add fact-authority, temporal alignment, reconciliation, confidence ladder, persistence/surface and Assistant explanation owners T-218..T-223.</x:v>
      </x:c>
      <x:c r="H39" s="301" t="str">
        <x:v>NEW TASK REQUIRED</x:v>
      </x:c>
      <x:c r="I39" s="301"/>
      <x:c r="J39" s="301"/>
    </x:row>
    <x:row r="40">
      <x:c r="A40" s="301" t="str">
        <x:v>F-090</x:v>
      </x:c>
      <x:c r="B40" s="301" t="str">
        <x:v>Critical</x:v>
      </x:c>
      <x:c r="C40" s="301" t="str">
        <x:v>Release truth / QA architecture</x:v>
      </x:c>
      <x:c r="D40" s="301" t="str">
        <x:v>T-202..T-205, T-150</x:v>
      </x:c>
      <x:c r="E40" s="301" t="str">
        <x:v>M1 browser walk found basic page/network/filter/cross-widget failures despite green unit/E2E gates. Existing tests were artifact-scoped and did not replay persisted definitions or assert downstream semantic change.</x:v>
      </x:c>
      <x:c r="F40" s="301" t="str">
        <x:v>22-Aug emergency handover + Master Design v4.7 Release Truth</x:v>
      </x:c>
      <x:c r="G40" s="301" t="str">
        <x:v>Create T-202..205 immediately. Keep T-150 as final unbypassable CI composition gate.</x:v>
      </x:c>
      <x:c r="H40" s="301" t="str">
        <x:v>NEW TASK REQUIRED</x:v>
      </x:c>
      <x:c r="I40" s="301"/>
      <x:c r="J40" s="301"/>
    </x:row>
    <x:row r="41">
      <x:c r="A41" s="301" t="str">
        <x:v>F-091</x:v>
      </x:c>
      <x:c r="B41" s="301" t="str">
        <x:v>Very Important</x:v>
      </x:c>
      <x:c r="C41" s="301" t="str">
        <x:v>Customer onboarding authority</x:v>
      </x:c>
      <x:c r="D41" s="301" t="str">
        <x:v>T-213, T-118</x:v>
      </x:c>
      <x:c r="E41" s="301" t="str">
        <x:v>The backlog has installation commissioning but no bounded authority for foreign customer source/schema/time/grain/KPI/reference capability assessment before mapping.</x:v>
      </x:c>
      <x:c r="F41" s="301" t="str">
        <x:v>Master Design v4.7 Customer Data Intake</x:v>
      </x:c>
      <x:c r="G41" s="301" t="str">
        <x:v>Add T-213. Keep T-118 narrowly installation/licence/user commissioning.</x:v>
      </x:c>
      <x:c r="H41" s="301" t="str">
        <x:v>NEW TASK REQUIRED</x:v>
      </x:c>
      <x:c r="I41" s="301"/>
      <x:c r="J41" s="301"/>
    </x:row>
    <x:row r="42">
      <x:c r="A42" s="301" t="str">
        <x:v>F-092</x:v>
      </x:c>
      <x:c r="B42" s="301" t="str">
        <x:v>Very Important</x:v>
      </x:c>
      <x:c r="C42" s="301" t="str">
        <x:v>Assistant governance / investigation composition</x:v>
      </x:c>
      <x:c r="D42" s="301" t="str">
        <x:v>T-228..T-230, T-138</x:v>
      </x:c>
      <x:c r="E42" s="301" t="str">
        <x:v>The grounded Assistant can plan/retrieve/verify but has no governed, versioned, replayable contract for composing an evidence-backed analysis board through the existing BI grammar.</x:v>
      </x:c>
      <x:c r="F42" s="301" t="str">
        <x:v>Master Design v4.7 InsightBoardPlan</x:v>
      </x:c>
      <x:c r="G42" s="301" t="str">
        <x:v>Add T-228..230 post-September. LLM proposes bounded plan; deterministic validators authorize; existing BI engine executes; historical plan/result remains replayable.</x:v>
      </x:c>
      <x:c r="H42" s="301" t="str">
        <x:v>NEW TASK REQUIRED — POST-SEP</x:v>
      </x:c>
      <x:c r="I42" s="301"/>
      <x:c r="J42" s="301"/>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2" customWidth="1"/>
    <x:col min="2" max="2" width="30" customWidth="1"/>
    <x:col min="3" max="3" width="34" customWidth="1"/>
    <x:col min="4" max="4" width="15" customWidth="1"/>
    <x:col min="5" max="5" width="21" customWidth="1"/>
    <x:col min="6" max="6" width="34" customWidth="1"/>
    <x:col min="7" max="7" width="48" customWidth="1"/>
  </x:cols>
  <x:sheetData>
    <x:row r="1" ht="30" customHeight="1">
      <x:c r="A1" s="77" t="s">
        <x:v>2231</x:v>
      </x:c>
      <x:c r="B1" s="77" t="s">
        <x:v>2232</x:v>
      </x:c>
      <x:c r="C1" s="77" t="s">
        <x:v>2233</x:v>
      </x:c>
      <x:c r="D1" s="77" t="s">
        <x:v>123</x:v>
      </x:c>
      <x:c r="E1" s="77" t="s">
        <x:v>2234</x:v>
      </x:c>
      <x:c r="F1" s="77" t="s">
        <x:v>1505</x:v>
      </x:c>
      <x:c r="G1" s="77" t="s">
        <x:v>2235</x:v>
      </x:c>
    </x:row>
    <x:row r="2" ht="30">
      <x:c r="A2" s="7" t="s">
        <x:v>2236</x:v>
      </x:c>
      <x:c r="B2" s="7" t="s">
        <x:v>2237</x:v>
      </x:c>
      <x:c r="C2" s="7" t="s">
        <x:v>2238</x:v>
      </x:c>
      <x:c r="D2" s="7" t="s">
        <x:v>2239</x:v>
      </x:c>
      <x:c r="E2" s="7" t="s">
        <x:v>2240</x:v>
      </x:c>
      <x:c r="F2" s="7" t="s">
        <x:v>2241</x:v>
      </x:c>
      <x:c r="G2" s="7" t="s">
        <x:v>2242</x:v>
      </x:c>
    </x:row>
    <x:row r="3" ht="30">
      <x:c r="A3" s="7" t="s">
        <x:v>2243</x:v>
      </x:c>
      <x:c r="B3" s="7" t="s">
        <x:v>2244</x:v>
      </x:c>
      <x:c r="C3" s="7" t="s">
        <x:v>2245</x:v>
      </x:c>
      <x:c r="D3" s="7" t="s">
        <x:v>2239</x:v>
      </x:c>
      <x:c r="E3" s="7" t="s">
        <x:v>2240</x:v>
      </x:c>
      <x:c r="F3" s="7" t="s">
        <x:v>2246</x:v>
      </x:c>
      <x:c r="G3" s="7" t="s">
        <x:v>2242</x:v>
      </x:c>
    </x:row>
    <x:row r="4" ht="30">
      <x:c r="A4" s="7" t="s">
        <x:v>2247</x:v>
      </x:c>
      <x:c r="B4" s="7" t="s">
        <x:v>333</x:v>
      </x:c>
      <x:c r="C4" s="7" t="s">
        <x:v>2248</x:v>
      </x:c>
      <x:c r="D4" s="7" t="s">
        <x:v>2249</x:v>
      </x:c>
      <x:c r="E4" s="7" t="s">
        <x:v>2240</x:v>
      </x:c>
      <x:c r="F4" s="7" t="s">
        <x:v>2250</x:v>
      </x:c>
      <x:c r="G4" s="7" t="s">
        <x:v>2242</x:v>
      </x:c>
    </x:row>
    <x:row r="5" ht="30">
      <x:c r="A5" s="7" t="s">
        <x:v>2251</x:v>
      </x:c>
      <x:c r="B5" s="7" t="s">
        <x:v>2252</x:v>
      </x:c>
      <x:c r="C5" s="7" t="s">
        <x:v>2253</x:v>
      </x:c>
      <x:c r="D5" s="7" t="s">
        <x:v>2254</x:v>
      </x:c>
      <x:c r="E5" s="7" t="s">
        <x:v>2240</x:v>
      </x:c>
      <x:c r="F5" s="7" t="s">
        <x:v>2255</x:v>
      </x:c>
      <x:c r="G5" s="7" t="s">
        <x:v>2242</x:v>
      </x:c>
    </x:row>
    <x:row r="6" ht="30">
      <x:c r="A6" s="7" t="s">
        <x:v>2256</x:v>
      </x:c>
      <x:c r="B6" s="7" t="s">
        <x:v>2257</x:v>
      </x:c>
      <x:c r="C6" s="7" t="s">
        <x:v>2258</x:v>
      </x:c>
      <x:c r="D6" s="7" t="s">
        <x:v>2254</x:v>
      </x:c>
      <x:c r="E6" s="7" t="s">
        <x:v>2240</x:v>
      </x:c>
      <x:c r="F6" s="7" t="s">
        <x:v>2259</x:v>
      </x:c>
      <x:c r="G6" s="7" t="s">
        <x:v>2242</x:v>
      </x:c>
    </x:row>
    <x:row r="7" ht="30">
      <x:c r="A7" s="7" t="s">
        <x:v>2260</x:v>
      </x:c>
      <x:c r="B7" s="7" t="s">
        <x:v>2261</x:v>
      </x:c>
      <x:c r="C7" s="7" t="s">
        <x:v>2262</x:v>
      </x:c>
      <x:c r="D7" s="7" t="s">
        <x:v>2263</x:v>
      </x:c>
      <x:c r="E7" s="7" t="s">
        <x:v>2240</x:v>
      </x:c>
      <x:c r="F7" s="7" t="s">
        <x:v>2264</x:v>
      </x:c>
      <x:c r="G7" s="7" t="s">
        <x:v>2242</x:v>
      </x:c>
    </x:row>
    <x:row r="8" ht="30">
      <x:c r="A8" s="7" t="s">
        <x:v>2265</x:v>
      </x:c>
      <x:c r="B8" s="7" t="s">
        <x:v>2266</x:v>
      </x:c>
      <x:c r="C8" s="7" t="s">
        <x:v>2267</x:v>
      </x:c>
      <x:c r="D8" s="7" t="s">
        <x:v>2268</x:v>
      </x:c>
      <x:c r="E8" s="7" t="s">
        <x:v>2240</x:v>
      </x:c>
      <x:c r="F8" s="7" t="s">
        <x:v>2269</x:v>
      </x:c>
      <x:c r="G8" s="7" t="s">
        <x:v>2242</x:v>
      </x:c>
    </x:row>
    <x:row r="9" ht="30">
      <x:c r="A9" s="7" t="s">
        <x:v>2270</x:v>
      </x:c>
      <x:c r="B9" s="7" t="s">
        <x:v>2271</x:v>
      </x:c>
      <x:c r="C9" s="7" t="s">
        <x:v>2272</x:v>
      </x:c>
      <x:c r="D9" s="7" t="s">
        <x:v>2249</x:v>
      </x:c>
      <x:c r="E9" s="7" t="s">
        <x:v>2240</x:v>
      </x:c>
      <x:c r="F9" s="7" t="s">
        <x:v>2273</x:v>
      </x:c>
      <x:c r="G9" s="7" t="s">
        <x:v>2242</x:v>
      </x:c>
    </x:row>
    <x:row r="10" ht="30">
      <x:c r="A10" s="7" t="s">
        <x:v>2274</x:v>
      </x:c>
      <x:c r="B10" s="7" t="s">
        <x:v>2275</x:v>
      </x:c>
      <x:c r="C10" s="7" t="s">
        <x:v>2276</x:v>
      </x:c>
      <x:c r="D10" s="7" t="s">
        <x:v>2277</x:v>
      </x:c>
      <x:c r="E10" s="7" t="s">
        <x:v>2240</x:v>
      </x:c>
      <x:c r="F10" s="7" t="s">
        <x:v>2278</x:v>
      </x:c>
      <x:c r="G10" s="7" t="s">
        <x:v>2242</x:v>
      </x:c>
    </x:row>
    <x:row r="11" ht="30">
      <x:c r="A11" s="7" t="s">
        <x:v>2279</x:v>
      </x:c>
      <x:c r="B11" s="7" t="s">
        <x:v>2280</x:v>
      </x:c>
      <x:c r="C11" s="7" t="s">
        <x:v>2281</x:v>
      </x:c>
      <x:c r="D11" s="7" t="s">
        <x:v>2282</x:v>
      </x:c>
      <x:c r="E11" s="7" t="s">
        <x:v>2240</x:v>
      </x:c>
      <x:c r="F11" s="7" t="s">
        <x:v>2283</x:v>
      </x:c>
      <x:c r="G11" s="7" t="s">
        <x:v>2242</x:v>
      </x:c>
    </x:row>
    <x:row r="12" ht="30">
      <x:c r="A12" s="7" t="s">
        <x:v>2284</x:v>
      </x:c>
      <x:c r="B12" s="7" t="s">
        <x:v>2285</x:v>
      </x:c>
      <x:c r="C12" s="7" t="s">
        <x:v>2286</x:v>
      </x:c>
      <x:c r="D12" s="7" t="s">
        <x:v>2282</x:v>
      </x:c>
      <x:c r="E12" s="7" t="s">
        <x:v>2240</x:v>
      </x:c>
      <x:c r="F12" s="7" t="s">
        <x:v>2283</x:v>
      </x:c>
      <x:c r="G12" s="7" t="s">
        <x:v>2242</x:v>
      </x:c>
    </x:row>
    <x:row r="13" ht="30">
      <x:c r="A13" s="7" t="s">
        <x:v>2287</x:v>
      </x:c>
      <x:c r="B13" s="7" t="s">
        <x:v>2288</x:v>
      </x:c>
      <x:c r="C13" s="7" t="s">
        <x:v>2289</x:v>
      </x:c>
      <x:c r="D13" s="7" t="s">
        <x:v>2290</x:v>
      </x:c>
      <x:c r="E13" s="75" t="s">
        <x:v>2291</x:v>
      </x:c>
      <x:c r="F13" s="75" t="s">
        <x:v>2292</x:v>
      </x:c>
      <x:c r="G13" s="75" t="s">
        <x:v>2293</x:v>
      </x:c>
    </x:row>
    <x:row r="14" ht="30">
      <x:c r="A14" s="7" t="s">
        <x:v>2294</x:v>
      </x:c>
      <x:c r="B14" s="7" t="s">
        <x:v>2295</x:v>
      </x:c>
      <x:c r="C14" s="7" t="s">
        <x:v>2296</x:v>
      </x:c>
      <x:c r="D14" s="7" t="s">
        <x:v>2290</x:v>
      </x:c>
      <x:c r="E14" s="7" t="s">
        <x:v>2240</x:v>
      </x:c>
      <x:c r="F14" s="7" t="s">
        <x:v>2297</x:v>
      </x:c>
      <x:c r="G14" s="7" t="s">
        <x:v>2242</x:v>
      </x:c>
    </x:row>
    <x:row r="15" ht="30">
      <x:c r="A15" s="7" t="s">
        <x:v>2298</x:v>
      </x:c>
      <x:c r="B15" s="7" t="s">
        <x:v>2299</x:v>
      </x:c>
      <x:c r="C15" s="7" t="s">
        <x:v>2300</x:v>
      </x:c>
      <x:c r="D15" s="7" t="s">
        <x:v>2277</x:v>
      </x:c>
      <x:c r="E15" s="74" t="s">
        <x:v>2291</x:v>
      </x:c>
      <x:c r="F15" s="74" t="s">
        <x:v>2301</x:v>
      </x:c>
      <x:c r="G15" s="74" t="s">
        <x:v>2302</x:v>
      </x:c>
    </x:row>
    <x:row r="16" ht="30">
      <x:c r="A16" s="7" t="s">
        <x:v>2303</x:v>
      </x:c>
      <x:c r="B16" s="7" t="s">
        <x:v>2304</x:v>
      </x:c>
      <x:c r="C16" s="7" t="s">
        <x:v>2305</x:v>
      </x:c>
      <x:c r="D16" s="7" t="s">
        <x:v>2306</x:v>
      </x:c>
      <x:c r="E16" s="7" t="s">
        <x:v>2240</x:v>
      </x:c>
      <x:c r="F16" s="7" t="s">
        <x:v>2307</x:v>
      </x:c>
      <x:c r="G16" s="7" t="s">
        <x:v>2242</x:v>
      </x:c>
    </x:row>
    <x:row r="17" ht="30">
      <x:c r="A17" s="7" t="s">
        <x:v>2308</x:v>
      </x:c>
      <x:c r="B17" s="7" t="s">
        <x:v>2309</x:v>
      </x:c>
      <x:c r="C17" s="7" t="s">
        <x:v>2310</x:v>
      </x:c>
      <x:c r="D17" s="7" t="s">
        <x:v>2311</x:v>
      </x:c>
      <x:c r="E17" s="7" t="s">
        <x:v>2240</x:v>
      </x:c>
      <x:c r="F17" s="7" t="s">
        <x:v>2312</x:v>
      </x:c>
      <x:c r="G17" s="7" t="s">
        <x:v>2242</x:v>
      </x:c>
    </x:row>
    <x:row r="18" ht="30">
      <x:c r="A18" s="7" t="s">
        <x:v>2313</x:v>
      </x:c>
      <x:c r="B18" s="7" t="s">
        <x:v>2314</x:v>
      </x:c>
      <x:c r="C18" s="7" t="s">
        <x:v>2315</x:v>
      </x:c>
      <x:c r="D18" s="7" t="s">
        <x:v>2316</x:v>
      </x:c>
      <x:c r="E18" s="7" t="s">
        <x:v>2240</x:v>
      </x:c>
      <x:c r="F18" s="7" t="s">
        <x:v>2317</x:v>
      </x:c>
      <x:c r="G18" s="7" t="s">
        <x:v>2242</x:v>
      </x:c>
    </x:row>
    <x:row r="19" ht="30">
      <x:c r="A19" s="7" t="s">
        <x:v>2318</x:v>
      </x:c>
      <x:c r="B19" s="7" t="s">
        <x:v>2319</x:v>
      </x:c>
      <x:c r="C19" s="7" t="s">
        <x:v>2320</x:v>
      </x:c>
      <x:c r="D19" s="7" t="s">
        <x:v>2321</x:v>
      </x:c>
      <x:c r="E19" s="7" t="s">
        <x:v>2240</x:v>
      </x:c>
      <x:c r="F19" s="7" t="s">
        <x:v>2322</x:v>
      </x:c>
      <x:c r="G19" s="7" t="s">
        <x:v>2242</x:v>
      </x:c>
    </x:row>
    <x:row r="20" ht="30">
      <x:c r="A20" s="7" t="s">
        <x:v>2323</x:v>
      </x:c>
      <x:c r="B20" s="7" t="s">
        <x:v>2324</x:v>
      </x:c>
      <x:c r="C20" s="7" t="s">
        <x:v>2325</x:v>
      </x:c>
      <x:c r="D20" s="7" t="s">
        <x:v>2321</x:v>
      </x:c>
      <x:c r="E20" s="7" t="s">
        <x:v>2240</x:v>
      </x:c>
      <x:c r="F20" s="7" t="s">
        <x:v>2326</x:v>
      </x:c>
      <x:c r="G20" s="7" t="s">
        <x:v>2242</x:v>
      </x:c>
    </x:row>
    <x:row r="21" ht="30">
      <x:c r="A21" s="7" t="s">
        <x:v>2327</x:v>
      </x:c>
      <x:c r="B21" s="7" t="s">
        <x:v>2328</x:v>
      </x:c>
      <x:c r="C21" s="7" t="s">
        <x:v>2329</x:v>
      </x:c>
      <x:c r="D21" s="7" t="s">
        <x:v>2330</x:v>
      </x:c>
      <x:c r="E21" s="7" t="s">
        <x:v>2240</x:v>
      </x:c>
      <x:c r="F21" s="7" t="s">
        <x:v>2331</x:v>
      </x:c>
      <x:c r="G21" s="7" t="s">
        <x:v>2242</x:v>
      </x:c>
    </x:row>
    <x:row r="22" ht="30">
      <x:c r="A22" s="7" t="s">
        <x:v>2332</x:v>
      </x:c>
      <x:c r="B22" s="7" t="s">
        <x:v>2333</x:v>
      </x:c>
      <x:c r="C22" s="7" t="s">
        <x:v>2334</x:v>
      </x:c>
      <x:c r="D22" s="7" t="s">
        <x:v>2330</x:v>
      </x:c>
      <x:c r="E22" s="7" t="s">
        <x:v>2240</x:v>
      </x:c>
      <x:c r="F22" s="7" t="s">
        <x:v>2335</x:v>
      </x:c>
      <x:c r="G22" s="7" t="s">
        <x:v>2242</x:v>
      </x:c>
    </x:row>
    <x:row r="23" ht="30">
      <x:c r="A23" s="7" t="s">
        <x:v>2336</x:v>
      </x:c>
      <x:c r="B23" s="7" t="s">
        <x:v>2337</x:v>
      </x:c>
      <x:c r="C23" s="7" t="s">
        <x:v>2338</x:v>
      </x:c>
      <x:c r="D23" s="7" t="s">
        <x:v>2316</x:v>
      </x:c>
      <x:c r="E23" s="7" t="s">
        <x:v>2240</x:v>
      </x:c>
      <x:c r="F23" s="7" t="s">
        <x:v>2339</x:v>
      </x:c>
      <x:c r="G23" s="7" t="s">
        <x:v>2242</x:v>
      </x:c>
    </x:row>
    <x:row r="24" ht="30">
      <x:c r="A24" s="7" t="s">
        <x:v>2340</x:v>
      </x:c>
      <x:c r="B24" s="7" t="s">
        <x:v>2341</x:v>
      </x:c>
      <x:c r="C24" s="7" t="s">
        <x:v>2342</x:v>
      </x:c>
      <x:c r="D24" s="7" t="s">
        <x:v>2330</x:v>
      </x:c>
      <x:c r="E24" s="74" t="s">
        <x:v>2291</x:v>
      </x:c>
      <x:c r="F24" s="74" t="s">
        <x:v>1312</x:v>
      </x:c>
      <x:c r="G24" s="74" t="s">
        <x:v>2302</x:v>
      </x:c>
    </x:row>
    <x:row r="25" ht="30">
      <x:c r="A25" s="7" t="s">
        <x:v>2343</x:v>
      </x:c>
      <x:c r="B25" s="7" t="s">
        <x:v>2344</x:v>
      </x:c>
      <x:c r="C25" s="7" t="s">
        <x:v>2345</x:v>
      </x:c>
      <x:c r="D25" s="7" t="s">
        <x:v>2321</x:v>
      </x:c>
      <x:c r="E25" s="74" t="s">
        <x:v>2291</x:v>
      </x:c>
      <x:c r="F25" s="74" t="s">
        <x:v>2346</x:v>
      </x:c>
      <x:c r="G25" s="74" t="s">
        <x:v>2302</x:v>
      </x:c>
    </x:row>
    <x:row r="26" ht="30">
      <x:c r="A26" s="7" t="s">
        <x:v>2347</x:v>
      </x:c>
      <x:c r="B26" s="7" t="s">
        <x:v>2348</x:v>
      </x:c>
      <x:c r="C26" s="7" t="s">
        <x:v>2349</x:v>
      </x:c>
      <x:c r="D26" s="7" t="s">
        <x:v>2321</x:v>
      </x:c>
      <x:c r="E26" s="7" t="s">
        <x:v>2240</x:v>
      </x:c>
      <x:c r="F26" s="7" t="s">
        <x:v>2350</x:v>
      </x:c>
      <x:c r="G26" s="7" t="s">
        <x:v>2242</x:v>
      </x:c>
    </x:row>
    <x:row r="27" ht="30">
      <x:c r="A27" s="7" t="s">
        <x:v>2351</x:v>
      </x:c>
      <x:c r="B27" s="7" t="s">
        <x:v>2352</x:v>
      </x:c>
      <x:c r="C27" s="7" t="s">
        <x:v>2353</x:v>
      </x:c>
      <x:c r="D27" s="7" t="s">
        <x:v>2321</x:v>
      </x:c>
      <x:c r="E27" s="7" t="s">
        <x:v>2240</x:v>
      </x:c>
      <x:c r="F27" s="7" t="s">
        <x:v>2354</x:v>
      </x:c>
      <x:c r="G27" s="7" t="s">
        <x:v>2242</x:v>
      </x:c>
    </x:row>
    <x:row r="28" ht="30">
      <x:c r="A28" s="7" t="s">
        <x:v>2355</x:v>
      </x:c>
      <x:c r="B28" s="7" t="s">
        <x:v>2356</x:v>
      </x:c>
      <x:c r="C28" s="7" t="s">
        <x:v>2357</x:v>
      </x:c>
      <x:c r="D28" s="7" t="s">
        <x:v>2358</x:v>
      </x:c>
      <x:c r="E28" s="7" t="s">
        <x:v>2240</x:v>
      </x:c>
      <x:c r="F28" s="7" t="s">
        <x:v>2359</x:v>
      </x:c>
      <x:c r="G28" s="7" t="s">
        <x:v>2242</x:v>
      </x:c>
    </x:row>
    <x:row r="29" ht="30">
      <x:c r="A29" s="7" t="s">
        <x:v>2360</x:v>
      </x:c>
      <x:c r="B29" s="7" t="s">
        <x:v>2361</x:v>
      </x:c>
      <x:c r="C29" s="7" t="s">
        <x:v>2362</x:v>
      </x:c>
      <x:c r="D29" s="7" t="s">
        <x:v>2358</x:v>
      </x:c>
      <x:c r="E29" s="7" t="s">
        <x:v>2240</x:v>
      </x:c>
      <x:c r="F29" s="7" t="s">
        <x:v>2363</x:v>
      </x:c>
      <x:c r="G29" s="7" t="s">
        <x:v>2242</x:v>
      </x:c>
    </x:row>
    <x:row r="30" ht="30">
      <x:c r="A30" s="7" t="s">
        <x:v>2364</x:v>
      </x:c>
      <x:c r="B30" s="7" t="s">
        <x:v>2365</x:v>
      </x:c>
      <x:c r="C30" s="7" t="s">
        <x:v>2366</x:v>
      </x:c>
      <x:c r="D30" s="7" t="s">
        <x:v>2358</x:v>
      </x:c>
      <x:c r="E30" s="7" t="s">
        <x:v>2240</x:v>
      </x:c>
      <x:c r="F30" s="7" t="s">
        <x:v>2363</x:v>
      </x:c>
      <x:c r="G30" s="7" t="s">
        <x:v>2242</x:v>
      </x:c>
    </x:row>
    <x:row r="31" ht="30">
      <x:c r="A31" s="7" t="s">
        <x:v>2367</x:v>
      </x:c>
      <x:c r="B31" s="7" t="s">
        <x:v>2368</x:v>
      </x:c>
      <x:c r="C31" s="7" t="s">
        <x:v>2369</x:v>
      </x:c>
      <x:c r="D31" s="7" t="s">
        <x:v>2358</x:v>
      </x:c>
      <x:c r="E31" s="7" t="s">
        <x:v>2240</x:v>
      </x:c>
      <x:c r="F31" s="7" t="s">
        <x:v>2370</x:v>
      </x:c>
      <x:c r="G31" s="7" t="s">
        <x:v>2242</x:v>
      </x:c>
    </x:row>
    <x:row r="32" ht="30">
      <x:c r="A32" s="7" t="s">
        <x:v>2371</x:v>
      </x:c>
      <x:c r="B32" s="7" t="s">
        <x:v>2372</x:v>
      </x:c>
      <x:c r="C32" s="7" t="s">
        <x:v>2373</x:v>
      </x:c>
      <x:c r="D32" s="7" t="s">
        <x:v>2358</x:v>
      </x:c>
      <x:c r="E32" s="75" t="s">
        <x:v>2291</x:v>
      </x:c>
      <x:c r="F32" s="75" t="s">
        <x:v>2374</x:v>
      </x:c>
      <x:c r="G32" s="75" t="s">
        <x:v>2293</x:v>
      </x:c>
    </x:row>
    <x:row r="33" ht="30">
      <x:c r="A33" s="7" t="s">
        <x:v>2375</x:v>
      </x:c>
      <x:c r="B33" s="7" t="s">
        <x:v>2376</x:v>
      </x:c>
      <x:c r="C33" s="7" t="s">
        <x:v>2377</x:v>
      </x:c>
      <x:c r="D33" s="7" t="s">
        <x:v>2378</x:v>
      </x:c>
      <x:c r="E33" s="74" t="s">
        <x:v>2291</x:v>
      </x:c>
      <x:c r="F33" s="74" t="s">
        <x:v>816</x:v>
      </x:c>
      <x:c r="G33" s="74" t="s">
        <x:v>2302</x:v>
      </x:c>
    </x:row>
    <x:row r="34" ht="30">
      <x:c r="A34" s="7" t="s">
        <x:v>2379</x:v>
      </x:c>
      <x:c r="B34" s="7" t="s">
        <x:v>2380</x:v>
      </x:c>
      <x:c r="C34" s="7" t="s">
        <x:v>2381</x:v>
      </x:c>
      <x:c r="D34" s="7" t="s">
        <x:v>2382</x:v>
      </x:c>
      <x:c r="E34" s="7" t="s">
        <x:v>2240</x:v>
      </x:c>
      <x:c r="F34" s="7" t="s">
        <x:v>2383</x:v>
      </x:c>
      <x:c r="G34" s="7" t="s">
        <x:v>2242</x:v>
      </x:c>
    </x:row>
    <x:row r="35" ht="30">
      <x:c r="A35" s="7" t="s">
        <x:v>2384</x:v>
      </x:c>
      <x:c r="B35" s="7" t="s">
        <x:v>2385</x:v>
      </x:c>
      <x:c r="C35" s="7" t="s">
        <x:v>2386</x:v>
      </x:c>
      <x:c r="D35" s="7" t="s">
        <x:v>2378</x:v>
      </x:c>
      <x:c r="E35" s="74" t="s">
        <x:v>2291</x:v>
      </x:c>
      <x:c r="F35" s="74" t="s">
        <x:v>2387</x:v>
      </x:c>
      <x:c r="G35" s="74" t="s">
        <x:v>2388</x:v>
      </x:c>
    </x:row>
    <x:row r="36" ht="30">
      <x:c r="A36" s="7" t="s">
        <x:v>2389</x:v>
      </x:c>
      <x:c r="B36" s="7" t="s">
        <x:v>2390</x:v>
      </x:c>
      <x:c r="C36" s="7" t="s">
        <x:v>2391</x:v>
      </x:c>
      <x:c r="D36" s="7" t="s">
        <x:v>2358</x:v>
      </x:c>
      <x:c r="E36" s="7" t="s">
        <x:v>2240</x:v>
      </x:c>
      <x:c r="F36" s="7" t="s">
        <x:v>2392</x:v>
      </x:c>
      <x:c r="G36" s="7" t="s">
        <x:v>2242</x:v>
      </x:c>
    </x:row>
    <x:row r="37" ht="30">
      <x:c r="A37" s="7" t="s">
        <x:v>2393</x:v>
      </x:c>
      <x:c r="B37" s="7" t="s">
        <x:v>2394</x:v>
      </x:c>
      <x:c r="C37" s="7" t="s">
        <x:v>2395</x:v>
      </x:c>
      <x:c r="D37" s="7" t="s">
        <x:v>2358</x:v>
      </x:c>
      <x:c r="E37" s="75" t="s">
        <x:v>2291</x:v>
      </x:c>
      <x:c r="F37" s="75" t="s">
        <x:v>2396</x:v>
      </x:c>
      <x:c r="G37" s="75" t="s">
        <x:v>2293</x:v>
      </x:c>
    </x:row>
    <x:row r="38" ht="30">
      <x:c r="A38" s="7" t="s">
        <x:v>2397</x:v>
      </x:c>
      <x:c r="B38" s="7" t="s">
        <x:v>2398</x:v>
      </x:c>
      <x:c r="C38" s="7" t="s">
        <x:v>2399</x:v>
      </x:c>
      <x:c r="D38" s="7" t="s">
        <x:v>2358</x:v>
      </x:c>
      <x:c r="E38" s="75" t="s">
        <x:v>2291</x:v>
      </x:c>
      <x:c r="F38" s="75" t="s">
        <x:v>2396</x:v>
      </x:c>
      <x:c r="G38" s="75" t="s">
        <x:v>2293</x:v>
      </x:c>
    </x:row>
    <x:row r="39" ht="30">
      <x:c r="A39" s="7" t="s">
        <x:v>2400</x:v>
      </x:c>
      <x:c r="B39" s="7" t="s">
        <x:v>2401</x:v>
      </x:c>
      <x:c r="C39" s="7" t="s">
        <x:v>2402</x:v>
      </x:c>
      <x:c r="D39" s="7" t="s">
        <x:v>2239</x:v>
      </x:c>
      <x:c r="E39" s="75" t="s">
        <x:v>2291</x:v>
      </x:c>
      <x:c r="F39" s="75" t="s">
        <x:v>2403</x:v>
      </x:c>
      <x:c r="G39" s="75" t="s">
        <x:v>2293</x:v>
      </x:c>
    </x:row>
    <x:row r="40" ht="30">
      <x:c r="A40" s="7" t="s">
        <x:v>2404</x:v>
      </x:c>
      <x:c r="B40" s="7" t="s">
        <x:v>2405</x:v>
      </x:c>
      <x:c r="C40" s="7" t="s">
        <x:v>2406</x:v>
      </x:c>
      <x:c r="D40" s="7" t="s">
        <x:v>2239</x:v>
      </x:c>
      <x:c r="E40" s="75" t="s">
        <x:v>2291</x:v>
      </x:c>
      <x:c r="F40" s="75" t="s">
        <x:v>2403</x:v>
      </x:c>
      <x:c r="G40" s="75" t="s">
        <x:v>2293</x:v>
      </x:c>
    </x:row>
    <x:row r="41" ht="30">
      <x:c r="A41" s="7" t="s">
        <x:v>2407</x:v>
      </x:c>
      <x:c r="B41" s="7" t="s">
        <x:v>2408</x:v>
      </x:c>
      <x:c r="C41" s="7" t="s">
        <x:v>2409</x:v>
      </x:c>
      <x:c r="D41" s="7" t="s">
        <x:v>2358</x:v>
      </x:c>
      <x:c r="E41" s="75" t="s">
        <x:v>2291</x:v>
      </x:c>
      <x:c r="F41" s="75" t="s">
        <x:v>2410</x:v>
      </x:c>
      <x:c r="G41" s="75" t="s">
        <x:v>2293</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4" hidden="0" customWidth="1"/>
    <x:col min="2" max="3" width="31" customWidth="1"/>
    <x:col min="4" max="5" width="42" customWidth="1"/>
    <x:col min="2" max="2" width="32" hidden="0" customWidth="1"/>
    <x:col min="3" max="3" width="18" hidden="0" customWidth="1"/>
    <x:col min="4" max="4" width="12" hidden="0" customWidth="1"/>
    <x:col min="5" max="5" width="85" hidden="0" customWidth="1"/>
  </x:cols>
  <x:sheetData>
    <x:row r="1" ht="33.95000076293945" customHeight="1">
      <x:c r="A1" s="358" t="str">
        <x:v>PPIQ Backlog v2.13.0 — Operational-Regime &amp; Multi-Objective Pilot Hardening — 22 Aug 2026</x:v>
      </x:c>
      <x:c r="B1" s="358"/>
      <x:c r="C1" s="358"/>
      <x:c r="D1" s="358"/>
      <x:c r="E1" s="358"/>
      <x:c r="F1" s="130"/>
      <x:c r="G1" s="130"/>
      <x:c r="H1" s="130"/>
    </x:row>
    <x:row r="2">
      <x:c r="A2" s="301"/>
      <x:c r="B2" s="301"/>
      <x:c r="C2" s="301"/>
      <x:c r="D2" s="301"/>
      <x:c r="E2" s="301"/>
    </x:row>
    <x:row r="3">
      <x:c r="A3" s="362" t="str">
        <x:v>KPI</x:v>
      </x:c>
      <x:c r="B3" s="362" t="str">
        <x:v>v2.10.4</x:v>
      </x:c>
      <x:c r="C3" s="362" t="str">
        <x:v>v2.13.0</x:v>
      </x:c>
      <x:c r="D3" s="362" t="str">
        <x:v>Delta</x:v>
      </x:c>
      <x:c r="E3" s="362" t="str">
        <x:v>Interpretation</x:v>
      </x:c>
    </x:row>
    <x:row r="4" ht="30">
      <x:c r="A4" s="301" t="str">
        <x:v>Total tasks</x:v>
      </x:c>
      <x:c r="B4" s="301" t="n">
        <x:v>200</x:v>
      </x:c>
      <x:c r="C4" s="301" t="n">
        <x:v>240</x:v>
      </x:c>
      <x:c r="D4" s="301" t="n">
        <x:v>40</x:v>
      </x:c>
      <x:c r="E4" s="301" t="str">
        <x:v>v2.11/v2.12 rebaseline plus seven v2.13 tasks for transition/stabilisation, exact period decomposition and multi-objective practice.</x:v>
      </x:c>
    </x:row>
    <x:row r="5" ht="30">
      <x:c r="A5" s="301" t="str">
        <x:v>Total hours</x:v>
      </x:c>
      <x:c r="B5" s="301" t="n">
        <x:v>1806</x:v>
      </x:c>
      <x:c r="C5" s="301" t="n">
        <x:v>2170</x:v>
      </x:c>
      <x:c r="D5" s="301" t="n">
        <x:v>364</x:v>
      </x:c>
      <x:c r="E5" s="301" t="str">
        <x:v>v2.13 adds 68 nominal hours of generic customer-discovered product scope; no M1 demo scope is restored.</x:v>
      </x:c>
    </x:row>
    <x:row r="6" ht="30">
      <x:c r="A6" s="301" t="str">
        <x:v>M1 hours</x:v>
      </x:c>
      <x:c r="B6" s="301" t="n">
        <x:v>574</x:v>
      </x:c>
      <x:c r="C6" s="301" t="n">
        <x:v>574</x:v>
      </x:c>
      <x:c r="D6" s="301" t="n">
        <x:v>0</x:v>
      </x:c>
      <x:c r="E6" s="301" t="str">
        <x:v>M1 remains frozen historical presentation proof.</x:v>
      </x:c>
    </x:row>
    <x:row r="7" ht="30">
      <x:c r="A7" s="301" t="str">
        <x:v>M2a hours</x:v>
      </x:c>
      <x:c r="B7" s="301" t="n">
        <x:v>490</x:v>
      </x:c>
      <x:c r="C7" s="301" t="n">
        <x:v>664</x:v>
      </x:c>
      <x:c r="D7" s="301" t="n">
        <x:v>174</x:v>
      </x:c>
      <x:c r="E7" s="301" t="str">
        <x:v>Adds Product Truth, generic subject/grain, aggregation, customer intake, reference/time, process-regime and objective preference persistence.</x:v>
      </x:c>
    </x:row>
    <x:row r="8" ht="30">
      <x:c r="A8" s="301" t="str">
        <x:v>M2b hours</x:v>
      </x:c>
      <x:c r="B8" s="301" t="n">
        <x:v>538</x:v>
      </x:c>
      <x:c r="C8" s="301" t="n">
        <x:v>686</x:v>
      </x:c>
      <x:c r="D8" s="301" t="n">
        <x:v>148</x:v>
      </x:c>
      <x:c r="E8" s="301" t="str">
        <x:v>Adds reconciliation plus transition-aware guard and multi-objective practice kernels/integration; deferred InsightBoardPlan remains separate.</x:v>
      </x:c>
    </x:row>
    <x:row r="9">
      <x:c r="A9" s="301" t="str">
        <x:v>M3 hours</x:v>
      </x:c>
      <x:c r="B9" s="301" t="n">
        <x:v>204</x:v>
      </x:c>
      <x:c r="C9" s="301" t="n">
        <x:v>246</x:v>
      </x:c>
      <x:c r="D9" s="301" t="n">
        <x:v>42</x:v>
      </x:c>
      <x:c r="E9" s="301" t="str">
        <x:v>Production OPC/pilot scope unchanged.</x:v>
      </x:c>
    </x:row>
    <x:row r="10">
      <x:c r="A10" s="301" t="str">
        <x:v>Scheduled open hours</x:v>
      </x:c>
      <x:c r="B10" s="301"/>
      <x:c r="C10" s="301" t="n">
        <x:v>1356</x:v>
      </x:c>
      <x:c r="D10" s="301"/>
      <x:c r="E10" s="301" t="str">
        <x:v>M1 frozen work is excluded from the active schedule. Open M2a/M2b/M3 remains a programme backlog, not a September promise.</x:v>
      </x:c>
    </x:row>
    <x:row r="11" ht="30">
      <x:c r="A11" s="301"/>
      <x:c r="B11" s="301"/>
      <x:c r="C11" s="301"/>
      <x:c r="D11" s="301"/>
      <x:c r="E11" s="301"/>
    </x:row>
    <x:row r="12" ht="30">
      <x:c r="A12" s="366" t="str">
        <x:v>Highest-impact v2.13 rulings</x:v>
      </x:c>
      <x:c r="B12" s="366"/>
      <x:c r="C12" s="301"/>
      <x:c r="D12" s="301"/>
      <x:c r="E12" s="301"/>
    </x:row>
    <x:row r="13">
      <x:c r="A13" s="370" t="str">
        <x:v>Ruling</x:v>
      </x:c>
      <x:c r="B13" s="370" t="str">
        <x:v>Enterprise consequence</x:v>
      </x:c>
      <x:c r="C13" s="301"/>
      <x:c r="D13" s="301"/>
      <x:c r="E13" s="301"/>
    </x:row>
    <x:row r="14">
      <x:c r="A14" s="353" t="str">
        <x:v>M1 presentation freeze</x:v>
      </x:c>
      <x:c r="B14" s="353" t="str">
        <x:v>The successful presentation becomes historical proof. No more Fleet/steel page/chart/data polish; generic defects are re-owned by M2 Product Truth.</x:v>
      </x:c>
      <x:c r="C14" s="353"/>
      <x:c r="D14" s="301"/>
      <x:c r="E14" s="301"/>
    </x:row>
    <x:row r="15">
      <x:c r="A15" s="301" t="str">
        <x:v>Dataset-neutral product authority</x:v>
      </x:c>
      <x:c r="B15" s="301" t="str">
        <x:v>No dataset defines canonical vocabulary. Fleet remains a regression oracle; oil/customer data validates the product through metadata/configuration only.</x:v>
      </x:c>
      <x:c r="C15" s="301"/>
      <x:c r="D15" s="301"/>
      <x:c r="E15" s="301"/>
    </x:row>
    <x:row r="16">
      <x:c r="A16" s="301" t="str">
        <x:v>Generic AnalysisSubject + GrainDefinition</x:v>
      </x:c>
      <x:c r="B16" s="301" t="str">
        <x:v>Layer B/BI/predictions may target a material unit, equipment state, campaign, batch or process/time window without a universal material-unit identity.</x:v>
      </x:c>
      <x:c r="C16" s="301"/>
      <x:c r="D16" s="301"/>
      <x:c r="E16" s="301"/>
    </x:row>
    <x:row r="17">
      <x:c r="A17" s="301" t="str">
        <x:v>No implicit aggregation</x:v>
      </x:c>
      <x:c r="B17" s="301" t="str">
        <x:v>Parameter/measure semantics declare aggregation behaviour. There is no silent DEFAULT Average; undeclared semantics refuse.</x:v>
      </x:c>
      <x:c r="C17" s="301"/>
      <x:c r="D17" s="301"/>
      <x:c r="E17" s="301"/>
    </x:row>
    <x:row r="18">
      <x:c r="A18" s="301" t="str">
        <x:v>T-092 is decisive genericity gate</x:v>
      </x:c>
      <x:c r="B18" s="301" t="str">
        <x:v>Customer dimensions/measures become canonical registry rows/projections and must be usable by the same binary without source-code edits.</x:v>
      </x:c>
      <x:c r="C18" s="301"/>
      <x:c r="D18" s="301"/>
      <x:c r="E18" s="301"/>
    </x:row>
    <x:row r="19">
      <x:c r="A19" s="301" t="str">
        <x:v>Temporal authority before reconciliation</x:v>
      </x:c>
      <x:c r="B19" s="301" t="str">
        <x:v>Timezone, clock reference, timestamp origin/skew and tolerance are governed data; uncertain alignment cannot become a conflict finding.</x:v>
      </x:c>
      <x:c r="C19" s="301"/>
      <x:c r="D19" s="301"/>
      <x:c r="E19" s="301"/>
    </x:row>
    <x:row r="20">
      <x:c r="A20" s="301" t="str">
        <x:v>Fact-specific evidence authority</x:v>
      </x:c>
      <x:c r="B20" s="301" t="str">
        <x:v>PLC is not a universal truth source. Evidence authority is configured by semantic fact type and versioned per tenant.</x:v>
      </x:c>
      <x:c r="C20" s="301"/>
      <x:c r="D20" s="301"/>
      <x:c r="E20" s="301"/>
    </x:row>
    <x:row r="21" ht="15.75">
      <x:c r="A21" s="354" t="str">
        <x:v>Transition/stabilisation is correctness context</x:v>
      </x:c>
      <x:c r="B21" s="354" t="str">
        <x:v>Steady-state analytics may not silently pool ramp-up/changeover regimes; RG01 protects mixed intervals.</x:v>
      </x:c>
      <x:c r="C21" s="354"/>
      <x:c r="D21" s="354"/>
      <x:c r="E21" s="354"/>
      <x:c r="F21" s="131"/>
      <x:c r="G21" s="131"/>
      <x:c r="H21" s="131"/>
    </x:row>
    <x:row r="22">
      <x:c r="A22" s="353" t="str">
        <x:v>Multi-objective best practice</x:v>
      </x:c>
      <x:c r="B22" s="353" t="str">
        <x:v>Return Pareto/non-dominated practices unless the customer declares how to resolve trade-offs; no default weights.</x:v>
      </x:c>
      <x:c r="C22" s="301"/>
      <x:c r="D22" s="301"/>
      <x:c r="E22" s="301"/>
    </x:row>
    <x:row r="23" ht="60">
      <x:c r="A23" s="301" t="str">
        <x:v>Period driver decomposition</x:v>
      </x:c>
      <x:c r="B23" s="301" t="str">
        <x:v>Layer A compares exact operational differences first; causal explanation and monetary attribution remain separate governed layers.</x:v>
      </x:c>
      <x:c r="C23" s="301"/>
      <x:c r="D23" s="301"/>
      <x:c r="E23" s="301"/>
    </x:row>
    <x:row r="24" ht="75">
      <x:c r="A24" s="301" t="str">
        <x:v>5-Sep T-087 hard checkpoint</x:v>
      </x:c>
      <x:c r="B24" s="301" t="str">
        <x:v>If canonical migration is not green, activate the declared compatibility-read fallback and label configured vs executed honestly.</x:v>
      </x:c>
      <x:c r="C24" s="301"/>
      <x:c r="D24" s="301"/>
      <x:c r="E24" s="301"/>
    </x:row>
    <x:row r="25" ht="60">
      <x:c r="A25" s="301" t="str">
        <x:v>September differentiation</x:v>
      </x:c>
      <x:c r="B25" s="301" t="str">
        <x:v>Historical reconciliation + performance references + grounded Assistant explanation; live OPC site certification is a pilot gate; Insight Composer is post-September unless capacity remains.</x:v>
      </x:c>
      <x:c r="C25" s="301"/>
      <x:c r="D25" s="301"/>
      <x:c r="E25" s="301"/>
    </x:row>
    <x:row r="26" ht="60">
      <x:c r="A26" s="301" t="str">
        <x:v>Release Truth architecture</x:v>
      </x:c>
      <x:c r="B26" s="301" t="str">
        <x:v>Persisted-definition replay and customer-session semantic tests become first-class gates. Every browser-found bug must first become a lower-layer failing automated regression.</x:v>
      </x:c>
      <x:c r="C26" s="301"/>
      <x:c r="D26" s="301"/>
      <x:c r="E26" s="301"/>
    </x:row>
    <x:row r="27" ht="60">
      <x:c r="A27" s="301"/>
      <x:c r="B27" s="301"/>
      <x:c r="C27" s="301"/>
      <x:c r="D27" s="301"/>
      <x:c r="E27" s="301"/>
    </x:row>
    <x:row r="28" ht="60">
      <x:c r="A28" s="301" t="str">
        <x:v>Authoritative September sequence</x:v>
      </x:c>
      <x:c r="B28" s="301"/>
      <x:c r="C28" s="301"/>
      <x:c r="D28" s="301"/>
      <x:c r="E28" s="301"/>
    </x:row>
    <x:row r="29" ht="60">
      <x:c r="A29" s="301" t="str">
        <x:v>Wave</x:v>
      </x:c>
      <x:c r="B29" s="301" t="str">
        <x:v>Primary scope</x:v>
      </x:c>
      <x:c r="C29" s="301" t="str">
        <x:v>Exit</x:v>
      </x:c>
      <x:c r="D29" s="301"/>
      <x:c r="E29" s="301"/>
    </x:row>
    <x:row r="30">
      <x:c r="A30" s="366" t="str">
        <x:v>R0</x:v>
      </x:c>
      <x:c r="B30" s="366" t="str">
        <x:v>T-201..T-208 Product Truth cutover</x:v>
      </x:c>
      <x:c r="C30" s="366" t="str">
        <x:v>Frozen M1 baseline; persisted definitions replay; zero false connector claims; generic fixtures ready.</x:v>
      </x:c>
      <x:c r="D30" s="301"/>
      <x:c r="E30" s="301"/>
    </x:row>
    <x:row r="31" ht="30">
      <x:c r="A31" s="373" t="str">
        <x:v>R1</x:v>
      </x:c>
      <x:c r="B31" s="373" t="str">
        <x:v>T-086→T-088→T-087→T-089→T-090 in W1; T-209/T-214/T-216 contracts run SAFE-NOW in W3; T-210/T-231→T-092 persist canonical authority</x:v>
      </x:c>
      <x:c r="C31" s="373" t="str">
        <x:v>Parallel contract proof + canonical persistence + data-driven registry; no 96h all-in-one chain.</x:v>
      </x:c>
      <x:c r="D31" s="291"/>
      <x:c r="E31" s="291"/>
    </x:row>
    <x:row r="32" ht="45">
      <x:c r="A32" s="301" t="str">
        <x:v>R2</x:v>
      </x:c>
      <x:c r="B32" s="301" t="str">
        <x:v>Customer intake T-213 + reference persistence T-232/T-215 + time persistence T-233; kernels T-217/T-218 can already be green</x:v>
      </x:c>
      <x:c r="C32" s="301" t="str">
        <x:v>Customer schema mapped without product-code branches; reference/time semantics explicit.</x:v>
      </x:c>
      <x:c r="D32" s="301"/>
      <x:c r="E32" s="301"/>
    </x:row>
    <x:row r="33" ht="60">
      <x:c r="A33" s="301" t="str">
        <x:v>R3</x:v>
      </x:c>
      <x:c r="B33" s="301" t="str">
        <x:v>Committed reconciliation M2b-P0C T-211/T-217..T-223; Insight Composer moved to M2b-P0D</x:v>
      </x:c>
      <x:c r="C33" s="301" t="str">
        <x:v>One customer historical reconciliation use case with evidence, confidence ladder and grounded Assistant explanation; deferred composition does not affect completion.</x:v>
      </x:c>
      <x:c r="D33" s="301"/>
      <x:c r="E33" s="301"/>
    </x:row>
    <x:row r="34" ht="60">
      <x:c r="A34" s="301" t="str">
        <x:v>R4</x:v>
      </x:c>
      <x:c r="B34" s="301" t="str">
        <x:v>26–29 Sep hard freeze</x:v>
      </x:c>
      <x:c r="C34" s="301" t="str">
        <x:v>No feature work; replay, network/session, performance, visual and rehearsal only.</x:v>
      </x:c>
      <x:c r="D34" s="301"/>
      <x:c r="E34" s="301"/>
    </x:row>
    <x:row r="35" ht="60">
      <x:c r="A35" s="301" t="str">
        <x:v>Trial</x:v>
      </x:c>
      <x:c r="B35" s="301" t="str">
        <x:v>T-224..T-227 + existing M3 security/install/backup gates</x:v>
      </x:c>
      <x:c r="C35" s="301" t="str">
        <x:v>Real OPC-UA site certification and measurable two-month Pilot Success Contract.</x:v>
      </x:c>
      <x:c r="D35" s="301"/>
      <x:c r="E35" s="301"/>
    </x:row>
    <x:row r="36" ht="45">
      <x:c r="A36" s="2"/>
      <x:c r="B36" s="2"/>
      <x:c r="C36" s="2"/>
      <x:c r="D36" s="2"/>
      <x:c r="E36" s="2"/>
    </x:row>
    <x:row r="37" ht="45">
      <x:c r="A37" s="2"/>
      <x:c r="B37" s="2"/>
      <x:c r="C37" s="2"/>
      <x:c r="D37" s="2"/>
      <x:c r="E37" s="2"/>
    </x:row>
    <x:row r="38" ht="45">
      <x:c r="A38" s="2"/>
      <x:c r="B38" s="2"/>
      <x:c r="C38" s="2"/>
      <x:c r="D38" s="2"/>
      <x:c r="E38" s="2"/>
    </x:row>
    <x:row r="40">
      <x:c r="A40" s="132"/>
      <x:c r="B40" s="132"/>
      <x:c r="C40" s="132"/>
      <x:c r="D40" s="132"/>
      <x:c r="E40" s="132"/>
    </x:row>
    <x:row r="41">
      <x:c r="A41" s="114"/>
      <x:c r="B41" s="114"/>
      <x:c r="C41" s="114"/>
      <x:c r="D41" s="114"/>
      <x:c r="E41" s="114"/>
    </x:row>
    <x:row r="42" ht="30">
      <x:c r="A42" s="2"/>
      <x:c r="B42" s="2"/>
      <x:c r="C42" s="2"/>
      <x:c r="D42" s="2"/>
      <x:c r="E42" s="2"/>
    </x:row>
    <x:row r="43" ht="30">
      <x:c r="A43" s="2"/>
      <x:c r="B43" s="2"/>
      <x:c r="C43" s="2"/>
      <x:c r="D43" s="2"/>
      <x:c r="E43" s="2"/>
    </x:row>
    <x:row r="44" ht="30">
      <x:c r="A44" s="2"/>
      <x:c r="B44" s="2"/>
      <x:c r="C44" s="2"/>
      <x:c r="D44" s="2"/>
      <x:c r="E44" s="2"/>
    </x:row>
    <x:row r="45" ht="30">
      <x:c r="A45" s="2"/>
      <x:c r="B45" s="2"/>
      <x:c r="C45" s="2"/>
      <x:c r="D45" s="2"/>
      <x:c r="E45" s="2"/>
    </x:row>
    <x:row r="46" ht="30">
      <x:c r="A46" s="2"/>
      <x:c r="B46" s="2"/>
      <x:c r="C46" s="2"/>
      <x:c r="D46" s="2"/>
      <x:c r="E46" s="2"/>
    </x:row>
  </x:sheetData>
  <x:mergeCells>
    <x:mergeCell ref="A1:H1"/>
    <x:mergeCell ref="A21:H21"/>
    <x:mergeCell ref="A40:E40"/>
  </x:mergeCells>
  <x:pageMargins left="0.7" right="0.7" top="0.75" bottom="0.75" header="0.3" footer="0.3"/>
  <x:drawing xmlns:r="http://schemas.openxmlformats.org/officeDocument/2006/relationships" r:id="R5a01c9d4573e4f3b"/>
</x:worksheet>
</file>

<file path=xl/worksheets/sheet12.xml><?xml version="1.0" encoding="utf-8"?>
<x:worksheet xmlns:x="http://schemas.openxmlformats.org/spreadsheetml/2006/main">
  <x:sheetFormatPr defaultRowHeight="15"/>
  <x:cols>
    <x:col min="1" max="1" width="24" customWidth="1"/>
    <x:col min="2" max="2" width="36" customWidth="1"/>
    <x:col min="3" max="3" width="46" customWidth="1"/>
    <x:col min="4" max="4" width="36" customWidth="1"/>
    <x:col min="5" max="5" width="48" customWidth="1"/>
    <x:col min="6" max="6" width="26" customWidth="1"/>
    <x:col min="7" max="7" width="42" customWidth="1"/>
    <x:col min="8" max="8" width="34" customWidth="1"/>
  </x:cols>
  <x:sheetData>
    <x:row r="1" ht="21">
      <x:c r="A1" s="133" t="s">
        <x:v>2411</x:v>
      </x:c>
      <x:c r="B1" s="133"/>
      <x:c r="C1" s="133"/>
      <x:c r="D1" s="133"/>
      <x:c r="E1" s="133"/>
      <x:c r="F1" s="133"/>
      <x:c r="G1" s="133"/>
      <x:c r="H1" s="133"/>
      <x:c r="I1" s="21"/>
      <x:c r="J1" s="21"/>
      <x:c r="K1" s="21"/>
      <x:c r="L1" s="21"/>
      <x:c r="M1" s="21"/>
      <x:c r="N1" s="21"/>
      <x:c r="O1" s="21"/>
      <x:c r="P1" s="21"/>
      <x:c r="Q1" s="21"/>
      <x:c r="R1" s="21"/>
      <x:c r="S1" s="21"/>
      <x:c r="T1" s="21"/>
      <x:c r="U1" s="21"/>
      <x:c r="V1" s="21"/>
      <x:c r="W1" s="21"/>
      <x:c r="X1" s="21"/>
      <x:c r="Y1" s="21"/>
      <x:c r="Z1" s="21"/>
    </x:row>
    <x:row r="2">
      <x:c r="A2" s="108" t="s">
        <x:v>2412</x:v>
      </x:c>
      <x:c r="B2" s="108" t="s">
        <x:v>2413</x:v>
      </x:c>
      <x:c r="C2" s="108" t="s">
        <x:v>2414</x:v>
      </x:c>
      <x:c r="D2" s="108" t="s">
        <x:v>2415</x:v>
      </x:c>
      <x:c r="E2" s="108" t="s">
        <x:v>2416</x:v>
      </x:c>
      <x:c r="F2" s="108" t="s">
        <x:v>2417</x:v>
      </x:c>
      <x:c r="G2" s="108" t="s">
        <x:v>2418</x:v>
      </x:c>
      <x:c r="H2" s="108" t="s">
        <x:v>2419</x:v>
      </x:c>
      <x:c r="I2" s="21"/>
      <x:c r="J2" s="21"/>
      <x:c r="K2" s="21"/>
      <x:c r="L2" s="21"/>
      <x:c r="M2" s="21"/>
      <x:c r="N2" s="21"/>
      <x:c r="O2" s="21"/>
      <x:c r="P2" s="21"/>
      <x:c r="Q2" s="21"/>
      <x:c r="R2" s="21"/>
      <x:c r="S2" s="21"/>
      <x:c r="T2" s="21"/>
      <x:c r="U2" s="21"/>
      <x:c r="V2" s="21"/>
      <x:c r="W2" s="21"/>
      <x:c r="X2" s="21"/>
      <x:c r="Y2" s="21"/>
      <x:c r="Z2" s="21"/>
    </x:row>
    <x:row r="3" ht="45">
      <x:c r="A3" s="7" t="s">
        <x:v>2420</x:v>
      </x:c>
      <x:c r="B3" s="7" t="s">
        <x:v>2421</x:v>
      </x:c>
      <x:c r="C3" s="7" t="s">
        <x:v>2422</x:v>
      </x:c>
      <x:c r="D3" s="7" t="s">
        <x:v>2423</x:v>
      </x:c>
      <x:c r="E3" s="7" t="s">
        <x:v>2424</x:v>
      </x:c>
      <x:c r="F3" s="7" t="s">
        <x:v>2425</x:v>
      </x:c>
      <x:c r="G3" s="7" t="s">
        <x:v>2426</x:v>
      </x:c>
      <x:c r="H3" s="7" t="s">
        <x:v>2427</x:v>
      </x:c>
      <x:c r="I3" s="21"/>
      <x:c r="J3" s="21"/>
      <x:c r="K3" s="21"/>
      <x:c r="L3" s="21"/>
      <x:c r="M3" s="21"/>
      <x:c r="N3" s="21"/>
      <x:c r="O3" s="21"/>
      <x:c r="P3" s="21"/>
      <x:c r="Q3" s="21"/>
      <x:c r="R3" s="21"/>
      <x:c r="S3" s="21"/>
      <x:c r="T3" s="21"/>
      <x:c r="U3" s="21"/>
      <x:c r="V3" s="21"/>
      <x:c r="W3" s="21"/>
      <x:c r="X3" s="21"/>
      <x:c r="Y3" s="21"/>
      <x:c r="Z3" s="21"/>
    </x:row>
    <x:row r="4" ht="60">
      <x:c r="A4" s="7" t="s">
        <x:v>2428</x:v>
      </x:c>
      <x:c r="B4" s="7" t="s">
        <x:v>2429</x:v>
      </x:c>
      <x:c r="C4" s="7" t="s">
        <x:v>2430</x:v>
      </x:c>
      <x:c r="D4" s="7" t="s">
        <x:v>2431</x:v>
      </x:c>
      <x:c r="E4" s="7" t="s">
        <x:v>2432</x:v>
      </x:c>
      <x:c r="F4" s="7" t="s">
        <x:v>2433</x:v>
      </x:c>
      <x:c r="G4" s="7" t="s">
        <x:v>2434</x:v>
      </x:c>
      <x:c r="H4" s="7" t="s">
        <x:v>2435</x:v>
      </x:c>
      <x:c r="I4" s="21"/>
      <x:c r="J4" s="21"/>
      <x:c r="K4" s="21"/>
      <x:c r="L4" s="21"/>
      <x:c r="M4" s="21"/>
      <x:c r="N4" s="21"/>
      <x:c r="O4" s="21"/>
      <x:c r="P4" s="21"/>
      <x:c r="Q4" s="21"/>
      <x:c r="R4" s="21"/>
      <x:c r="S4" s="21"/>
      <x:c r="T4" s="21"/>
      <x:c r="U4" s="21"/>
      <x:c r="V4" s="21"/>
      <x:c r="W4" s="21"/>
      <x:c r="X4" s="21"/>
      <x:c r="Y4" s="21"/>
      <x:c r="Z4" s="21"/>
    </x:row>
    <x:row r="5" ht="60">
      <x:c r="A5" s="7" t="s">
        <x:v>2436</x:v>
      </x:c>
      <x:c r="B5" s="7" t="s">
        <x:v>2437</x:v>
      </x:c>
      <x:c r="C5" s="7" t="s">
        <x:v>2438</x:v>
      </x:c>
      <x:c r="D5" s="7" t="s">
        <x:v>2439</x:v>
      </x:c>
      <x:c r="E5" s="7" t="s">
        <x:v>2440</x:v>
      </x:c>
      <x:c r="F5" s="7" t="s">
        <x:v>2441</x:v>
      </x:c>
      <x:c r="G5" s="7" t="s">
        <x:v>2442</x:v>
      </x:c>
      <x:c r="H5" s="7" t="s">
        <x:v>2443</x:v>
      </x:c>
      <x:c r="I5" s="21"/>
      <x:c r="J5" s="21"/>
      <x:c r="K5" s="21"/>
      <x:c r="L5" s="21"/>
      <x:c r="M5" s="21"/>
      <x:c r="N5" s="21"/>
      <x:c r="O5" s="21"/>
      <x:c r="P5" s="21"/>
      <x:c r="Q5" s="21"/>
      <x:c r="R5" s="21"/>
      <x:c r="S5" s="21"/>
      <x:c r="T5" s="21"/>
      <x:c r="U5" s="21"/>
      <x:c r="V5" s="21"/>
      <x:c r="W5" s="21"/>
      <x:c r="X5" s="21"/>
      <x:c r="Y5" s="21"/>
      <x:c r="Z5" s="21"/>
    </x:row>
    <x:row r="6" ht="30">
      <x:c r="A6" s="7" t="s">
        <x:v>2444</x:v>
      </x:c>
      <x:c r="B6" s="7" t="s">
        <x:v>2445</x:v>
      </x:c>
      <x:c r="C6" s="7" t="s">
        <x:v>2446</x:v>
      </x:c>
      <x:c r="D6" s="7" t="s">
        <x:v>2447</x:v>
      </x:c>
      <x:c r="E6" s="7" t="s">
        <x:v>2448</x:v>
      </x:c>
      <x:c r="F6" s="7" t="s">
        <x:v>2449</x:v>
      </x:c>
      <x:c r="G6" s="7" t="s">
        <x:v>2450</x:v>
      </x:c>
      <x:c r="H6" s="7" t="s">
        <x:v>2451</x:v>
      </x:c>
      <x:c r="I6" s="21"/>
      <x:c r="J6" s="21"/>
      <x:c r="K6" s="21"/>
      <x:c r="L6" s="21"/>
      <x:c r="M6" s="21"/>
      <x:c r="N6" s="21"/>
      <x:c r="O6" s="21"/>
      <x:c r="P6" s="21"/>
      <x:c r="Q6" s="21"/>
      <x:c r="R6" s="21"/>
      <x:c r="S6" s="21"/>
      <x:c r="T6" s="21"/>
      <x:c r="U6" s="21"/>
      <x:c r="V6" s="21"/>
      <x:c r="W6" s="21"/>
      <x:c r="X6" s="21"/>
      <x:c r="Y6" s="21"/>
      <x:c r="Z6" s="21"/>
    </x:row>
    <x:row r="7" ht="45">
      <x:c r="A7" s="7" t="s">
        <x:v>2452</x:v>
      </x:c>
      <x:c r="B7" s="7" t="s">
        <x:v>2453</x:v>
      </x:c>
      <x:c r="C7" s="7" t="s">
        <x:v>2454</x:v>
      </x:c>
      <x:c r="D7" s="7" t="s">
        <x:v>2455</x:v>
      </x:c>
      <x:c r="E7" s="7" t="s">
        <x:v>2456</x:v>
      </x:c>
      <x:c r="F7" s="7" t="s">
        <x:v>2457</x:v>
      </x:c>
      <x:c r="G7" s="7" t="s">
        <x:v>2458</x:v>
      </x:c>
      <x:c r="H7" s="7" t="s">
        <x:v>2459</x:v>
      </x:c>
      <x:c r="I7" s="21"/>
      <x:c r="J7" s="21"/>
      <x:c r="K7" s="21"/>
      <x:c r="L7" s="21"/>
      <x:c r="M7" s="21"/>
      <x:c r="N7" s="21"/>
      <x:c r="O7" s="21"/>
      <x:c r="P7" s="21"/>
      <x:c r="Q7" s="21"/>
      <x:c r="R7" s="21"/>
      <x:c r="S7" s="21"/>
      <x:c r="T7" s="21"/>
      <x:c r="U7" s="21"/>
      <x:c r="V7" s="21"/>
      <x:c r="W7" s="21"/>
      <x:c r="X7" s="21"/>
      <x:c r="Y7" s="21"/>
      <x:c r="Z7" s="21"/>
    </x:row>
    <x:row r="8" ht="60">
      <x:c r="A8" s="7" t="s">
        <x:v>2460</x:v>
      </x:c>
      <x:c r="B8" s="7" t="s">
        <x:v>2461</x:v>
      </x:c>
      <x:c r="C8" s="7" t="s">
        <x:v>2462</x:v>
      </x:c>
      <x:c r="D8" s="7" t="s">
        <x:v>2463</x:v>
      </x:c>
      <x:c r="E8" s="7" t="s">
        <x:v>2464</x:v>
      </x:c>
      <x:c r="F8" s="7" t="s">
        <x:v>2465</x:v>
      </x:c>
      <x:c r="G8" s="7" t="s">
        <x:v>2466</x:v>
      </x:c>
      <x:c r="H8" s="7" t="s">
        <x:v>2467</x:v>
      </x:c>
      <x:c r="I8" s="21"/>
      <x:c r="J8" s="21"/>
      <x:c r="K8" s="21"/>
      <x:c r="L8" s="21"/>
      <x:c r="M8" s="21"/>
      <x:c r="N8" s="21"/>
      <x:c r="O8" s="21"/>
      <x:c r="P8" s="21"/>
      <x:c r="Q8" s="21"/>
      <x:c r="R8" s="21"/>
      <x:c r="S8" s="21"/>
      <x:c r="T8" s="21"/>
      <x:c r="U8" s="21"/>
      <x:c r="V8" s="21"/>
      <x:c r="W8" s="21"/>
      <x:c r="X8" s="21"/>
      <x:c r="Y8" s="21"/>
      <x:c r="Z8" s="21"/>
    </x:row>
    <x:row r="9" ht="45">
      <x:c r="A9" s="7" t="s">
        <x:v>2468</x:v>
      </x:c>
      <x:c r="B9" s="7" t="s">
        <x:v>2469</x:v>
      </x:c>
      <x:c r="C9" s="7" t="s">
        <x:v>2470</x:v>
      </x:c>
      <x:c r="D9" s="7" t="s">
        <x:v>2471</x:v>
      </x:c>
      <x:c r="E9" s="7" t="s">
        <x:v>2472</x:v>
      </x:c>
      <x:c r="F9" s="7" t="s">
        <x:v>2473</x:v>
      </x:c>
      <x:c r="G9" s="7" t="s">
        <x:v>2474</x:v>
      </x:c>
      <x:c r="H9" s="7" t="s">
        <x:v>2475</x:v>
      </x:c>
      <x:c r="I9" s="21"/>
      <x:c r="J9" s="21"/>
      <x:c r="K9" s="21"/>
      <x:c r="L9" s="21"/>
      <x:c r="M9" s="21"/>
      <x:c r="N9" s="21"/>
      <x:c r="O9" s="21"/>
      <x:c r="P9" s="21"/>
      <x:c r="Q9" s="21"/>
      <x:c r="R9" s="21"/>
      <x:c r="S9" s="21"/>
      <x:c r="T9" s="21"/>
      <x:c r="U9" s="21"/>
      <x:c r="V9" s="21"/>
      <x:c r="W9" s="21"/>
      <x:c r="X9" s="21"/>
      <x:c r="Y9" s="21"/>
      <x:c r="Z9" s="21"/>
    </x:row>
    <x:row r="10" ht="45">
      <x:c r="A10" s="7" t="s">
        <x:v>2476</x:v>
      </x:c>
      <x:c r="B10" s="7" t="s">
        <x:v>2477</x:v>
      </x:c>
      <x:c r="C10" s="7" t="s">
        <x:v>2478</x:v>
      </x:c>
      <x:c r="D10" s="7" t="s">
        <x:v>2479</x:v>
      </x:c>
      <x:c r="E10" s="7" t="s">
        <x:v>2480</x:v>
      </x:c>
      <x:c r="F10" s="7" t="s">
        <x:v>2481</x:v>
      </x:c>
      <x:c r="G10" s="7" t="s">
        <x:v>2482</x:v>
      </x:c>
      <x:c r="H10" s="7" t="s">
        <x:v>2483</x:v>
      </x:c>
      <x:c r="I10" s="21"/>
      <x:c r="J10" s="21"/>
      <x:c r="K10" s="21"/>
      <x:c r="L10" s="21"/>
      <x:c r="M10" s="21"/>
      <x:c r="N10" s="21"/>
      <x:c r="O10" s="21"/>
      <x:c r="P10" s="21"/>
      <x:c r="Q10" s="21"/>
      <x:c r="R10" s="21"/>
      <x:c r="S10" s="21"/>
      <x:c r="T10" s="21"/>
      <x:c r="U10" s="21"/>
      <x:c r="V10" s="21"/>
      <x:c r="W10" s="21"/>
      <x:c r="X10" s="21"/>
      <x:c r="Y10" s="21"/>
      <x:c r="Z10" s="21"/>
    </x:row>
    <x:row r="11" ht="75">
      <x:c r="A11" s="7" t="s">
        <x:v>2484</x:v>
      </x:c>
      <x:c r="B11" s="7" t="s">
        <x:v>2485</x:v>
      </x:c>
      <x:c r="C11" s="7" t="s">
        <x:v>2486</x:v>
      </x:c>
      <x:c r="D11" s="7" t="s">
        <x:v>2487</x:v>
      </x:c>
      <x:c r="E11" s="7" t="s">
        <x:v>2488</x:v>
      </x:c>
      <x:c r="F11" s="7" t="s">
        <x:v>2489</x:v>
      </x:c>
      <x:c r="G11" s="7" t="s">
        <x:v>2490</x:v>
      </x:c>
      <x:c r="H11" s="7" t="s">
        <x:v>2491</x:v>
      </x:c>
      <x:c r="I11" s="21"/>
      <x:c r="J11" s="21"/>
      <x:c r="K11" s="21"/>
      <x:c r="L11" s="21"/>
      <x:c r="M11" s="21"/>
      <x:c r="N11" s="21"/>
      <x:c r="O11" s="21"/>
      <x:c r="P11" s="21"/>
      <x:c r="Q11" s="21"/>
      <x:c r="R11" s="21"/>
      <x:c r="S11" s="21"/>
      <x:c r="T11" s="21"/>
      <x:c r="U11" s="21"/>
      <x:c r="V11" s="21"/>
      <x:c r="W11" s="21"/>
      <x:c r="X11" s="21"/>
      <x:c r="Y11" s="21"/>
      <x:c r="Z11" s="21"/>
    </x:row>
    <x:row r="12" ht="45">
      <x:c r="A12" s="7" t="s">
        <x:v>2492</x:v>
      </x:c>
      <x:c r="B12" s="7" t="s">
        <x:v>2493</x:v>
      </x:c>
      <x:c r="C12" s="7" t="s">
        <x:v>2494</x:v>
      </x:c>
      <x:c r="D12" s="7" t="s">
        <x:v>2495</x:v>
      </x:c>
      <x:c r="E12" s="7" t="s">
        <x:v>2496</x:v>
      </x:c>
      <x:c r="F12" s="7" t="s">
        <x:v>2497</x:v>
      </x:c>
      <x:c r="G12" s="7" t="s">
        <x:v>2498</x:v>
      </x:c>
      <x:c r="H12" s="7" t="s">
        <x:v>2499</x:v>
      </x:c>
      <x:c r="I12" s="21"/>
      <x:c r="J12" s="21"/>
      <x:c r="K12" s="21"/>
      <x:c r="L12" s="21"/>
      <x:c r="M12" s="21"/>
      <x:c r="N12" s="21"/>
      <x:c r="O12" s="21"/>
      <x:c r="P12" s="21"/>
      <x:c r="Q12" s="21"/>
      <x:c r="R12" s="21"/>
      <x:c r="S12" s="21"/>
      <x:c r="T12" s="21"/>
      <x:c r="U12" s="21"/>
      <x:c r="V12" s="21"/>
      <x:c r="W12" s="21"/>
      <x:c r="X12" s="21"/>
      <x:c r="Y12" s="21"/>
      <x:c r="Z12" s="21"/>
    </x:row>
    <x:row r="13" ht="45">
      <x:c r="A13" s="7" t="s">
        <x:v>2500</x:v>
      </x:c>
      <x:c r="B13" s="7" t="s">
        <x:v>2501</x:v>
      </x:c>
      <x:c r="C13" s="7" t="s">
        <x:v>2502</x:v>
      </x:c>
      <x:c r="D13" s="7" t="s">
        <x:v>2503</x:v>
      </x:c>
      <x:c r="E13" s="7" t="s">
        <x:v>2504</x:v>
      </x:c>
      <x:c r="F13" s="7" t="s">
        <x:v>2505</x:v>
      </x:c>
      <x:c r="G13" s="7" t="s">
        <x:v>2506</x:v>
      </x:c>
      <x:c r="H13" s="7" t="s">
        <x:v>2507</x:v>
      </x:c>
      <x:c r="I13" s="21"/>
      <x:c r="J13" s="21"/>
      <x:c r="K13" s="21"/>
      <x:c r="L13" s="21"/>
      <x:c r="M13" s="21"/>
      <x:c r="N13" s="21"/>
      <x:c r="O13" s="21"/>
      <x:c r="P13" s="21"/>
      <x:c r="Q13" s="21"/>
      <x:c r="R13" s="21"/>
      <x:c r="S13" s="21"/>
      <x:c r="T13" s="21"/>
      <x:c r="U13" s="21"/>
      <x:c r="V13" s="21"/>
      <x:c r="W13" s="21"/>
      <x:c r="X13" s="21"/>
      <x:c r="Y13" s="21"/>
      <x:c r="Z13" s="21"/>
    </x:row>
    <x:row r="14" ht="45">
      <x:c r="A14" s="7" t="s">
        <x:v>2508</x:v>
      </x:c>
      <x:c r="B14" s="7" t="s">
        <x:v>2509</x:v>
      </x:c>
      <x:c r="C14" s="7" t="s">
        <x:v>2510</x:v>
      </x:c>
      <x:c r="D14" s="7" t="s">
        <x:v>2511</x:v>
      </x:c>
      <x:c r="E14" s="7" t="s">
        <x:v>2512</x:v>
      </x:c>
      <x:c r="F14" s="7" t="s">
        <x:v>2513</x:v>
      </x:c>
      <x:c r="G14" s="7" t="s">
        <x:v>2514</x:v>
      </x:c>
      <x:c r="H14" s="7" t="s">
        <x:v>2515</x:v>
      </x:c>
      <x:c r="I14" s="21"/>
      <x:c r="J14" s="21"/>
      <x:c r="K14" s="21"/>
      <x:c r="L14" s="21"/>
      <x:c r="M14" s="21"/>
      <x:c r="N14" s="21"/>
      <x:c r="O14" s="21"/>
      <x:c r="P14" s="21"/>
      <x:c r="Q14" s="21"/>
      <x:c r="R14" s="21"/>
      <x:c r="S14" s="21"/>
      <x:c r="T14" s="21"/>
      <x:c r="U14" s="21"/>
      <x:c r="V14" s="21"/>
      <x:c r="W14" s="21"/>
      <x:c r="X14" s="21"/>
      <x:c r="Y14" s="21"/>
      <x:c r="Z14" s="21"/>
    </x:row>
    <x:row r="15" ht="60">
      <x:c r="A15" s="7" t="s">
        <x:v>2516</x:v>
      </x:c>
      <x:c r="B15" s="7" t="s">
        <x:v>2517</x:v>
      </x:c>
      <x:c r="C15" s="7" t="s">
        <x:v>2518</x:v>
      </x:c>
      <x:c r="D15" s="7" t="s">
        <x:v>2519</x:v>
      </x:c>
      <x:c r="E15" s="7" t="s">
        <x:v>2520</x:v>
      </x:c>
      <x:c r="F15" s="7" t="s">
        <x:v>2521</x:v>
      </x:c>
      <x:c r="G15" s="7" t="s">
        <x:v>2522</x:v>
      </x:c>
      <x:c r="H15" s="7" t="s">
        <x:v>2523</x:v>
      </x:c>
      <x:c r="I15" s="21"/>
      <x:c r="J15" s="21"/>
      <x:c r="K15" s="21"/>
      <x:c r="L15" s="21"/>
      <x:c r="M15" s="21"/>
      <x:c r="N15" s="21"/>
      <x:c r="O15" s="21"/>
      <x:c r="P15" s="21"/>
      <x:c r="Q15" s="21"/>
      <x:c r="R15" s="21"/>
      <x:c r="S15" s="21"/>
      <x:c r="T15" s="21"/>
      <x:c r="U15" s="21"/>
      <x:c r="V15" s="21"/>
      <x:c r="W15" s="21"/>
      <x:c r="X15" s="21"/>
      <x:c r="Y15" s="21"/>
      <x:c r="Z15" s="21"/>
    </x:row>
    <x:row r="16" ht="45">
      <x:c r="A16" s="7" t="s">
        <x:v>2524</x:v>
      </x:c>
      <x:c r="B16" s="7" t="s">
        <x:v>2525</x:v>
      </x:c>
      <x:c r="C16" s="7" t="s">
        <x:v>2526</x:v>
      </x:c>
      <x:c r="D16" s="7" t="s">
        <x:v>2527</x:v>
      </x:c>
      <x:c r="E16" s="7" t="s">
        <x:v>2528</x:v>
      </x:c>
      <x:c r="F16" s="7" t="s">
        <x:v>2529</x:v>
      </x:c>
      <x:c r="G16" s="7" t="s">
        <x:v>2530</x:v>
      </x:c>
      <x:c r="H16" s="7" t="s">
        <x:v>2531</x:v>
      </x:c>
      <x:c r="I16" s="21"/>
      <x:c r="J16" s="21"/>
      <x:c r="K16" s="21"/>
      <x:c r="L16" s="21"/>
      <x:c r="M16" s="21"/>
      <x:c r="N16" s="21"/>
      <x:c r="O16" s="21"/>
      <x:c r="P16" s="21"/>
      <x:c r="Q16" s="21"/>
      <x:c r="R16" s="21"/>
      <x:c r="S16" s="21"/>
      <x:c r="T16" s="21"/>
      <x:c r="U16" s="21"/>
      <x:c r="V16" s="21"/>
      <x:c r="W16" s="21"/>
      <x:c r="X16" s="21"/>
      <x:c r="Y16" s="21"/>
      <x:c r="Z16" s="21"/>
    </x:row>
    <x:row r="17" ht="45">
      <x:c r="A17" s="7" t="s">
        <x:v>2532</x:v>
      </x:c>
      <x:c r="B17" s="7" t="s">
        <x:v>2533</x:v>
      </x:c>
      <x:c r="C17" s="7" t="s">
        <x:v>2534</x:v>
      </x:c>
      <x:c r="D17" s="7" t="s">
        <x:v>2535</x:v>
      </x:c>
      <x:c r="E17" s="7" t="s">
        <x:v>2536</x:v>
      </x:c>
      <x:c r="F17" s="7" t="s">
        <x:v>2537</x:v>
      </x:c>
      <x:c r="G17" s="7" t="s">
        <x:v>2538</x:v>
      </x:c>
      <x:c r="H17" s="7" t="s">
        <x:v>2539</x:v>
      </x:c>
      <x:c r="I17" s="21"/>
      <x:c r="J17" s="21"/>
      <x:c r="K17" s="21"/>
      <x:c r="L17" s="21"/>
      <x:c r="M17" s="21"/>
      <x:c r="N17" s="21"/>
      <x:c r="O17" s="21"/>
      <x:c r="P17" s="21"/>
      <x:c r="Q17" s="21"/>
      <x:c r="R17" s="21"/>
      <x:c r="S17" s="21"/>
      <x:c r="T17" s="21"/>
      <x:c r="U17" s="21"/>
      <x:c r="V17" s="21"/>
      <x:c r="W17" s="21"/>
      <x:c r="X17" s="21"/>
      <x:c r="Y17" s="21"/>
      <x:c r="Z17" s="21"/>
    </x:row>
    <x:row r="18" ht="45">
      <x:c r="A18" s="7" t="s">
        <x:v>2540</x:v>
      </x:c>
      <x:c r="B18" s="7" t="s">
        <x:v>2541</x:v>
      </x:c>
      <x:c r="C18" s="7" t="s">
        <x:v>53</x:v>
      </x:c>
      <x:c r="D18" s="7" t="s">
        <x:v>2542</x:v>
      </x:c>
      <x:c r="E18" s="7" t="s">
        <x:v>2543</x:v>
      </x:c>
      <x:c r="F18" s="7" t="s">
        <x:v>2544</x:v>
      </x:c>
      <x:c r="G18" s="7" t="s">
        <x:v>2545</x:v>
      </x:c>
      <x:c r="H18" s="7" t="s">
        <x:v>2546</x:v>
      </x:c>
      <x:c r="I18" s="21"/>
      <x:c r="J18" s="21"/>
      <x:c r="K18" s="21"/>
      <x:c r="L18" s="21"/>
      <x:c r="M18" s="21"/>
      <x:c r="N18" s="21"/>
      <x:c r="O18" s="21"/>
      <x:c r="P18" s="21"/>
      <x:c r="Q18" s="21"/>
      <x:c r="R18" s="21"/>
      <x:c r="S18" s="21"/>
      <x:c r="T18" s="21"/>
      <x:c r="U18" s="21"/>
      <x:c r="V18" s="21"/>
      <x:c r="W18" s="21"/>
      <x:c r="X18" s="21"/>
      <x:c r="Y18" s="21"/>
      <x:c r="Z18" s="21"/>
    </x:row>
    <x:row r="19">
      <x:c r="A19" s="21"/>
      <x:c r="B19" s="21"/>
      <x:c r="C19" s="21"/>
      <x:c r="D19" s="21"/>
      <x:c r="E19" s="21"/>
      <x:c r="F19" s="21"/>
      <x:c r="G19" s="21"/>
      <x:c r="H19" s="21"/>
      <x:c r="I19" s="21"/>
      <x:c r="J19" s="21"/>
      <x:c r="K19" s="21"/>
      <x:c r="L19" s="21"/>
      <x:c r="M19" s="21"/>
      <x:c r="N19" s="21"/>
      <x:c r="O19" s="21"/>
      <x:c r="P19" s="21"/>
      <x:c r="Q19" s="21"/>
      <x:c r="R19" s="21"/>
      <x:c r="S19" s="21"/>
      <x:c r="T19" s="21"/>
      <x:c r="U19" s="21"/>
      <x:c r="V19" s="21"/>
      <x:c r="W19" s="21"/>
      <x:c r="X19" s="21"/>
      <x:c r="Y19" s="21"/>
      <x:c r="Z19" s="21"/>
    </x:row>
    <x:row r="20">
      <x:c r="A20" s="21"/>
      <x:c r="B20" s="21"/>
      <x:c r="C20" s="21"/>
      <x:c r="D20" s="21"/>
      <x:c r="E20" s="21"/>
      <x:c r="F20" s="21"/>
      <x:c r="G20" s="21"/>
      <x:c r="H20" s="21"/>
      <x:c r="I20" s="21"/>
      <x:c r="J20" s="21"/>
      <x:c r="K20" s="21"/>
      <x:c r="L20" s="21"/>
      <x:c r="M20" s="21"/>
      <x:c r="N20" s="21"/>
      <x:c r="O20" s="21"/>
      <x:c r="P20" s="21"/>
      <x:c r="Q20" s="21"/>
      <x:c r="R20" s="21"/>
      <x:c r="S20" s="21"/>
      <x:c r="T20" s="21"/>
      <x:c r="U20" s="21"/>
      <x:c r="V20" s="21"/>
      <x:c r="W20" s="21"/>
      <x:c r="X20" s="21"/>
      <x:c r="Y20" s="21"/>
      <x:c r="Z20" s="21"/>
    </x:row>
    <x:row r="21">
      <x:c r="A21" s="21"/>
      <x:c r="B21" s="21"/>
      <x:c r="C21" s="21"/>
      <x:c r="D21" s="21"/>
      <x:c r="E21" s="21"/>
      <x:c r="F21" s="21"/>
      <x:c r="G21" s="21"/>
      <x:c r="H21" s="21"/>
      <x:c r="I21" s="21"/>
      <x:c r="J21" s="21"/>
      <x:c r="K21" s="21"/>
      <x:c r="L21" s="21"/>
      <x:c r="M21" s="21"/>
      <x:c r="N21" s="21"/>
      <x:c r="O21" s="21"/>
      <x:c r="P21" s="21"/>
      <x:c r="Q21" s="21"/>
      <x:c r="R21" s="21"/>
      <x:c r="S21" s="21"/>
      <x:c r="T21" s="21"/>
      <x:c r="U21" s="21"/>
      <x:c r="V21" s="21"/>
      <x:c r="W21" s="21"/>
      <x:c r="X21" s="21"/>
      <x:c r="Y21" s="21"/>
      <x:c r="Z21" s="21"/>
    </x:row>
    <x:row r="22">
      <x:c r="A22" s="21"/>
      <x:c r="B22" s="21"/>
      <x:c r="C22" s="21"/>
      <x:c r="D22" s="21"/>
      <x:c r="E22" s="21"/>
      <x:c r="F22" s="21"/>
      <x:c r="G22" s="21"/>
      <x:c r="H22" s="21"/>
      <x:c r="I22" s="21"/>
      <x:c r="J22" s="21"/>
      <x:c r="K22" s="21"/>
      <x:c r="L22" s="21"/>
      <x:c r="M22" s="21"/>
      <x:c r="N22" s="21"/>
      <x:c r="O22" s="21"/>
      <x:c r="P22" s="21"/>
      <x:c r="Q22" s="21"/>
      <x:c r="R22" s="21"/>
      <x:c r="S22" s="21"/>
      <x:c r="T22" s="21"/>
      <x:c r="U22" s="21"/>
      <x:c r="V22" s="21"/>
      <x:c r="W22" s="21"/>
      <x:c r="X22" s="21"/>
      <x:c r="Y22" s="21"/>
      <x:c r="Z22" s="21"/>
    </x:row>
    <x:row r="23">
      <x:c r="A23" s="21"/>
      <x:c r="B23" s="21"/>
      <x:c r="C23" s="21"/>
      <x:c r="D23" s="21"/>
      <x:c r="E23" s="21"/>
      <x:c r="F23" s="21"/>
      <x:c r="G23" s="21"/>
      <x:c r="H23" s="21"/>
      <x:c r="I23" s="21"/>
      <x:c r="J23" s="21"/>
      <x:c r="K23" s="21"/>
      <x:c r="L23" s="21"/>
      <x:c r="M23" s="21"/>
      <x:c r="N23" s="21"/>
      <x:c r="O23" s="21"/>
      <x:c r="P23" s="21"/>
      <x:c r="Q23" s="21"/>
      <x:c r="R23" s="21"/>
      <x:c r="S23" s="21"/>
      <x:c r="T23" s="21"/>
      <x:c r="U23" s="21"/>
      <x:c r="V23" s="21"/>
      <x:c r="W23" s="21"/>
      <x:c r="X23" s="21"/>
      <x:c r="Y23" s="21"/>
      <x:c r="Z23" s="21"/>
    </x:row>
    <x:row r="24">
      <x:c r="A24" s="21"/>
      <x:c r="B24" s="21"/>
      <x:c r="C24" s="21"/>
      <x:c r="D24" s="21"/>
      <x:c r="E24" s="21"/>
      <x:c r="F24" s="21"/>
      <x:c r="G24" s="21"/>
      <x:c r="H24" s="21"/>
      <x:c r="I24" s="21"/>
      <x:c r="J24" s="21"/>
      <x:c r="K24" s="21"/>
      <x:c r="L24" s="21"/>
      <x:c r="M24" s="21"/>
      <x:c r="N24" s="21"/>
      <x:c r="O24" s="21"/>
      <x:c r="P24" s="21"/>
      <x:c r="Q24" s="21"/>
      <x:c r="R24" s="21"/>
      <x:c r="S24" s="21"/>
      <x:c r="T24" s="21"/>
      <x:c r="U24" s="21"/>
      <x:c r="V24" s="21"/>
      <x:c r="W24" s="21"/>
      <x:c r="X24" s="21"/>
      <x:c r="Y24" s="21"/>
      <x:c r="Z24" s="21"/>
    </x:row>
    <x:row r="25">
      <x:c r="A25" s="21"/>
      <x:c r="B25" s="21"/>
      <x:c r="C25" s="21"/>
      <x:c r="D25" s="21"/>
      <x:c r="E25" s="21"/>
      <x:c r="F25" s="21"/>
      <x:c r="G25" s="21"/>
      <x:c r="H25" s="21"/>
      <x:c r="I25" s="21"/>
      <x:c r="J25" s="21"/>
      <x:c r="K25" s="21"/>
      <x:c r="L25" s="21"/>
      <x:c r="M25" s="21"/>
      <x:c r="N25" s="21"/>
      <x:c r="O25" s="21"/>
      <x:c r="P25" s="21"/>
      <x:c r="Q25" s="21"/>
      <x:c r="R25" s="21"/>
      <x:c r="S25" s="21"/>
      <x:c r="T25" s="21"/>
      <x:c r="U25" s="21"/>
      <x:c r="V25" s="21"/>
      <x:c r="W25" s="21"/>
      <x:c r="X25" s="21"/>
      <x:c r="Y25" s="21"/>
      <x:c r="Z25" s="21"/>
    </x:row>
    <x:row r="26">
      <x:c r="A26" s="21"/>
      <x:c r="B26" s="21"/>
      <x:c r="C26" s="21"/>
      <x:c r="D26" s="21"/>
      <x:c r="E26" s="21"/>
      <x:c r="F26" s="21"/>
      <x:c r="G26" s="21"/>
      <x:c r="H26" s="21"/>
      <x:c r="I26" s="21"/>
      <x:c r="J26" s="21"/>
      <x:c r="K26" s="21"/>
      <x:c r="L26" s="21"/>
      <x:c r="M26" s="21"/>
      <x:c r="N26" s="21"/>
      <x:c r="O26" s="21"/>
      <x:c r="P26" s="21"/>
      <x:c r="Q26" s="21"/>
      <x:c r="R26" s="21"/>
      <x:c r="S26" s="21"/>
      <x:c r="T26" s="21"/>
      <x:c r="U26" s="21"/>
      <x:c r="V26" s="21"/>
      <x:c r="W26" s="21"/>
      <x:c r="X26" s="21"/>
      <x:c r="Y26" s="21"/>
      <x:c r="Z26" s="21"/>
    </x:row>
    <x:row r="27">
      <x:c r="A27" s="21"/>
      <x:c r="B27" s="21"/>
      <x:c r="C27" s="21"/>
      <x:c r="D27" s="21"/>
      <x:c r="E27" s="21"/>
      <x:c r="F27" s="21"/>
      <x:c r="G27" s="21"/>
      <x:c r="H27" s="21"/>
      <x:c r="I27" s="21"/>
      <x:c r="J27" s="21"/>
      <x:c r="K27" s="21"/>
      <x:c r="L27" s="21"/>
      <x:c r="M27" s="21"/>
      <x:c r="N27" s="21"/>
      <x:c r="O27" s="21"/>
      <x:c r="P27" s="21"/>
      <x:c r="Q27" s="21"/>
      <x:c r="R27" s="21"/>
      <x:c r="S27" s="21"/>
      <x:c r="T27" s="21"/>
      <x:c r="U27" s="21"/>
      <x:c r="V27" s="21"/>
      <x:c r="W27" s="21"/>
      <x:c r="X27" s="21"/>
      <x:c r="Y27" s="21"/>
      <x:c r="Z27" s="21"/>
    </x:row>
    <x:row r="28">
      <x:c r="A28" s="21"/>
      <x:c r="B28" s="21"/>
      <x:c r="C28" s="21"/>
      <x:c r="D28" s="21"/>
      <x:c r="E28" s="21"/>
      <x:c r="F28" s="21"/>
      <x:c r="G28" s="21"/>
      <x:c r="H28" s="21"/>
      <x:c r="I28" s="21"/>
      <x:c r="J28" s="21"/>
      <x:c r="K28" s="21"/>
      <x:c r="L28" s="21"/>
      <x:c r="M28" s="21"/>
      <x:c r="N28" s="21"/>
      <x:c r="O28" s="21"/>
      <x:c r="P28" s="21"/>
      <x:c r="Q28" s="21"/>
      <x:c r="R28" s="21"/>
      <x:c r="S28" s="21"/>
      <x:c r="T28" s="21"/>
      <x:c r="U28" s="21"/>
      <x:c r="V28" s="21"/>
      <x:c r="W28" s="21"/>
      <x:c r="X28" s="21"/>
      <x:c r="Y28" s="21"/>
      <x:c r="Z28" s="21"/>
    </x:row>
    <x:row r="29">
      <x:c r="A29" s="21"/>
      <x:c r="B29" s="21"/>
      <x:c r="C29" s="21"/>
      <x:c r="D29" s="21"/>
      <x:c r="E29" s="21"/>
      <x:c r="F29" s="21"/>
      <x:c r="G29" s="21"/>
      <x:c r="H29" s="21"/>
      <x:c r="I29" s="21"/>
      <x:c r="J29" s="21"/>
      <x:c r="K29" s="21"/>
      <x:c r="L29" s="21"/>
      <x:c r="M29" s="21"/>
      <x:c r="N29" s="21"/>
      <x:c r="O29" s="21"/>
      <x:c r="P29" s="21"/>
      <x:c r="Q29" s="21"/>
      <x:c r="R29" s="21"/>
      <x:c r="S29" s="21"/>
      <x:c r="T29" s="21"/>
      <x:c r="U29" s="21"/>
      <x:c r="V29" s="21"/>
      <x:c r="W29" s="21"/>
      <x:c r="X29" s="21"/>
      <x:c r="Y29" s="21"/>
      <x:c r="Z29" s="21"/>
    </x:row>
    <x:row r="30">
      <x:c r="A30" s="21"/>
      <x:c r="B30" s="21"/>
      <x:c r="C30" s="21"/>
      <x:c r="D30" s="21"/>
      <x:c r="E30" s="21"/>
      <x:c r="F30" s="21"/>
      <x:c r="G30" s="21"/>
      <x:c r="H30" s="21"/>
      <x:c r="I30" s="21"/>
      <x:c r="J30" s="21"/>
      <x:c r="K30" s="21"/>
      <x:c r="L30" s="21"/>
      <x:c r="M30" s="21"/>
      <x:c r="N30" s="21"/>
      <x:c r="O30" s="21"/>
      <x:c r="P30" s="21"/>
      <x:c r="Q30" s="21"/>
      <x:c r="R30" s="21"/>
      <x:c r="S30" s="21"/>
      <x:c r="T30" s="21"/>
      <x:c r="U30" s="21"/>
      <x:c r="V30" s="21"/>
      <x:c r="W30" s="21"/>
      <x:c r="X30" s="21"/>
      <x:c r="Y30" s="21"/>
      <x:c r="Z30" s="21"/>
    </x:row>
    <x:row r="31">
      <x:c r="A31" s="21"/>
      <x:c r="B31" s="21"/>
      <x:c r="C31" s="21"/>
      <x:c r="D31" s="21"/>
      <x:c r="E31" s="21"/>
      <x:c r="F31" s="21"/>
      <x:c r="G31" s="21"/>
      <x:c r="H31" s="21"/>
      <x:c r="I31" s="21"/>
      <x:c r="J31" s="21"/>
      <x:c r="K31" s="21"/>
      <x:c r="L31" s="21"/>
      <x:c r="M31" s="21"/>
      <x:c r="N31" s="21"/>
      <x:c r="O31" s="21"/>
      <x:c r="P31" s="21"/>
      <x:c r="Q31" s="21"/>
      <x:c r="R31" s="21"/>
      <x:c r="S31" s="21"/>
      <x:c r="T31" s="21"/>
      <x:c r="U31" s="21"/>
      <x:c r="V31" s="21"/>
      <x:c r="W31" s="21"/>
      <x:c r="X31" s="21"/>
      <x:c r="Y31" s="21"/>
      <x:c r="Z31" s="21"/>
    </x:row>
    <x:row r="32">
      <x:c r="A32" s="21"/>
      <x:c r="B32" s="21"/>
      <x:c r="C32" s="21"/>
      <x:c r="D32" s="21"/>
      <x:c r="E32" s="21"/>
      <x:c r="F32" s="21"/>
      <x:c r="G32" s="21"/>
      <x:c r="H32" s="21"/>
      <x:c r="I32" s="21"/>
      <x:c r="J32" s="21"/>
      <x:c r="K32" s="21"/>
      <x:c r="L32" s="21"/>
      <x:c r="M32" s="21"/>
      <x:c r="N32" s="21"/>
      <x:c r="O32" s="21"/>
      <x:c r="P32" s="21"/>
      <x:c r="Q32" s="21"/>
      <x:c r="R32" s="21"/>
      <x:c r="S32" s="21"/>
      <x:c r="T32" s="21"/>
      <x:c r="U32" s="21"/>
      <x:c r="V32" s="21"/>
      <x:c r="W32" s="21"/>
      <x:c r="X32" s="21"/>
      <x:c r="Y32" s="21"/>
      <x:c r="Z32" s="21"/>
    </x:row>
    <x:row r="33">
      <x:c r="A33" s="21"/>
      <x:c r="B33" s="21"/>
      <x:c r="C33" s="21"/>
      <x:c r="D33" s="21"/>
      <x:c r="E33" s="21"/>
      <x:c r="F33" s="21"/>
      <x:c r="G33" s="21"/>
      <x:c r="H33" s="21"/>
      <x:c r="I33" s="21"/>
      <x:c r="J33" s="21"/>
      <x:c r="K33" s="21"/>
      <x:c r="L33" s="21"/>
      <x:c r="M33" s="21"/>
      <x:c r="N33" s="21"/>
      <x:c r="O33" s="21"/>
      <x:c r="P33" s="21"/>
      <x:c r="Q33" s="21"/>
      <x:c r="R33" s="21"/>
      <x:c r="S33" s="21"/>
      <x:c r="T33" s="21"/>
      <x:c r="U33" s="21"/>
      <x:c r="V33" s="21"/>
      <x:c r="W33" s="21"/>
      <x:c r="X33" s="21"/>
      <x:c r="Y33" s="21"/>
      <x:c r="Z33" s="21"/>
    </x:row>
    <x:row r="34">
      <x:c r="A34" s="21"/>
      <x:c r="B34" s="21"/>
      <x:c r="C34" s="21"/>
      <x:c r="D34" s="21"/>
      <x:c r="E34" s="21"/>
      <x:c r="F34" s="21"/>
      <x:c r="G34" s="21"/>
      <x:c r="H34" s="21"/>
      <x:c r="I34" s="21"/>
      <x:c r="J34" s="21"/>
      <x:c r="K34" s="21"/>
      <x:c r="L34" s="21"/>
      <x:c r="M34" s="21"/>
      <x:c r="N34" s="21"/>
      <x:c r="O34" s="21"/>
      <x:c r="P34" s="21"/>
      <x:c r="Q34" s="21"/>
      <x:c r="R34" s="21"/>
      <x:c r="S34" s="21"/>
      <x:c r="T34" s="21"/>
      <x:c r="U34" s="21"/>
      <x:c r="V34" s="21"/>
      <x:c r="W34" s="21"/>
      <x:c r="X34" s="21"/>
      <x:c r="Y34" s="21"/>
      <x:c r="Z34" s="21"/>
    </x:row>
    <x:row r="35">
      <x:c r="A35" s="21"/>
      <x:c r="B35" s="21"/>
      <x:c r="C35" s="21"/>
      <x:c r="D35" s="21"/>
      <x:c r="E35" s="21"/>
      <x:c r="F35" s="21"/>
      <x:c r="G35" s="21"/>
      <x:c r="H35" s="21"/>
      <x:c r="I35" s="21"/>
      <x:c r="J35" s="21"/>
      <x:c r="K35" s="21"/>
      <x:c r="L35" s="21"/>
      <x:c r="M35" s="21"/>
      <x:c r="N35" s="21"/>
      <x:c r="O35" s="21"/>
      <x:c r="P35" s="21"/>
      <x:c r="Q35" s="21"/>
      <x:c r="R35" s="21"/>
      <x:c r="S35" s="21"/>
      <x:c r="T35" s="21"/>
      <x:c r="U35" s="21"/>
      <x:c r="V35" s="21"/>
      <x:c r="W35" s="21"/>
      <x:c r="X35" s="21"/>
      <x:c r="Y35" s="21"/>
      <x:c r="Z35" s="21"/>
    </x:row>
    <x:row r="36">
      <x:c r="A36" s="21"/>
      <x:c r="B36" s="21"/>
      <x:c r="C36" s="21"/>
      <x:c r="D36" s="21"/>
      <x:c r="E36" s="21"/>
      <x:c r="F36" s="21"/>
      <x:c r="G36" s="21"/>
      <x:c r="H36" s="21"/>
      <x:c r="I36" s="21"/>
      <x:c r="J36" s="21"/>
      <x:c r="K36" s="21"/>
      <x:c r="L36" s="21"/>
      <x:c r="M36" s="21"/>
      <x:c r="N36" s="21"/>
      <x:c r="O36" s="21"/>
      <x:c r="P36" s="21"/>
      <x:c r="Q36" s="21"/>
      <x:c r="R36" s="21"/>
      <x:c r="S36" s="21"/>
      <x:c r="T36" s="21"/>
      <x:c r="U36" s="21"/>
      <x:c r="V36" s="21"/>
      <x:c r="W36" s="21"/>
      <x:c r="X36" s="21"/>
      <x:c r="Y36" s="21"/>
      <x:c r="Z36" s="21"/>
    </x:row>
    <x:row r="37">
      <x:c r="A37" s="21"/>
      <x:c r="B37" s="21"/>
      <x:c r="C37" s="21"/>
      <x:c r="D37" s="21"/>
      <x:c r="E37" s="21"/>
      <x:c r="F37" s="21"/>
      <x:c r="G37" s="21"/>
      <x:c r="H37" s="21"/>
      <x:c r="I37" s="21"/>
      <x:c r="J37" s="21"/>
      <x:c r="K37" s="21"/>
      <x:c r="L37" s="21"/>
      <x:c r="M37" s="21"/>
      <x:c r="N37" s="21"/>
      <x:c r="O37" s="21"/>
      <x:c r="P37" s="21"/>
      <x:c r="Q37" s="21"/>
      <x:c r="R37" s="21"/>
      <x:c r="S37" s="21"/>
      <x:c r="T37" s="21"/>
      <x:c r="U37" s="21"/>
      <x:c r="V37" s="21"/>
      <x:c r="W37" s="21"/>
      <x:c r="X37" s="21"/>
      <x:c r="Y37" s="21"/>
      <x:c r="Z37" s="21"/>
    </x:row>
    <x:row r="38">
      <x:c r="A38" s="21"/>
      <x:c r="B38" s="21"/>
      <x:c r="C38" s="21"/>
      <x:c r="D38" s="21"/>
      <x:c r="E38" s="21"/>
      <x:c r="F38" s="21"/>
      <x:c r="G38" s="21"/>
      <x:c r="H38" s="21"/>
      <x:c r="I38" s="21"/>
      <x:c r="J38" s="21"/>
      <x:c r="K38" s="21"/>
      <x:c r="L38" s="21"/>
      <x:c r="M38" s="21"/>
      <x:c r="N38" s="21"/>
      <x:c r="O38" s="21"/>
      <x:c r="P38" s="21"/>
      <x:c r="Q38" s="21"/>
      <x:c r="R38" s="21"/>
      <x:c r="S38" s="21"/>
      <x:c r="T38" s="21"/>
      <x:c r="U38" s="21"/>
      <x:c r="V38" s="21"/>
      <x:c r="W38" s="21"/>
      <x:c r="X38" s="21"/>
      <x:c r="Y38" s="21"/>
      <x:c r="Z38" s="21"/>
    </x:row>
    <x:row r="39">
      <x:c r="A39" s="21"/>
      <x:c r="B39" s="21"/>
      <x:c r="C39" s="21"/>
      <x:c r="D39" s="21"/>
      <x:c r="E39" s="21"/>
      <x:c r="F39" s="21"/>
      <x:c r="G39" s="21"/>
      <x:c r="H39" s="21"/>
      <x:c r="I39" s="21"/>
      <x:c r="J39" s="21"/>
      <x:c r="K39" s="21"/>
      <x:c r="L39" s="21"/>
      <x:c r="M39" s="21"/>
      <x:c r="N39" s="21"/>
      <x:c r="O39" s="21"/>
      <x:c r="P39" s="21"/>
      <x:c r="Q39" s="21"/>
      <x:c r="R39" s="21"/>
      <x:c r="S39" s="21"/>
      <x:c r="T39" s="21"/>
      <x:c r="U39" s="21"/>
      <x:c r="V39" s="21"/>
      <x:c r="W39" s="21"/>
      <x:c r="X39" s="21"/>
      <x:c r="Y39" s="21"/>
      <x:c r="Z39" s="21"/>
    </x:row>
    <x:row r="40">
      <x:c r="A40" s="21"/>
      <x:c r="B40" s="21"/>
      <x:c r="C40" s="21"/>
      <x:c r="D40" s="21"/>
      <x:c r="E40" s="21"/>
      <x:c r="F40" s="21"/>
      <x:c r="G40" s="21"/>
      <x:c r="H40" s="21"/>
      <x:c r="I40" s="21"/>
      <x:c r="J40" s="21"/>
      <x:c r="K40" s="21"/>
      <x:c r="L40" s="21"/>
      <x:c r="M40" s="21"/>
      <x:c r="N40" s="21"/>
      <x:c r="O40" s="21"/>
      <x:c r="P40" s="21"/>
      <x:c r="Q40" s="21"/>
      <x:c r="R40" s="21"/>
      <x:c r="S40" s="21"/>
      <x:c r="T40" s="21"/>
      <x:c r="U40" s="21"/>
      <x:c r="V40" s="21"/>
      <x:c r="W40" s="21"/>
      <x:c r="X40" s="21"/>
      <x:c r="Y40" s="21"/>
      <x:c r="Z40" s="21"/>
    </x:row>
    <x:row r="41">
      <x:c r="A41" s="21"/>
      <x:c r="B41" s="21"/>
      <x:c r="C41" s="21"/>
      <x:c r="D41" s="21"/>
      <x:c r="E41" s="21"/>
      <x:c r="F41" s="21"/>
      <x:c r="G41" s="21"/>
      <x:c r="H41" s="21"/>
      <x:c r="I41" s="21"/>
      <x:c r="J41" s="21"/>
      <x:c r="K41" s="21"/>
      <x:c r="L41" s="21"/>
      <x:c r="M41" s="21"/>
      <x:c r="N41" s="21"/>
      <x:c r="O41" s="21"/>
      <x:c r="P41" s="21"/>
      <x:c r="Q41" s="21"/>
      <x:c r="R41" s="21"/>
      <x:c r="S41" s="21"/>
      <x:c r="T41" s="21"/>
      <x:c r="U41" s="21"/>
      <x:c r="V41" s="21"/>
      <x:c r="W41" s="21"/>
      <x:c r="X41" s="21"/>
      <x:c r="Y41" s="21"/>
      <x:c r="Z41" s="21"/>
    </x:row>
    <x:row r="42">
      <x:c r="A42" s="21"/>
      <x:c r="B42" s="21"/>
      <x:c r="C42" s="21"/>
      <x:c r="D42" s="21"/>
      <x:c r="E42" s="21"/>
      <x:c r="F42" s="21"/>
      <x:c r="G42" s="21"/>
      <x:c r="H42" s="21"/>
      <x:c r="I42" s="21"/>
      <x:c r="J42" s="21"/>
      <x:c r="K42" s="21"/>
      <x:c r="L42" s="21"/>
      <x:c r="M42" s="21"/>
      <x:c r="N42" s="21"/>
      <x:c r="O42" s="21"/>
      <x:c r="P42" s="21"/>
      <x:c r="Q42" s="21"/>
      <x:c r="R42" s="21"/>
      <x:c r="S42" s="21"/>
      <x:c r="T42" s="21"/>
      <x:c r="U42" s="21"/>
      <x:c r="V42" s="21"/>
      <x:c r="W42" s="21"/>
      <x:c r="X42" s="21"/>
      <x:c r="Y42" s="21"/>
      <x:c r="Z42" s="21"/>
    </x:row>
    <x:row r="43">
      <x:c r="A43" s="21"/>
      <x:c r="B43" s="21"/>
      <x:c r="C43" s="21"/>
      <x:c r="D43" s="21"/>
      <x:c r="E43" s="21"/>
      <x:c r="F43" s="21"/>
      <x:c r="G43" s="21"/>
      <x:c r="H43" s="21"/>
      <x:c r="I43" s="21"/>
      <x:c r="J43" s="21"/>
      <x:c r="K43" s="21"/>
      <x:c r="L43" s="21"/>
      <x:c r="M43" s="21"/>
      <x:c r="N43" s="21"/>
      <x:c r="O43" s="21"/>
      <x:c r="P43" s="21"/>
      <x:c r="Q43" s="21"/>
      <x:c r="R43" s="21"/>
      <x:c r="S43" s="21"/>
      <x:c r="T43" s="21"/>
      <x:c r="U43" s="21"/>
      <x:c r="V43" s="21"/>
      <x:c r="W43" s="21"/>
      <x:c r="X43" s="21"/>
      <x:c r="Y43" s="21"/>
      <x:c r="Z43" s="21"/>
    </x:row>
    <x:row r="44">
      <x:c r="A44" s="21"/>
      <x:c r="B44" s="21"/>
      <x:c r="C44" s="21"/>
      <x:c r="D44" s="21"/>
      <x:c r="E44" s="21"/>
      <x:c r="F44" s="21"/>
      <x:c r="G44" s="21"/>
      <x:c r="H44" s="21"/>
      <x:c r="I44" s="21"/>
      <x:c r="J44" s="21"/>
      <x:c r="K44" s="21"/>
      <x:c r="L44" s="21"/>
      <x:c r="M44" s="21"/>
      <x:c r="N44" s="21"/>
      <x:c r="O44" s="21"/>
      <x:c r="P44" s="21"/>
      <x:c r="Q44" s="21"/>
      <x:c r="R44" s="21"/>
      <x:c r="S44" s="21"/>
      <x:c r="T44" s="21"/>
      <x:c r="U44" s="21"/>
      <x:c r="V44" s="21"/>
      <x:c r="W44" s="21"/>
      <x:c r="X44" s="21"/>
      <x:c r="Y44" s="21"/>
      <x:c r="Z44" s="21"/>
    </x:row>
    <x:row r="45">
      <x:c r="A45" s="21"/>
      <x:c r="B45" s="21"/>
      <x:c r="C45" s="21"/>
      <x:c r="D45" s="21"/>
      <x:c r="E45" s="21"/>
      <x:c r="F45" s="21"/>
      <x:c r="G45" s="21"/>
      <x:c r="H45" s="21"/>
      <x:c r="I45" s="21"/>
      <x:c r="J45" s="21"/>
      <x:c r="K45" s="21"/>
      <x:c r="L45" s="21"/>
      <x:c r="M45" s="21"/>
      <x:c r="N45" s="21"/>
      <x:c r="O45" s="21"/>
      <x:c r="P45" s="21"/>
      <x:c r="Q45" s="21"/>
      <x:c r="R45" s="21"/>
      <x:c r="S45" s="21"/>
      <x:c r="T45" s="21"/>
      <x:c r="U45" s="21"/>
      <x:c r="V45" s="21"/>
      <x:c r="W45" s="21"/>
      <x:c r="X45" s="21"/>
      <x:c r="Y45" s="21"/>
      <x:c r="Z45" s="21"/>
    </x:row>
    <x:row r="46">
      <x:c r="A46" s="21"/>
      <x:c r="B46" s="21"/>
      <x:c r="C46" s="21"/>
      <x:c r="D46" s="21"/>
      <x:c r="E46" s="21"/>
      <x:c r="F46" s="21"/>
      <x:c r="G46" s="21"/>
      <x:c r="H46" s="21"/>
      <x:c r="I46" s="21"/>
      <x:c r="J46" s="21"/>
      <x:c r="K46" s="21"/>
      <x:c r="L46" s="21"/>
      <x:c r="M46" s="21"/>
      <x:c r="N46" s="21"/>
      <x:c r="O46" s="21"/>
      <x:c r="P46" s="21"/>
      <x:c r="Q46" s="21"/>
      <x:c r="R46" s="21"/>
      <x:c r="S46" s="21"/>
      <x:c r="T46" s="21"/>
      <x:c r="U46" s="21"/>
      <x:c r="V46" s="21"/>
      <x:c r="W46" s="21"/>
      <x:c r="X46" s="21"/>
      <x:c r="Y46" s="21"/>
      <x:c r="Z46" s="21"/>
    </x:row>
    <x:row r="47">
      <x:c r="A47" s="21"/>
      <x:c r="B47" s="21"/>
      <x:c r="C47" s="21"/>
      <x:c r="D47" s="21"/>
      <x:c r="E47" s="21"/>
      <x:c r="F47" s="21"/>
      <x:c r="G47" s="21"/>
      <x:c r="H47" s="21"/>
      <x:c r="I47" s="21"/>
      <x:c r="J47" s="21"/>
      <x:c r="K47" s="21"/>
      <x:c r="L47" s="21"/>
      <x:c r="M47" s="21"/>
      <x:c r="N47" s="21"/>
      <x:c r="O47" s="21"/>
      <x:c r="P47" s="21"/>
      <x:c r="Q47" s="21"/>
      <x:c r="R47" s="21"/>
      <x:c r="S47" s="21"/>
      <x:c r="T47" s="21"/>
      <x:c r="U47" s="21"/>
      <x:c r="V47" s="21"/>
      <x:c r="W47" s="21"/>
      <x:c r="X47" s="21"/>
      <x:c r="Y47" s="21"/>
      <x:c r="Z47" s="21"/>
    </x:row>
    <x:row r="48">
      <x:c r="A48" s="21"/>
      <x:c r="B48" s="21"/>
      <x:c r="C48" s="21"/>
      <x:c r="D48" s="21"/>
      <x:c r="E48" s="21"/>
      <x:c r="F48" s="21"/>
      <x:c r="G48" s="21"/>
      <x:c r="H48" s="21"/>
      <x:c r="I48" s="21"/>
      <x:c r="J48" s="21"/>
      <x:c r="K48" s="21"/>
      <x:c r="L48" s="21"/>
      <x:c r="M48" s="21"/>
      <x:c r="N48" s="21"/>
      <x:c r="O48" s="21"/>
      <x:c r="P48" s="21"/>
      <x:c r="Q48" s="21"/>
      <x:c r="R48" s="21"/>
      <x:c r="S48" s="21"/>
      <x:c r="T48" s="21"/>
      <x:c r="U48" s="21"/>
      <x:c r="V48" s="21"/>
      <x:c r="W48" s="21"/>
      <x:c r="X48" s="21"/>
      <x:c r="Y48" s="21"/>
      <x:c r="Z48" s="21"/>
    </x:row>
    <x:row r="49">
      <x:c r="A49" s="21"/>
      <x:c r="B49" s="21"/>
      <x:c r="C49" s="21"/>
      <x:c r="D49" s="21"/>
      <x:c r="E49" s="21"/>
      <x:c r="F49" s="21"/>
      <x:c r="G49" s="21"/>
      <x:c r="H49" s="21"/>
      <x:c r="I49" s="21"/>
      <x:c r="J49" s="21"/>
      <x:c r="K49" s="21"/>
      <x:c r="L49" s="21"/>
      <x:c r="M49" s="21"/>
      <x:c r="N49" s="21"/>
      <x:c r="O49" s="21"/>
      <x:c r="P49" s="21"/>
      <x:c r="Q49" s="21"/>
      <x:c r="R49" s="21"/>
      <x:c r="S49" s="21"/>
      <x:c r="T49" s="21"/>
      <x:c r="U49" s="21"/>
      <x:c r="V49" s="21"/>
      <x:c r="W49" s="21"/>
      <x:c r="X49" s="21"/>
      <x:c r="Y49" s="21"/>
      <x:c r="Z49" s="21"/>
    </x:row>
    <x:row r="50">
      <x:c r="A50" s="21"/>
      <x:c r="B50" s="21"/>
      <x:c r="C50" s="21"/>
      <x:c r="D50" s="21"/>
      <x:c r="E50" s="21"/>
      <x:c r="F50" s="21"/>
      <x:c r="G50" s="21"/>
      <x:c r="H50" s="21"/>
      <x:c r="I50" s="21"/>
      <x:c r="J50" s="21"/>
      <x:c r="K50" s="21"/>
      <x:c r="L50" s="21"/>
      <x:c r="M50" s="21"/>
      <x:c r="N50" s="21"/>
      <x:c r="O50" s="21"/>
      <x:c r="P50" s="21"/>
      <x:c r="Q50" s="21"/>
      <x:c r="R50" s="21"/>
      <x:c r="S50" s="21"/>
      <x:c r="T50" s="21"/>
      <x:c r="U50" s="21"/>
      <x:c r="V50" s="21"/>
      <x:c r="W50" s="21"/>
      <x:c r="X50" s="21"/>
      <x:c r="Y50" s="21"/>
      <x:c r="Z50" s="21"/>
    </x:row>
    <x:row r="51">
      <x:c r="A51" s="21"/>
      <x:c r="B51" s="21"/>
      <x:c r="C51" s="21"/>
      <x:c r="D51" s="21"/>
      <x:c r="E51" s="21"/>
      <x:c r="F51" s="21"/>
      <x:c r="G51" s="21"/>
      <x:c r="H51" s="21"/>
      <x:c r="I51" s="21"/>
      <x:c r="J51" s="21"/>
      <x:c r="K51" s="21"/>
      <x:c r="L51" s="21"/>
      <x:c r="M51" s="21"/>
      <x:c r="N51" s="21"/>
      <x:c r="O51" s="21"/>
      <x:c r="P51" s="21"/>
      <x:c r="Q51" s="21"/>
      <x:c r="R51" s="21"/>
      <x:c r="S51" s="21"/>
      <x:c r="T51" s="21"/>
      <x:c r="U51" s="21"/>
      <x:c r="V51" s="21"/>
      <x:c r="W51" s="21"/>
      <x:c r="X51" s="21"/>
      <x:c r="Y51" s="21"/>
      <x:c r="Z51" s="21"/>
    </x:row>
    <x:row r="52">
      <x:c r="A52" s="21"/>
      <x:c r="B52" s="21"/>
      <x:c r="C52" s="21"/>
      <x:c r="D52" s="21"/>
      <x:c r="E52" s="21"/>
      <x:c r="F52" s="21"/>
      <x:c r="G52" s="21"/>
      <x:c r="H52" s="21"/>
      <x:c r="I52" s="21"/>
      <x:c r="J52" s="21"/>
      <x:c r="K52" s="21"/>
      <x:c r="L52" s="21"/>
      <x:c r="M52" s="21"/>
      <x:c r="N52" s="21"/>
      <x:c r="O52" s="21"/>
      <x:c r="P52" s="21"/>
      <x:c r="Q52" s="21"/>
      <x:c r="R52" s="21"/>
      <x:c r="S52" s="21"/>
      <x:c r="T52" s="21"/>
      <x:c r="U52" s="21"/>
      <x:c r="V52" s="21"/>
      <x:c r="W52" s="21"/>
      <x:c r="X52" s="21"/>
      <x:c r="Y52" s="21"/>
      <x:c r="Z52" s="21"/>
    </x:row>
    <x:row r="53">
      <x:c r="A53" s="21"/>
      <x:c r="B53" s="21"/>
      <x:c r="C53" s="21"/>
      <x:c r="D53" s="21"/>
      <x:c r="E53" s="21"/>
      <x:c r="F53" s="21"/>
      <x:c r="G53" s="21"/>
      <x:c r="H53" s="21"/>
      <x:c r="I53" s="21"/>
      <x:c r="J53" s="21"/>
      <x:c r="K53" s="21"/>
      <x:c r="L53" s="21"/>
      <x:c r="M53" s="21"/>
      <x:c r="N53" s="21"/>
      <x:c r="O53" s="21"/>
      <x:c r="P53" s="21"/>
      <x:c r="Q53" s="21"/>
      <x:c r="R53" s="21"/>
      <x:c r="S53" s="21"/>
      <x:c r="T53" s="21"/>
      <x:c r="U53" s="21"/>
      <x:c r="V53" s="21"/>
      <x:c r="W53" s="21"/>
      <x:c r="X53" s="21"/>
      <x:c r="Y53" s="21"/>
      <x:c r="Z53" s="21"/>
    </x:row>
    <x:row r="54">
      <x:c r="A54" s="21"/>
      <x:c r="B54" s="21"/>
      <x:c r="C54" s="21"/>
      <x:c r="D54" s="21"/>
      <x:c r="E54" s="21"/>
      <x:c r="F54" s="21"/>
      <x:c r="G54" s="21"/>
      <x:c r="H54" s="21"/>
      <x:c r="I54" s="21"/>
      <x:c r="J54" s="21"/>
      <x:c r="K54" s="21"/>
      <x:c r="L54" s="21"/>
      <x:c r="M54" s="21"/>
      <x:c r="N54" s="21"/>
      <x:c r="O54" s="21"/>
      <x:c r="P54" s="21"/>
      <x:c r="Q54" s="21"/>
      <x:c r="R54" s="21"/>
      <x:c r="S54" s="21"/>
      <x:c r="T54" s="21"/>
      <x:c r="U54" s="21"/>
      <x:c r="V54" s="21"/>
      <x:c r="W54" s="21"/>
      <x:c r="X54" s="21"/>
      <x:c r="Y54" s="21"/>
      <x:c r="Z54" s="21"/>
    </x:row>
    <x:row r="55">
      <x:c r="A55" s="21"/>
      <x:c r="B55" s="21"/>
      <x:c r="C55" s="21"/>
      <x:c r="D55" s="21"/>
      <x:c r="E55" s="21"/>
      <x:c r="F55" s="21"/>
      <x:c r="G55" s="21"/>
      <x:c r="H55" s="21"/>
      <x:c r="I55" s="21"/>
      <x:c r="J55" s="21"/>
      <x:c r="K55" s="21"/>
      <x:c r="L55" s="21"/>
      <x:c r="M55" s="21"/>
      <x:c r="N55" s="21"/>
      <x:c r="O55" s="21"/>
      <x:c r="P55" s="21"/>
      <x:c r="Q55" s="21"/>
      <x:c r="R55" s="21"/>
      <x:c r="S55" s="21"/>
      <x:c r="T55" s="21"/>
      <x:c r="U55" s="21"/>
      <x:c r="V55" s="21"/>
      <x:c r="W55" s="21"/>
      <x:c r="X55" s="21"/>
      <x:c r="Y55" s="21"/>
      <x:c r="Z55" s="21"/>
    </x:row>
    <x:row r="56">
      <x:c r="A56" s="21"/>
      <x:c r="B56" s="21"/>
      <x:c r="C56" s="21"/>
      <x:c r="D56" s="21"/>
      <x:c r="E56" s="21"/>
      <x:c r="F56" s="21"/>
      <x:c r="G56" s="21"/>
      <x:c r="H56" s="21"/>
      <x:c r="I56" s="21"/>
      <x:c r="J56" s="21"/>
      <x:c r="K56" s="21"/>
      <x:c r="L56" s="21"/>
      <x:c r="M56" s="21"/>
      <x:c r="N56" s="21"/>
      <x:c r="O56" s="21"/>
      <x:c r="P56" s="21"/>
      <x:c r="Q56" s="21"/>
      <x:c r="R56" s="21"/>
      <x:c r="S56" s="21"/>
      <x:c r="T56" s="21"/>
      <x:c r="U56" s="21"/>
      <x:c r="V56" s="21"/>
      <x:c r="W56" s="21"/>
      <x:c r="X56" s="21"/>
      <x:c r="Y56" s="21"/>
      <x:c r="Z56" s="21"/>
    </x:row>
    <x:row r="57">
      <x:c r="A57" s="21"/>
      <x:c r="B57" s="21"/>
      <x:c r="C57" s="21"/>
      <x:c r="D57" s="21"/>
      <x:c r="E57" s="21"/>
      <x:c r="F57" s="21"/>
      <x:c r="G57" s="21"/>
      <x:c r="H57" s="21"/>
      <x:c r="I57" s="21"/>
      <x:c r="J57" s="21"/>
      <x:c r="K57" s="21"/>
      <x:c r="L57" s="21"/>
      <x:c r="M57" s="21"/>
      <x:c r="N57" s="21"/>
      <x:c r="O57" s="21"/>
      <x:c r="P57" s="21"/>
      <x:c r="Q57" s="21"/>
      <x:c r="R57" s="21"/>
      <x:c r="S57" s="21"/>
      <x:c r="T57" s="21"/>
      <x:c r="U57" s="21"/>
      <x:c r="V57" s="21"/>
      <x:c r="W57" s="21"/>
      <x:c r="X57" s="21"/>
      <x:c r="Y57" s="21"/>
      <x:c r="Z57" s="21"/>
    </x:row>
    <x:row r="58">
      <x:c r="A58" s="21"/>
      <x:c r="B58" s="21"/>
      <x:c r="C58" s="21"/>
      <x:c r="D58" s="21"/>
      <x:c r="E58" s="21"/>
      <x:c r="F58" s="21"/>
      <x:c r="G58" s="21"/>
      <x:c r="H58" s="21"/>
      <x:c r="I58" s="21"/>
      <x:c r="J58" s="21"/>
      <x:c r="K58" s="21"/>
      <x:c r="L58" s="21"/>
      <x:c r="M58" s="21"/>
      <x:c r="N58" s="21"/>
      <x:c r="O58" s="21"/>
      <x:c r="P58" s="21"/>
      <x:c r="Q58" s="21"/>
      <x:c r="R58" s="21"/>
      <x:c r="S58" s="21"/>
      <x:c r="T58" s="21"/>
      <x:c r="U58" s="21"/>
      <x:c r="V58" s="21"/>
      <x:c r="W58" s="21"/>
      <x:c r="X58" s="21"/>
      <x:c r="Y58" s="21"/>
      <x:c r="Z58" s="21"/>
    </x:row>
    <x:row r="59">
      <x:c r="A59" s="21"/>
      <x:c r="B59" s="21"/>
      <x:c r="C59" s="21"/>
      <x:c r="D59" s="21"/>
      <x:c r="E59" s="21"/>
      <x:c r="F59" s="21"/>
      <x:c r="G59" s="21"/>
      <x:c r="H59" s="21"/>
      <x:c r="I59" s="21"/>
      <x:c r="J59" s="21"/>
      <x:c r="K59" s="21"/>
      <x:c r="L59" s="21"/>
      <x:c r="M59" s="21"/>
      <x:c r="N59" s="21"/>
      <x:c r="O59" s="21"/>
      <x:c r="P59" s="21"/>
      <x:c r="Q59" s="21"/>
      <x:c r="R59" s="21"/>
      <x:c r="S59" s="21"/>
      <x:c r="T59" s="21"/>
      <x:c r="U59" s="21"/>
      <x:c r="V59" s="21"/>
      <x:c r="W59" s="21"/>
      <x:c r="X59" s="21"/>
      <x:c r="Y59" s="21"/>
      <x:c r="Z59" s="21"/>
    </x:row>
    <x:row r="60">
      <x:c r="A60" s="21"/>
      <x:c r="B60" s="21"/>
      <x:c r="C60" s="21"/>
      <x:c r="D60" s="21"/>
      <x:c r="E60" s="21"/>
      <x:c r="F60" s="21"/>
      <x:c r="G60" s="21"/>
      <x:c r="H60" s="21"/>
      <x:c r="I60" s="21"/>
      <x:c r="J60" s="21"/>
      <x:c r="K60" s="21"/>
      <x:c r="L60" s="21"/>
      <x:c r="M60" s="21"/>
      <x:c r="N60" s="21"/>
      <x:c r="O60" s="21"/>
      <x:c r="P60" s="21"/>
      <x:c r="Q60" s="21"/>
      <x:c r="R60" s="21"/>
      <x:c r="S60" s="21"/>
      <x:c r="T60" s="21"/>
      <x:c r="U60" s="21"/>
      <x:c r="V60" s="21"/>
      <x:c r="W60" s="21"/>
      <x:c r="X60" s="21"/>
      <x:c r="Y60" s="21"/>
      <x:c r="Z60" s="21"/>
    </x:row>
    <x:row r="61">
      <x:c r="A61" s="21"/>
      <x:c r="B61" s="21"/>
      <x:c r="C61" s="21"/>
      <x:c r="D61" s="21"/>
      <x:c r="E61" s="21"/>
      <x:c r="F61" s="21"/>
      <x:c r="G61" s="21"/>
      <x:c r="H61" s="21"/>
      <x:c r="I61" s="21"/>
      <x:c r="J61" s="21"/>
      <x:c r="K61" s="21"/>
      <x:c r="L61" s="21"/>
      <x:c r="M61" s="21"/>
      <x:c r="N61" s="21"/>
      <x:c r="O61" s="21"/>
      <x:c r="P61" s="21"/>
      <x:c r="Q61" s="21"/>
      <x:c r="R61" s="21"/>
      <x:c r="S61" s="21"/>
      <x:c r="T61" s="21"/>
      <x:c r="U61" s="21"/>
      <x:c r="V61" s="21"/>
      <x:c r="W61" s="21"/>
      <x:c r="X61" s="21"/>
      <x:c r="Y61" s="21"/>
      <x:c r="Z61" s="21"/>
    </x:row>
    <x:row r="62">
      <x:c r="A62" s="21"/>
      <x:c r="B62" s="21"/>
      <x:c r="C62" s="21"/>
      <x:c r="D62" s="21"/>
      <x:c r="E62" s="21"/>
      <x:c r="F62" s="21"/>
      <x:c r="G62" s="21"/>
      <x:c r="H62" s="21"/>
      <x:c r="I62" s="21"/>
      <x:c r="J62" s="21"/>
      <x:c r="K62" s="21"/>
      <x:c r="L62" s="21"/>
      <x:c r="M62" s="21"/>
      <x:c r="N62" s="21"/>
      <x:c r="O62" s="21"/>
      <x:c r="P62" s="21"/>
      <x:c r="Q62" s="21"/>
      <x:c r="R62" s="21"/>
      <x:c r="S62" s="21"/>
      <x:c r="T62" s="21"/>
      <x:c r="U62" s="21"/>
      <x:c r="V62" s="21"/>
      <x:c r="W62" s="21"/>
      <x:c r="X62" s="21"/>
      <x:c r="Y62" s="21"/>
      <x:c r="Z62" s="21"/>
    </x:row>
    <x:row r="63">
      <x:c r="A63" s="21"/>
      <x:c r="B63" s="21"/>
      <x:c r="C63" s="21"/>
      <x:c r="D63" s="21"/>
      <x:c r="E63" s="21"/>
      <x:c r="F63" s="21"/>
      <x:c r="G63" s="21"/>
      <x:c r="H63" s="21"/>
      <x:c r="I63" s="21"/>
      <x:c r="J63" s="21"/>
      <x:c r="K63" s="21"/>
      <x:c r="L63" s="21"/>
      <x:c r="M63" s="21"/>
      <x:c r="N63" s="21"/>
      <x:c r="O63" s="21"/>
      <x:c r="P63" s="21"/>
      <x:c r="Q63" s="21"/>
      <x:c r="R63" s="21"/>
      <x:c r="S63" s="21"/>
      <x:c r="T63" s="21"/>
      <x:c r="U63" s="21"/>
      <x:c r="V63" s="21"/>
      <x:c r="W63" s="21"/>
      <x:c r="X63" s="21"/>
      <x:c r="Y63" s="21"/>
      <x:c r="Z63" s="21"/>
    </x:row>
    <x:row r="64">
      <x:c r="A64" s="21"/>
      <x:c r="B64" s="21"/>
      <x:c r="C64" s="21"/>
      <x:c r="D64" s="21"/>
      <x:c r="E64" s="21"/>
      <x:c r="F64" s="21"/>
      <x:c r="G64" s="21"/>
      <x:c r="H64" s="21"/>
      <x:c r="I64" s="21"/>
      <x:c r="J64" s="21"/>
      <x:c r="K64" s="21"/>
      <x:c r="L64" s="21"/>
      <x:c r="M64" s="21"/>
      <x:c r="N64" s="21"/>
      <x:c r="O64" s="21"/>
      <x:c r="P64" s="21"/>
      <x:c r="Q64" s="21"/>
      <x:c r="R64" s="21"/>
      <x:c r="S64" s="21"/>
      <x:c r="T64" s="21"/>
      <x:c r="U64" s="21"/>
      <x:c r="V64" s="21"/>
      <x:c r="W64" s="21"/>
      <x:c r="X64" s="21"/>
      <x:c r="Y64" s="21"/>
      <x:c r="Z64" s="21"/>
    </x:row>
    <x:row r="65">
      <x:c r="A65" s="21"/>
      <x:c r="B65" s="21"/>
      <x:c r="C65" s="21"/>
      <x:c r="D65" s="21"/>
      <x:c r="E65" s="21"/>
      <x:c r="F65" s="21"/>
      <x:c r="G65" s="21"/>
      <x:c r="H65" s="21"/>
      <x:c r="I65" s="21"/>
      <x:c r="J65" s="21"/>
      <x:c r="K65" s="21"/>
      <x:c r="L65" s="21"/>
      <x:c r="M65" s="21"/>
      <x:c r="N65" s="21"/>
      <x:c r="O65" s="21"/>
      <x:c r="P65" s="21"/>
      <x:c r="Q65" s="21"/>
      <x:c r="R65" s="21"/>
      <x:c r="S65" s="21"/>
      <x:c r="T65" s="21"/>
      <x:c r="U65" s="21"/>
      <x:c r="V65" s="21"/>
      <x:c r="W65" s="21"/>
      <x:c r="X65" s="21"/>
      <x:c r="Y65" s="21"/>
      <x:c r="Z65" s="21"/>
    </x:row>
    <x:row r="66">
      <x:c r="A66" s="21"/>
      <x:c r="B66" s="21"/>
      <x:c r="C66" s="21"/>
      <x:c r="D66" s="21"/>
      <x:c r="E66" s="21"/>
      <x:c r="F66" s="21"/>
      <x:c r="G66" s="21"/>
      <x:c r="H66" s="21"/>
      <x:c r="I66" s="21"/>
      <x:c r="J66" s="21"/>
      <x:c r="K66" s="21"/>
      <x:c r="L66" s="21"/>
      <x:c r="M66" s="21"/>
      <x:c r="N66" s="21"/>
      <x:c r="O66" s="21"/>
      <x:c r="P66" s="21"/>
      <x:c r="Q66" s="21"/>
      <x:c r="R66" s="21"/>
      <x:c r="S66" s="21"/>
      <x:c r="T66" s="21"/>
      <x:c r="U66" s="21"/>
      <x:c r="V66" s="21"/>
      <x:c r="W66" s="21"/>
      <x:c r="X66" s="21"/>
      <x:c r="Y66" s="21"/>
      <x:c r="Z66" s="21"/>
    </x:row>
    <x:row r="67">
      <x:c r="A67" s="21"/>
      <x:c r="B67" s="21"/>
      <x:c r="C67" s="21"/>
      <x:c r="D67" s="21"/>
      <x:c r="E67" s="21"/>
      <x:c r="F67" s="21"/>
      <x:c r="G67" s="21"/>
      <x:c r="H67" s="21"/>
      <x:c r="I67" s="21"/>
      <x:c r="J67" s="21"/>
      <x:c r="K67" s="21"/>
      <x:c r="L67" s="21"/>
      <x:c r="M67" s="21"/>
      <x:c r="N67" s="21"/>
      <x:c r="O67" s="21"/>
      <x:c r="P67" s="21"/>
      <x:c r="Q67" s="21"/>
      <x:c r="R67" s="21"/>
      <x:c r="S67" s="21"/>
      <x:c r="T67" s="21"/>
      <x:c r="U67" s="21"/>
      <x:c r="V67" s="21"/>
      <x:c r="W67" s="21"/>
      <x:c r="X67" s="21"/>
      <x:c r="Y67" s="21"/>
      <x:c r="Z67" s="21"/>
    </x:row>
    <x:row r="68">
      <x:c r="A68" s="21"/>
      <x:c r="B68" s="21"/>
      <x:c r="C68" s="21"/>
      <x:c r="D68" s="21"/>
      <x:c r="E68" s="21"/>
      <x:c r="F68" s="21"/>
      <x:c r="G68" s="21"/>
      <x:c r="H68" s="21"/>
      <x:c r="I68" s="21"/>
      <x:c r="J68" s="21"/>
      <x:c r="K68" s="21"/>
      <x:c r="L68" s="21"/>
      <x:c r="M68" s="21"/>
      <x:c r="N68" s="21"/>
      <x:c r="O68" s="21"/>
      <x:c r="P68" s="21"/>
      <x:c r="Q68" s="21"/>
      <x:c r="R68" s="21"/>
      <x:c r="S68" s="21"/>
      <x:c r="T68" s="21"/>
      <x:c r="U68" s="21"/>
      <x:c r="V68" s="21"/>
      <x:c r="W68" s="21"/>
      <x:c r="X68" s="21"/>
      <x:c r="Y68" s="21"/>
      <x:c r="Z68" s="21"/>
    </x:row>
    <x:row r="69">
      <x:c r="A69" s="21"/>
      <x:c r="B69" s="21"/>
      <x:c r="C69" s="21"/>
      <x:c r="D69" s="21"/>
      <x:c r="E69" s="21"/>
      <x:c r="F69" s="21"/>
      <x:c r="G69" s="21"/>
      <x:c r="H69" s="21"/>
      <x:c r="I69" s="21"/>
      <x:c r="J69" s="21"/>
      <x:c r="K69" s="21"/>
      <x:c r="L69" s="21"/>
      <x:c r="M69" s="21"/>
      <x:c r="N69" s="21"/>
      <x:c r="O69" s="21"/>
      <x:c r="P69" s="21"/>
      <x:c r="Q69" s="21"/>
      <x:c r="R69" s="21"/>
      <x:c r="S69" s="21"/>
      <x:c r="T69" s="21"/>
      <x:c r="U69" s="21"/>
      <x:c r="V69" s="21"/>
      <x:c r="W69" s="21"/>
      <x:c r="X69" s="21"/>
      <x:c r="Y69" s="21"/>
      <x:c r="Z69" s="21"/>
    </x:row>
    <x:row r="70">
      <x:c r="A70" s="21"/>
      <x:c r="B70" s="21"/>
      <x:c r="C70" s="21"/>
      <x:c r="D70" s="21"/>
      <x:c r="E70" s="21"/>
      <x:c r="F70" s="21"/>
      <x:c r="G70" s="21"/>
      <x:c r="H70" s="21"/>
      <x:c r="I70" s="21"/>
      <x:c r="J70" s="21"/>
      <x:c r="K70" s="21"/>
      <x:c r="L70" s="21"/>
      <x:c r="M70" s="21"/>
      <x:c r="N70" s="21"/>
      <x:c r="O70" s="21"/>
      <x:c r="P70" s="21"/>
      <x:c r="Q70" s="21"/>
      <x:c r="R70" s="21"/>
      <x:c r="S70" s="21"/>
      <x:c r="T70" s="21"/>
      <x:c r="U70" s="21"/>
      <x:c r="V70" s="21"/>
      <x:c r="W70" s="21"/>
      <x:c r="X70" s="21"/>
      <x:c r="Y70" s="21"/>
      <x:c r="Z70" s="21"/>
    </x:row>
    <x:row r="71">
      <x:c r="A71" s="21"/>
      <x:c r="B71" s="21"/>
      <x:c r="C71" s="21"/>
      <x:c r="D71" s="21"/>
      <x:c r="E71" s="21"/>
      <x:c r="F71" s="21"/>
      <x:c r="G71" s="21"/>
      <x:c r="H71" s="21"/>
      <x:c r="I71" s="21"/>
      <x:c r="J71" s="21"/>
      <x:c r="K71" s="21"/>
      <x:c r="L71" s="21"/>
      <x:c r="M71" s="21"/>
      <x:c r="N71" s="21"/>
      <x:c r="O71" s="21"/>
      <x:c r="P71" s="21"/>
      <x:c r="Q71" s="21"/>
      <x:c r="R71" s="21"/>
      <x:c r="S71" s="21"/>
      <x:c r="T71" s="21"/>
      <x:c r="U71" s="21"/>
      <x:c r="V71" s="21"/>
      <x:c r="W71" s="21"/>
      <x:c r="X71" s="21"/>
      <x:c r="Y71" s="21"/>
      <x:c r="Z71" s="21"/>
    </x:row>
    <x:row r="72">
      <x:c r="A72" s="21"/>
      <x:c r="B72" s="21"/>
      <x:c r="C72" s="21"/>
      <x:c r="D72" s="21"/>
      <x:c r="E72" s="21"/>
      <x:c r="F72" s="21"/>
      <x:c r="G72" s="21"/>
      <x:c r="H72" s="21"/>
      <x:c r="I72" s="21"/>
      <x:c r="J72" s="21"/>
      <x:c r="K72" s="21"/>
      <x:c r="L72" s="21"/>
      <x:c r="M72" s="21"/>
      <x:c r="N72" s="21"/>
      <x:c r="O72" s="21"/>
      <x:c r="P72" s="21"/>
      <x:c r="Q72" s="21"/>
      <x:c r="R72" s="21"/>
      <x:c r="S72" s="21"/>
      <x:c r="T72" s="21"/>
      <x:c r="U72" s="21"/>
      <x:c r="V72" s="21"/>
      <x:c r="W72" s="21"/>
      <x:c r="X72" s="21"/>
      <x:c r="Y72" s="21"/>
      <x:c r="Z72" s="21"/>
    </x:row>
    <x:row r="73">
      <x:c r="A73" s="21"/>
      <x:c r="B73" s="21"/>
      <x:c r="C73" s="21"/>
      <x:c r="D73" s="21"/>
      <x:c r="E73" s="21"/>
      <x:c r="F73" s="21"/>
      <x:c r="G73" s="21"/>
      <x:c r="H73" s="21"/>
      <x:c r="I73" s="21"/>
      <x:c r="J73" s="21"/>
      <x:c r="K73" s="21"/>
      <x:c r="L73" s="21"/>
      <x:c r="M73" s="21"/>
      <x:c r="N73" s="21"/>
      <x:c r="O73" s="21"/>
      <x:c r="P73" s="21"/>
      <x:c r="Q73" s="21"/>
      <x:c r="R73" s="21"/>
      <x:c r="S73" s="21"/>
      <x:c r="T73" s="21"/>
      <x:c r="U73" s="21"/>
      <x:c r="V73" s="21"/>
      <x:c r="W73" s="21"/>
      <x:c r="X73" s="21"/>
      <x:c r="Y73" s="21"/>
      <x:c r="Z73" s="21"/>
    </x:row>
    <x:row r="74">
      <x:c r="A74" s="21"/>
      <x:c r="B74" s="21"/>
      <x:c r="C74" s="21"/>
      <x:c r="D74" s="21"/>
      <x:c r="E74" s="21"/>
      <x:c r="F74" s="21"/>
      <x:c r="G74" s="21"/>
      <x:c r="H74" s="21"/>
      <x:c r="I74" s="21"/>
      <x:c r="J74" s="21"/>
      <x:c r="K74" s="21"/>
      <x:c r="L74" s="21"/>
      <x:c r="M74" s="21"/>
      <x:c r="N74" s="21"/>
      <x:c r="O74" s="21"/>
      <x:c r="P74" s="21"/>
      <x:c r="Q74" s="21"/>
      <x:c r="R74" s="21"/>
      <x:c r="S74" s="21"/>
      <x:c r="T74" s="21"/>
      <x:c r="U74" s="21"/>
      <x:c r="V74" s="21"/>
      <x:c r="W74" s="21"/>
      <x:c r="X74" s="21"/>
      <x:c r="Y74" s="21"/>
      <x:c r="Z74" s="21"/>
    </x:row>
    <x:row r="75">
      <x:c r="A75" s="21"/>
      <x:c r="B75" s="21"/>
      <x:c r="C75" s="21"/>
      <x:c r="D75" s="21"/>
      <x:c r="E75" s="21"/>
      <x:c r="F75" s="21"/>
      <x:c r="G75" s="21"/>
      <x:c r="H75" s="21"/>
      <x:c r="I75" s="21"/>
      <x:c r="J75" s="21"/>
      <x:c r="K75" s="21"/>
      <x:c r="L75" s="21"/>
      <x:c r="M75" s="21"/>
      <x:c r="N75" s="21"/>
      <x:c r="O75" s="21"/>
      <x:c r="P75" s="21"/>
      <x:c r="Q75" s="21"/>
      <x:c r="R75" s="21"/>
      <x:c r="S75" s="21"/>
      <x:c r="T75" s="21"/>
      <x:c r="U75" s="21"/>
      <x:c r="V75" s="21"/>
      <x:c r="W75" s="21"/>
      <x:c r="X75" s="21"/>
      <x:c r="Y75" s="21"/>
      <x:c r="Z75" s="21"/>
    </x:row>
    <x:row r="76">
      <x:c r="A76" s="21"/>
      <x:c r="B76" s="21"/>
      <x:c r="C76" s="21"/>
      <x:c r="D76" s="21"/>
      <x:c r="E76" s="21"/>
      <x:c r="F76" s="21"/>
      <x:c r="G76" s="21"/>
      <x:c r="H76" s="21"/>
      <x:c r="I76" s="21"/>
      <x:c r="J76" s="21"/>
      <x:c r="K76" s="21"/>
      <x:c r="L76" s="21"/>
      <x:c r="M76" s="21"/>
      <x:c r="N76" s="21"/>
      <x:c r="O76" s="21"/>
      <x:c r="P76" s="21"/>
      <x:c r="Q76" s="21"/>
      <x:c r="R76" s="21"/>
      <x:c r="S76" s="21"/>
      <x:c r="T76" s="21"/>
      <x:c r="U76" s="21"/>
      <x:c r="V76" s="21"/>
      <x:c r="W76" s="21"/>
      <x:c r="X76" s="21"/>
      <x:c r="Y76" s="21"/>
      <x:c r="Z76" s="21"/>
    </x:row>
    <x:row r="77">
      <x:c r="A77" s="21"/>
      <x:c r="B77" s="21"/>
      <x:c r="C77" s="21"/>
      <x:c r="D77" s="21"/>
      <x:c r="E77" s="21"/>
      <x:c r="F77" s="21"/>
      <x:c r="G77" s="21"/>
      <x:c r="H77" s="21"/>
      <x:c r="I77" s="21"/>
      <x:c r="J77" s="21"/>
      <x:c r="K77" s="21"/>
      <x:c r="L77" s="21"/>
      <x:c r="M77" s="21"/>
      <x:c r="N77" s="21"/>
      <x:c r="O77" s="21"/>
      <x:c r="P77" s="21"/>
      <x:c r="Q77" s="21"/>
      <x:c r="R77" s="21"/>
      <x:c r="S77" s="21"/>
      <x:c r="T77" s="21"/>
      <x:c r="U77" s="21"/>
      <x:c r="V77" s="21"/>
      <x:c r="W77" s="21"/>
      <x:c r="X77" s="21"/>
      <x:c r="Y77" s="21"/>
      <x:c r="Z77" s="21"/>
    </x:row>
    <x:row r="78">
      <x:c r="A78" s="21"/>
      <x:c r="B78" s="21"/>
      <x:c r="C78" s="21"/>
      <x:c r="D78" s="21"/>
      <x:c r="E78" s="21"/>
      <x:c r="F78" s="21"/>
      <x:c r="G78" s="21"/>
      <x:c r="H78" s="21"/>
      <x:c r="I78" s="21"/>
      <x:c r="J78" s="21"/>
      <x:c r="K78" s="21"/>
      <x:c r="L78" s="21"/>
      <x:c r="M78" s="21"/>
      <x:c r="N78" s="21"/>
      <x:c r="O78" s="21"/>
      <x:c r="P78" s="21"/>
      <x:c r="Q78" s="21"/>
      <x:c r="R78" s="21"/>
      <x:c r="S78" s="21"/>
      <x:c r="T78" s="21"/>
      <x:c r="U78" s="21"/>
      <x:c r="V78" s="21"/>
      <x:c r="W78" s="21"/>
      <x:c r="X78" s="21"/>
      <x:c r="Y78" s="21"/>
      <x:c r="Z78" s="21"/>
    </x:row>
    <x:row r="79">
      <x:c r="A79" s="21"/>
      <x:c r="B79" s="21"/>
      <x:c r="C79" s="21"/>
      <x:c r="D79" s="21"/>
      <x:c r="E79" s="21"/>
      <x:c r="F79" s="21"/>
      <x:c r="G79" s="21"/>
      <x:c r="H79" s="21"/>
      <x:c r="I79" s="21"/>
      <x:c r="J79" s="21"/>
      <x:c r="K79" s="21"/>
      <x:c r="L79" s="21"/>
      <x:c r="M79" s="21"/>
      <x:c r="N79" s="21"/>
      <x:c r="O79" s="21"/>
      <x:c r="P79" s="21"/>
      <x:c r="Q79" s="21"/>
      <x:c r="R79" s="21"/>
      <x:c r="S79" s="21"/>
      <x:c r="T79" s="21"/>
      <x:c r="U79" s="21"/>
      <x:c r="V79" s="21"/>
      <x:c r="W79" s="21"/>
      <x:c r="X79" s="21"/>
      <x:c r="Y79" s="21"/>
      <x:c r="Z79" s="21"/>
    </x:row>
    <x:row r="80">
      <x:c r="A80" s="21"/>
      <x:c r="B80" s="21"/>
      <x:c r="C80" s="21"/>
      <x:c r="D80" s="21"/>
      <x:c r="E80" s="21"/>
      <x:c r="F80" s="21"/>
      <x:c r="G80" s="21"/>
      <x:c r="H80" s="21"/>
      <x:c r="I80" s="21"/>
      <x:c r="J80" s="21"/>
      <x:c r="K80" s="21"/>
      <x:c r="L80" s="21"/>
      <x:c r="M80" s="21"/>
      <x:c r="N80" s="21"/>
      <x:c r="O80" s="21"/>
      <x:c r="P80" s="21"/>
      <x:c r="Q80" s="21"/>
      <x:c r="R80" s="21"/>
      <x:c r="S80" s="21"/>
      <x:c r="T80" s="21"/>
      <x:c r="U80" s="21"/>
      <x:c r="V80" s="21"/>
      <x:c r="W80" s="21"/>
      <x:c r="X80" s="21"/>
      <x:c r="Y80" s="21"/>
      <x:c r="Z80" s="21"/>
    </x:row>
    <x:row r="81">
      <x:c r="A81" s="21"/>
      <x:c r="B81" s="21"/>
      <x:c r="C81" s="21"/>
      <x:c r="D81" s="21"/>
      <x:c r="E81" s="21"/>
      <x:c r="F81" s="21"/>
      <x:c r="G81" s="21"/>
      <x:c r="H81" s="21"/>
      <x:c r="I81" s="21"/>
      <x:c r="J81" s="21"/>
      <x:c r="K81" s="21"/>
      <x:c r="L81" s="21"/>
      <x:c r="M81" s="21"/>
      <x:c r="N81" s="21"/>
      <x:c r="O81" s="21"/>
      <x:c r="P81" s="21"/>
      <x:c r="Q81" s="21"/>
      <x:c r="R81" s="21"/>
      <x:c r="S81" s="21"/>
      <x:c r="T81" s="21"/>
      <x:c r="U81" s="21"/>
      <x:c r="V81" s="21"/>
      <x:c r="W81" s="21"/>
      <x:c r="X81" s="21"/>
      <x:c r="Y81" s="21"/>
      <x:c r="Z81" s="21"/>
    </x:row>
    <x:row r="82">
      <x:c r="A82" s="21"/>
      <x:c r="B82" s="21"/>
      <x:c r="C82" s="21"/>
      <x:c r="D82" s="21"/>
      <x:c r="E82" s="21"/>
      <x:c r="F82" s="21"/>
      <x:c r="G82" s="21"/>
      <x:c r="H82" s="21"/>
      <x:c r="I82" s="21"/>
      <x:c r="J82" s="21"/>
      <x:c r="K82" s="21"/>
      <x:c r="L82" s="21"/>
      <x:c r="M82" s="21"/>
      <x:c r="N82" s="21"/>
      <x:c r="O82" s="21"/>
      <x:c r="P82" s="21"/>
      <x:c r="Q82" s="21"/>
      <x:c r="R82" s="21"/>
      <x:c r="S82" s="21"/>
      <x:c r="T82" s="21"/>
      <x:c r="U82" s="21"/>
      <x:c r="V82" s="21"/>
      <x:c r="W82" s="21"/>
      <x:c r="X82" s="21"/>
      <x:c r="Y82" s="21"/>
      <x:c r="Z82" s="21"/>
    </x:row>
    <x:row r="83">
      <x:c r="A83" s="21"/>
      <x:c r="B83" s="21"/>
      <x:c r="C83" s="21"/>
      <x:c r="D83" s="21"/>
      <x:c r="E83" s="21"/>
      <x:c r="F83" s="21"/>
      <x:c r="G83" s="21"/>
      <x:c r="H83" s="21"/>
      <x:c r="I83" s="21"/>
      <x:c r="J83" s="21"/>
      <x:c r="K83" s="21"/>
      <x:c r="L83" s="21"/>
      <x:c r="M83" s="21"/>
      <x:c r="N83" s="21"/>
      <x:c r="O83" s="21"/>
      <x:c r="P83" s="21"/>
      <x:c r="Q83" s="21"/>
      <x:c r="R83" s="21"/>
      <x:c r="S83" s="21"/>
      <x:c r="T83" s="21"/>
      <x:c r="U83" s="21"/>
      <x:c r="V83" s="21"/>
      <x:c r="W83" s="21"/>
      <x:c r="X83" s="21"/>
      <x:c r="Y83" s="21"/>
      <x:c r="Z83" s="21"/>
    </x:row>
    <x:row r="84">
      <x:c r="A84" s="21"/>
      <x:c r="B84" s="21"/>
      <x:c r="C84" s="21"/>
      <x:c r="D84" s="21"/>
      <x:c r="E84" s="21"/>
      <x:c r="F84" s="21"/>
      <x:c r="G84" s="21"/>
      <x:c r="H84" s="21"/>
      <x:c r="I84" s="21"/>
      <x:c r="J84" s="21"/>
      <x:c r="K84" s="21"/>
      <x:c r="L84" s="21"/>
      <x:c r="M84" s="21"/>
      <x:c r="N84" s="21"/>
      <x:c r="O84" s="21"/>
      <x:c r="P84" s="21"/>
      <x:c r="Q84" s="21"/>
      <x:c r="R84" s="21"/>
      <x:c r="S84" s="21"/>
      <x:c r="T84" s="21"/>
      <x:c r="U84" s="21"/>
      <x:c r="V84" s="21"/>
      <x:c r="W84" s="21"/>
      <x:c r="X84" s="21"/>
      <x:c r="Y84" s="21"/>
      <x:c r="Z84" s="21"/>
    </x:row>
    <x:row r="85">
      <x:c r="A85" s="21"/>
      <x:c r="B85" s="21"/>
      <x:c r="C85" s="21"/>
      <x:c r="D85" s="21"/>
      <x:c r="E85" s="21"/>
      <x:c r="F85" s="21"/>
      <x:c r="G85" s="21"/>
      <x:c r="H85" s="21"/>
      <x:c r="I85" s="21"/>
      <x:c r="J85" s="21"/>
      <x:c r="K85" s="21"/>
      <x:c r="L85" s="21"/>
      <x:c r="M85" s="21"/>
      <x:c r="N85" s="21"/>
      <x:c r="O85" s="21"/>
      <x:c r="P85" s="21"/>
      <x:c r="Q85" s="21"/>
      <x:c r="R85" s="21"/>
      <x:c r="S85" s="21"/>
      <x:c r="T85" s="21"/>
      <x:c r="U85" s="21"/>
      <x:c r="V85" s="21"/>
      <x:c r="W85" s="21"/>
      <x:c r="X85" s="21"/>
      <x:c r="Y85" s="21"/>
      <x:c r="Z85" s="21"/>
    </x:row>
    <x:row r="86">
      <x:c r="A86" s="21"/>
      <x:c r="B86" s="21"/>
      <x:c r="C86" s="21"/>
      <x:c r="D86" s="21"/>
      <x:c r="E86" s="21"/>
      <x:c r="F86" s="21"/>
      <x:c r="G86" s="21"/>
      <x:c r="H86" s="21"/>
      <x:c r="I86" s="21"/>
      <x:c r="J86" s="21"/>
      <x:c r="K86" s="21"/>
      <x:c r="L86" s="21"/>
      <x:c r="M86" s="21"/>
      <x:c r="N86" s="21"/>
      <x:c r="O86" s="21"/>
      <x:c r="P86" s="21"/>
      <x:c r="Q86" s="21"/>
      <x:c r="R86" s="21"/>
      <x:c r="S86" s="21"/>
      <x:c r="T86" s="21"/>
      <x:c r="U86" s="21"/>
      <x:c r="V86" s="21"/>
      <x:c r="W86" s="21"/>
      <x:c r="X86" s="21"/>
      <x:c r="Y86" s="21"/>
      <x:c r="Z86" s="21"/>
    </x:row>
    <x:row r="87">
      <x:c r="A87" s="21"/>
      <x:c r="B87" s="21"/>
      <x:c r="C87" s="21"/>
      <x:c r="D87" s="21"/>
      <x:c r="E87" s="21"/>
      <x:c r="F87" s="21"/>
      <x:c r="G87" s="21"/>
      <x:c r="H87" s="21"/>
      <x:c r="I87" s="21"/>
      <x:c r="J87" s="21"/>
      <x:c r="K87" s="21"/>
      <x:c r="L87" s="21"/>
      <x:c r="M87" s="21"/>
      <x:c r="N87" s="21"/>
      <x:c r="O87" s="21"/>
      <x:c r="P87" s="21"/>
      <x:c r="Q87" s="21"/>
      <x:c r="R87" s="21"/>
      <x:c r="S87" s="21"/>
      <x:c r="T87" s="21"/>
      <x:c r="U87" s="21"/>
      <x:c r="V87" s="21"/>
      <x:c r="W87" s="21"/>
      <x:c r="X87" s="21"/>
      <x:c r="Y87" s="21"/>
      <x:c r="Z87" s="21"/>
    </x:row>
    <x:row r="88">
      <x:c r="A88" s="21"/>
      <x:c r="B88" s="21"/>
      <x:c r="C88" s="21"/>
      <x:c r="D88" s="21"/>
      <x:c r="E88" s="21"/>
      <x:c r="F88" s="21"/>
      <x:c r="G88" s="21"/>
      <x:c r="H88" s="21"/>
      <x:c r="I88" s="21"/>
      <x:c r="J88" s="21"/>
      <x:c r="K88" s="21"/>
      <x:c r="L88" s="21"/>
      <x:c r="M88" s="21"/>
      <x:c r="N88" s="21"/>
      <x:c r="O88" s="21"/>
      <x:c r="P88" s="21"/>
      <x:c r="Q88" s="21"/>
      <x:c r="R88" s="21"/>
      <x:c r="S88" s="21"/>
      <x:c r="T88" s="21"/>
      <x:c r="U88" s="21"/>
      <x:c r="V88" s="21"/>
      <x:c r="W88" s="21"/>
      <x:c r="X88" s="21"/>
      <x:c r="Y88" s="21"/>
      <x:c r="Z88" s="21"/>
    </x:row>
    <x:row r="89">
      <x:c r="A89" s="21"/>
      <x:c r="B89" s="21"/>
      <x:c r="C89" s="21"/>
      <x:c r="D89" s="21"/>
      <x:c r="E89" s="21"/>
      <x:c r="F89" s="21"/>
      <x:c r="G89" s="21"/>
      <x:c r="H89" s="21"/>
      <x:c r="I89" s="21"/>
      <x:c r="J89" s="21"/>
      <x:c r="K89" s="21"/>
      <x:c r="L89" s="21"/>
      <x:c r="M89" s="21"/>
      <x:c r="N89" s="21"/>
      <x:c r="O89" s="21"/>
      <x:c r="P89" s="21"/>
      <x:c r="Q89" s="21"/>
      <x:c r="R89" s="21"/>
      <x:c r="S89" s="21"/>
      <x:c r="T89" s="21"/>
      <x:c r="U89" s="21"/>
      <x:c r="V89" s="21"/>
      <x:c r="W89" s="21"/>
      <x:c r="X89" s="21"/>
      <x:c r="Y89" s="21"/>
      <x:c r="Z89" s="21"/>
    </x:row>
    <x:row r="90">
      <x:c r="A90" s="21"/>
      <x:c r="B90" s="21"/>
      <x:c r="C90" s="21"/>
      <x:c r="D90" s="21"/>
      <x:c r="E90" s="21"/>
      <x:c r="F90" s="21"/>
      <x:c r="G90" s="21"/>
      <x:c r="H90" s="21"/>
      <x:c r="I90" s="21"/>
      <x:c r="J90" s="21"/>
      <x:c r="K90" s="21"/>
      <x:c r="L90" s="21"/>
      <x:c r="M90" s="21"/>
      <x:c r="N90" s="21"/>
      <x:c r="O90" s="21"/>
      <x:c r="P90" s="21"/>
      <x:c r="Q90" s="21"/>
      <x:c r="R90" s="21"/>
      <x:c r="S90" s="21"/>
      <x:c r="T90" s="21"/>
      <x:c r="U90" s="21"/>
      <x:c r="V90" s="21"/>
      <x:c r="W90" s="21"/>
      <x:c r="X90" s="21"/>
      <x:c r="Y90" s="21"/>
      <x:c r="Z90" s="21"/>
    </x:row>
    <x:row r="91">
      <x:c r="A91" s="21"/>
      <x:c r="B91" s="21"/>
      <x:c r="C91" s="21"/>
      <x:c r="D91" s="21"/>
      <x:c r="E91" s="21"/>
      <x:c r="F91" s="21"/>
      <x:c r="G91" s="21"/>
      <x:c r="H91" s="21"/>
      <x:c r="I91" s="21"/>
      <x:c r="J91" s="21"/>
      <x:c r="K91" s="21"/>
      <x:c r="L91" s="21"/>
      <x:c r="M91" s="21"/>
      <x:c r="N91" s="21"/>
      <x:c r="O91" s="21"/>
      <x:c r="P91" s="21"/>
      <x:c r="Q91" s="21"/>
      <x:c r="R91" s="21"/>
      <x:c r="S91" s="21"/>
      <x:c r="T91" s="21"/>
      <x:c r="U91" s="21"/>
      <x:c r="V91" s="21"/>
      <x:c r="W91" s="21"/>
      <x:c r="X91" s="21"/>
      <x:c r="Y91" s="21"/>
      <x:c r="Z91" s="21"/>
    </x:row>
    <x:row r="92">
      <x:c r="A92" s="21"/>
      <x:c r="B92" s="21"/>
      <x:c r="C92" s="21"/>
      <x:c r="D92" s="21"/>
      <x:c r="E92" s="21"/>
      <x:c r="F92" s="21"/>
      <x:c r="G92" s="21"/>
      <x:c r="H92" s="21"/>
      <x:c r="I92" s="21"/>
      <x:c r="J92" s="21"/>
      <x:c r="K92" s="21"/>
      <x:c r="L92" s="21"/>
      <x:c r="M92" s="21"/>
      <x:c r="N92" s="21"/>
      <x:c r="O92" s="21"/>
      <x:c r="P92" s="21"/>
      <x:c r="Q92" s="21"/>
      <x:c r="R92" s="21"/>
      <x:c r="S92" s="21"/>
      <x:c r="T92" s="21"/>
      <x:c r="U92" s="21"/>
      <x:c r="V92" s="21"/>
      <x:c r="W92" s="21"/>
      <x:c r="X92" s="21"/>
      <x:c r="Y92" s="21"/>
      <x:c r="Z92" s="21"/>
    </x:row>
    <x:row r="93">
      <x:c r="A93" s="21"/>
      <x:c r="B93" s="21"/>
      <x:c r="C93" s="21"/>
      <x:c r="D93" s="21"/>
      <x:c r="E93" s="21"/>
      <x:c r="F93" s="21"/>
      <x:c r="G93" s="21"/>
      <x:c r="H93" s="21"/>
      <x:c r="I93" s="21"/>
      <x:c r="J93" s="21"/>
      <x:c r="K93" s="21"/>
      <x:c r="L93" s="21"/>
      <x:c r="M93" s="21"/>
      <x:c r="N93" s="21"/>
      <x:c r="O93" s="21"/>
      <x:c r="P93" s="21"/>
      <x:c r="Q93" s="21"/>
      <x:c r="R93" s="21"/>
      <x:c r="S93" s="21"/>
      <x:c r="T93" s="21"/>
      <x:c r="U93" s="21"/>
      <x:c r="V93" s="21"/>
      <x:c r="W93" s="21"/>
      <x:c r="X93" s="21"/>
      <x:c r="Y93" s="21"/>
      <x:c r="Z93" s="21"/>
    </x:row>
    <x:row r="94">
      <x:c r="A94" s="21"/>
      <x:c r="B94" s="21"/>
      <x:c r="C94" s="21"/>
      <x:c r="D94" s="21"/>
      <x:c r="E94" s="21"/>
      <x:c r="F94" s="21"/>
      <x:c r="G94" s="21"/>
      <x:c r="H94" s="21"/>
      <x:c r="I94" s="21"/>
      <x:c r="J94" s="21"/>
      <x:c r="K94" s="21"/>
      <x:c r="L94" s="21"/>
      <x:c r="M94" s="21"/>
      <x:c r="N94" s="21"/>
      <x:c r="O94" s="21"/>
      <x:c r="P94" s="21"/>
      <x:c r="Q94" s="21"/>
      <x:c r="R94" s="21"/>
      <x:c r="S94" s="21"/>
      <x:c r="T94" s="21"/>
      <x:c r="U94" s="21"/>
      <x:c r="V94" s="21"/>
      <x:c r="W94" s="21"/>
      <x:c r="X94" s="21"/>
      <x:c r="Y94" s="21"/>
      <x:c r="Z94" s="21"/>
    </x:row>
    <x:row r="95">
      <x:c r="A95" s="21"/>
      <x:c r="B95" s="21"/>
      <x:c r="C95" s="21"/>
      <x:c r="D95" s="21"/>
      <x:c r="E95" s="21"/>
      <x:c r="F95" s="21"/>
      <x:c r="G95" s="21"/>
      <x:c r="H95" s="21"/>
      <x:c r="I95" s="21"/>
      <x:c r="J95" s="21"/>
      <x:c r="K95" s="21"/>
      <x:c r="L95" s="21"/>
      <x:c r="M95" s="21"/>
      <x:c r="N95" s="21"/>
      <x:c r="O95" s="21"/>
      <x:c r="P95" s="21"/>
      <x:c r="Q95" s="21"/>
      <x:c r="R95" s="21"/>
      <x:c r="S95" s="21"/>
      <x:c r="T95" s="21"/>
      <x:c r="U95" s="21"/>
      <x:c r="V95" s="21"/>
      <x:c r="W95" s="21"/>
      <x:c r="X95" s="21"/>
      <x:c r="Y95" s="21"/>
      <x:c r="Z95" s="21"/>
    </x:row>
    <x:row r="96">
      <x:c r="A96" s="21"/>
      <x:c r="B96" s="21"/>
      <x:c r="C96" s="21"/>
      <x:c r="D96" s="21"/>
      <x:c r="E96" s="21"/>
      <x:c r="F96" s="21"/>
      <x:c r="G96" s="21"/>
      <x:c r="H96" s="21"/>
      <x:c r="I96" s="21"/>
      <x:c r="J96" s="21"/>
      <x:c r="K96" s="21"/>
      <x:c r="L96" s="21"/>
      <x:c r="M96" s="21"/>
      <x:c r="N96" s="21"/>
      <x:c r="O96" s="21"/>
      <x:c r="P96" s="21"/>
      <x:c r="Q96" s="21"/>
      <x:c r="R96" s="21"/>
      <x:c r="S96" s="21"/>
      <x:c r="T96" s="21"/>
      <x:c r="U96" s="21"/>
      <x:c r="V96" s="21"/>
      <x:c r="W96" s="21"/>
      <x:c r="X96" s="21"/>
      <x:c r="Y96" s="21"/>
      <x:c r="Z96" s="21"/>
    </x:row>
    <x:row r="97">
      <x:c r="A97" s="21"/>
      <x:c r="B97" s="21"/>
      <x:c r="C97" s="21"/>
      <x:c r="D97" s="21"/>
      <x:c r="E97" s="21"/>
      <x:c r="F97" s="21"/>
      <x:c r="G97" s="21"/>
      <x:c r="H97" s="21"/>
      <x:c r="I97" s="21"/>
      <x:c r="J97" s="21"/>
      <x:c r="K97" s="21"/>
      <x:c r="L97" s="21"/>
      <x:c r="M97" s="21"/>
      <x:c r="N97" s="21"/>
      <x:c r="O97" s="21"/>
      <x:c r="P97" s="21"/>
      <x:c r="Q97" s="21"/>
      <x:c r="R97" s="21"/>
      <x:c r="S97" s="21"/>
      <x:c r="T97" s="21"/>
      <x:c r="U97" s="21"/>
      <x:c r="V97" s="21"/>
      <x:c r="W97" s="21"/>
      <x:c r="X97" s="21"/>
      <x:c r="Y97" s="21"/>
      <x:c r="Z97" s="21"/>
    </x:row>
    <x:row r="98">
      <x:c r="A98" s="21"/>
      <x:c r="B98" s="21"/>
      <x:c r="C98" s="21"/>
      <x:c r="D98" s="21"/>
      <x:c r="E98" s="21"/>
      <x:c r="F98" s="21"/>
      <x:c r="G98" s="21"/>
      <x:c r="H98" s="21"/>
      <x:c r="I98" s="21"/>
      <x:c r="J98" s="21"/>
      <x:c r="K98" s="21"/>
      <x:c r="L98" s="21"/>
      <x:c r="M98" s="21"/>
      <x:c r="N98" s="21"/>
      <x:c r="O98" s="21"/>
      <x:c r="P98" s="21"/>
      <x:c r="Q98" s="21"/>
      <x:c r="R98" s="21"/>
      <x:c r="S98" s="21"/>
      <x:c r="T98" s="21"/>
      <x:c r="U98" s="21"/>
      <x:c r="V98" s="21"/>
      <x:c r="W98" s="21"/>
      <x:c r="X98" s="21"/>
      <x:c r="Y98" s="21"/>
      <x:c r="Z98" s="21"/>
    </x:row>
    <x:row r="99">
      <x:c r="A99" s="21"/>
      <x:c r="B99" s="21"/>
      <x:c r="C99" s="21"/>
      <x:c r="D99" s="21"/>
      <x:c r="E99" s="21"/>
      <x:c r="F99" s="21"/>
      <x:c r="G99" s="21"/>
      <x:c r="H99" s="21"/>
      <x:c r="I99" s="21"/>
      <x:c r="J99" s="21"/>
      <x:c r="K99" s="21"/>
      <x:c r="L99" s="21"/>
      <x:c r="M99" s="21"/>
      <x:c r="N99" s="21"/>
      <x:c r="O99" s="21"/>
      <x:c r="P99" s="21"/>
      <x:c r="Q99" s="21"/>
      <x:c r="R99" s="21"/>
      <x:c r="S99" s="21"/>
      <x:c r="T99" s="21"/>
      <x:c r="U99" s="21"/>
      <x:c r="V99" s="21"/>
      <x:c r="W99" s="21"/>
      <x:c r="X99" s="21"/>
      <x:c r="Y99" s="21"/>
      <x:c r="Z99" s="21"/>
    </x:row>
    <x:row r="100">
      <x:c r="A100" s="21"/>
      <x:c r="B100" s="21"/>
      <x:c r="C100" s="21"/>
      <x:c r="D100" s="21"/>
      <x:c r="E100" s="21"/>
      <x:c r="F100" s="21"/>
      <x:c r="G100" s="21"/>
      <x:c r="H100" s="21"/>
      <x:c r="I100" s="21"/>
      <x:c r="J100" s="21"/>
      <x:c r="K100" s="21"/>
      <x:c r="L100" s="21"/>
      <x:c r="M100" s="21"/>
      <x:c r="N100" s="21"/>
      <x:c r="O100" s="21"/>
      <x:c r="P100" s="21"/>
      <x:c r="Q100" s="21"/>
      <x:c r="R100" s="21"/>
      <x:c r="S100" s="21"/>
      <x:c r="T100" s="21"/>
      <x:c r="U100" s="21"/>
      <x:c r="V100" s="21"/>
      <x:c r="W100" s="21"/>
      <x:c r="X100" s="21"/>
      <x:c r="Y100" s="21"/>
      <x:c r="Z100" s="21"/>
    </x:row>
  </x:sheetData>
  <x:mergeCells>
    <x:mergeCell ref="A1:H1"/>
  </x:mergeCells>
  <x:conditionalFormatting sqref="A3:H18">
    <x:cfRule type="expression" dxfId="18" priority="1">
      <x:formula>ISNUMBER(SEARCH("Critical",H3))</x:formula>
    </x:cfRule>
    <x:cfRule type="expression" dxfId="17" priority="2">
      <x:formula>ISNUMBER(SEARCH("correction",H3))</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0" customWidth="1"/>
    <x:col min="2" max="2" width="34" customWidth="1"/>
    <x:col min="3" max="3" width="20" customWidth="1"/>
    <x:col min="4" max="4" width="62" customWidth="1"/>
    <x:col min="5" max="5" width="42" customWidth="1"/>
    <x:col min="6" max="6" width="34" customWidth="1"/>
    <x:col min="7" max="7" width="18" customWidth="1"/>
  </x:cols>
  <x:sheetData>
    <x:row r="1" ht="19.5">
      <x:c r="A1" s="134" t="s">
        <x:v>2547</x:v>
      </x:c>
      <x:c r="B1" s="134"/>
      <x:c r="C1" s="134"/>
      <x:c r="D1" s="134"/>
      <x:c r="E1" s="134"/>
      <x:c r="F1" s="134"/>
      <x:c r="G1" s="134"/>
      <x:c r="H1" s="21"/>
      <x:c r="I1" s="21"/>
      <x:c r="J1" s="21"/>
      <x:c r="K1" s="21"/>
      <x:c r="L1" s="21"/>
      <x:c r="M1" s="21"/>
      <x:c r="N1" s="21"/>
      <x:c r="O1" s="21"/>
      <x:c r="P1" s="21"/>
      <x:c r="Q1" s="21"/>
      <x:c r="R1" s="21"/>
      <x:c r="S1" s="21"/>
      <x:c r="T1" s="21"/>
      <x:c r="U1" s="21"/>
      <x:c r="V1" s="21"/>
      <x:c r="W1" s="21"/>
      <x:c r="X1" s="21"/>
      <x:c r="Y1" s="21"/>
      <x:c r="Z1" s="21"/>
    </x:row>
    <x:row r="2">
      <x:c r="A2" s="108" t="s">
        <x:v>2548</x:v>
      </x:c>
      <x:c r="B2" s="108" t="s">
        <x:v>2549</x:v>
      </x:c>
      <x:c r="C2" s="108" t="s">
        <x:v>2550</x:v>
      </x:c>
      <x:c r="D2" s="108" t="s">
        <x:v>2551</x:v>
      </x:c>
      <x:c r="E2" s="108" t="s">
        <x:v>2552</x:v>
      </x:c>
      <x:c r="F2" s="108" t="s">
        <x:v>2170</x:v>
      </x:c>
      <x:c r="G2" s="108" t="s">
        <x:v>2167</x:v>
      </x:c>
      <x:c r="H2" s="21"/>
      <x:c r="I2" s="21"/>
      <x:c r="J2" s="21"/>
      <x:c r="K2" s="21"/>
      <x:c r="L2" s="21"/>
      <x:c r="M2" s="21"/>
      <x:c r="N2" s="21"/>
      <x:c r="O2" s="21"/>
      <x:c r="P2" s="21"/>
      <x:c r="Q2" s="21"/>
      <x:c r="R2" s="21"/>
      <x:c r="S2" s="21"/>
      <x:c r="T2" s="21"/>
      <x:c r="U2" s="21"/>
      <x:c r="V2" s="21"/>
      <x:c r="W2" s="21"/>
      <x:c r="X2" s="21"/>
      <x:c r="Y2" s="21"/>
      <x:c r="Z2" s="21"/>
    </x:row>
    <x:row r="3" ht="45">
      <x:c r="A3" s="7" t="s">
        <x:v>2553</x:v>
      </x:c>
      <x:c r="B3" s="7" t="s">
        <x:v>2554</x:v>
      </x:c>
      <x:c r="C3" s="7" t="s">
        <x:v>2555</x:v>
      </x:c>
      <x:c r="D3" s="7" t="s">
        <x:v>2556</x:v>
      </x:c>
      <x:c r="E3" s="7" t="s">
        <x:v>2557</x:v>
      </x:c>
      <x:c r="F3" s="7" t="s">
        <x:v>2558</x:v>
      </x:c>
      <x:c r="G3" s="7" t="s">
        <x:v>46</x:v>
      </x:c>
      <x:c r="H3" s="21"/>
      <x:c r="I3" s="21"/>
      <x:c r="J3" s="21"/>
      <x:c r="K3" s="21"/>
      <x:c r="L3" s="21"/>
      <x:c r="M3" s="21"/>
      <x:c r="N3" s="21"/>
      <x:c r="O3" s="21"/>
      <x:c r="P3" s="21"/>
      <x:c r="Q3" s="21"/>
      <x:c r="R3" s="21"/>
      <x:c r="S3" s="21"/>
      <x:c r="T3" s="21"/>
      <x:c r="U3" s="21"/>
      <x:c r="V3" s="21"/>
      <x:c r="W3" s="21"/>
      <x:c r="X3" s="21"/>
      <x:c r="Y3" s="21"/>
      <x:c r="Z3" s="21"/>
    </x:row>
    <x:row r="4" ht="30">
      <x:c r="A4" s="7" t="s">
        <x:v>2559</x:v>
      </x:c>
      <x:c r="B4" s="7" t="s">
        <x:v>2560</x:v>
      </x:c>
      <x:c r="C4" s="7" t="s">
        <x:v>2561</x:v>
      </x:c>
      <x:c r="D4" s="7" t="s">
        <x:v>2534</x:v>
      </x:c>
      <x:c r="E4" s="7" t="s">
        <x:v>2562</x:v>
      </x:c>
      <x:c r="F4" s="7" t="s">
        <x:v>2563</x:v>
      </x:c>
      <x:c r="G4" s="7" t="s">
        <x:v>46</x:v>
      </x:c>
      <x:c r="H4" s="21"/>
      <x:c r="I4" s="21"/>
      <x:c r="J4" s="21"/>
      <x:c r="K4" s="21"/>
      <x:c r="L4" s="21"/>
      <x:c r="M4" s="21"/>
      <x:c r="N4" s="21"/>
      <x:c r="O4" s="21"/>
      <x:c r="P4" s="21"/>
      <x:c r="Q4" s="21"/>
      <x:c r="R4" s="21"/>
      <x:c r="S4" s="21"/>
      <x:c r="T4" s="21"/>
      <x:c r="U4" s="21"/>
      <x:c r="V4" s="21"/>
      <x:c r="W4" s="21"/>
      <x:c r="X4" s="21"/>
      <x:c r="Y4" s="21"/>
      <x:c r="Z4" s="21"/>
    </x:row>
    <x:row r="5" ht="45">
      <x:c r="A5" s="7" t="s">
        <x:v>2564</x:v>
      </x:c>
      <x:c r="B5" s="7" t="s">
        <x:v>2565</x:v>
      </x:c>
      <x:c r="C5" s="7" t="s">
        <x:v>2566</x:v>
      </x:c>
      <x:c r="D5" s="7" t="s">
        <x:v>2567</x:v>
      </x:c>
      <x:c r="E5" s="7" t="s">
        <x:v>2568</x:v>
      </x:c>
      <x:c r="F5" s="7" t="s">
        <x:v>2569</x:v>
      </x:c>
      <x:c r="G5" s="7" t="s">
        <x:v>46</x:v>
      </x:c>
      <x:c r="H5" s="21"/>
      <x:c r="I5" s="21"/>
      <x:c r="J5" s="21"/>
      <x:c r="K5" s="21"/>
      <x:c r="L5" s="21"/>
      <x:c r="M5" s="21"/>
      <x:c r="N5" s="21"/>
      <x:c r="O5" s="21"/>
      <x:c r="P5" s="21"/>
      <x:c r="Q5" s="21"/>
      <x:c r="R5" s="21"/>
      <x:c r="S5" s="21"/>
      <x:c r="T5" s="21"/>
      <x:c r="U5" s="21"/>
      <x:c r="V5" s="21"/>
      <x:c r="W5" s="21"/>
      <x:c r="X5" s="21"/>
      <x:c r="Y5" s="21"/>
      <x:c r="Z5" s="21"/>
    </x:row>
    <x:row r="6" ht="30">
      <x:c r="A6" s="7" t="s">
        <x:v>2570</x:v>
      </x:c>
      <x:c r="B6" s="7" t="s">
        <x:v>2571</x:v>
      </x:c>
      <x:c r="C6" s="7" t="s">
        <x:v>2555</x:v>
      </x:c>
      <x:c r="D6" s="7" t="s">
        <x:v>2572</x:v>
      </x:c>
      <x:c r="E6" s="7" t="s">
        <x:v>2573</x:v>
      </x:c>
      <x:c r="F6" s="7" t="s">
        <x:v>2574</x:v>
      </x:c>
      <x:c r="G6" s="7" t="s">
        <x:v>2575</x:v>
      </x:c>
      <x:c r="H6" s="21"/>
      <x:c r="I6" s="21"/>
      <x:c r="J6" s="21"/>
      <x:c r="K6" s="21"/>
      <x:c r="L6" s="21"/>
      <x:c r="M6" s="21"/>
      <x:c r="N6" s="21"/>
      <x:c r="O6" s="21"/>
      <x:c r="P6" s="21"/>
      <x:c r="Q6" s="21"/>
      <x:c r="R6" s="21"/>
      <x:c r="S6" s="21"/>
      <x:c r="T6" s="21"/>
      <x:c r="U6" s="21"/>
      <x:c r="V6" s="21"/>
      <x:c r="W6" s="21"/>
      <x:c r="X6" s="21"/>
      <x:c r="Y6" s="21"/>
      <x:c r="Z6" s="21"/>
    </x:row>
    <x:row r="7" ht="30">
      <x:c r="A7" s="7" t="s">
        <x:v>2576</x:v>
      </x:c>
      <x:c r="B7" s="7" t="s">
        <x:v>2577</x:v>
      </x:c>
      <x:c r="C7" s="7" t="s">
        <x:v>2561</x:v>
      </x:c>
      <x:c r="D7" s="7" t="s">
        <x:v>2578</x:v>
      </x:c>
      <x:c r="E7" s="7" t="s">
        <x:v>2579</x:v>
      </x:c>
      <x:c r="F7" s="7" t="s">
        <x:v>2580</x:v>
      </x:c>
      <x:c r="G7" s="7" t="s">
        <x:v>46</x:v>
      </x:c>
      <x:c r="H7" s="21"/>
      <x:c r="I7" s="21"/>
      <x:c r="J7" s="21"/>
      <x:c r="K7" s="21"/>
      <x:c r="L7" s="21"/>
      <x:c r="M7" s="21"/>
      <x:c r="N7" s="21"/>
      <x:c r="O7" s="21"/>
      <x:c r="P7" s="21"/>
      <x:c r="Q7" s="21"/>
      <x:c r="R7" s="21"/>
      <x:c r="S7" s="21"/>
      <x:c r="T7" s="21"/>
      <x:c r="U7" s="21"/>
      <x:c r="V7" s="21"/>
      <x:c r="W7" s="21"/>
      <x:c r="X7" s="21"/>
      <x:c r="Y7" s="21"/>
      <x:c r="Z7" s="21"/>
    </x:row>
    <x:row r="8" ht="30">
      <x:c r="A8" s="7" t="s">
        <x:v>2581</x:v>
      </x:c>
      <x:c r="B8" s="7" t="s">
        <x:v>2582</x:v>
      </x:c>
      <x:c r="C8" s="7" t="s">
        <x:v>2583</x:v>
      </x:c>
      <x:c r="D8" s="7" t="s">
        <x:v>2584</x:v>
      </x:c>
      <x:c r="E8" s="7" t="s">
        <x:v>2585</x:v>
      </x:c>
      <x:c r="F8" s="7" t="s">
        <x:v>2586</x:v>
      </x:c>
      <x:c r="G8" s="7" t="s">
        <x:v>118</x:v>
      </x:c>
      <x:c r="H8" s="21"/>
      <x:c r="I8" s="21"/>
      <x:c r="J8" s="21"/>
      <x:c r="K8" s="21"/>
      <x:c r="L8" s="21"/>
      <x:c r="M8" s="21"/>
      <x:c r="N8" s="21"/>
      <x:c r="O8" s="21"/>
      <x:c r="P8" s="21"/>
      <x:c r="Q8" s="21"/>
      <x:c r="R8" s="21"/>
      <x:c r="S8" s="21"/>
      <x:c r="T8" s="21"/>
      <x:c r="U8" s="21"/>
      <x:c r="V8" s="21"/>
      <x:c r="W8" s="21"/>
      <x:c r="X8" s="21"/>
      <x:c r="Y8" s="21"/>
      <x:c r="Z8" s="21"/>
    </x:row>
    <x:row r="9" ht="30">
      <x:c r="A9" s="7" t="s">
        <x:v>2587</x:v>
      </x:c>
      <x:c r="B9" s="7" t="s">
        <x:v>2588</x:v>
      </x:c>
      <x:c r="C9" s="7" t="s">
        <x:v>2589</x:v>
      </x:c>
      <x:c r="D9" s="7" t="s">
        <x:v>2590</x:v>
      </x:c>
      <x:c r="E9" s="7" t="s">
        <x:v>2591</x:v>
      </x:c>
      <x:c r="F9" s="7" t="s">
        <x:v>2592</x:v>
      </x:c>
      <x:c r="G9" s="7" t="s">
        <x:v>46</x:v>
      </x:c>
      <x:c r="H9" s="21"/>
      <x:c r="I9" s="21"/>
      <x:c r="J9" s="21"/>
      <x:c r="K9" s="21"/>
      <x:c r="L9" s="21"/>
      <x:c r="M9" s="21"/>
      <x:c r="N9" s="21"/>
      <x:c r="O9" s="21"/>
      <x:c r="P9" s="21"/>
      <x:c r="Q9" s="21"/>
      <x:c r="R9" s="21"/>
      <x:c r="S9" s="21"/>
      <x:c r="T9" s="21"/>
      <x:c r="U9" s="21"/>
      <x:c r="V9" s="21"/>
      <x:c r="W9" s="21"/>
      <x:c r="X9" s="21"/>
      <x:c r="Y9" s="21"/>
      <x:c r="Z9" s="21"/>
    </x:row>
    <x:row r="10" ht="30">
      <x:c r="A10" s="7" t="s">
        <x:v>2593</x:v>
      </x:c>
      <x:c r="B10" s="7" t="s">
        <x:v>2594</x:v>
      </x:c>
      <x:c r="C10" s="7" t="s">
        <x:v>2595</x:v>
      </x:c>
      <x:c r="D10" s="7" t="s">
        <x:v>2596</x:v>
      </x:c>
      <x:c r="E10" s="7" t="s">
        <x:v>2597</x:v>
      </x:c>
      <x:c r="F10" s="7" t="s">
        <x:v>2598</x:v>
      </x:c>
      <x:c r="G10" s="7" t="s">
        <x:v>118</x:v>
      </x:c>
      <x:c r="H10" s="21"/>
      <x:c r="I10" s="21"/>
      <x:c r="J10" s="21"/>
      <x:c r="K10" s="21"/>
      <x:c r="L10" s="21"/>
      <x:c r="M10" s="21"/>
      <x:c r="N10" s="21"/>
      <x:c r="O10" s="21"/>
      <x:c r="P10" s="21"/>
      <x:c r="Q10" s="21"/>
      <x:c r="R10" s="21"/>
      <x:c r="S10" s="21"/>
      <x:c r="T10" s="21"/>
      <x:c r="U10" s="21"/>
      <x:c r="V10" s="21"/>
      <x:c r="W10" s="21"/>
      <x:c r="X10" s="21"/>
      <x:c r="Y10" s="21"/>
      <x:c r="Z10" s="21"/>
    </x:row>
    <x:row r="11" ht="30">
      <x:c r="A11" s="7" t="s">
        <x:v>2599</x:v>
      </x:c>
      <x:c r="B11" s="7" t="s">
        <x:v>2600</x:v>
      </x:c>
      <x:c r="C11" s="7" t="s">
        <x:v>2561</x:v>
      </x:c>
      <x:c r="D11" s="7" t="s">
        <x:v>2601</x:v>
      </x:c>
      <x:c r="E11" s="7" t="s">
        <x:v>2602</x:v>
      </x:c>
      <x:c r="F11" s="7" t="s">
        <x:v>2603</x:v>
      </x:c>
      <x:c r="G11" s="7" t="s">
        <x:v>46</x:v>
      </x:c>
      <x:c r="H11" s="21"/>
      <x:c r="I11" s="21"/>
      <x:c r="J11" s="21"/>
      <x:c r="K11" s="21"/>
      <x:c r="L11" s="21"/>
      <x:c r="M11" s="21"/>
      <x:c r="N11" s="21"/>
      <x:c r="O11" s="21"/>
      <x:c r="P11" s="21"/>
      <x:c r="Q11" s="21"/>
      <x:c r="R11" s="21"/>
      <x:c r="S11" s="21"/>
      <x:c r="T11" s="21"/>
      <x:c r="U11" s="21"/>
      <x:c r="V11" s="21"/>
      <x:c r="W11" s="21"/>
      <x:c r="X11" s="21"/>
      <x:c r="Y11" s="21"/>
      <x:c r="Z11" s="21"/>
    </x:row>
    <x:row r="12" ht="45">
      <x:c r="A12" s="7" t="s">
        <x:v>2604</x:v>
      </x:c>
      <x:c r="B12" s="7" t="s">
        <x:v>2605</x:v>
      </x:c>
      <x:c r="C12" s="7" t="s">
        <x:v>2606</x:v>
      </x:c>
      <x:c r="D12" s="7" t="s">
        <x:v>2607</x:v>
      </x:c>
      <x:c r="E12" s="7" t="s">
        <x:v>2608</x:v>
      </x:c>
      <x:c r="F12" s="7" t="s">
        <x:v>2609</x:v>
      </x:c>
      <x:c r="G12" s="7" t="s">
        <x:v>46</x:v>
      </x:c>
      <x:c r="H12" s="21"/>
      <x:c r="I12" s="21"/>
      <x:c r="J12" s="21"/>
      <x:c r="K12" s="21"/>
      <x:c r="L12" s="21"/>
      <x:c r="M12" s="21"/>
      <x:c r="N12" s="21"/>
      <x:c r="O12" s="21"/>
      <x:c r="P12" s="21"/>
      <x:c r="Q12" s="21"/>
      <x:c r="R12" s="21"/>
      <x:c r="S12" s="21"/>
      <x:c r="T12" s="21"/>
      <x:c r="U12" s="21"/>
      <x:c r="V12" s="21"/>
      <x:c r="W12" s="21"/>
      <x:c r="X12" s="21"/>
      <x:c r="Y12" s="21"/>
      <x:c r="Z12" s="21"/>
    </x:row>
    <x:row r="13" ht="30">
      <x:c r="A13" s="7" t="s">
        <x:v>2610</x:v>
      </x:c>
      <x:c r="B13" s="7" t="s">
        <x:v>2611</x:v>
      </x:c>
      <x:c r="C13" s="7" t="s">
        <x:v>2612</x:v>
      </x:c>
      <x:c r="D13" s="7" t="s">
        <x:v>2613</x:v>
      </x:c>
      <x:c r="E13" s="7" t="s">
        <x:v>2614</x:v>
      </x:c>
      <x:c r="F13" s="7" t="s">
        <x:v>2615</x:v>
      </x:c>
      <x:c r="G13" s="7" t="s">
        <x:v>46</x:v>
      </x:c>
      <x:c r="H13" s="21"/>
      <x:c r="I13" s="21"/>
      <x:c r="J13" s="21"/>
      <x:c r="K13" s="21"/>
      <x:c r="L13" s="21"/>
      <x:c r="M13" s="21"/>
      <x:c r="N13" s="21"/>
      <x:c r="O13" s="21"/>
      <x:c r="P13" s="21"/>
      <x:c r="Q13" s="21"/>
      <x:c r="R13" s="21"/>
      <x:c r="S13" s="21"/>
      <x:c r="T13" s="21"/>
      <x:c r="U13" s="21"/>
      <x:c r="V13" s="21"/>
      <x:c r="W13" s="21"/>
      <x:c r="X13" s="21"/>
      <x:c r="Y13" s="21"/>
      <x:c r="Z13" s="21"/>
    </x:row>
    <x:row r="14" ht="45">
      <x:c r="A14" s="7" t="s">
        <x:v>2616</x:v>
      </x:c>
      <x:c r="B14" s="7" t="s">
        <x:v>2617</x:v>
      </x:c>
      <x:c r="C14" s="7" t="s">
        <x:v>2618</x:v>
      </x:c>
      <x:c r="D14" s="7" t="s">
        <x:v>2619</x:v>
      </x:c>
      <x:c r="E14" s="7" t="s">
        <x:v>2620</x:v>
      </x:c>
      <x:c r="F14" s="7" t="s">
        <x:v>2621</x:v>
      </x:c>
      <x:c r="G14" s="7" t="s">
        <x:v>46</x:v>
      </x:c>
      <x:c r="H14" s="21"/>
      <x:c r="I14" s="21"/>
      <x:c r="J14" s="21"/>
      <x:c r="K14" s="21"/>
      <x:c r="L14" s="21"/>
      <x:c r="M14" s="21"/>
      <x:c r="N14" s="21"/>
      <x:c r="O14" s="21"/>
      <x:c r="P14" s="21"/>
      <x:c r="Q14" s="21"/>
      <x:c r="R14" s="21"/>
      <x:c r="S14" s="21"/>
      <x:c r="T14" s="21"/>
      <x:c r="U14" s="21"/>
      <x:c r="V14" s="21"/>
      <x:c r="W14" s="21"/>
      <x:c r="X14" s="21"/>
      <x:c r="Y14" s="21"/>
      <x:c r="Z14" s="21"/>
    </x:row>
    <x:row r="15" ht="45">
      <x:c r="A15" s="7" t="s">
        <x:v>2622</x:v>
      </x:c>
      <x:c r="B15" s="7" t="s">
        <x:v>2623</x:v>
      </x:c>
      <x:c r="C15" s="7" t="s">
        <x:v>2624</x:v>
      </x:c>
      <x:c r="D15" s="7" t="s">
        <x:v>2625</x:v>
      </x:c>
      <x:c r="E15" s="7" t="s">
        <x:v>2626</x:v>
      </x:c>
      <x:c r="F15" s="7" t="s">
        <x:v>2627</x:v>
      </x:c>
      <x:c r="G15" s="7" t="s">
        <x:v>46</x:v>
      </x:c>
      <x:c r="H15" s="21"/>
      <x:c r="I15" s="21"/>
      <x:c r="J15" s="21"/>
      <x:c r="K15" s="21"/>
      <x:c r="L15" s="21"/>
      <x:c r="M15" s="21"/>
      <x:c r="N15" s="21"/>
      <x:c r="O15" s="21"/>
      <x:c r="P15" s="21"/>
      <x:c r="Q15" s="21"/>
      <x:c r="R15" s="21"/>
      <x:c r="S15" s="21"/>
      <x:c r="T15" s="21"/>
      <x:c r="U15" s="21"/>
      <x:c r="V15" s="21"/>
      <x:c r="W15" s="21"/>
      <x:c r="X15" s="21"/>
      <x:c r="Y15" s="21"/>
      <x:c r="Z15" s="21"/>
    </x:row>
    <x:row r="16" ht="45">
      <x:c r="A16" s="7" t="s">
        <x:v>2628</x:v>
      </x:c>
      <x:c r="B16" s="7" t="s">
        <x:v>2629</x:v>
      </x:c>
      <x:c r="C16" s="7" t="s">
        <x:v>2630</x:v>
      </x:c>
      <x:c r="D16" s="7" t="s">
        <x:v>2631</x:v>
      </x:c>
      <x:c r="E16" s="7" t="s">
        <x:v>2632</x:v>
      </x:c>
      <x:c r="F16" s="7" t="s">
        <x:v>2633</x:v>
      </x:c>
      <x:c r="G16" s="7" t="s">
        <x:v>46</x:v>
      </x:c>
      <x:c r="H16" s="21"/>
      <x:c r="I16" s="21"/>
      <x:c r="J16" s="21"/>
      <x:c r="K16" s="21"/>
      <x:c r="L16" s="21"/>
      <x:c r="M16" s="21"/>
      <x:c r="N16" s="21"/>
      <x:c r="O16" s="21"/>
      <x:c r="P16" s="21"/>
      <x:c r="Q16" s="21"/>
      <x:c r="R16" s="21"/>
      <x:c r="S16" s="21"/>
      <x:c r="T16" s="21"/>
      <x:c r="U16" s="21"/>
      <x:c r="V16" s="21"/>
      <x:c r="W16" s="21"/>
      <x:c r="X16" s="21"/>
      <x:c r="Y16" s="21"/>
      <x:c r="Z16" s="21"/>
    </x:row>
    <x:row r="17" ht="45">
      <x:c r="A17" s="7" t="s">
        <x:v>2634</x:v>
      </x:c>
      <x:c r="B17" s="7" t="s">
        <x:v>2635</x:v>
      </x:c>
      <x:c r="C17" s="7" t="s">
        <x:v>2636</x:v>
      </x:c>
      <x:c r="D17" s="7" t="s">
        <x:v>2637</x:v>
      </x:c>
      <x:c r="E17" s="7" t="s">
        <x:v>2638</x:v>
      </x:c>
      <x:c r="F17" s="7" t="s">
        <x:v>2639</x:v>
      </x:c>
      <x:c r="G17" s="7" t="s">
        <x:v>46</x:v>
      </x:c>
      <x:c r="H17" s="21"/>
      <x:c r="I17" s="21"/>
      <x:c r="J17" s="21"/>
      <x:c r="K17" s="21"/>
      <x:c r="L17" s="21"/>
      <x:c r="M17" s="21"/>
      <x:c r="N17" s="21"/>
      <x:c r="O17" s="21"/>
      <x:c r="P17" s="21"/>
      <x:c r="Q17" s="21"/>
      <x:c r="R17" s="21"/>
      <x:c r="S17" s="21"/>
      <x:c r="T17" s="21"/>
      <x:c r="U17" s="21"/>
      <x:c r="V17" s="21"/>
      <x:c r="W17" s="21"/>
      <x:c r="X17" s="21"/>
      <x:c r="Y17" s="21"/>
      <x:c r="Z17" s="21"/>
    </x:row>
    <x:row r="18" ht="45">
      <x:c r="A18" s="7" t="s">
        <x:v>2640</x:v>
      </x:c>
      <x:c r="B18" s="7" t="s">
        <x:v>2641</x:v>
      </x:c>
      <x:c r="C18" s="7" t="s">
        <x:v>2642</x:v>
      </x:c>
      <x:c r="D18" s="7" t="s">
        <x:v>2643</x:v>
      </x:c>
      <x:c r="E18" s="7" t="s">
        <x:v>2644</x:v>
      </x:c>
      <x:c r="F18" s="7" t="s">
        <x:v>2645</x:v>
      </x:c>
      <x:c r="G18" s="7" t="s">
        <x:v>46</x:v>
      </x:c>
      <x:c r="H18" s="21"/>
      <x:c r="I18" s="21"/>
      <x:c r="J18" s="21"/>
      <x:c r="K18" s="21"/>
      <x:c r="L18" s="21"/>
      <x:c r="M18" s="21"/>
      <x:c r="N18" s="21"/>
      <x:c r="O18" s="21"/>
      <x:c r="P18" s="21"/>
      <x:c r="Q18" s="21"/>
      <x:c r="R18" s="21"/>
      <x:c r="S18" s="21"/>
      <x:c r="T18" s="21"/>
      <x:c r="U18" s="21"/>
      <x:c r="V18" s="21"/>
      <x:c r="W18" s="21"/>
      <x:c r="X18" s="21"/>
      <x:c r="Y18" s="21"/>
      <x:c r="Z18" s="21"/>
    </x:row>
    <x:row r="19">
      <x:c r="A19" s="21"/>
      <x:c r="B19" s="21"/>
      <x:c r="C19" s="21"/>
      <x:c r="D19" s="21"/>
      <x:c r="E19" s="21"/>
      <x:c r="F19" s="21"/>
      <x:c r="G19" s="21"/>
      <x:c r="H19" s="21"/>
      <x:c r="I19" s="21"/>
      <x:c r="J19" s="21"/>
      <x:c r="K19" s="21"/>
      <x:c r="L19" s="21"/>
      <x:c r="M19" s="21"/>
      <x:c r="N19" s="21"/>
      <x:c r="O19" s="21"/>
      <x:c r="P19" s="21"/>
      <x:c r="Q19" s="21"/>
      <x:c r="R19" s="21"/>
      <x:c r="S19" s="21"/>
      <x:c r="T19" s="21"/>
      <x:c r="U19" s="21"/>
      <x:c r="V19" s="21"/>
      <x:c r="W19" s="21"/>
      <x:c r="X19" s="21"/>
      <x:c r="Y19" s="21"/>
      <x:c r="Z19" s="21"/>
    </x:row>
    <x:row r="20">
      <x:c r="A20" s="21"/>
      <x:c r="B20" s="21"/>
      <x:c r="C20" s="21"/>
      <x:c r="D20" s="21"/>
      <x:c r="E20" s="21"/>
      <x:c r="F20" s="21"/>
      <x:c r="G20" s="21"/>
      <x:c r="H20" s="21"/>
      <x:c r="I20" s="21"/>
      <x:c r="J20" s="21"/>
      <x:c r="K20" s="21"/>
      <x:c r="L20" s="21"/>
      <x:c r="M20" s="21"/>
      <x:c r="N20" s="21"/>
      <x:c r="O20" s="21"/>
      <x:c r="P20" s="21"/>
      <x:c r="Q20" s="21"/>
      <x:c r="R20" s="21"/>
      <x:c r="S20" s="21"/>
      <x:c r="T20" s="21"/>
      <x:c r="U20" s="21"/>
      <x:c r="V20" s="21"/>
      <x:c r="W20" s="21"/>
      <x:c r="X20" s="21"/>
      <x:c r="Y20" s="21"/>
      <x:c r="Z20" s="21"/>
    </x:row>
    <x:row r="21">
      <x:c r="A21" s="21"/>
      <x:c r="B21" s="21"/>
      <x:c r="C21" s="21"/>
      <x:c r="D21" s="21"/>
      <x:c r="E21" s="21"/>
      <x:c r="F21" s="21"/>
      <x:c r="G21" s="21"/>
      <x:c r="H21" s="21"/>
      <x:c r="I21" s="21"/>
      <x:c r="J21" s="21"/>
      <x:c r="K21" s="21"/>
      <x:c r="L21" s="21"/>
      <x:c r="M21" s="21"/>
      <x:c r="N21" s="21"/>
      <x:c r="O21" s="21"/>
      <x:c r="P21" s="21"/>
      <x:c r="Q21" s="21"/>
      <x:c r="R21" s="21"/>
      <x:c r="S21" s="21"/>
      <x:c r="T21" s="21"/>
      <x:c r="U21" s="21"/>
      <x:c r="V21" s="21"/>
      <x:c r="W21" s="21"/>
      <x:c r="X21" s="21"/>
      <x:c r="Y21" s="21"/>
      <x:c r="Z21" s="21"/>
    </x:row>
    <x:row r="22">
      <x:c r="A22" s="21"/>
      <x:c r="B22" s="21"/>
      <x:c r="C22" s="21"/>
      <x:c r="D22" s="21"/>
      <x:c r="E22" s="21"/>
      <x:c r="F22" s="21"/>
      <x:c r="G22" s="21"/>
      <x:c r="H22" s="21"/>
      <x:c r="I22" s="21"/>
      <x:c r="J22" s="21"/>
      <x:c r="K22" s="21"/>
      <x:c r="L22" s="21"/>
      <x:c r="M22" s="21"/>
      <x:c r="N22" s="21"/>
      <x:c r="O22" s="21"/>
      <x:c r="P22" s="21"/>
      <x:c r="Q22" s="21"/>
      <x:c r="R22" s="21"/>
      <x:c r="S22" s="21"/>
      <x:c r="T22" s="21"/>
      <x:c r="U22" s="21"/>
      <x:c r="V22" s="21"/>
      <x:c r="W22" s="21"/>
      <x:c r="X22" s="21"/>
      <x:c r="Y22" s="21"/>
      <x:c r="Z22" s="21"/>
    </x:row>
    <x:row r="23">
      <x:c r="A23" s="21"/>
      <x:c r="B23" s="21"/>
      <x:c r="C23" s="21"/>
      <x:c r="D23" s="21"/>
      <x:c r="E23" s="21"/>
      <x:c r="F23" s="21"/>
      <x:c r="G23" s="21"/>
      <x:c r="H23" s="21"/>
      <x:c r="I23" s="21"/>
      <x:c r="J23" s="21"/>
      <x:c r="K23" s="21"/>
      <x:c r="L23" s="21"/>
      <x:c r="M23" s="21"/>
      <x:c r="N23" s="21"/>
      <x:c r="O23" s="21"/>
      <x:c r="P23" s="21"/>
      <x:c r="Q23" s="21"/>
      <x:c r="R23" s="21"/>
      <x:c r="S23" s="21"/>
      <x:c r="T23" s="21"/>
      <x:c r="U23" s="21"/>
      <x:c r="V23" s="21"/>
      <x:c r="W23" s="21"/>
      <x:c r="X23" s="21"/>
      <x:c r="Y23" s="21"/>
      <x:c r="Z23" s="21"/>
    </x:row>
    <x:row r="24">
      <x:c r="A24" s="21"/>
      <x:c r="B24" s="21"/>
      <x:c r="C24" s="21"/>
      <x:c r="D24" s="21"/>
      <x:c r="E24" s="21"/>
      <x:c r="F24" s="21"/>
      <x:c r="G24" s="21"/>
      <x:c r="H24" s="21"/>
      <x:c r="I24" s="21"/>
      <x:c r="J24" s="21"/>
      <x:c r="K24" s="21"/>
      <x:c r="L24" s="21"/>
      <x:c r="M24" s="21"/>
      <x:c r="N24" s="21"/>
      <x:c r="O24" s="21"/>
      <x:c r="P24" s="21"/>
      <x:c r="Q24" s="21"/>
      <x:c r="R24" s="21"/>
      <x:c r="S24" s="21"/>
      <x:c r="T24" s="21"/>
      <x:c r="U24" s="21"/>
      <x:c r="V24" s="21"/>
      <x:c r="W24" s="21"/>
      <x:c r="X24" s="21"/>
      <x:c r="Y24" s="21"/>
      <x:c r="Z24" s="21"/>
    </x:row>
    <x:row r="25">
      <x:c r="A25" s="21"/>
      <x:c r="B25" s="21"/>
      <x:c r="C25" s="21"/>
      <x:c r="D25" s="21"/>
      <x:c r="E25" s="21"/>
      <x:c r="F25" s="21"/>
      <x:c r="G25" s="21"/>
      <x:c r="H25" s="21"/>
      <x:c r="I25" s="21"/>
      <x:c r="J25" s="21"/>
      <x:c r="K25" s="21"/>
      <x:c r="L25" s="21"/>
      <x:c r="M25" s="21"/>
      <x:c r="N25" s="21"/>
      <x:c r="O25" s="21"/>
      <x:c r="P25" s="21"/>
      <x:c r="Q25" s="21"/>
      <x:c r="R25" s="21"/>
      <x:c r="S25" s="21"/>
      <x:c r="T25" s="21"/>
      <x:c r="U25" s="21"/>
      <x:c r="V25" s="21"/>
      <x:c r="W25" s="21"/>
      <x:c r="X25" s="21"/>
      <x:c r="Y25" s="21"/>
      <x:c r="Z25" s="21"/>
    </x:row>
    <x:row r="26">
      <x:c r="A26" s="21"/>
      <x:c r="B26" s="21"/>
      <x:c r="C26" s="21"/>
      <x:c r="D26" s="21"/>
      <x:c r="E26" s="21"/>
      <x:c r="F26" s="21"/>
      <x:c r="G26" s="21"/>
      <x:c r="H26" s="21"/>
      <x:c r="I26" s="21"/>
      <x:c r="J26" s="21"/>
      <x:c r="K26" s="21"/>
      <x:c r="L26" s="21"/>
      <x:c r="M26" s="21"/>
      <x:c r="N26" s="21"/>
      <x:c r="O26" s="21"/>
      <x:c r="P26" s="21"/>
      <x:c r="Q26" s="21"/>
      <x:c r="R26" s="21"/>
      <x:c r="S26" s="21"/>
      <x:c r="T26" s="21"/>
      <x:c r="U26" s="21"/>
      <x:c r="V26" s="21"/>
      <x:c r="W26" s="21"/>
      <x:c r="X26" s="21"/>
      <x:c r="Y26" s="21"/>
      <x:c r="Z26" s="21"/>
    </x:row>
    <x:row r="27">
      <x:c r="A27" s="21"/>
      <x:c r="B27" s="21"/>
      <x:c r="C27" s="21"/>
      <x:c r="D27" s="21"/>
      <x:c r="E27" s="21"/>
      <x:c r="F27" s="21"/>
      <x:c r="G27" s="21"/>
      <x:c r="H27" s="21"/>
      <x:c r="I27" s="21"/>
      <x:c r="J27" s="21"/>
      <x:c r="K27" s="21"/>
      <x:c r="L27" s="21"/>
      <x:c r="M27" s="21"/>
      <x:c r="N27" s="21"/>
      <x:c r="O27" s="21"/>
      <x:c r="P27" s="21"/>
      <x:c r="Q27" s="21"/>
      <x:c r="R27" s="21"/>
      <x:c r="S27" s="21"/>
      <x:c r="T27" s="21"/>
      <x:c r="U27" s="21"/>
      <x:c r="V27" s="21"/>
      <x:c r="W27" s="21"/>
      <x:c r="X27" s="21"/>
      <x:c r="Y27" s="21"/>
      <x:c r="Z27" s="21"/>
    </x:row>
    <x:row r="28">
      <x:c r="A28" s="21"/>
      <x:c r="B28" s="21"/>
      <x:c r="C28" s="21"/>
      <x:c r="D28" s="21"/>
      <x:c r="E28" s="21"/>
      <x:c r="F28" s="21"/>
      <x:c r="G28" s="21"/>
      <x:c r="H28" s="21"/>
      <x:c r="I28" s="21"/>
      <x:c r="J28" s="21"/>
      <x:c r="K28" s="21"/>
      <x:c r="L28" s="21"/>
      <x:c r="M28" s="21"/>
      <x:c r="N28" s="21"/>
      <x:c r="O28" s="21"/>
      <x:c r="P28" s="21"/>
      <x:c r="Q28" s="21"/>
      <x:c r="R28" s="21"/>
      <x:c r="S28" s="21"/>
      <x:c r="T28" s="21"/>
      <x:c r="U28" s="21"/>
      <x:c r="V28" s="21"/>
      <x:c r="W28" s="21"/>
      <x:c r="X28" s="21"/>
      <x:c r="Y28" s="21"/>
      <x:c r="Z28" s="21"/>
    </x:row>
    <x:row r="29">
      <x:c r="A29" s="21"/>
      <x:c r="B29" s="21"/>
      <x:c r="C29" s="21"/>
      <x:c r="D29" s="21"/>
      <x:c r="E29" s="21"/>
      <x:c r="F29" s="21"/>
      <x:c r="G29" s="21"/>
      <x:c r="H29" s="21"/>
      <x:c r="I29" s="21"/>
      <x:c r="J29" s="21"/>
      <x:c r="K29" s="21"/>
      <x:c r="L29" s="21"/>
      <x:c r="M29" s="21"/>
      <x:c r="N29" s="21"/>
      <x:c r="O29" s="21"/>
      <x:c r="P29" s="21"/>
      <x:c r="Q29" s="21"/>
      <x:c r="R29" s="21"/>
      <x:c r="S29" s="21"/>
      <x:c r="T29" s="21"/>
      <x:c r="U29" s="21"/>
      <x:c r="V29" s="21"/>
      <x:c r="W29" s="21"/>
      <x:c r="X29" s="21"/>
      <x:c r="Y29" s="21"/>
      <x:c r="Z29" s="21"/>
    </x:row>
    <x:row r="30">
      <x:c r="A30" s="21"/>
      <x:c r="B30" s="21"/>
      <x:c r="C30" s="21"/>
      <x:c r="D30" s="21"/>
      <x:c r="E30" s="21"/>
      <x:c r="F30" s="21"/>
      <x:c r="G30" s="21"/>
      <x:c r="H30" s="21"/>
      <x:c r="I30" s="21"/>
      <x:c r="J30" s="21"/>
      <x:c r="K30" s="21"/>
      <x:c r="L30" s="21"/>
      <x:c r="M30" s="21"/>
      <x:c r="N30" s="21"/>
      <x:c r="O30" s="21"/>
      <x:c r="P30" s="21"/>
      <x:c r="Q30" s="21"/>
      <x:c r="R30" s="21"/>
      <x:c r="S30" s="21"/>
      <x:c r="T30" s="21"/>
      <x:c r="U30" s="21"/>
      <x:c r="V30" s="21"/>
      <x:c r="W30" s="21"/>
      <x:c r="X30" s="21"/>
      <x:c r="Y30" s="21"/>
      <x:c r="Z30" s="21"/>
    </x:row>
    <x:row r="31">
      <x:c r="A31" s="21"/>
      <x:c r="B31" s="21"/>
      <x:c r="C31" s="21"/>
      <x:c r="D31" s="21"/>
      <x:c r="E31" s="21"/>
      <x:c r="F31" s="21"/>
      <x:c r="G31" s="21"/>
      <x:c r="H31" s="21"/>
      <x:c r="I31" s="21"/>
      <x:c r="J31" s="21"/>
      <x:c r="K31" s="21"/>
      <x:c r="L31" s="21"/>
      <x:c r="M31" s="21"/>
      <x:c r="N31" s="21"/>
      <x:c r="O31" s="21"/>
      <x:c r="P31" s="21"/>
      <x:c r="Q31" s="21"/>
      <x:c r="R31" s="21"/>
      <x:c r="S31" s="21"/>
      <x:c r="T31" s="21"/>
      <x:c r="U31" s="21"/>
      <x:c r="V31" s="21"/>
      <x:c r="W31" s="21"/>
      <x:c r="X31" s="21"/>
      <x:c r="Y31" s="21"/>
      <x:c r="Z31" s="21"/>
    </x:row>
    <x:row r="32">
      <x:c r="A32" s="21"/>
      <x:c r="B32" s="21"/>
      <x:c r="C32" s="21"/>
      <x:c r="D32" s="21"/>
      <x:c r="E32" s="21"/>
      <x:c r="F32" s="21"/>
      <x:c r="G32" s="21"/>
      <x:c r="H32" s="21"/>
      <x:c r="I32" s="21"/>
      <x:c r="J32" s="21"/>
      <x:c r="K32" s="21"/>
      <x:c r="L32" s="21"/>
      <x:c r="M32" s="21"/>
      <x:c r="N32" s="21"/>
      <x:c r="O32" s="21"/>
      <x:c r="P32" s="21"/>
      <x:c r="Q32" s="21"/>
      <x:c r="R32" s="21"/>
      <x:c r="S32" s="21"/>
      <x:c r="T32" s="21"/>
      <x:c r="U32" s="21"/>
      <x:c r="V32" s="21"/>
      <x:c r="W32" s="21"/>
      <x:c r="X32" s="21"/>
      <x:c r="Y32" s="21"/>
      <x:c r="Z32" s="21"/>
    </x:row>
    <x:row r="33">
      <x:c r="A33" s="21"/>
      <x:c r="B33" s="21"/>
      <x:c r="C33" s="21"/>
      <x:c r="D33" s="21"/>
      <x:c r="E33" s="21"/>
      <x:c r="F33" s="21"/>
      <x:c r="G33" s="21"/>
      <x:c r="H33" s="21"/>
      <x:c r="I33" s="21"/>
      <x:c r="J33" s="21"/>
      <x:c r="K33" s="21"/>
      <x:c r="L33" s="21"/>
      <x:c r="M33" s="21"/>
      <x:c r="N33" s="21"/>
      <x:c r="O33" s="21"/>
      <x:c r="P33" s="21"/>
      <x:c r="Q33" s="21"/>
      <x:c r="R33" s="21"/>
      <x:c r="S33" s="21"/>
      <x:c r="T33" s="21"/>
      <x:c r="U33" s="21"/>
      <x:c r="V33" s="21"/>
      <x:c r="W33" s="21"/>
      <x:c r="X33" s="21"/>
      <x:c r="Y33" s="21"/>
      <x:c r="Z33" s="21"/>
    </x:row>
    <x:row r="34">
      <x:c r="A34" s="21"/>
      <x:c r="B34" s="21"/>
      <x:c r="C34" s="21"/>
      <x:c r="D34" s="21"/>
      <x:c r="E34" s="21"/>
      <x:c r="F34" s="21"/>
      <x:c r="G34" s="21"/>
      <x:c r="H34" s="21"/>
      <x:c r="I34" s="21"/>
      <x:c r="J34" s="21"/>
      <x:c r="K34" s="21"/>
      <x:c r="L34" s="21"/>
      <x:c r="M34" s="21"/>
      <x:c r="N34" s="21"/>
      <x:c r="O34" s="21"/>
      <x:c r="P34" s="21"/>
      <x:c r="Q34" s="21"/>
      <x:c r="R34" s="21"/>
      <x:c r="S34" s="21"/>
      <x:c r="T34" s="21"/>
      <x:c r="U34" s="21"/>
      <x:c r="V34" s="21"/>
      <x:c r="W34" s="21"/>
      <x:c r="X34" s="21"/>
      <x:c r="Y34" s="21"/>
      <x:c r="Z34" s="21"/>
    </x:row>
    <x:row r="35">
      <x:c r="A35" s="21"/>
      <x:c r="B35" s="21"/>
      <x:c r="C35" s="21"/>
      <x:c r="D35" s="21"/>
      <x:c r="E35" s="21"/>
      <x:c r="F35" s="21"/>
      <x:c r="G35" s="21"/>
      <x:c r="H35" s="21"/>
      <x:c r="I35" s="21"/>
      <x:c r="J35" s="21"/>
      <x:c r="K35" s="21"/>
      <x:c r="L35" s="21"/>
      <x:c r="M35" s="21"/>
      <x:c r="N35" s="21"/>
      <x:c r="O35" s="21"/>
      <x:c r="P35" s="21"/>
      <x:c r="Q35" s="21"/>
      <x:c r="R35" s="21"/>
      <x:c r="S35" s="21"/>
      <x:c r="T35" s="21"/>
      <x:c r="U35" s="21"/>
      <x:c r="V35" s="21"/>
      <x:c r="W35" s="21"/>
      <x:c r="X35" s="21"/>
      <x:c r="Y35" s="21"/>
      <x:c r="Z35" s="21"/>
    </x:row>
    <x:row r="36">
      <x:c r="A36" s="21"/>
      <x:c r="B36" s="21"/>
      <x:c r="C36" s="21"/>
      <x:c r="D36" s="21"/>
      <x:c r="E36" s="21"/>
      <x:c r="F36" s="21"/>
      <x:c r="G36" s="21"/>
      <x:c r="H36" s="21"/>
      <x:c r="I36" s="21"/>
      <x:c r="J36" s="21"/>
      <x:c r="K36" s="21"/>
      <x:c r="L36" s="21"/>
      <x:c r="M36" s="21"/>
      <x:c r="N36" s="21"/>
      <x:c r="O36" s="21"/>
      <x:c r="P36" s="21"/>
      <x:c r="Q36" s="21"/>
      <x:c r="R36" s="21"/>
      <x:c r="S36" s="21"/>
      <x:c r="T36" s="21"/>
      <x:c r="U36" s="21"/>
      <x:c r="V36" s="21"/>
      <x:c r="W36" s="21"/>
      <x:c r="X36" s="21"/>
      <x:c r="Y36" s="21"/>
      <x:c r="Z36" s="21"/>
    </x:row>
    <x:row r="37">
      <x:c r="A37" s="21"/>
      <x:c r="B37" s="21"/>
      <x:c r="C37" s="21"/>
      <x:c r="D37" s="21"/>
      <x:c r="E37" s="21"/>
      <x:c r="F37" s="21"/>
      <x:c r="G37" s="21"/>
      <x:c r="H37" s="21"/>
      <x:c r="I37" s="21"/>
      <x:c r="J37" s="21"/>
      <x:c r="K37" s="21"/>
      <x:c r="L37" s="21"/>
      <x:c r="M37" s="21"/>
      <x:c r="N37" s="21"/>
      <x:c r="O37" s="21"/>
      <x:c r="P37" s="21"/>
      <x:c r="Q37" s="21"/>
      <x:c r="R37" s="21"/>
      <x:c r="S37" s="21"/>
      <x:c r="T37" s="21"/>
      <x:c r="U37" s="21"/>
      <x:c r="V37" s="21"/>
      <x:c r="W37" s="21"/>
      <x:c r="X37" s="21"/>
      <x:c r="Y37" s="21"/>
      <x:c r="Z37" s="21"/>
    </x:row>
    <x:row r="38">
      <x:c r="A38" s="21"/>
      <x:c r="B38" s="21"/>
      <x:c r="C38" s="21"/>
      <x:c r="D38" s="21"/>
      <x:c r="E38" s="21"/>
      <x:c r="F38" s="21"/>
      <x:c r="G38" s="21"/>
      <x:c r="H38" s="21"/>
      <x:c r="I38" s="21"/>
      <x:c r="J38" s="21"/>
      <x:c r="K38" s="21"/>
      <x:c r="L38" s="21"/>
      <x:c r="M38" s="21"/>
      <x:c r="N38" s="21"/>
      <x:c r="O38" s="21"/>
      <x:c r="P38" s="21"/>
      <x:c r="Q38" s="21"/>
      <x:c r="R38" s="21"/>
      <x:c r="S38" s="21"/>
      <x:c r="T38" s="21"/>
      <x:c r="U38" s="21"/>
      <x:c r="V38" s="21"/>
      <x:c r="W38" s="21"/>
      <x:c r="X38" s="21"/>
      <x:c r="Y38" s="21"/>
      <x:c r="Z38" s="21"/>
    </x:row>
    <x:row r="39">
      <x:c r="A39" s="21"/>
      <x:c r="B39" s="21"/>
      <x:c r="C39" s="21"/>
      <x:c r="D39" s="21"/>
      <x:c r="E39" s="21"/>
      <x:c r="F39" s="21"/>
      <x:c r="G39" s="21"/>
      <x:c r="H39" s="21"/>
      <x:c r="I39" s="21"/>
      <x:c r="J39" s="21"/>
      <x:c r="K39" s="21"/>
      <x:c r="L39" s="21"/>
      <x:c r="M39" s="21"/>
      <x:c r="N39" s="21"/>
      <x:c r="O39" s="21"/>
      <x:c r="P39" s="21"/>
      <x:c r="Q39" s="21"/>
      <x:c r="R39" s="21"/>
      <x:c r="S39" s="21"/>
      <x:c r="T39" s="21"/>
      <x:c r="U39" s="21"/>
      <x:c r="V39" s="21"/>
      <x:c r="W39" s="21"/>
      <x:c r="X39" s="21"/>
      <x:c r="Y39" s="21"/>
      <x:c r="Z39" s="21"/>
    </x:row>
    <x:row r="40">
      <x:c r="A40" s="21"/>
      <x:c r="B40" s="21"/>
      <x:c r="C40" s="21"/>
      <x:c r="D40" s="21"/>
      <x:c r="E40" s="21"/>
      <x:c r="F40" s="21"/>
      <x:c r="G40" s="21"/>
      <x:c r="H40" s="21"/>
      <x:c r="I40" s="21"/>
      <x:c r="J40" s="21"/>
      <x:c r="K40" s="21"/>
      <x:c r="L40" s="21"/>
      <x:c r="M40" s="21"/>
      <x:c r="N40" s="21"/>
      <x:c r="O40" s="21"/>
      <x:c r="P40" s="21"/>
      <x:c r="Q40" s="21"/>
      <x:c r="R40" s="21"/>
      <x:c r="S40" s="21"/>
      <x:c r="T40" s="21"/>
      <x:c r="U40" s="21"/>
      <x:c r="V40" s="21"/>
      <x:c r="W40" s="21"/>
      <x:c r="X40" s="21"/>
      <x:c r="Y40" s="21"/>
      <x:c r="Z40" s="21"/>
    </x:row>
    <x:row r="41">
      <x:c r="A41" s="21"/>
      <x:c r="B41" s="21"/>
      <x:c r="C41" s="21"/>
      <x:c r="D41" s="21"/>
      <x:c r="E41" s="21"/>
      <x:c r="F41" s="21"/>
      <x:c r="G41" s="21"/>
      <x:c r="H41" s="21"/>
      <x:c r="I41" s="21"/>
      <x:c r="J41" s="21"/>
      <x:c r="K41" s="21"/>
      <x:c r="L41" s="21"/>
      <x:c r="M41" s="21"/>
      <x:c r="N41" s="21"/>
      <x:c r="O41" s="21"/>
      <x:c r="P41" s="21"/>
      <x:c r="Q41" s="21"/>
      <x:c r="R41" s="21"/>
      <x:c r="S41" s="21"/>
      <x:c r="T41" s="21"/>
      <x:c r="U41" s="21"/>
      <x:c r="V41" s="21"/>
      <x:c r="W41" s="21"/>
      <x:c r="X41" s="21"/>
      <x:c r="Y41" s="21"/>
      <x:c r="Z41" s="21"/>
    </x:row>
    <x:row r="42">
      <x:c r="A42" s="21"/>
      <x:c r="B42" s="21"/>
      <x:c r="C42" s="21"/>
      <x:c r="D42" s="21"/>
      <x:c r="E42" s="21"/>
      <x:c r="F42" s="21"/>
      <x:c r="G42" s="21"/>
      <x:c r="H42" s="21"/>
      <x:c r="I42" s="21"/>
      <x:c r="J42" s="21"/>
      <x:c r="K42" s="21"/>
      <x:c r="L42" s="21"/>
      <x:c r="M42" s="21"/>
      <x:c r="N42" s="21"/>
      <x:c r="O42" s="21"/>
      <x:c r="P42" s="21"/>
      <x:c r="Q42" s="21"/>
      <x:c r="R42" s="21"/>
      <x:c r="S42" s="21"/>
      <x:c r="T42" s="21"/>
      <x:c r="U42" s="21"/>
      <x:c r="V42" s="21"/>
      <x:c r="W42" s="21"/>
      <x:c r="X42" s="21"/>
      <x:c r="Y42" s="21"/>
      <x:c r="Z42" s="21"/>
    </x:row>
    <x:row r="43">
      <x:c r="A43" s="21"/>
      <x:c r="B43" s="21"/>
      <x:c r="C43" s="21"/>
      <x:c r="D43" s="21"/>
      <x:c r="E43" s="21"/>
      <x:c r="F43" s="21"/>
      <x:c r="G43" s="21"/>
      <x:c r="H43" s="21"/>
      <x:c r="I43" s="21"/>
      <x:c r="J43" s="21"/>
      <x:c r="K43" s="21"/>
      <x:c r="L43" s="21"/>
      <x:c r="M43" s="21"/>
      <x:c r="N43" s="21"/>
      <x:c r="O43" s="21"/>
      <x:c r="P43" s="21"/>
      <x:c r="Q43" s="21"/>
      <x:c r="R43" s="21"/>
      <x:c r="S43" s="21"/>
      <x:c r="T43" s="21"/>
      <x:c r="U43" s="21"/>
      <x:c r="V43" s="21"/>
      <x:c r="W43" s="21"/>
      <x:c r="X43" s="21"/>
      <x:c r="Y43" s="21"/>
      <x:c r="Z43" s="21"/>
    </x:row>
    <x:row r="44">
      <x:c r="A44" s="21"/>
      <x:c r="B44" s="21"/>
      <x:c r="C44" s="21"/>
      <x:c r="D44" s="21"/>
      <x:c r="E44" s="21"/>
      <x:c r="F44" s="21"/>
      <x:c r="G44" s="21"/>
      <x:c r="H44" s="21"/>
      <x:c r="I44" s="21"/>
      <x:c r="J44" s="21"/>
      <x:c r="K44" s="21"/>
      <x:c r="L44" s="21"/>
      <x:c r="M44" s="21"/>
      <x:c r="N44" s="21"/>
      <x:c r="O44" s="21"/>
      <x:c r="P44" s="21"/>
      <x:c r="Q44" s="21"/>
      <x:c r="R44" s="21"/>
      <x:c r="S44" s="21"/>
      <x:c r="T44" s="21"/>
      <x:c r="U44" s="21"/>
      <x:c r="V44" s="21"/>
      <x:c r="W44" s="21"/>
      <x:c r="X44" s="21"/>
      <x:c r="Y44" s="21"/>
      <x:c r="Z44" s="21"/>
    </x:row>
    <x:row r="45">
      <x:c r="A45" s="21"/>
      <x:c r="B45" s="21"/>
      <x:c r="C45" s="21"/>
      <x:c r="D45" s="21"/>
      <x:c r="E45" s="21"/>
      <x:c r="F45" s="21"/>
      <x:c r="G45" s="21"/>
      <x:c r="H45" s="21"/>
      <x:c r="I45" s="21"/>
      <x:c r="J45" s="21"/>
      <x:c r="K45" s="21"/>
      <x:c r="L45" s="21"/>
      <x:c r="M45" s="21"/>
      <x:c r="N45" s="21"/>
      <x:c r="O45" s="21"/>
      <x:c r="P45" s="21"/>
      <x:c r="Q45" s="21"/>
      <x:c r="R45" s="21"/>
      <x:c r="S45" s="21"/>
      <x:c r="T45" s="21"/>
      <x:c r="U45" s="21"/>
      <x:c r="V45" s="21"/>
      <x:c r="W45" s="21"/>
      <x:c r="X45" s="21"/>
      <x:c r="Y45" s="21"/>
      <x:c r="Z45" s="21"/>
    </x:row>
    <x:row r="46">
      <x:c r="A46" s="21"/>
      <x:c r="B46" s="21"/>
      <x:c r="C46" s="21"/>
      <x:c r="D46" s="21"/>
      <x:c r="E46" s="21"/>
      <x:c r="F46" s="21"/>
      <x:c r="G46" s="21"/>
      <x:c r="H46" s="21"/>
      <x:c r="I46" s="21"/>
      <x:c r="J46" s="21"/>
      <x:c r="K46" s="21"/>
      <x:c r="L46" s="21"/>
      <x:c r="M46" s="21"/>
      <x:c r="N46" s="21"/>
      <x:c r="O46" s="21"/>
      <x:c r="P46" s="21"/>
      <x:c r="Q46" s="21"/>
      <x:c r="R46" s="21"/>
      <x:c r="S46" s="21"/>
      <x:c r="T46" s="21"/>
      <x:c r="U46" s="21"/>
      <x:c r="V46" s="21"/>
      <x:c r="W46" s="21"/>
      <x:c r="X46" s="21"/>
      <x:c r="Y46" s="21"/>
      <x:c r="Z46" s="21"/>
    </x:row>
    <x:row r="47">
      <x:c r="A47" s="21"/>
      <x:c r="B47" s="21"/>
      <x:c r="C47" s="21"/>
      <x:c r="D47" s="21"/>
      <x:c r="E47" s="21"/>
      <x:c r="F47" s="21"/>
      <x:c r="G47" s="21"/>
      <x:c r="H47" s="21"/>
      <x:c r="I47" s="21"/>
      <x:c r="J47" s="21"/>
      <x:c r="K47" s="21"/>
      <x:c r="L47" s="21"/>
      <x:c r="M47" s="21"/>
      <x:c r="N47" s="21"/>
      <x:c r="O47" s="21"/>
      <x:c r="P47" s="21"/>
      <x:c r="Q47" s="21"/>
      <x:c r="R47" s="21"/>
      <x:c r="S47" s="21"/>
      <x:c r="T47" s="21"/>
      <x:c r="U47" s="21"/>
      <x:c r="V47" s="21"/>
      <x:c r="W47" s="21"/>
      <x:c r="X47" s="21"/>
      <x:c r="Y47" s="21"/>
      <x:c r="Z47" s="21"/>
    </x:row>
    <x:row r="48">
      <x:c r="A48" s="21"/>
      <x:c r="B48" s="21"/>
      <x:c r="C48" s="21"/>
      <x:c r="D48" s="21"/>
      <x:c r="E48" s="21"/>
      <x:c r="F48" s="21"/>
      <x:c r="G48" s="21"/>
      <x:c r="H48" s="21"/>
      <x:c r="I48" s="21"/>
      <x:c r="J48" s="21"/>
      <x:c r="K48" s="21"/>
      <x:c r="L48" s="21"/>
      <x:c r="M48" s="21"/>
      <x:c r="N48" s="21"/>
      <x:c r="O48" s="21"/>
      <x:c r="P48" s="21"/>
      <x:c r="Q48" s="21"/>
      <x:c r="R48" s="21"/>
      <x:c r="S48" s="21"/>
      <x:c r="T48" s="21"/>
      <x:c r="U48" s="21"/>
      <x:c r="V48" s="21"/>
      <x:c r="W48" s="21"/>
      <x:c r="X48" s="21"/>
      <x:c r="Y48" s="21"/>
      <x:c r="Z48" s="21"/>
    </x:row>
    <x:row r="49">
      <x:c r="A49" s="21"/>
      <x:c r="B49" s="21"/>
      <x:c r="C49" s="21"/>
      <x:c r="D49" s="21"/>
      <x:c r="E49" s="21"/>
      <x:c r="F49" s="21"/>
      <x:c r="G49" s="21"/>
      <x:c r="H49" s="21"/>
      <x:c r="I49" s="21"/>
      <x:c r="J49" s="21"/>
      <x:c r="K49" s="21"/>
      <x:c r="L49" s="21"/>
      <x:c r="M49" s="21"/>
      <x:c r="N49" s="21"/>
      <x:c r="O49" s="21"/>
      <x:c r="P49" s="21"/>
      <x:c r="Q49" s="21"/>
      <x:c r="R49" s="21"/>
      <x:c r="S49" s="21"/>
      <x:c r="T49" s="21"/>
      <x:c r="U49" s="21"/>
      <x:c r="V49" s="21"/>
      <x:c r="W49" s="21"/>
      <x:c r="X49" s="21"/>
      <x:c r="Y49" s="21"/>
      <x:c r="Z49" s="21"/>
    </x:row>
    <x:row r="50">
      <x:c r="A50" s="21"/>
      <x:c r="B50" s="21"/>
      <x:c r="C50" s="21"/>
      <x:c r="D50" s="21"/>
      <x:c r="E50" s="21"/>
      <x:c r="F50" s="21"/>
      <x:c r="G50" s="21"/>
      <x:c r="H50" s="21"/>
      <x:c r="I50" s="21"/>
      <x:c r="J50" s="21"/>
      <x:c r="K50" s="21"/>
      <x:c r="L50" s="21"/>
      <x:c r="M50" s="21"/>
      <x:c r="N50" s="21"/>
      <x:c r="O50" s="21"/>
      <x:c r="P50" s="21"/>
      <x:c r="Q50" s="21"/>
      <x:c r="R50" s="21"/>
      <x:c r="S50" s="21"/>
      <x:c r="T50" s="21"/>
      <x:c r="U50" s="21"/>
      <x:c r="V50" s="21"/>
      <x:c r="W50" s="21"/>
      <x:c r="X50" s="21"/>
      <x:c r="Y50" s="21"/>
      <x:c r="Z50" s="21"/>
    </x:row>
    <x:row r="51">
      <x:c r="A51" s="21"/>
      <x:c r="B51" s="21"/>
      <x:c r="C51" s="21"/>
      <x:c r="D51" s="21"/>
      <x:c r="E51" s="21"/>
      <x:c r="F51" s="21"/>
      <x:c r="G51" s="21"/>
      <x:c r="H51" s="21"/>
      <x:c r="I51" s="21"/>
      <x:c r="J51" s="21"/>
      <x:c r="K51" s="21"/>
      <x:c r="L51" s="21"/>
      <x:c r="M51" s="21"/>
      <x:c r="N51" s="21"/>
      <x:c r="O51" s="21"/>
      <x:c r="P51" s="21"/>
      <x:c r="Q51" s="21"/>
      <x:c r="R51" s="21"/>
      <x:c r="S51" s="21"/>
      <x:c r="T51" s="21"/>
      <x:c r="U51" s="21"/>
      <x:c r="V51" s="21"/>
      <x:c r="W51" s="21"/>
      <x:c r="X51" s="21"/>
      <x:c r="Y51" s="21"/>
      <x:c r="Z51" s="21"/>
    </x:row>
    <x:row r="52">
      <x:c r="A52" s="21"/>
      <x:c r="B52" s="21"/>
      <x:c r="C52" s="21"/>
      <x:c r="D52" s="21"/>
      <x:c r="E52" s="21"/>
      <x:c r="F52" s="21"/>
      <x:c r="G52" s="21"/>
      <x:c r="H52" s="21"/>
      <x:c r="I52" s="21"/>
      <x:c r="J52" s="21"/>
      <x:c r="K52" s="21"/>
      <x:c r="L52" s="21"/>
      <x:c r="M52" s="21"/>
      <x:c r="N52" s="21"/>
      <x:c r="O52" s="21"/>
      <x:c r="P52" s="21"/>
      <x:c r="Q52" s="21"/>
      <x:c r="R52" s="21"/>
      <x:c r="S52" s="21"/>
      <x:c r="T52" s="21"/>
      <x:c r="U52" s="21"/>
      <x:c r="V52" s="21"/>
      <x:c r="W52" s="21"/>
      <x:c r="X52" s="21"/>
      <x:c r="Y52" s="21"/>
      <x:c r="Z52" s="21"/>
    </x:row>
    <x:row r="53">
      <x:c r="A53" s="21"/>
      <x:c r="B53" s="21"/>
      <x:c r="C53" s="21"/>
      <x:c r="D53" s="21"/>
      <x:c r="E53" s="21"/>
      <x:c r="F53" s="21"/>
      <x:c r="G53" s="21"/>
      <x:c r="H53" s="21"/>
      <x:c r="I53" s="21"/>
      <x:c r="J53" s="21"/>
      <x:c r="K53" s="21"/>
      <x:c r="L53" s="21"/>
      <x:c r="M53" s="21"/>
      <x:c r="N53" s="21"/>
      <x:c r="O53" s="21"/>
      <x:c r="P53" s="21"/>
      <x:c r="Q53" s="21"/>
      <x:c r="R53" s="21"/>
      <x:c r="S53" s="21"/>
      <x:c r="T53" s="21"/>
      <x:c r="U53" s="21"/>
      <x:c r="V53" s="21"/>
      <x:c r="W53" s="21"/>
      <x:c r="X53" s="21"/>
      <x:c r="Y53" s="21"/>
      <x:c r="Z53" s="21"/>
    </x:row>
    <x:row r="54">
      <x:c r="A54" s="21"/>
      <x:c r="B54" s="21"/>
      <x:c r="C54" s="21"/>
      <x:c r="D54" s="21"/>
      <x:c r="E54" s="21"/>
      <x:c r="F54" s="21"/>
      <x:c r="G54" s="21"/>
      <x:c r="H54" s="21"/>
      <x:c r="I54" s="21"/>
      <x:c r="J54" s="21"/>
      <x:c r="K54" s="21"/>
      <x:c r="L54" s="21"/>
      <x:c r="M54" s="21"/>
      <x:c r="N54" s="21"/>
      <x:c r="O54" s="21"/>
      <x:c r="P54" s="21"/>
      <x:c r="Q54" s="21"/>
      <x:c r="R54" s="21"/>
      <x:c r="S54" s="21"/>
      <x:c r="T54" s="21"/>
      <x:c r="U54" s="21"/>
      <x:c r="V54" s="21"/>
      <x:c r="W54" s="21"/>
      <x:c r="X54" s="21"/>
      <x:c r="Y54" s="21"/>
      <x:c r="Z54" s="21"/>
    </x:row>
    <x:row r="55">
      <x:c r="A55" s="21"/>
      <x:c r="B55" s="21"/>
      <x:c r="C55" s="21"/>
      <x:c r="D55" s="21"/>
      <x:c r="E55" s="21"/>
      <x:c r="F55" s="21"/>
      <x:c r="G55" s="21"/>
      <x:c r="H55" s="21"/>
      <x:c r="I55" s="21"/>
      <x:c r="J55" s="21"/>
      <x:c r="K55" s="21"/>
      <x:c r="L55" s="21"/>
      <x:c r="M55" s="21"/>
      <x:c r="N55" s="21"/>
      <x:c r="O55" s="21"/>
      <x:c r="P55" s="21"/>
      <x:c r="Q55" s="21"/>
      <x:c r="R55" s="21"/>
      <x:c r="S55" s="21"/>
      <x:c r="T55" s="21"/>
      <x:c r="U55" s="21"/>
      <x:c r="V55" s="21"/>
      <x:c r="W55" s="21"/>
      <x:c r="X55" s="21"/>
      <x:c r="Y55" s="21"/>
      <x:c r="Z55" s="21"/>
    </x:row>
    <x:row r="56">
      <x:c r="A56" s="21"/>
      <x:c r="B56" s="21"/>
      <x:c r="C56" s="21"/>
      <x:c r="D56" s="21"/>
      <x:c r="E56" s="21"/>
      <x:c r="F56" s="21"/>
      <x:c r="G56" s="21"/>
      <x:c r="H56" s="21"/>
      <x:c r="I56" s="21"/>
      <x:c r="J56" s="21"/>
      <x:c r="K56" s="21"/>
      <x:c r="L56" s="21"/>
      <x:c r="M56" s="21"/>
      <x:c r="N56" s="21"/>
      <x:c r="O56" s="21"/>
      <x:c r="P56" s="21"/>
      <x:c r="Q56" s="21"/>
      <x:c r="R56" s="21"/>
      <x:c r="S56" s="21"/>
      <x:c r="T56" s="21"/>
      <x:c r="U56" s="21"/>
      <x:c r="V56" s="21"/>
      <x:c r="W56" s="21"/>
      <x:c r="X56" s="21"/>
      <x:c r="Y56" s="21"/>
      <x:c r="Z56" s="21"/>
    </x:row>
    <x:row r="57">
      <x:c r="A57" s="21"/>
      <x:c r="B57" s="21"/>
      <x:c r="C57" s="21"/>
      <x:c r="D57" s="21"/>
      <x:c r="E57" s="21"/>
      <x:c r="F57" s="21"/>
      <x:c r="G57" s="21"/>
      <x:c r="H57" s="21"/>
      <x:c r="I57" s="21"/>
      <x:c r="J57" s="21"/>
      <x:c r="K57" s="21"/>
      <x:c r="L57" s="21"/>
      <x:c r="M57" s="21"/>
      <x:c r="N57" s="21"/>
      <x:c r="O57" s="21"/>
      <x:c r="P57" s="21"/>
      <x:c r="Q57" s="21"/>
      <x:c r="R57" s="21"/>
      <x:c r="S57" s="21"/>
      <x:c r="T57" s="21"/>
      <x:c r="U57" s="21"/>
      <x:c r="V57" s="21"/>
      <x:c r="W57" s="21"/>
      <x:c r="X57" s="21"/>
      <x:c r="Y57" s="21"/>
      <x:c r="Z57" s="21"/>
    </x:row>
    <x:row r="58">
      <x:c r="A58" s="21"/>
      <x:c r="B58" s="21"/>
      <x:c r="C58" s="21"/>
      <x:c r="D58" s="21"/>
      <x:c r="E58" s="21"/>
      <x:c r="F58" s="21"/>
      <x:c r="G58" s="21"/>
      <x:c r="H58" s="21"/>
      <x:c r="I58" s="21"/>
      <x:c r="J58" s="21"/>
      <x:c r="K58" s="21"/>
      <x:c r="L58" s="21"/>
      <x:c r="M58" s="21"/>
      <x:c r="N58" s="21"/>
      <x:c r="O58" s="21"/>
      <x:c r="P58" s="21"/>
      <x:c r="Q58" s="21"/>
      <x:c r="R58" s="21"/>
      <x:c r="S58" s="21"/>
      <x:c r="T58" s="21"/>
      <x:c r="U58" s="21"/>
      <x:c r="V58" s="21"/>
      <x:c r="W58" s="21"/>
      <x:c r="X58" s="21"/>
      <x:c r="Y58" s="21"/>
      <x:c r="Z58" s="21"/>
    </x:row>
    <x:row r="59">
      <x:c r="A59" s="21"/>
      <x:c r="B59" s="21"/>
      <x:c r="C59" s="21"/>
      <x:c r="D59" s="21"/>
      <x:c r="E59" s="21"/>
      <x:c r="F59" s="21"/>
      <x:c r="G59" s="21"/>
      <x:c r="H59" s="21"/>
      <x:c r="I59" s="21"/>
      <x:c r="J59" s="21"/>
      <x:c r="K59" s="21"/>
      <x:c r="L59" s="21"/>
      <x:c r="M59" s="21"/>
      <x:c r="N59" s="21"/>
      <x:c r="O59" s="21"/>
      <x:c r="P59" s="21"/>
      <x:c r="Q59" s="21"/>
      <x:c r="R59" s="21"/>
      <x:c r="S59" s="21"/>
      <x:c r="T59" s="21"/>
      <x:c r="U59" s="21"/>
      <x:c r="V59" s="21"/>
      <x:c r="W59" s="21"/>
      <x:c r="X59" s="21"/>
      <x:c r="Y59" s="21"/>
      <x:c r="Z59" s="21"/>
    </x:row>
    <x:row r="60">
      <x:c r="A60" s="21"/>
      <x:c r="B60" s="21"/>
      <x:c r="C60" s="21"/>
      <x:c r="D60" s="21"/>
      <x:c r="E60" s="21"/>
      <x:c r="F60" s="21"/>
      <x:c r="G60" s="21"/>
      <x:c r="H60" s="21"/>
      <x:c r="I60" s="21"/>
      <x:c r="J60" s="21"/>
      <x:c r="K60" s="21"/>
      <x:c r="L60" s="21"/>
      <x:c r="M60" s="21"/>
      <x:c r="N60" s="21"/>
      <x:c r="O60" s="21"/>
      <x:c r="P60" s="21"/>
      <x:c r="Q60" s="21"/>
      <x:c r="R60" s="21"/>
      <x:c r="S60" s="21"/>
      <x:c r="T60" s="21"/>
      <x:c r="U60" s="21"/>
      <x:c r="V60" s="21"/>
      <x:c r="W60" s="21"/>
      <x:c r="X60" s="21"/>
      <x:c r="Y60" s="21"/>
      <x:c r="Z60" s="21"/>
    </x:row>
    <x:row r="61">
      <x:c r="A61" s="21"/>
      <x:c r="B61" s="21"/>
      <x:c r="C61" s="21"/>
      <x:c r="D61" s="21"/>
      <x:c r="E61" s="21"/>
      <x:c r="F61" s="21"/>
      <x:c r="G61" s="21"/>
      <x:c r="H61" s="21"/>
      <x:c r="I61" s="21"/>
      <x:c r="J61" s="21"/>
      <x:c r="K61" s="21"/>
      <x:c r="L61" s="21"/>
      <x:c r="M61" s="21"/>
      <x:c r="N61" s="21"/>
      <x:c r="O61" s="21"/>
      <x:c r="P61" s="21"/>
      <x:c r="Q61" s="21"/>
      <x:c r="R61" s="21"/>
      <x:c r="S61" s="21"/>
      <x:c r="T61" s="21"/>
      <x:c r="U61" s="21"/>
      <x:c r="V61" s="21"/>
      <x:c r="W61" s="21"/>
      <x:c r="X61" s="21"/>
      <x:c r="Y61" s="21"/>
      <x:c r="Z61" s="21"/>
    </x:row>
    <x:row r="62">
      <x:c r="A62" s="21"/>
      <x:c r="B62" s="21"/>
      <x:c r="C62" s="21"/>
      <x:c r="D62" s="21"/>
      <x:c r="E62" s="21"/>
      <x:c r="F62" s="21"/>
      <x:c r="G62" s="21"/>
      <x:c r="H62" s="21"/>
      <x:c r="I62" s="21"/>
      <x:c r="J62" s="21"/>
      <x:c r="K62" s="21"/>
      <x:c r="L62" s="21"/>
      <x:c r="M62" s="21"/>
      <x:c r="N62" s="21"/>
      <x:c r="O62" s="21"/>
      <x:c r="P62" s="21"/>
      <x:c r="Q62" s="21"/>
      <x:c r="R62" s="21"/>
      <x:c r="S62" s="21"/>
      <x:c r="T62" s="21"/>
      <x:c r="U62" s="21"/>
      <x:c r="V62" s="21"/>
      <x:c r="W62" s="21"/>
      <x:c r="X62" s="21"/>
      <x:c r="Y62" s="21"/>
      <x:c r="Z62" s="21"/>
    </x:row>
    <x:row r="63">
      <x:c r="A63" s="21"/>
      <x:c r="B63" s="21"/>
      <x:c r="C63" s="21"/>
      <x:c r="D63" s="21"/>
      <x:c r="E63" s="21"/>
      <x:c r="F63" s="21"/>
      <x:c r="G63" s="21"/>
      <x:c r="H63" s="21"/>
      <x:c r="I63" s="21"/>
      <x:c r="J63" s="21"/>
      <x:c r="K63" s="21"/>
      <x:c r="L63" s="21"/>
      <x:c r="M63" s="21"/>
      <x:c r="N63" s="21"/>
      <x:c r="O63" s="21"/>
      <x:c r="P63" s="21"/>
      <x:c r="Q63" s="21"/>
      <x:c r="R63" s="21"/>
      <x:c r="S63" s="21"/>
      <x:c r="T63" s="21"/>
      <x:c r="U63" s="21"/>
      <x:c r="V63" s="21"/>
      <x:c r="W63" s="21"/>
      <x:c r="X63" s="21"/>
      <x:c r="Y63" s="21"/>
      <x:c r="Z63" s="21"/>
    </x:row>
    <x:row r="64">
      <x:c r="A64" s="21"/>
      <x:c r="B64" s="21"/>
      <x:c r="C64" s="21"/>
      <x:c r="D64" s="21"/>
      <x:c r="E64" s="21"/>
      <x:c r="F64" s="21"/>
      <x:c r="G64" s="21"/>
      <x:c r="H64" s="21"/>
      <x:c r="I64" s="21"/>
      <x:c r="J64" s="21"/>
      <x:c r="K64" s="21"/>
      <x:c r="L64" s="21"/>
      <x:c r="M64" s="21"/>
      <x:c r="N64" s="21"/>
      <x:c r="O64" s="21"/>
      <x:c r="P64" s="21"/>
      <x:c r="Q64" s="21"/>
      <x:c r="R64" s="21"/>
      <x:c r="S64" s="21"/>
      <x:c r="T64" s="21"/>
      <x:c r="U64" s="21"/>
      <x:c r="V64" s="21"/>
      <x:c r="W64" s="21"/>
      <x:c r="X64" s="21"/>
      <x:c r="Y64" s="21"/>
      <x:c r="Z64" s="21"/>
    </x:row>
    <x:row r="65">
      <x:c r="A65" s="21"/>
      <x:c r="B65" s="21"/>
      <x:c r="C65" s="21"/>
      <x:c r="D65" s="21"/>
      <x:c r="E65" s="21"/>
      <x:c r="F65" s="21"/>
      <x:c r="G65" s="21"/>
      <x:c r="H65" s="21"/>
      <x:c r="I65" s="21"/>
      <x:c r="J65" s="21"/>
      <x:c r="K65" s="21"/>
      <x:c r="L65" s="21"/>
      <x:c r="M65" s="21"/>
      <x:c r="N65" s="21"/>
      <x:c r="O65" s="21"/>
      <x:c r="P65" s="21"/>
      <x:c r="Q65" s="21"/>
      <x:c r="R65" s="21"/>
      <x:c r="S65" s="21"/>
      <x:c r="T65" s="21"/>
      <x:c r="U65" s="21"/>
      <x:c r="V65" s="21"/>
      <x:c r="W65" s="21"/>
      <x:c r="X65" s="21"/>
      <x:c r="Y65" s="21"/>
      <x:c r="Z65" s="21"/>
    </x:row>
    <x:row r="66">
      <x:c r="A66" s="21"/>
      <x:c r="B66" s="21"/>
      <x:c r="C66" s="21"/>
      <x:c r="D66" s="21"/>
      <x:c r="E66" s="21"/>
      <x:c r="F66" s="21"/>
      <x:c r="G66" s="21"/>
      <x:c r="H66" s="21"/>
      <x:c r="I66" s="21"/>
      <x:c r="J66" s="21"/>
      <x:c r="K66" s="21"/>
      <x:c r="L66" s="21"/>
      <x:c r="M66" s="21"/>
      <x:c r="N66" s="21"/>
      <x:c r="O66" s="21"/>
      <x:c r="P66" s="21"/>
      <x:c r="Q66" s="21"/>
      <x:c r="R66" s="21"/>
      <x:c r="S66" s="21"/>
      <x:c r="T66" s="21"/>
      <x:c r="U66" s="21"/>
      <x:c r="V66" s="21"/>
      <x:c r="W66" s="21"/>
      <x:c r="X66" s="21"/>
      <x:c r="Y66" s="21"/>
      <x:c r="Z66" s="21"/>
    </x:row>
    <x:row r="67">
      <x:c r="A67" s="21"/>
      <x:c r="B67" s="21"/>
      <x:c r="C67" s="21"/>
      <x:c r="D67" s="21"/>
      <x:c r="E67" s="21"/>
      <x:c r="F67" s="21"/>
      <x:c r="G67" s="21"/>
      <x:c r="H67" s="21"/>
      <x:c r="I67" s="21"/>
      <x:c r="J67" s="21"/>
      <x:c r="K67" s="21"/>
      <x:c r="L67" s="21"/>
      <x:c r="M67" s="21"/>
      <x:c r="N67" s="21"/>
      <x:c r="O67" s="21"/>
      <x:c r="P67" s="21"/>
      <x:c r="Q67" s="21"/>
      <x:c r="R67" s="21"/>
      <x:c r="S67" s="21"/>
      <x:c r="T67" s="21"/>
      <x:c r="U67" s="21"/>
      <x:c r="V67" s="21"/>
      <x:c r="W67" s="21"/>
      <x:c r="X67" s="21"/>
      <x:c r="Y67" s="21"/>
      <x:c r="Z67" s="21"/>
    </x:row>
    <x:row r="68">
      <x:c r="A68" s="21"/>
      <x:c r="B68" s="21"/>
      <x:c r="C68" s="21"/>
      <x:c r="D68" s="21"/>
      <x:c r="E68" s="21"/>
      <x:c r="F68" s="21"/>
      <x:c r="G68" s="21"/>
      <x:c r="H68" s="21"/>
      <x:c r="I68" s="21"/>
      <x:c r="J68" s="21"/>
      <x:c r="K68" s="21"/>
      <x:c r="L68" s="21"/>
      <x:c r="M68" s="21"/>
      <x:c r="N68" s="21"/>
      <x:c r="O68" s="21"/>
      <x:c r="P68" s="21"/>
      <x:c r="Q68" s="21"/>
      <x:c r="R68" s="21"/>
      <x:c r="S68" s="21"/>
      <x:c r="T68" s="21"/>
      <x:c r="U68" s="21"/>
      <x:c r="V68" s="21"/>
      <x:c r="W68" s="21"/>
      <x:c r="X68" s="21"/>
      <x:c r="Y68" s="21"/>
      <x:c r="Z68" s="21"/>
    </x:row>
    <x:row r="69">
      <x:c r="A69" s="21"/>
      <x:c r="B69" s="21"/>
      <x:c r="C69" s="21"/>
      <x:c r="D69" s="21"/>
      <x:c r="E69" s="21"/>
      <x:c r="F69" s="21"/>
      <x:c r="G69" s="21"/>
      <x:c r="H69" s="21"/>
      <x:c r="I69" s="21"/>
      <x:c r="J69" s="21"/>
      <x:c r="K69" s="21"/>
      <x:c r="L69" s="21"/>
      <x:c r="M69" s="21"/>
      <x:c r="N69" s="21"/>
      <x:c r="O69" s="21"/>
      <x:c r="P69" s="21"/>
      <x:c r="Q69" s="21"/>
      <x:c r="R69" s="21"/>
      <x:c r="S69" s="21"/>
      <x:c r="T69" s="21"/>
      <x:c r="U69" s="21"/>
      <x:c r="V69" s="21"/>
      <x:c r="W69" s="21"/>
      <x:c r="X69" s="21"/>
      <x:c r="Y69" s="21"/>
      <x:c r="Z69" s="21"/>
    </x:row>
    <x:row r="70">
      <x:c r="A70" s="21"/>
      <x:c r="B70" s="21"/>
      <x:c r="C70" s="21"/>
      <x:c r="D70" s="21"/>
      <x:c r="E70" s="21"/>
      <x:c r="F70" s="21"/>
      <x:c r="G70" s="21"/>
      <x:c r="H70" s="21"/>
      <x:c r="I70" s="21"/>
      <x:c r="J70" s="21"/>
      <x:c r="K70" s="21"/>
      <x:c r="L70" s="21"/>
      <x:c r="M70" s="21"/>
      <x:c r="N70" s="21"/>
      <x:c r="O70" s="21"/>
      <x:c r="P70" s="21"/>
      <x:c r="Q70" s="21"/>
      <x:c r="R70" s="21"/>
      <x:c r="S70" s="21"/>
      <x:c r="T70" s="21"/>
      <x:c r="U70" s="21"/>
      <x:c r="V70" s="21"/>
      <x:c r="W70" s="21"/>
      <x:c r="X70" s="21"/>
      <x:c r="Y70" s="21"/>
      <x:c r="Z70" s="21"/>
    </x:row>
    <x:row r="71">
      <x:c r="A71" s="21"/>
      <x:c r="B71" s="21"/>
      <x:c r="C71" s="21"/>
      <x:c r="D71" s="21"/>
      <x:c r="E71" s="21"/>
      <x:c r="F71" s="21"/>
      <x:c r="G71" s="21"/>
      <x:c r="H71" s="21"/>
      <x:c r="I71" s="21"/>
      <x:c r="J71" s="21"/>
      <x:c r="K71" s="21"/>
      <x:c r="L71" s="21"/>
      <x:c r="M71" s="21"/>
      <x:c r="N71" s="21"/>
      <x:c r="O71" s="21"/>
      <x:c r="P71" s="21"/>
      <x:c r="Q71" s="21"/>
      <x:c r="R71" s="21"/>
      <x:c r="S71" s="21"/>
      <x:c r="T71" s="21"/>
      <x:c r="U71" s="21"/>
      <x:c r="V71" s="21"/>
      <x:c r="W71" s="21"/>
      <x:c r="X71" s="21"/>
      <x:c r="Y71" s="21"/>
      <x:c r="Z71" s="21"/>
    </x:row>
    <x:row r="72">
      <x:c r="A72" s="21"/>
      <x:c r="B72" s="21"/>
      <x:c r="C72" s="21"/>
      <x:c r="D72" s="21"/>
      <x:c r="E72" s="21"/>
      <x:c r="F72" s="21"/>
      <x:c r="G72" s="21"/>
      <x:c r="H72" s="21"/>
      <x:c r="I72" s="21"/>
      <x:c r="J72" s="21"/>
      <x:c r="K72" s="21"/>
      <x:c r="L72" s="21"/>
      <x:c r="M72" s="21"/>
      <x:c r="N72" s="21"/>
      <x:c r="O72" s="21"/>
      <x:c r="P72" s="21"/>
      <x:c r="Q72" s="21"/>
      <x:c r="R72" s="21"/>
      <x:c r="S72" s="21"/>
      <x:c r="T72" s="21"/>
      <x:c r="U72" s="21"/>
      <x:c r="V72" s="21"/>
      <x:c r="W72" s="21"/>
      <x:c r="X72" s="21"/>
      <x:c r="Y72" s="21"/>
      <x:c r="Z72" s="21"/>
    </x:row>
    <x:row r="73">
      <x:c r="A73" s="21"/>
      <x:c r="B73" s="21"/>
      <x:c r="C73" s="21"/>
      <x:c r="D73" s="21"/>
      <x:c r="E73" s="21"/>
      <x:c r="F73" s="21"/>
      <x:c r="G73" s="21"/>
      <x:c r="H73" s="21"/>
      <x:c r="I73" s="21"/>
      <x:c r="J73" s="21"/>
      <x:c r="K73" s="21"/>
      <x:c r="L73" s="21"/>
      <x:c r="M73" s="21"/>
      <x:c r="N73" s="21"/>
      <x:c r="O73" s="21"/>
      <x:c r="P73" s="21"/>
      <x:c r="Q73" s="21"/>
      <x:c r="R73" s="21"/>
      <x:c r="S73" s="21"/>
      <x:c r="T73" s="21"/>
      <x:c r="U73" s="21"/>
      <x:c r="V73" s="21"/>
      <x:c r="W73" s="21"/>
      <x:c r="X73" s="21"/>
      <x:c r="Y73" s="21"/>
      <x:c r="Z73" s="21"/>
    </x:row>
    <x:row r="74">
      <x:c r="A74" s="21"/>
      <x:c r="B74" s="21"/>
      <x:c r="C74" s="21"/>
      <x:c r="D74" s="21"/>
      <x:c r="E74" s="21"/>
      <x:c r="F74" s="21"/>
      <x:c r="G74" s="21"/>
      <x:c r="H74" s="21"/>
      <x:c r="I74" s="21"/>
      <x:c r="J74" s="21"/>
      <x:c r="K74" s="21"/>
      <x:c r="L74" s="21"/>
      <x:c r="M74" s="21"/>
      <x:c r="N74" s="21"/>
      <x:c r="O74" s="21"/>
      <x:c r="P74" s="21"/>
      <x:c r="Q74" s="21"/>
      <x:c r="R74" s="21"/>
      <x:c r="S74" s="21"/>
      <x:c r="T74" s="21"/>
      <x:c r="U74" s="21"/>
      <x:c r="V74" s="21"/>
      <x:c r="W74" s="21"/>
      <x:c r="X74" s="21"/>
      <x:c r="Y74" s="21"/>
      <x:c r="Z74" s="21"/>
    </x:row>
    <x:row r="75">
      <x:c r="A75" s="21"/>
      <x:c r="B75" s="21"/>
      <x:c r="C75" s="21"/>
      <x:c r="D75" s="21"/>
      <x:c r="E75" s="21"/>
      <x:c r="F75" s="21"/>
      <x:c r="G75" s="21"/>
      <x:c r="H75" s="21"/>
      <x:c r="I75" s="21"/>
      <x:c r="J75" s="21"/>
      <x:c r="K75" s="21"/>
      <x:c r="L75" s="21"/>
      <x:c r="M75" s="21"/>
      <x:c r="N75" s="21"/>
      <x:c r="O75" s="21"/>
      <x:c r="P75" s="21"/>
      <x:c r="Q75" s="21"/>
      <x:c r="R75" s="21"/>
      <x:c r="S75" s="21"/>
      <x:c r="T75" s="21"/>
      <x:c r="U75" s="21"/>
      <x:c r="V75" s="21"/>
      <x:c r="W75" s="21"/>
      <x:c r="X75" s="21"/>
      <x:c r="Y75" s="21"/>
      <x:c r="Z75" s="21"/>
    </x:row>
    <x:row r="76">
      <x:c r="A76" s="21"/>
      <x:c r="B76" s="21"/>
      <x:c r="C76" s="21"/>
      <x:c r="D76" s="21"/>
      <x:c r="E76" s="21"/>
      <x:c r="F76" s="21"/>
      <x:c r="G76" s="21"/>
      <x:c r="H76" s="21"/>
      <x:c r="I76" s="21"/>
      <x:c r="J76" s="21"/>
      <x:c r="K76" s="21"/>
      <x:c r="L76" s="21"/>
      <x:c r="M76" s="21"/>
      <x:c r="N76" s="21"/>
      <x:c r="O76" s="21"/>
      <x:c r="P76" s="21"/>
      <x:c r="Q76" s="21"/>
      <x:c r="R76" s="21"/>
      <x:c r="S76" s="21"/>
      <x:c r="T76" s="21"/>
      <x:c r="U76" s="21"/>
      <x:c r="V76" s="21"/>
      <x:c r="W76" s="21"/>
      <x:c r="X76" s="21"/>
      <x:c r="Y76" s="21"/>
      <x:c r="Z76" s="21"/>
    </x:row>
    <x:row r="77">
      <x:c r="A77" s="21"/>
      <x:c r="B77" s="21"/>
      <x:c r="C77" s="21"/>
      <x:c r="D77" s="21"/>
      <x:c r="E77" s="21"/>
      <x:c r="F77" s="21"/>
      <x:c r="G77" s="21"/>
      <x:c r="H77" s="21"/>
      <x:c r="I77" s="21"/>
      <x:c r="J77" s="21"/>
      <x:c r="K77" s="21"/>
      <x:c r="L77" s="21"/>
      <x:c r="M77" s="21"/>
      <x:c r="N77" s="21"/>
      <x:c r="O77" s="21"/>
      <x:c r="P77" s="21"/>
      <x:c r="Q77" s="21"/>
      <x:c r="R77" s="21"/>
      <x:c r="S77" s="21"/>
      <x:c r="T77" s="21"/>
      <x:c r="U77" s="21"/>
      <x:c r="V77" s="21"/>
      <x:c r="W77" s="21"/>
      <x:c r="X77" s="21"/>
      <x:c r="Y77" s="21"/>
      <x:c r="Z77" s="21"/>
    </x:row>
    <x:row r="78">
      <x:c r="A78" s="21"/>
      <x:c r="B78" s="21"/>
      <x:c r="C78" s="21"/>
      <x:c r="D78" s="21"/>
      <x:c r="E78" s="21"/>
      <x:c r="F78" s="21"/>
      <x:c r="G78" s="21"/>
      <x:c r="H78" s="21"/>
      <x:c r="I78" s="21"/>
      <x:c r="J78" s="21"/>
      <x:c r="K78" s="21"/>
      <x:c r="L78" s="21"/>
      <x:c r="M78" s="21"/>
      <x:c r="N78" s="21"/>
      <x:c r="O78" s="21"/>
      <x:c r="P78" s="21"/>
      <x:c r="Q78" s="21"/>
      <x:c r="R78" s="21"/>
      <x:c r="S78" s="21"/>
      <x:c r="T78" s="21"/>
      <x:c r="U78" s="21"/>
      <x:c r="V78" s="21"/>
      <x:c r="W78" s="21"/>
      <x:c r="X78" s="21"/>
      <x:c r="Y78" s="21"/>
      <x:c r="Z78" s="21"/>
    </x:row>
    <x:row r="79">
      <x:c r="A79" s="21"/>
      <x:c r="B79" s="21"/>
      <x:c r="C79" s="21"/>
      <x:c r="D79" s="21"/>
      <x:c r="E79" s="21"/>
      <x:c r="F79" s="21"/>
      <x:c r="G79" s="21"/>
      <x:c r="H79" s="21"/>
      <x:c r="I79" s="21"/>
      <x:c r="J79" s="21"/>
      <x:c r="K79" s="21"/>
      <x:c r="L79" s="21"/>
      <x:c r="M79" s="21"/>
      <x:c r="N79" s="21"/>
      <x:c r="O79" s="21"/>
      <x:c r="P79" s="21"/>
      <x:c r="Q79" s="21"/>
      <x:c r="R79" s="21"/>
      <x:c r="S79" s="21"/>
      <x:c r="T79" s="21"/>
      <x:c r="U79" s="21"/>
      <x:c r="V79" s="21"/>
      <x:c r="W79" s="21"/>
      <x:c r="X79" s="21"/>
      <x:c r="Y79" s="21"/>
      <x:c r="Z79" s="21"/>
    </x:row>
    <x:row r="80">
      <x:c r="A80" s="21"/>
      <x:c r="B80" s="21"/>
      <x:c r="C80" s="21"/>
      <x:c r="D80" s="21"/>
      <x:c r="E80" s="21"/>
      <x:c r="F80" s="21"/>
      <x:c r="G80" s="21"/>
      <x:c r="H80" s="21"/>
      <x:c r="I80" s="21"/>
      <x:c r="J80" s="21"/>
      <x:c r="K80" s="21"/>
      <x:c r="L80" s="21"/>
      <x:c r="M80" s="21"/>
      <x:c r="N80" s="21"/>
      <x:c r="O80" s="21"/>
      <x:c r="P80" s="21"/>
      <x:c r="Q80" s="21"/>
      <x:c r="R80" s="21"/>
      <x:c r="S80" s="21"/>
      <x:c r="T80" s="21"/>
      <x:c r="U80" s="21"/>
      <x:c r="V80" s="21"/>
      <x:c r="W80" s="21"/>
      <x:c r="X80" s="21"/>
      <x:c r="Y80" s="21"/>
      <x:c r="Z80" s="21"/>
    </x:row>
    <x:row r="81">
      <x:c r="A81" s="21"/>
      <x:c r="B81" s="21"/>
      <x:c r="C81" s="21"/>
      <x:c r="D81" s="21"/>
      <x:c r="E81" s="21"/>
      <x:c r="F81" s="21"/>
      <x:c r="G81" s="21"/>
      <x:c r="H81" s="21"/>
      <x:c r="I81" s="21"/>
      <x:c r="J81" s="21"/>
      <x:c r="K81" s="21"/>
      <x:c r="L81" s="21"/>
      <x:c r="M81" s="21"/>
      <x:c r="N81" s="21"/>
      <x:c r="O81" s="21"/>
      <x:c r="P81" s="21"/>
      <x:c r="Q81" s="21"/>
      <x:c r="R81" s="21"/>
      <x:c r="S81" s="21"/>
      <x:c r="T81" s="21"/>
      <x:c r="U81" s="21"/>
      <x:c r="V81" s="21"/>
      <x:c r="W81" s="21"/>
      <x:c r="X81" s="21"/>
      <x:c r="Y81" s="21"/>
      <x:c r="Z81" s="21"/>
    </x:row>
    <x:row r="82">
      <x:c r="A82" s="21"/>
      <x:c r="B82" s="21"/>
      <x:c r="C82" s="21"/>
      <x:c r="D82" s="21"/>
      <x:c r="E82" s="21"/>
      <x:c r="F82" s="21"/>
      <x:c r="G82" s="21"/>
      <x:c r="H82" s="21"/>
      <x:c r="I82" s="21"/>
      <x:c r="J82" s="21"/>
      <x:c r="K82" s="21"/>
      <x:c r="L82" s="21"/>
      <x:c r="M82" s="21"/>
      <x:c r="N82" s="21"/>
      <x:c r="O82" s="21"/>
      <x:c r="P82" s="21"/>
      <x:c r="Q82" s="21"/>
      <x:c r="R82" s="21"/>
      <x:c r="S82" s="21"/>
      <x:c r="T82" s="21"/>
      <x:c r="U82" s="21"/>
      <x:c r="V82" s="21"/>
      <x:c r="W82" s="21"/>
      <x:c r="X82" s="21"/>
      <x:c r="Y82" s="21"/>
      <x:c r="Z82" s="21"/>
    </x:row>
    <x:row r="83">
      <x:c r="A83" s="21"/>
      <x:c r="B83" s="21"/>
      <x:c r="C83" s="21"/>
      <x:c r="D83" s="21"/>
      <x:c r="E83" s="21"/>
      <x:c r="F83" s="21"/>
      <x:c r="G83" s="21"/>
      <x:c r="H83" s="21"/>
      <x:c r="I83" s="21"/>
      <x:c r="J83" s="21"/>
      <x:c r="K83" s="21"/>
      <x:c r="L83" s="21"/>
      <x:c r="M83" s="21"/>
      <x:c r="N83" s="21"/>
      <x:c r="O83" s="21"/>
      <x:c r="P83" s="21"/>
      <x:c r="Q83" s="21"/>
      <x:c r="R83" s="21"/>
      <x:c r="S83" s="21"/>
      <x:c r="T83" s="21"/>
      <x:c r="U83" s="21"/>
      <x:c r="V83" s="21"/>
      <x:c r="W83" s="21"/>
      <x:c r="X83" s="21"/>
      <x:c r="Y83" s="21"/>
      <x:c r="Z83" s="21"/>
    </x:row>
    <x:row r="84">
      <x:c r="A84" s="21"/>
      <x:c r="B84" s="21"/>
      <x:c r="C84" s="21"/>
      <x:c r="D84" s="21"/>
      <x:c r="E84" s="21"/>
      <x:c r="F84" s="21"/>
      <x:c r="G84" s="21"/>
      <x:c r="H84" s="21"/>
      <x:c r="I84" s="21"/>
      <x:c r="J84" s="21"/>
      <x:c r="K84" s="21"/>
      <x:c r="L84" s="21"/>
      <x:c r="M84" s="21"/>
      <x:c r="N84" s="21"/>
      <x:c r="O84" s="21"/>
      <x:c r="P84" s="21"/>
      <x:c r="Q84" s="21"/>
      <x:c r="R84" s="21"/>
      <x:c r="S84" s="21"/>
      <x:c r="T84" s="21"/>
      <x:c r="U84" s="21"/>
      <x:c r="V84" s="21"/>
      <x:c r="W84" s="21"/>
      <x:c r="X84" s="21"/>
      <x:c r="Y84" s="21"/>
      <x:c r="Z84" s="21"/>
    </x:row>
    <x:row r="85">
      <x:c r="A85" s="21"/>
      <x:c r="B85" s="21"/>
      <x:c r="C85" s="21"/>
      <x:c r="D85" s="21"/>
      <x:c r="E85" s="21"/>
      <x:c r="F85" s="21"/>
      <x:c r="G85" s="21"/>
      <x:c r="H85" s="21"/>
      <x:c r="I85" s="21"/>
      <x:c r="J85" s="21"/>
      <x:c r="K85" s="21"/>
      <x:c r="L85" s="21"/>
      <x:c r="M85" s="21"/>
      <x:c r="N85" s="21"/>
      <x:c r="O85" s="21"/>
      <x:c r="P85" s="21"/>
      <x:c r="Q85" s="21"/>
      <x:c r="R85" s="21"/>
      <x:c r="S85" s="21"/>
      <x:c r="T85" s="21"/>
      <x:c r="U85" s="21"/>
      <x:c r="V85" s="21"/>
      <x:c r="W85" s="21"/>
      <x:c r="X85" s="21"/>
      <x:c r="Y85" s="21"/>
      <x:c r="Z85" s="21"/>
    </x:row>
    <x:row r="86">
      <x:c r="A86" s="21"/>
      <x:c r="B86" s="21"/>
      <x:c r="C86" s="21"/>
      <x:c r="D86" s="21"/>
      <x:c r="E86" s="21"/>
      <x:c r="F86" s="21"/>
      <x:c r="G86" s="21"/>
      <x:c r="H86" s="21"/>
      <x:c r="I86" s="21"/>
      <x:c r="J86" s="21"/>
      <x:c r="K86" s="21"/>
      <x:c r="L86" s="21"/>
      <x:c r="M86" s="21"/>
      <x:c r="N86" s="21"/>
      <x:c r="O86" s="21"/>
      <x:c r="P86" s="21"/>
      <x:c r="Q86" s="21"/>
      <x:c r="R86" s="21"/>
      <x:c r="S86" s="21"/>
      <x:c r="T86" s="21"/>
      <x:c r="U86" s="21"/>
      <x:c r="V86" s="21"/>
      <x:c r="W86" s="21"/>
      <x:c r="X86" s="21"/>
      <x:c r="Y86" s="21"/>
      <x:c r="Z86" s="21"/>
    </x:row>
    <x:row r="87">
      <x:c r="A87" s="21"/>
      <x:c r="B87" s="21"/>
      <x:c r="C87" s="21"/>
      <x:c r="D87" s="21"/>
      <x:c r="E87" s="21"/>
      <x:c r="F87" s="21"/>
      <x:c r="G87" s="21"/>
      <x:c r="H87" s="21"/>
      <x:c r="I87" s="21"/>
      <x:c r="J87" s="21"/>
      <x:c r="K87" s="21"/>
      <x:c r="L87" s="21"/>
      <x:c r="M87" s="21"/>
      <x:c r="N87" s="21"/>
      <x:c r="O87" s="21"/>
      <x:c r="P87" s="21"/>
      <x:c r="Q87" s="21"/>
      <x:c r="R87" s="21"/>
      <x:c r="S87" s="21"/>
      <x:c r="T87" s="21"/>
      <x:c r="U87" s="21"/>
      <x:c r="V87" s="21"/>
      <x:c r="W87" s="21"/>
      <x:c r="X87" s="21"/>
      <x:c r="Y87" s="21"/>
      <x:c r="Z87" s="21"/>
    </x:row>
    <x:row r="88">
      <x:c r="A88" s="21"/>
      <x:c r="B88" s="21"/>
      <x:c r="C88" s="21"/>
      <x:c r="D88" s="21"/>
      <x:c r="E88" s="21"/>
      <x:c r="F88" s="21"/>
      <x:c r="G88" s="21"/>
      <x:c r="H88" s="21"/>
      <x:c r="I88" s="21"/>
      <x:c r="J88" s="21"/>
      <x:c r="K88" s="21"/>
      <x:c r="L88" s="21"/>
      <x:c r="M88" s="21"/>
      <x:c r="N88" s="21"/>
      <x:c r="O88" s="21"/>
      <x:c r="P88" s="21"/>
      <x:c r="Q88" s="21"/>
      <x:c r="R88" s="21"/>
      <x:c r="S88" s="21"/>
      <x:c r="T88" s="21"/>
      <x:c r="U88" s="21"/>
      <x:c r="V88" s="21"/>
      <x:c r="W88" s="21"/>
      <x:c r="X88" s="21"/>
      <x:c r="Y88" s="21"/>
      <x:c r="Z88" s="21"/>
    </x:row>
    <x:row r="89">
      <x:c r="A89" s="21"/>
      <x:c r="B89" s="21"/>
      <x:c r="C89" s="21"/>
      <x:c r="D89" s="21"/>
      <x:c r="E89" s="21"/>
      <x:c r="F89" s="21"/>
      <x:c r="G89" s="21"/>
      <x:c r="H89" s="21"/>
      <x:c r="I89" s="21"/>
      <x:c r="J89" s="21"/>
      <x:c r="K89" s="21"/>
      <x:c r="L89" s="21"/>
      <x:c r="M89" s="21"/>
      <x:c r="N89" s="21"/>
      <x:c r="O89" s="21"/>
      <x:c r="P89" s="21"/>
      <x:c r="Q89" s="21"/>
      <x:c r="R89" s="21"/>
      <x:c r="S89" s="21"/>
      <x:c r="T89" s="21"/>
      <x:c r="U89" s="21"/>
      <x:c r="V89" s="21"/>
      <x:c r="W89" s="21"/>
      <x:c r="X89" s="21"/>
      <x:c r="Y89" s="21"/>
      <x:c r="Z89" s="21"/>
    </x:row>
    <x:row r="90">
      <x:c r="A90" s="21"/>
      <x:c r="B90" s="21"/>
      <x:c r="C90" s="21"/>
      <x:c r="D90" s="21"/>
      <x:c r="E90" s="21"/>
      <x:c r="F90" s="21"/>
      <x:c r="G90" s="21"/>
      <x:c r="H90" s="21"/>
      <x:c r="I90" s="21"/>
      <x:c r="J90" s="21"/>
      <x:c r="K90" s="21"/>
      <x:c r="L90" s="21"/>
      <x:c r="M90" s="21"/>
      <x:c r="N90" s="21"/>
      <x:c r="O90" s="21"/>
      <x:c r="P90" s="21"/>
      <x:c r="Q90" s="21"/>
      <x:c r="R90" s="21"/>
      <x:c r="S90" s="21"/>
      <x:c r="T90" s="21"/>
      <x:c r="U90" s="21"/>
      <x:c r="V90" s="21"/>
      <x:c r="W90" s="21"/>
      <x:c r="X90" s="21"/>
      <x:c r="Y90" s="21"/>
      <x:c r="Z90" s="21"/>
    </x:row>
    <x:row r="91">
      <x:c r="A91" s="21"/>
      <x:c r="B91" s="21"/>
      <x:c r="C91" s="21"/>
      <x:c r="D91" s="21"/>
      <x:c r="E91" s="21"/>
      <x:c r="F91" s="21"/>
      <x:c r="G91" s="21"/>
      <x:c r="H91" s="21"/>
      <x:c r="I91" s="21"/>
      <x:c r="J91" s="21"/>
      <x:c r="K91" s="21"/>
      <x:c r="L91" s="21"/>
      <x:c r="M91" s="21"/>
      <x:c r="N91" s="21"/>
      <x:c r="O91" s="21"/>
      <x:c r="P91" s="21"/>
      <x:c r="Q91" s="21"/>
      <x:c r="R91" s="21"/>
      <x:c r="S91" s="21"/>
      <x:c r="T91" s="21"/>
      <x:c r="U91" s="21"/>
      <x:c r="V91" s="21"/>
      <x:c r="W91" s="21"/>
      <x:c r="X91" s="21"/>
      <x:c r="Y91" s="21"/>
      <x:c r="Z91" s="21"/>
    </x:row>
    <x:row r="92">
      <x:c r="A92" s="21"/>
      <x:c r="B92" s="21"/>
      <x:c r="C92" s="21"/>
      <x:c r="D92" s="21"/>
      <x:c r="E92" s="21"/>
      <x:c r="F92" s="21"/>
      <x:c r="G92" s="21"/>
      <x:c r="H92" s="21"/>
      <x:c r="I92" s="21"/>
      <x:c r="J92" s="21"/>
      <x:c r="K92" s="21"/>
      <x:c r="L92" s="21"/>
      <x:c r="M92" s="21"/>
      <x:c r="N92" s="21"/>
      <x:c r="O92" s="21"/>
      <x:c r="P92" s="21"/>
      <x:c r="Q92" s="21"/>
      <x:c r="R92" s="21"/>
      <x:c r="S92" s="21"/>
      <x:c r="T92" s="21"/>
      <x:c r="U92" s="21"/>
      <x:c r="V92" s="21"/>
      <x:c r="W92" s="21"/>
      <x:c r="X92" s="21"/>
      <x:c r="Y92" s="21"/>
      <x:c r="Z92" s="21"/>
    </x:row>
    <x:row r="93">
      <x:c r="A93" s="21"/>
      <x:c r="B93" s="21"/>
      <x:c r="C93" s="21"/>
      <x:c r="D93" s="21"/>
      <x:c r="E93" s="21"/>
      <x:c r="F93" s="21"/>
      <x:c r="G93" s="21"/>
      <x:c r="H93" s="21"/>
      <x:c r="I93" s="21"/>
      <x:c r="J93" s="21"/>
      <x:c r="K93" s="21"/>
      <x:c r="L93" s="21"/>
      <x:c r="M93" s="21"/>
      <x:c r="N93" s="21"/>
      <x:c r="O93" s="21"/>
      <x:c r="P93" s="21"/>
      <x:c r="Q93" s="21"/>
      <x:c r="R93" s="21"/>
      <x:c r="S93" s="21"/>
      <x:c r="T93" s="21"/>
      <x:c r="U93" s="21"/>
      <x:c r="V93" s="21"/>
      <x:c r="W93" s="21"/>
      <x:c r="X93" s="21"/>
      <x:c r="Y93" s="21"/>
      <x:c r="Z93" s="21"/>
    </x:row>
    <x:row r="94">
      <x:c r="A94" s="21"/>
      <x:c r="B94" s="21"/>
      <x:c r="C94" s="21"/>
      <x:c r="D94" s="21"/>
      <x:c r="E94" s="21"/>
      <x:c r="F94" s="21"/>
      <x:c r="G94" s="21"/>
      <x:c r="H94" s="21"/>
      <x:c r="I94" s="21"/>
      <x:c r="J94" s="21"/>
      <x:c r="K94" s="21"/>
      <x:c r="L94" s="21"/>
      <x:c r="M94" s="21"/>
      <x:c r="N94" s="21"/>
      <x:c r="O94" s="21"/>
      <x:c r="P94" s="21"/>
      <x:c r="Q94" s="21"/>
      <x:c r="R94" s="21"/>
      <x:c r="S94" s="21"/>
      <x:c r="T94" s="21"/>
      <x:c r="U94" s="21"/>
      <x:c r="V94" s="21"/>
      <x:c r="W94" s="21"/>
      <x:c r="X94" s="21"/>
      <x:c r="Y94" s="21"/>
      <x:c r="Z94" s="21"/>
    </x:row>
    <x:row r="95">
      <x:c r="A95" s="21"/>
      <x:c r="B95" s="21"/>
      <x:c r="C95" s="21"/>
      <x:c r="D95" s="21"/>
      <x:c r="E95" s="21"/>
      <x:c r="F95" s="21"/>
      <x:c r="G95" s="21"/>
      <x:c r="H95" s="21"/>
      <x:c r="I95" s="21"/>
      <x:c r="J95" s="21"/>
      <x:c r="K95" s="21"/>
      <x:c r="L95" s="21"/>
      <x:c r="M95" s="21"/>
      <x:c r="N95" s="21"/>
      <x:c r="O95" s="21"/>
      <x:c r="P95" s="21"/>
      <x:c r="Q95" s="21"/>
      <x:c r="R95" s="21"/>
      <x:c r="S95" s="21"/>
      <x:c r="T95" s="21"/>
      <x:c r="U95" s="21"/>
      <x:c r="V95" s="21"/>
      <x:c r="W95" s="21"/>
      <x:c r="X95" s="21"/>
      <x:c r="Y95" s="21"/>
      <x:c r="Z95" s="21"/>
    </x:row>
    <x:row r="96">
      <x:c r="A96" s="21"/>
      <x:c r="B96" s="21"/>
      <x:c r="C96" s="21"/>
      <x:c r="D96" s="21"/>
      <x:c r="E96" s="21"/>
      <x:c r="F96" s="21"/>
      <x:c r="G96" s="21"/>
      <x:c r="H96" s="21"/>
      <x:c r="I96" s="21"/>
      <x:c r="J96" s="21"/>
      <x:c r="K96" s="21"/>
      <x:c r="L96" s="21"/>
      <x:c r="M96" s="21"/>
      <x:c r="N96" s="21"/>
      <x:c r="O96" s="21"/>
      <x:c r="P96" s="21"/>
      <x:c r="Q96" s="21"/>
      <x:c r="R96" s="21"/>
      <x:c r="S96" s="21"/>
      <x:c r="T96" s="21"/>
      <x:c r="U96" s="21"/>
      <x:c r="V96" s="21"/>
      <x:c r="W96" s="21"/>
      <x:c r="X96" s="21"/>
      <x:c r="Y96" s="21"/>
      <x:c r="Z96" s="21"/>
    </x:row>
    <x:row r="97">
      <x:c r="A97" s="21"/>
      <x:c r="B97" s="21"/>
      <x:c r="C97" s="21"/>
      <x:c r="D97" s="21"/>
      <x:c r="E97" s="21"/>
      <x:c r="F97" s="21"/>
      <x:c r="G97" s="21"/>
      <x:c r="H97" s="21"/>
      <x:c r="I97" s="21"/>
      <x:c r="J97" s="21"/>
      <x:c r="K97" s="21"/>
      <x:c r="L97" s="21"/>
      <x:c r="M97" s="21"/>
      <x:c r="N97" s="21"/>
      <x:c r="O97" s="21"/>
      <x:c r="P97" s="21"/>
      <x:c r="Q97" s="21"/>
      <x:c r="R97" s="21"/>
      <x:c r="S97" s="21"/>
      <x:c r="T97" s="21"/>
      <x:c r="U97" s="21"/>
      <x:c r="V97" s="21"/>
      <x:c r="W97" s="21"/>
      <x:c r="X97" s="21"/>
      <x:c r="Y97" s="21"/>
      <x:c r="Z97" s="21"/>
    </x:row>
    <x:row r="98">
      <x:c r="A98" s="21"/>
      <x:c r="B98" s="21"/>
      <x:c r="C98" s="21"/>
      <x:c r="D98" s="21"/>
      <x:c r="E98" s="21"/>
      <x:c r="F98" s="21"/>
      <x:c r="G98" s="21"/>
      <x:c r="H98" s="21"/>
      <x:c r="I98" s="21"/>
      <x:c r="J98" s="21"/>
      <x:c r="K98" s="21"/>
      <x:c r="L98" s="21"/>
      <x:c r="M98" s="21"/>
      <x:c r="N98" s="21"/>
      <x:c r="O98" s="21"/>
      <x:c r="P98" s="21"/>
      <x:c r="Q98" s="21"/>
      <x:c r="R98" s="21"/>
      <x:c r="S98" s="21"/>
      <x:c r="T98" s="21"/>
      <x:c r="U98" s="21"/>
      <x:c r="V98" s="21"/>
      <x:c r="W98" s="21"/>
      <x:c r="X98" s="21"/>
      <x:c r="Y98" s="21"/>
      <x:c r="Z98" s="21"/>
    </x:row>
    <x:row r="99">
      <x:c r="A99" s="21"/>
      <x:c r="B99" s="21"/>
      <x:c r="C99" s="21"/>
      <x:c r="D99" s="21"/>
      <x:c r="E99" s="21"/>
      <x:c r="F99" s="21"/>
      <x:c r="G99" s="21"/>
      <x:c r="H99" s="21"/>
      <x:c r="I99" s="21"/>
      <x:c r="J99" s="21"/>
      <x:c r="K99" s="21"/>
      <x:c r="L99" s="21"/>
      <x:c r="M99" s="21"/>
      <x:c r="N99" s="21"/>
      <x:c r="O99" s="21"/>
      <x:c r="P99" s="21"/>
      <x:c r="Q99" s="21"/>
      <x:c r="R99" s="21"/>
      <x:c r="S99" s="21"/>
      <x:c r="T99" s="21"/>
      <x:c r="U99" s="21"/>
      <x:c r="V99" s="21"/>
      <x:c r="W99" s="21"/>
      <x:c r="X99" s="21"/>
      <x:c r="Y99" s="21"/>
      <x:c r="Z99" s="21"/>
    </x:row>
    <x:row r="100">
      <x:c r="A100" s="21"/>
      <x:c r="B100" s="21"/>
      <x:c r="C100" s="21"/>
      <x:c r="D100" s="21"/>
      <x:c r="E100" s="21"/>
      <x:c r="F100" s="21"/>
      <x:c r="G100" s="21"/>
      <x:c r="H100" s="21"/>
      <x:c r="I100" s="21"/>
      <x:c r="J100" s="21"/>
      <x:c r="K100" s="21"/>
      <x:c r="L100" s="21"/>
      <x:c r="M100" s="21"/>
      <x:c r="N100" s="21"/>
      <x:c r="O100" s="21"/>
      <x:c r="P100" s="21"/>
      <x:c r="Q100" s="21"/>
      <x:c r="R100" s="21"/>
      <x:c r="S100" s="21"/>
      <x:c r="T100" s="21"/>
      <x:c r="U100" s="21"/>
      <x:c r="V100" s="21"/>
      <x:c r="W100" s="21"/>
      <x:c r="X100" s="21"/>
      <x:c r="Y100" s="21"/>
      <x:c r="Z100" s="21"/>
    </x:row>
  </x:sheetData>
  <x:mergeCells>
    <x:mergeCell ref="A1:G1"/>
  </x:mergeCells>
  <x:conditionalFormatting sqref="C3:C18">
    <x:cfRule type="expression" dxfId="16" priority="2">
      <x:formula>ISNUMBER(SEARCH("REJECT",C3))</x:formula>
    </x:cfRule>
    <x:cfRule type="expression" dxfId="15" priority="3">
      <x:formula>ISNUMBER(SEARCH("ACCEPT",C3))</x:formula>
    </x:cfRule>
  </x:conditionalFormatting>
  <x:conditionalFormatting sqref="G3:G18">
    <x:cfRule type="expression" dxfId="14" priority="1">
      <x:formula>G3="Critical"</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30" hidden="0" customWidth="1"/>
    <x:col min="2" max="2" width="55" hidden="0" customWidth="1"/>
    <x:col min="3" max="3" width="24" hidden="0" customWidth="1"/>
    <x:col min="4" max="4" width="24" hidden="0" customWidth="1"/>
    <x:col min="5" max="5" width="25" hidden="0" customWidth="1"/>
    <x:col min="6" max="7" width="33" customWidth="1"/>
    <x:col min="8" max="8" width="12" customWidth="1"/>
    <x:col min="9" max="9" width="20" customWidth="1"/>
    <x:col min="10" max="10" width="42" customWidth="1"/>
    <x:col min="6" max="6" width="55" hidden="0" customWidth="1"/>
    <x:col min="7" max="7" width="55" hidden="0" customWidth="1"/>
  </x:cols>
  <x:sheetData>
    <x:row r="1" ht="19.5">
      <x:c r="A1" s="384" t="str">
        <x:v>PPIQ Delivery Feasibility — v2.13 Consolidated Authority / Generic Oil-Pilot Rebaseline (22-Aug-2026)</x:v>
      </x:c>
      <x:c r="B1" s="384"/>
      <x:c r="C1" s="384"/>
      <x:c r="D1" s="384"/>
      <x:c r="E1" s="384"/>
      <x:c r="F1" s="384"/>
      <x:c r="G1" s="384"/>
      <x:c r="H1" s="135"/>
      <x:c r="I1" s="135"/>
      <x:c r="J1" s="135"/>
      <x:c r="K1" s="21"/>
      <x:c r="L1" s="21"/>
      <x:c r="M1" s="21"/>
      <x:c r="N1" s="21"/>
      <x:c r="O1" s="21"/>
      <x:c r="P1" s="21"/>
      <x:c r="Q1" s="21"/>
      <x:c r="R1" s="21"/>
      <x:c r="S1" s="21"/>
      <x:c r="T1" s="21"/>
      <x:c r="U1" s="21"/>
      <x:c r="V1" s="21"/>
      <x:c r="W1" s="21"/>
      <x:c r="X1" s="21"/>
      <x:c r="Y1" s="21"/>
      <x:c r="Z1" s="21"/>
    </x:row>
    <x:row r="2">
      <x:c r="A2" s="304"/>
      <x:c r="B2" s="304"/>
      <x:c r="C2" s="304"/>
      <x:c r="D2" s="304"/>
      <x:c r="E2" s="304"/>
      <x:c r="F2" s="304"/>
      <x:c r="G2" s="304"/>
      <x:c r="H2" s="21"/>
      <x:c r="I2" s="21"/>
      <x:c r="J2" s="21"/>
      <x:c r="K2" s="21"/>
      <x:c r="L2" s="21"/>
      <x:c r="M2" s="21"/>
      <x:c r="N2" s="21"/>
      <x:c r="O2" s="21"/>
      <x:c r="P2" s="21"/>
      <x:c r="Q2" s="21"/>
      <x:c r="R2" s="21"/>
      <x:c r="S2" s="21"/>
      <x:c r="T2" s="21"/>
      <x:c r="U2" s="21"/>
      <x:c r="V2" s="21"/>
      <x:c r="W2" s="21"/>
      <x:c r="X2" s="21"/>
      <x:c r="Y2" s="21"/>
      <x:c r="Z2" s="21"/>
    </x:row>
    <x:row r="3">
      <x:c r="A3" s="387" t="str">
        <x:v>Target</x:v>
      </x:c>
      <x:c r="B3" s="387" t="str">
        <x:v>Active scope / planning basis</x:v>
      </x:c>
      <x:c r="C3" s="387" t="str">
        <x:v>Committed nominal envelope</x:v>
      </x:c>
      <x:c r="D3" s="387" t="str">
        <x:v>Contingency</x:v>
      </x:c>
      <x:c r="E3" s="387" t="str">
        <x:v>Verdict</x:v>
      </x:c>
      <x:c r="F3" s="387" t="str">
        <x:v>What makes it true</x:v>
      </x:c>
      <x:c r="G3" s="387" t="str">
        <x:v>What breaks it</x:v>
      </x:c>
      <x:c r="H3" s="21"/>
      <x:c r="I3" s="21"/>
      <x:c r="J3" s="21"/>
      <x:c r="K3" s="21"/>
      <x:c r="L3" s="21"/>
      <x:c r="M3" s="21"/>
      <x:c r="N3" s="21"/>
      <x:c r="O3" s="21"/>
      <x:c r="P3" s="21"/>
      <x:c r="Q3" s="21"/>
      <x:c r="R3" s="21"/>
      <x:c r="S3" s="21"/>
      <x:c r="T3" s="21"/>
      <x:c r="U3" s="21"/>
      <x:c r="V3" s="21"/>
      <x:c r="W3" s="21"/>
      <x:c r="X3" s="21"/>
      <x:c r="Y3" s="21"/>
      <x:c r="Z3" s="21"/>
    </x:row>
    <x:row r="4" ht="60">
      <x:c r="A4" s="304" t="str">
        <x:v>M2 Product Truth / Genericity Cutover — late Aug</x:v>
      </x:c>
      <x:c r="B4" s="304" t="str">
        <x:v>T-201..T-208 + current generic correctness blockers</x:v>
      </x:c>
      <x:c r="C4" s="304" t="str">
        <x:v>≈66 h + current defect closure</x:v>
      </x:c>
      <x:c r="D4" s="304" t="str">
        <x:v>20–30%</x:v>
      </x:c>
      <x:c r="E4" s="304" t="str">
        <x:v>MANDATORY FIRST</x:v>
      </x:c>
      <x:c r="F4" s="304" t="str">
        <x:v>One owner resolves frozen tree; persisted-definition replay; cross-filter semantics; no false connector claims; generic fixtures.</x:v>
      </x:c>
      <x:c r="G4" s="304" t="str">
        <x:v>Continuing M1 presentation content; shared-file collisions; broad cosmetic fixes.</x:v>
      </x:c>
      <x:c r="H4" s="21"/>
      <x:c r="I4" s="21"/>
      <x:c r="J4" s="21"/>
      <x:c r="K4" s="21"/>
      <x:c r="L4" s="21"/>
      <x:c r="M4" s="21"/>
      <x:c r="N4" s="21"/>
      <x:c r="O4" s="21"/>
      <x:c r="P4" s="21"/>
      <x:c r="Q4" s="21"/>
      <x:c r="R4" s="21"/>
      <x:c r="S4" s="21"/>
      <x:c r="T4" s="21"/>
      <x:c r="U4" s="21"/>
      <x:c r="V4" s="21"/>
      <x:c r="W4" s="21"/>
      <x:c r="X4" s="21"/>
      <x:c r="Y4" s="21"/>
      <x:c r="Z4" s="21"/>
    </x:row>
    <x:row r="5" ht="60">
      <x:c r="A5" s="304" t="str">
        <x:v>Customer Data Architecture Assessment — from 2 Sep</x:v>
      </x:c>
      <x:c r="B5" s="304" t="str">
        <x:v>T-213 consuming canonical registry/subject/aggregation persistence; assessment may start immediately from supplied structure while SAFE-NOW contracts are already frozen</x:v>
      </x:c>
      <x:c r="C5" s="304" t="str">
        <x:v>≈8 h assessment + mapping discovery</x:v>
      </x:c>
      <x:c r="D5" s="304" t="str">
        <x:v>High uncertainty from foreign schema</x:v>
      </x:c>
      <x:c r="E5" s="304" t="str">
        <x:v>REALISTIC</x:v>
      </x:c>
      <x:c r="F5" s="304" t="str">
        <x:v>Request complete data package now; same-period manual + historian history; time semantics supplied.</x:v>
      </x:c>
      <x:c r="G5" s="304" t="str">
        <x:v>Schema only with no keys/time semantics/history; customer-specific code shortcuts.</x:v>
      </x:c>
      <x:c r="H5" s="21"/>
      <x:c r="I5" s="21"/>
      <x:c r="J5" s="21"/>
      <x:c r="K5" s="21"/>
      <x:c r="L5" s="21"/>
      <x:c r="M5" s="21"/>
      <x:c r="N5" s="21"/>
      <x:c r="O5" s="21"/>
      <x:c r="P5" s="21"/>
      <x:c r="Q5" s="21"/>
      <x:c r="R5" s="21"/>
      <x:c r="S5" s="21"/>
      <x:c r="T5" s="21"/>
      <x:c r="U5" s="21"/>
      <x:c r="V5" s="21"/>
      <x:c r="W5" s="21"/>
      <x:c r="X5" s="21"/>
      <x:c r="Y5" s="21"/>
      <x:c r="Z5" s="21"/>
    </x:row>
    <x:row r="6" ht="60">
      <x:c r="A6" s="304" t="str">
        <x:v>30-Sep Customer Data Demonstration RC</x:v>
      </x:c>
      <x:c r="B6" s="304" t="str">
        <x:v>Canonical onboarding + aggregation/regime correctness + references + historical reconciliation + grounded Assistant; exact period-driver decomposition is customer-important but not allowed to displace the primary differentiator.</x:v>
      </x:c>
      <x:c r="C6" s="304" t="str">
        <x:v>Programme committed target ≈270–300 h total through demo; do not fill theoretical capacity</x:v>
      </x:c>
      <x:c r="D6" s="304" t="str">
        <x:v>≈80–110 h reserve</x:v>
      </x:c>
      <x:c r="E6" s="304" t="str">
        <x:v>GREEN–YELLOW / conditional on customer data</x:v>
      </x:c>
      <x:c r="F6" s="304" t="str">
        <x:v>Same binary; no oil-specific code; subject/reference/time/regime contracts pre-proven SAFE-NOW; one differentiator finished; hard T-087 checkpoint 5-Sep; hard feature freeze 26–29 Sep; two rehearsals.</x:v>
      </x:c>
      <x:c r="G6" s="304" t="str">
        <x:v>Trying to finish M2; live-OPC dependency; Assistant Composer dependency; missing transition context; no contingency; wrong aggregates.</x:v>
      </x:c>
      <x:c r="H6" s="21"/>
      <x:c r="I6" s="21"/>
      <x:c r="J6" s="21"/>
      <x:c r="K6" s="21"/>
      <x:c r="L6" s="21"/>
      <x:c r="M6" s="21"/>
      <x:c r="N6" s="21"/>
      <x:c r="O6" s="21"/>
      <x:c r="P6" s="21"/>
      <x:c r="Q6" s="21"/>
      <x:c r="R6" s="21"/>
      <x:c r="S6" s="21"/>
      <x:c r="T6" s="21"/>
      <x:c r="U6" s="21"/>
      <x:c r="V6" s="21"/>
      <x:c r="W6" s="21"/>
      <x:c r="X6" s="21"/>
      <x:c r="Y6" s="21"/>
      <x:c r="Z6" s="21"/>
    </x:row>
    <x:row r="7">
      <x:c r="A7" s="304" t="str">
        <x:v>Two-month plant pilot</x:v>
      </x:c>
      <x:c r="B7" s="304" t="str">
        <x:v>Existing M2/M3 security/install/backup/monitoring + T-224..T-227</x:v>
      </x:c>
      <x:c r="C7" s="304" t="str">
        <x:v>Trial programme, site/customer dependent</x:v>
      </x:c>
      <x:c r="D7" s="304" t="str">
        <x:v>Site contingency mandatory</x:v>
      </x:c>
      <x:c r="E7" s="304" t="str">
        <x:v>PLANNED / NOT SEP PROMISE</x:v>
      </x:c>
      <x:c r="F7" s="304" t="str">
        <x:v>Read-only edge; real OPC site certification; audit/RLS/backup/restore; Pilot Success Contract agreed before install.</x:v>
      </x:c>
      <x:c r="G7" s="304" t="str">
        <x:v>Calling code completion production certification; undefined success criteria; OT write path.</x:v>
      </x:c>
      <x:c r="H7" s="21"/>
      <x:c r="I7" s="21"/>
      <x:c r="J7" s="21"/>
      <x:c r="K7" s="21"/>
      <x:c r="L7" s="21"/>
      <x:c r="M7" s="21"/>
      <x:c r="N7" s="21"/>
      <x:c r="O7" s="21"/>
      <x:c r="P7" s="21"/>
      <x:c r="Q7" s="21"/>
      <x:c r="R7" s="21"/>
      <x:c r="S7" s="21"/>
      <x:c r="T7" s="21"/>
      <x:c r="U7" s="21"/>
      <x:c r="V7" s="21"/>
      <x:c r="W7" s="21"/>
      <x:c r="X7" s="21"/>
      <x:c r="Y7" s="21"/>
      <x:c r="Z7" s="21"/>
    </x:row>
    <x:row r="8">
      <x:c r="A8" s="377" t="str">
        <x:v>Production GA</x:v>
      </x:c>
      <x:c r="B8" s="377" t="str">
        <x:v>Full canonical M2 + M3 evidence</x:v>
      </x:c>
      <x:c r="C8" s="377" t="str">
        <x:v>Not estimated as 30-Sep work</x:v>
      </x:c>
      <x:c r="D8" s="377" t="str">
        <x:v>Customer/site evidence dominates</x:v>
      </x:c>
      <x:c r="E8" s="377" t="str">
        <x:v>NOT A SEPTEMBER PROMISE</x:v>
      </x:c>
      <x:c r="F8" s="377" t="str">
        <x:v>Measured capacity/HA/DR/security/calibration/connector and acceptance evidence.</x:v>
      </x:c>
      <x:c r="G8" s="377" t="str">
        <x:v>Declaring GA from backlog completion alone.</x:v>
      </x:c>
      <x:c r="H8" s="116"/>
      <x:c r="I8" s="116"/>
      <x:c r="J8" s="116"/>
      <x:c r="K8" s="21"/>
      <x:c r="L8" s="21"/>
      <x:c r="M8" s="21"/>
      <x:c r="N8" s="21"/>
      <x:c r="O8" s="21"/>
      <x:c r="P8" s="21"/>
      <x:c r="Q8" s="21"/>
      <x:c r="R8" s="21"/>
      <x:c r="S8" s="21"/>
      <x:c r="T8" s="21"/>
      <x:c r="U8" s="21"/>
      <x:c r="V8" s="21"/>
      <x:c r="W8" s="21"/>
      <x:c r="X8" s="21"/>
      <x:c r="Y8" s="21"/>
      <x:c r="Z8" s="21"/>
    </x:row>
    <x:row r="9" ht="30">
      <x:c r="A9" s="304"/>
      <x:c r="B9" s="378"/>
      <x:c r="C9" s="378"/>
      <x:c r="D9" s="378"/>
      <x:c r="E9" s="378"/>
      <x:c r="F9" s="378"/>
      <x:c r="G9" s="378"/>
      <x:c r="H9" s="117"/>
      <x:c r="I9" s="7"/>
      <x:c r="J9" s="7"/>
      <x:c r="K9" s="21"/>
      <x:c r="L9" s="21"/>
      <x:c r="M9" s="21"/>
      <x:c r="N9" s="21"/>
      <x:c r="O9" s="21"/>
      <x:c r="P9" s="21"/>
      <x:c r="Q9" s="21"/>
      <x:c r="R9" s="21"/>
      <x:c r="S9" s="21"/>
      <x:c r="T9" s="21"/>
      <x:c r="U9" s="21"/>
      <x:c r="V9" s="21"/>
      <x:c r="W9" s="21"/>
      <x:c r="X9" s="21"/>
      <x:c r="Y9" s="21"/>
      <x:c r="Z9" s="21"/>
    </x:row>
    <x:row r="10" ht="30">
      <x:c r="A10" s="304" t="str">
        <x:v>PLANNING LAWS</x:v>
      </x:c>
      <x:c r="B10" s="378"/>
      <x:c r="C10" s="378"/>
      <x:c r="D10" s="378"/>
      <x:c r="E10" s="378"/>
      <x:c r="F10" s="378"/>
      <x:c r="G10" s="378"/>
      <x:c r="H10" s="117"/>
      <x:c r="I10" s="7"/>
      <x:c r="J10" s="7"/>
      <x:c r="K10" s="21"/>
      <x:c r="L10" s="21"/>
      <x:c r="M10" s="21"/>
      <x:c r="N10" s="21"/>
      <x:c r="O10" s="21"/>
      <x:c r="P10" s="21"/>
      <x:c r="Q10" s="21"/>
      <x:c r="R10" s="21"/>
      <x:c r="S10" s="21"/>
      <x:c r="T10" s="21"/>
      <x:c r="U10" s="21"/>
      <x:c r="V10" s="21"/>
      <x:c r="W10" s="21"/>
      <x:c r="X10" s="21"/>
      <x:c r="Y10" s="21"/>
      <x:c r="Z10" s="21"/>
    </x:row>
    <x:row r="11" ht="45">
      <x:c r="A11" s="392" t="str">
        <x:v>Law</x:v>
      </x:c>
      <x:c r="B11" s="393" t="str">
        <x:v>Ruling</x:v>
      </x:c>
      <x:c r="C11" s="393" t="str">
        <x:v>Why</x:v>
      </x:c>
      <x:c r="D11" s="393"/>
      <x:c r="E11" s="393"/>
      <x:c r="F11" s="393"/>
      <x:c r="G11" s="393"/>
      <x:c r="H11" s="117"/>
      <x:c r="I11" s="7"/>
      <x:c r="J11" s="7"/>
      <x:c r="K11" s="21"/>
      <x:c r="L11" s="21"/>
      <x:c r="M11" s="21"/>
      <x:c r="N11" s="21"/>
      <x:c r="O11" s="21"/>
      <x:c r="P11" s="21"/>
      <x:c r="Q11" s="21"/>
      <x:c r="R11" s="21"/>
      <x:c r="S11" s="21"/>
      <x:c r="T11" s="21"/>
      <x:c r="U11" s="21"/>
      <x:c r="V11" s="21"/>
      <x:c r="W11" s="21"/>
      <x:c r="X11" s="21"/>
      <x:c r="Y11" s="21"/>
      <x:c r="Z11" s="21"/>
    </x:row>
    <x:row r="12" ht="45">
      <x:c r="A12" s="304" t="str">
        <x:v>Capacity guardrail</x:v>
      </x:c>
      <x:c r="B12" s="378" t="str">
        <x:v>Observed backlog throughput is a planning signal, not a promise. Schedule only ~70–80% of theoretical capacity.</x:v>
      </x:c>
      <x:c r="C12" s="378" t="str">
        <x:v>Foreign data and new subsystems have higher uncertainty than August known-scope tasks.</x:v>
      </x:c>
      <x:c r="D12" s="378"/>
      <x:c r="E12" s="378"/>
      <x:c r="F12" s="378"/>
      <x:c r="G12" s="378"/>
      <x:c r="H12" s="117"/>
      <x:c r="I12" s="7"/>
      <x:c r="J12" s="7"/>
      <x:c r="K12" s="21"/>
      <x:c r="L12" s="21"/>
      <x:c r="M12" s="21"/>
      <x:c r="N12" s="21"/>
      <x:c r="O12" s="21"/>
      <x:c r="P12" s="21"/>
      <x:c r="Q12" s="21"/>
      <x:c r="R12" s="21"/>
      <x:c r="S12" s="21"/>
      <x:c r="T12" s="21"/>
      <x:c r="U12" s="21"/>
      <x:c r="V12" s="21"/>
      <x:c r="W12" s="21"/>
      <x:c r="X12" s="21"/>
      <x:c r="Y12" s="21"/>
      <x:c r="Z12" s="21"/>
    </x:row>
    <x:row r="13">
      <x:c r="A13" s="304" t="str">
        <x:v>September scope</x:v>
      </x:c>
      <x:c r="B13" s="304" t="str">
        <x:v>One differentiator: historical Operational Evidence Reconciliation. Supporting act: Performance References. Grounded Assistant explains it.</x:v>
      </x:c>
      <x:c r="C13" s="304" t="str">
        <x:v>Maximises customer value while removing OT-network and generative-composition dependencies.</x:v>
      </x:c>
      <x:c r="D13" s="304"/>
      <x:c r="E13" s="304"/>
      <x:c r="F13" s="304"/>
      <x:c r="G13" s="304"/>
      <x:c r="H13" s="21"/>
      <x:c r="I13" s="21"/>
      <x:c r="J13" s="21"/>
      <x:c r="K13" s="21"/>
      <x:c r="L13" s="21"/>
      <x:c r="M13" s="21"/>
      <x:c r="N13" s="21"/>
      <x:c r="O13" s="21"/>
      <x:c r="P13" s="21"/>
      <x:c r="Q13" s="21"/>
      <x:c r="R13" s="21"/>
      <x:c r="S13" s="21"/>
      <x:c r="T13" s="21"/>
      <x:c r="U13" s="21"/>
      <x:c r="V13" s="21"/>
      <x:c r="W13" s="21"/>
      <x:c r="X13" s="21"/>
      <x:c r="Y13" s="21"/>
      <x:c r="Z13" s="21"/>
    </x:row>
    <x:row r="14">
      <x:c r="A14" s="379" t="str">
        <x:v>Live OPC</x:v>
      </x:c>
      <x:c r="B14" s="379" t="str">
        <x:v>Not a September critical dependency. Production OPC-UA is certified in the plant during the pilot.</x:v>
      </x:c>
      <x:c r="C14" s="379" t="str">
        <x:v>Existing safety/edge architecture is valuable; real protocol runtime/site access is unproven and externally constrained.</x:v>
      </x:c>
      <x:c r="D14" s="379"/>
      <x:c r="E14" s="379"/>
      <x:c r="F14" s="379"/>
      <x:c r="G14" s="379"/>
      <x:c r="H14" s="21"/>
      <x:c r="I14" s="21"/>
      <x:c r="J14" s="21"/>
      <x:c r="K14" s="21"/>
      <x:c r="L14" s="21"/>
      <x:c r="M14" s="21"/>
      <x:c r="N14" s="21"/>
      <x:c r="O14" s="21"/>
      <x:c r="P14" s="21"/>
      <x:c r="Q14" s="21"/>
      <x:c r="R14" s="21"/>
      <x:c r="S14" s="21"/>
      <x:c r="T14" s="21"/>
      <x:c r="U14" s="21"/>
      <x:c r="V14" s="21"/>
      <x:c r="W14" s="21"/>
      <x:c r="X14" s="21"/>
      <x:c r="Y14" s="21"/>
      <x:c r="Z14" s="21"/>
    </x:row>
    <x:row r="15">
      <x:c r="A15" s="380" t="str">
        <x:v>Insight Composer</x:v>
      </x:c>
      <x:c r="B15" s="380" t="str">
        <x:v>Post-September / trial stretch. Do not make demo success depend on it.</x:v>
      </x:c>
      <x:c r="C15" s="380" t="str">
        <x:v>Highest composition-space/live-demo risk; grounded Assistant can explain a real reconciliation finding now.</x:v>
      </x:c>
      <x:c r="D15" s="380"/>
      <x:c r="E15" s="380"/>
      <x:c r="F15" s="380"/>
      <x:c r="G15" s="381"/>
      <x:c r="H15" s="21"/>
      <x:c r="I15" s="21"/>
      <x:c r="J15" s="21"/>
      <x:c r="K15" s="21"/>
      <x:c r="L15" s="21"/>
      <x:c r="M15" s="21"/>
      <x:c r="N15" s="21"/>
      <x:c r="O15" s="21"/>
      <x:c r="P15" s="21"/>
      <x:c r="Q15" s="21"/>
      <x:c r="R15" s="21"/>
      <x:c r="S15" s="21"/>
      <x:c r="T15" s="21"/>
      <x:c r="U15" s="21"/>
      <x:c r="V15" s="21"/>
      <x:c r="W15" s="21"/>
      <x:c r="X15" s="21"/>
      <x:c r="Y15" s="21"/>
      <x:c r="Z15" s="21"/>
    </x:row>
    <x:row r="16" ht="60">
      <x:c r="A16" s="304" t="str">
        <x:v>Genericity</x:v>
      </x:c>
      <x:c r="B16" s="304" t="str">
        <x:v>Oil data validates/falsifies the product. It never becomes the new product vocabulary.</x:v>
      </x:c>
      <x:c r="C16" s="304" t="str">
        <x:v>Prevents replacing steel hardcoding with oil hardcoding.</x:v>
      </x:c>
      <x:c r="D16" s="304"/>
      <x:c r="E16" s="304"/>
      <x:c r="F16" s="304"/>
      <x:c r="G16" s="304"/>
      <x:c r="H16" s="21"/>
      <x:c r="I16" s="21"/>
      <x:c r="J16" s="21"/>
      <x:c r="K16" s="21"/>
      <x:c r="L16" s="21"/>
      <x:c r="M16" s="21"/>
      <x:c r="N16" s="21"/>
      <x:c r="O16" s="21"/>
      <x:c r="P16" s="21"/>
      <x:c r="Q16" s="21"/>
      <x:c r="R16" s="21"/>
      <x:c r="S16" s="21"/>
      <x:c r="T16" s="21"/>
      <x:c r="U16" s="21"/>
      <x:c r="V16" s="21"/>
      <x:c r="W16" s="21"/>
      <x:c r="X16" s="21"/>
      <x:c r="Y16" s="21"/>
      <x:c r="Z16" s="21"/>
    </x:row>
    <x:row r="17" ht="45">
      <x:c r="A17" s="304" t="str">
        <x:v>Aggregation</x:v>
      </x:c>
      <x:c r="B17" s="304" t="str">
        <x:v>No silent Average. Signal/grain semantics choose the valid algebra or the engine refuses.</x:v>
      </x:c>
      <x:c r="C17" s="304" t="str">
        <x:v>Plausible wrong numbers are worse than visible errors.</x:v>
      </x:c>
      <x:c r="D17" s="304"/>
      <x:c r="E17" s="304"/>
      <x:c r="F17" s="304"/>
      <x:c r="G17" s="304"/>
      <x:c r="H17" s="21"/>
      <x:c r="I17" s="21"/>
      <x:c r="J17" s="21"/>
      <x:c r="K17" s="21"/>
      <x:c r="L17" s="21"/>
      <x:c r="M17" s="21"/>
      <x:c r="N17" s="21"/>
      <x:c r="O17" s="21"/>
      <x:c r="P17" s="21"/>
      <x:c r="Q17" s="21"/>
      <x:c r="R17" s="21"/>
      <x:c r="S17" s="21"/>
      <x:c r="T17" s="21"/>
      <x:c r="U17" s="21"/>
      <x:c r="V17" s="21"/>
      <x:c r="W17" s="21"/>
      <x:c r="X17" s="21"/>
      <x:c r="Y17" s="21"/>
      <x:c r="Z17" s="21"/>
    </x:row>
    <x:row r="18" ht="45">
      <x:c r="A18" s="304" t="str">
        <x:v>Browser defects</x:v>
      </x:c>
      <x:c r="B18" s="304" t="str">
        <x:v>Any defect first found manually becomes a failing automated regression before its fix can close.</x:v>
      </x:c>
      <x:c r="C18" s="304" t="str">
        <x:v>Browser walking becomes final UX confirmation rather than primary QA.</x:v>
      </x:c>
      <x:c r="D18" s="304"/>
      <x:c r="E18" s="304"/>
      <x:c r="F18" s="304"/>
      <x:c r="G18" s="304"/>
      <x:c r="H18" s="21"/>
      <x:c r="I18" s="21"/>
      <x:c r="J18" s="21"/>
      <x:c r="K18" s="21"/>
      <x:c r="L18" s="21"/>
      <x:c r="M18" s="21"/>
      <x:c r="N18" s="21"/>
      <x:c r="O18" s="21"/>
      <x:c r="P18" s="21"/>
      <x:c r="Q18" s="21"/>
      <x:c r="R18" s="21"/>
      <x:c r="S18" s="21"/>
      <x:c r="T18" s="21"/>
      <x:c r="U18" s="21"/>
      <x:c r="V18" s="21"/>
      <x:c r="W18" s="21"/>
      <x:c r="X18" s="21"/>
      <x:c r="Y18" s="21"/>
      <x:c r="Z18" s="21"/>
    </x:row>
    <x:row r="19" ht="45">
      <x:c r="A19" s="304" t="str">
        <x:v>Process regimes</x:v>
      </x:c>
      <x:c r="B19" s="304" t="str">
        <x:v>Transition/stabilisation is mandatory context before customer-history steady-state certification. Mixed regimes refuse RG01 unless authored policy partitions them.</x:v>
      </x:c>
      <x:c r="C19" s="304"/>
      <x:c r="D19" s="304"/>
      <x:c r="E19" s="304"/>
      <x:c r="F19" s="304"/>
      <x:c r="G19" s="304"/>
      <x:c r="H19" s="21"/>
      <x:c r="I19" s="21"/>
      <x:c r="J19" s="21"/>
      <x:c r="K19" s="21"/>
      <x:c r="L19" s="21"/>
      <x:c r="M19" s="21"/>
      <x:c r="N19" s="21"/>
      <x:c r="O19" s="21"/>
      <x:c r="P19" s="21"/>
      <x:c r="Q19" s="21"/>
      <x:c r="R19" s="21"/>
      <x:c r="S19" s="21"/>
      <x:c r="T19" s="21"/>
      <x:c r="U19" s="21"/>
      <x:c r="V19" s="21"/>
      <x:c r="W19" s="21"/>
      <x:c r="X19" s="21"/>
      <x:c r="Y19" s="21"/>
      <x:c r="Z19" s="21"/>
    </x:row>
    <x:row r="20" ht="45">
      <x:c r="A20" s="392" t="str">
        <x:v>Multi-objective practice</x:v>
      </x:c>
      <x:c r="B20" s="392" t="str">
        <x:v>Post-Sep M2: Pareto/non-dominated set or explicit customer preference. No hidden weights or one-KPI 'best' claim.</x:v>
      </x:c>
      <x:c r="C20" s="392"/>
      <x:c r="D20" s="392"/>
      <x:c r="E20" s="392"/>
      <x:c r="F20" s="392"/>
      <x:c r="G20" s="392"/>
      <x:c r="H20" s="21"/>
      <x:c r="I20" s="21"/>
      <x:c r="J20" s="21"/>
      <x:c r="K20" s="21"/>
      <x:c r="L20" s="21"/>
      <x:c r="M20" s="21"/>
      <x:c r="N20" s="21"/>
      <x:c r="O20" s="21"/>
      <x:c r="P20" s="21"/>
      <x:c r="Q20" s="21"/>
      <x:c r="R20" s="21"/>
      <x:c r="S20" s="21"/>
      <x:c r="T20" s="21"/>
      <x:c r="U20" s="21"/>
      <x:c r="V20" s="21"/>
      <x:c r="W20" s="21"/>
      <x:c r="X20" s="21"/>
      <x:c r="Y20" s="21"/>
      <x:c r="Z20" s="21"/>
    </x:row>
    <x:row r="21">
      <x:c r="A21" s="304" t="str">
        <x:v>Period comparison</x:v>
      </x:c>
      <x:c r="B21" s="304" t="str">
        <x:v>T-237 is exact Layer A: show what operationally changed before claiming why or converting to money.</x:v>
      </x:c>
      <x:c r="C21" s="304" t="str">
        <x:v>Worker 2</x:v>
      </x:c>
      <x:c r="D21" s="304" t="str">
        <x:v>Worker 3</x:v>
      </x:c>
      <x:c r="E21" s="304" t="str">
        <x:v>Release Gate</x:v>
      </x:c>
      <x:c r="F21" s="304" t="str">
        <x:v>Do NOT do</x:v>
      </x:c>
      <x:c r="G21" s="304" t="str">
        <x:v>Expected Result</x:v>
      </x:c>
      <x:c r="H21" s="21"/>
      <x:c r="I21" s="21"/>
      <x:c r="J21" s="21"/>
      <x:c r="K21" s="21"/>
      <x:c r="L21" s="21"/>
      <x:c r="M21" s="21"/>
      <x:c r="N21" s="21"/>
      <x:c r="O21" s="21"/>
      <x:c r="P21" s="21"/>
      <x:c r="Q21" s="21"/>
      <x:c r="R21" s="21"/>
      <x:c r="S21" s="21"/>
      <x:c r="T21" s="21"/>
      <x:c r="U21" s="21"/>
      <x:c r="V21" s="21"/>
      <x:c r="W21" s="21"/>
      <x:c r="X21" s="21"/>
      <x:c r="Y21" s="21"/>
      <x:c r="Z21" s="21"/>
    </x:row>
    <x:row r="22">
      <x:c r="A22" s="379" t="str">
        <x:v>22–26 Aug</x:v>
      </x:c>
      <x:c r="B22" s="379" t="str">
        <x:v>T-201 + T-207; start canonical chain T-086/T-088</x:v>
      </x:c>
      <x:c r="C22" s="379" t="str">
        <x:v>T-202/T-203/T-204/T-205</x:v>
      </x:c>
      <x:c r="D22" s="379" t="str">
        <x:v>T-206/T-208</x:v>
      </x:c>
      <x:c r="E22" s="379" t="str">
        <x:v>Frozen baseline + Release Truth first gates</x:v>
      </x:c>
      <x:c r="F22" s="379" t="str">
        <x:v>No new M1 chart/page/data work; no cross-owner cleanup.</x:v>
      </x:c>
      <x:c r="G22" s="379" t="str">
        <x:v>Safe M2 cutover and truthful product baseline.</x:v>
      </x:c>
      <x:c r="H22" s="21"/>
      <x:c r="I22" s="21"/>
      <x:c r="J22" s="21"/>
      <x:c r="K22" s="21"/>
      <x:c r="L22" s="21"/>
      <x:c r="M22" s="21"/>
      <x:c r="N22" s="21"/>
      <x:c r="O22" s="21"/>
      <x:c r="P22" s="21"/>
      <x:c r="Q22" s="21"/>
      <x:c r="R22" s="21"/>
      <x:c r="S22" s="21"/>
      <x:c r="T22" s="21"/>
      <x:c r="U22" s="21"/>
      <x:c r="V22" s="21"/>
      <x:c r="W22" s="21"/>
      <x:c r="X22" s="21"/>
      <x:c r="Y22" s="21"/>
      <x:c r="Z22" s="21"/>
    </x:row>
    <x:row r="23">
      <x:c r="A23" s="380" t="str">
        <x:v>26 Aug–12 Sep</x:v>
      </x:c>
      <x:c r="B23" s="380" t="str">
        <x:v>W1 T-086→088→087 HARD CHECKPOINT 5-Sep →089→090→T-210/T-231/T-092; T-235/T-232/T-233 as contracts land</x:v>
      </x:c>
      <x:c r="C23" s="380" t="str">
        <x:v>W2 T-204/T-205 + T-212/T-215; T-237 only after T-092/T-235</x:v>
      </x:c>
      <x:c r="D23" s="380" t="str">
        <x:v>W3 T-209/T-214/T-216/T-234 contracts + T-211/T-217/T-236/T-218/T-219/T-220 kernels in parallel</x:v>
      </x:c>
      <x:c r="E23" s="380" t="str">
        <x:v>Same-binary customer dimensions; aggregation/reference/time contracts already proven before persistence</x:v>
      </x:c>
      <x:c r="F23" s="381" t="str">
        <x:v>No universal material/coil grain; no customer-specific React/C#/SQL.</x:v>
      </x:c>
      <x:c r="G23" s="381" t="str">
        <x:v>Canonical foreign-data-ready substrate.</x:v>
      </x:c>
      <x:c r="H23" s="21"/>
      <x:c r="I23" s="21"/>
      <x:c r="J23" s="21"/>
      <x:c r="K23" s="21"/>
      <x:c r="L23" s="21"/>
      <x:c r="M23" s="21"/>
      <x:c r="N23" s="21"/>
      <x:c r="O23" s="21"/>
      <x:c r="P23" s="21"/>
      <x:c r="Q23" s="21"/>
      <x:c r="R23" s="21"/>
      <x:c r="S23" s="21"/>
      <x:c r="T23" s="21"/>
      <x:c r="U23" s="21"/>
      <x:c r="V23" s="21"/>
      <x:c r="W23" s="21"/>
      <x:c r="X23" s="21"/>
      <x:c r="Y23" s="21"/>
      <x:c r="Z23" s="21"/>
    </x:row>
    <x:row r="24" ht="75">
      <x:c r="A24" s="304" t="str">
        <x:v>2–12 Sep overlap</x:v>
      </x:c>
      <x:c r="B24" s="304" t="str">
        <x:v>T-213 Customer Data Assessment includes regime/objective/same-window history requirements</x:v>
      </x:c>
      <x:c r="C24" s="304" t="str">
        <x:v>Mapping/authoring support + prepare T-237 exact period comparison</x:v>
      </x:c>
      <x:c r="D24" s="304" t="str">
        <x:v>Eligibility/reconciliation probes on customer-shaped data; T-238 only if critical lane safe</x:v>
      </x:c>
      <x:c r="E24" s="304" t="str">
        <x:v>Assessment sent to customer; missing-data list explicit</x:v>
      </x:c>
      <x:c r="F24" s="304" t="str">
        <x:v>Do not promise ML/root-cause from schema alone.</x:v>
      </x:c>
      <x:c r="G24" s="304" t="str">
        <x:v>Customer structure mapped and capability gaps known.</x:v>
      </x:c>
      <x:c r="H24" s="21"/>
      <x:c r="I24" s="21"/>
      <x:c r="J24" s="21"/>
      <x:c r="K24" s="21"/>
      <x:c r="L24" s="21"/>
      <x:c r="M24" s="21"/>
      <x:c r="N24" s="21"/>
      <x:c r="O24" s="21"/>
      <x:c r="P24" s="21"/>
      <x:c r="Q24" s="21"/>
      <x:c r="R24" s="21"/>
      <x:c r="S24" s="21"/>
      <x:c r="T24" s="21"/>
      <x:c r="U24" s="21"/>
      <x:c r="V24" s="21"/>
      <x:c r="W24" s="21"/>
      <x:c r="X24" s="21"/>
      <x:c r="Y24" s="21"/>
      <x:c r="Z24" s="21"/>
    </x:row>
    <x:row r="25" ht="75">
      <x:c r="A25" s="304" t="str">
        <x:v>12–25 Sep</x:v>
      </x:c>
      <x:c r="B25" s="304" t="str">
        <x:v>W1 integration support; T-221 remains post-demo</x:v>
      </x:c>
      <x:c r="C25" s="304" t="str">
        <x:v>T-215 + T-222 + T-237 if ready</x:v>
      </x:c>
      <x:c r="D25" s="304" t="str">
        <x:v>T-219/T-220/T-223; T-238..240 and T-228..230 explicitly excluded from September commitment</x:v>
      </x:c>
      <x:c r="E25" s="304" t="str">
        <x:v>One historical reconciliation case + top references + grounded Assistant explanation through governed existing result seam.</x:v>
      </x:c>
      <x:c r="F25" s="304" t="str">
        <x:v>No full OPC build; no Insight Composer dependency; no deferred phase counted as September done.</x:v>
      </x:c>
      <x:c r="G25" s="304" t="str">
        <x:v>Customer-specific value story using generic product.</x:v>
      </x:c>
      <x:c r="H25" s="21"/>
      <x:c r="I25" s="21"/>
      <x:c r="J25" s="21"/>
      <x:c r="K25" s="21"/>
      <x:c r="L25" s="21"/>
      <x:c r="M25" s="21"/>
      <x:c r="N25" s="21"/>
      <x:c r="O25" s="21"/>
      <x:c r="P25" s="21"/>
      <x:c r="Q25" s="21"/>
      <x:c r="R25" s="21"/>
      <x:c r="S25" s="21"/>
      <x:c r="T25" s="21"/>
      <x:c r="U25" s="21"/>
      <x:c r="V25" s="21"/>
      <x:c r="W25" s="21"/>
      <x:c r="X25" s="21"/>
      <x:c r="Y25" s="21"/>
      <x:c r="Z25" s="21"/>
    </x:row>
    <x:row r="26" ht="60">
      <x:c r="A26" s="304" t="str">
        <x:v>26–29 Sep</x:v>
      </x:c>
      <x:c r="B26" s="304" t="str">
        <x:v>Integration/support only</x:v>
      </x:c>
      <x:c r="C26" s="304" t="str">
        <x:v>Full route/session/visual/performance/rehearsal</x:v>
      </x:c>
      <x:c r="D26" s="304" t="str">
        <x:v>Assistant/evidence support only</x:v>
      </x:c>
      <x:c r="E26" s="304" t="str">
        <x:v>Two clean rehearsals on their data/viewport</x:v>
      </x:c>
      <x:c r="F26" s="304" t="str">
        <x:v>NO feature work unless release blocker.</x:v>
      </x:c>
      <x:c r="G26" s="304" t="str">
        <x:v>Stable 30-Sep demo candidate.</x:v>
      </x:c>
      <x:c r="H26" s="21"/>
      <x:c r="I26" s="21"/>
      <x:c r="J26" s="21"/>
      <x:c r="K26" s="21"/>
      <x:c r="L26" s="21"/>
      <x:c r="M26" s="21"/>
      <x:c r="N26" s="21"/>
      <x:c r="O26" s="21"/>
      <x:c r="P26" s="21"/>
      <x:c r="Q26" s="21"/>
      <x:c r="R26" s="21"/>
      <x:c r="S26" s="21"/>
      <x:c r="T26" s="21"/>
      <x:c r="U26" s="21"/>
      <x:c r="V26" s="21"/>
      <x:c r="W26" s="21"/>
      <x:c r="X26" s="21"/>
      <x:c r="Y26" s="21"/>
      <x:c r="Z26" s="21"/>
    </x:row>
    <x:row r="27">
      <x:c r="A27" s="304" t="str">
        <x:v>Pilot</x:v>
      </x:c>
      <x:c r="B27" s="304" t="str">
        <x:v>T-224→T-225→T-226 + install/security/backup owners + T-227</x:v>
      </x:c>
      <x:c r="C27" s="304" t="str">
        <x:v>Pilot UI/UAT/monitoring consumers</x:v>
      </x:c>
      <x:c r="D27" s="304" t="str">
        <x:v>ML/calibration/reconciliation expansion</x:v>
      </x:c>
      <x:c r="E27" s="304" t="str">
        <x:v>Real site OPC + measurable pilot scorecard</x:v>
      </x:c>
      <x:c r="F27" s="304" t="str">
        <x:v>No OT write path; no production claim without site evidence.</x:v>
      </x:c>
      <x:c r="G27" s="304" t="str">
        <x:v>Two-month read-only plant experiment.</x:v>
      </x:c>
      <x:c r="H27" s="21"/>
      <x:c r="I27" s="21"/>
      <x:c r="J27" s="21"/>
      <x:c r="K27" s="21"/>
      <x:c r="L27" s="21"/>
      <x:c r="M27" s="21"/>
      <x:c r="N27" s="21"/>
      <x:c r="O27" s="21"/>
      <x:c r="P27" s="21"/>
      <x:c r="Q27" s="21"/>
      <x:c r="R27" s="21"/>
      <x:c r="S27" s="21"/>
      <x:c r="T27" s="21"/>
      <x:c r="U27" s="21"/>
      <x:c r="V27" s="21"/>
      <x:c r="W27" s="21"/>
      <x:c r="X27" s="21"/>
      <x:c r="Y27" s="21"/>
      <x:c r="Z27" s="21"/>
    </x:row>
    <x:row r="28">
      <x:c r="A28" s="21"/>
      <x:c r="B28" s="21"/>
      <x:c r="C28" s="21"/>
      <x:c r="D28" s="21"/>
      <x:c r="E28" s="21"/>
      <x:c r="F28" s="21"/>
      <x:c r="G28" s="21"/>
      <x:c r="H28" s="21"/>
      <x:c r="I28" s="21"/>
      <x:c r="J28" s="21"/>
      <x:c r="K28" s="21"/>
      <x:c r="L28" s="21"/>
      <x:c r="M28" s="21"/>
      <x:c r="N28" s="21"/>
      <x:c r="O28" s="21"/>
      <x:c r="P28" s="21"/>
      <x:c r="Q28" s="21"/>
      <x:c r="R28" s="21"/>
      <x:c r="S28" s="21"/>
      <x:c r="T28" s="21"/>
      <x:c r="U28" s="21"/>
      <x:c r="V28" s="21"/>
      <x:c r="W28" s="21"/>
      <x:c r="X28" s="21"/>
      <x:c r="Y28" s="21"/>
      <x:c r="Z28" s="21"/>
    </x:row>
    <x:row r="29">
      <x:c r="A29" s="21"/>
      <x:c r="B29" s="21"/>
      <x:c r="C29" s="21"/>
      <x:c r="D29" s="21"/>
      <x:c r="E29" s="21"/>
      <x:c r="F29" s="21"/>
      <x:c r="G29" s="21"/>
      <x:c r="H29" s="21"/>
      <x:c r="I29" s="21"/>
      <x:c r="J29" s="21"/>
      <x:c r="K29" s="21"/>
      <x:c r="L29" s="21"/>
      <x:c r="M29" s="21"/>
      <x:c r="N29" s="21"/>
      <x:c r="O29" s="21"/>
      <x:c r="P29" s="21"/>
      <x:c r="Q29" s="21"/>
      <x:c r="R29" s="21"/>
      <x:c r="S29" s="21"/>
      <x:c r="T29" s="21"/>
      <x:c r="U29" s="21"/>
      <x:c r="V29" s="21"/>
      <x:c r="W29" s="21"/>
      <x:c r="X29" s="21"/>
      <x:c r="Y29" s="21"/>
      <x:c r="Z29" s="21"/>
    </x:row>
    <x:row r="30">
      <x:c r="A30" s="21"/>
      <x:c r="B30" s="21"/>
      <x:c r="C30" s="21"/>
      <x:c r="D30" s="21"/>
      <x:c r="E30" s="21"/>
      <x:c r="F30" s="21"/>
      <x:c r="G30" s="21"/>
      <x:c r="H30" s="21"/>
      <x:c r="I30" s="21"/>
      <x:c r="J30" s="21"/>
      <x:c r="K30" s="21"/>
      <x:c r="L30" s="21"/>
      <x:c r="M30" s="21"/>
      <x:c r="N30" s="21"/>
      <x:c r="O30" s="21"/>
      <x:c r="P30" s="21"/>
      <x:c r="Q30" s="21"/>
      <x:c r="R30" s="21"/>
      <x:c r="S30" s="21"/>
      <x:c r="T30" s="21"/>
      <x:c r="U30" s="21"/>
      <x:c r="V30" s="21"/>
      <x:c r="W30" s="21"/>
      <x:c r="X30" s="21"/>
      <x:c r="Y30" s="21"/>
      <x:c r="Z30" s="21"/>
    </x:row>
    <x:row r="31">
      <x:c r="A31" s="21"/>
      <x:c r="B31" s="21"/>
      <x:c r="C31" s="21"/>
      <x:c r="D31" s="21"/>
      <x:c r="E31" s="21"/>
      <x:c r="F31" s="21"/>
      <x:c r="G31" s="21"/>
      <x:c r="H31" s="21"/>
      <x:c r="I31" s="21"/>
      <x:c r="J31" s="21"/>
      <x:c r="K31" s="21"/>
      <x:c r="L31" s="21"/>
      <x:c r="M31" s="21"/>
      <x:c r="N31" s="21"/>
      <x:c r="O31" s="21"/>
      <x:c r="P31" s="21"/>
      <x:c r="Q31" s="21"/>
      <x:c r="R31" s="21"/>
      <x:c r="S31" s="21"/>
      <x:c r="T31" s="21"/>
      <x:c r="U31" s="21"/>
      <x:c r="V31" s="21"/>
      <x:c r="W31" s="21"/>
      <x:c r="X31" s="21"/>
      <x:c r="Y31" s="21"/>
      <x:c r="Z31" s="21"/>
    </x:row>
    <x:row r="32">
      <x:c r="A32" s="21"/>
      <x:c r="B32" s="21"/>
      <x:c r="C32" s="21"/>
      <x:c r="D32" s="21"/>
      <x:c r="E32" s="21"/>
      <x:c r="F32" s="21"/>
      <x:c r="G32" s="21"/>
      <x:c r="H32" s="21"/>
      <x:c r="I32" s="21"/>
      <x:c r="J32" s="21"/>
      <x:c r="K32" s="21"/>
      <x:c r="L32" s="21"/>
      <x:c r="M32" s="21"/>
      <x:c r="N32" s="21"/>
      <x:c r="O32" s="21"/>
      <x:c r="P32" s="21"/>
      <x:c r="Q32" s="21"/>
      <x:c r="R32" s="21"/>
      <x:c r="S32" s="21"/>
      <x:c r="T32" s="21"/>
      <x:c r="U32" s="21"/>
      <x:c r="V32" s="21"/>
      <x:c r="W32" s="21"/>
      <x:c r="X32" s="21"/>
      <x:c r="Y32" s="21"/>
      <x:c r="Z32" s="21"/>
    </x:row>
    <x:row r="33">
      <x:c r="A33" s="21"/>
      <x:c r="B33" s="21"/>
      <x:c r="C33" s="21"/>
      <x:c r="D33" s="21"/>
      <x:c r="E33" s="21"/>
      <x:c r="F33" s="21"/>
      <x:c r="G33" s="21"/>
      <x:c r="H33" s="21"/>
      <x:c r="I33" s="21"/>
      <x:c r="J33" s="21"/>
      <x:c r="K33" s="21"/>
      <x:c r="L33" s="21"/>
      <x:c r="M33" s="21"/>
      <x:c r="N33" s="21"/>
      <x:c r="O33" s="21"/>
      <x:c r="P33" s="21"/>
      <x:c r="Q33" s="21"/>
      <x:c r="R33" s="21"/>
      <x:c r="S33" s="21"/>
      <x:c r="T33" s="21"/>
      <x:c r="U33" s="21"/>
      <x:c r="V33" s="21"/>
      <x:c r="W33" s="21"/>
      <x:c r="X33" s="21"/>
      <x:c r="Y33" s="21"/>
      <x:c r="Z33" s="21"/>
    </x:row>
    <x:row r="34">
      <x:c r="A34" s="21"/>
      <x:c r="B34" s="21"/>
      <x:c r="C34" s="21"/>
      <x:c r="D34" s="21"/>
      <x:c r="E34" s="21"/>
      <x:c r="F34" s="21"/>
      <x:c r="G34" s="21"/>
      <x:c r="H34" s="21"/>
      <x:c r="I34" s="21"/>
      <x:c r="J34" s="21"/>
      <x:c r="K34" s="21"/>
      <x:c r="L34" s="21"/>
      <x:c r="M34" s="21"/>
      <x:c r="N34" s="21"/>
      <x:c r="O34" s="21"/>
      <x:c r="P34" s="21"/>
      <x:c r="Q34" s="21"/>
      <x:c r="R34" s="21"/>
      <x:c r="S34" s="21"/>
      <x:c r="T34" s="21"/>
      <x:c r="U34" s="21"/>
      <x:c r="V34" s="21"/>
      <x:c r="W34" s="21"/>
      <x:c r="X34" s="21"/>
      <x:c r="Y34" s="21"/>
      <x:c r="Z34" s="21"/>
    </x:row>
    <x:row r="35">
      <x:c r="A35" s="21"/>
      <x:c r="B35" s="21"/>
      <x:c r="C35" s="21"/>
      <x:c r="D35" s="21"/>
      <x:c r="E35" s="21"/>
      <x:c r="F35" s="21"/>
      <x:c r="G35" s="21"/>
      <x:c r="H35" s="21"/>
      <x:c r="I35" s="21"/>
      <x:c r="J35" s="21"/>
      <x:c r="K35" s="21"/>
      <x:c r="L35" s="21"/>
      <x:c r="M35" s="21"/>
      <x:c r="N35" s="21"/>
      <x:c r="O35" s="21"/>
      <x:c r="P35" s="21"/>
      <x:c r="Q35" s="21"/>
      <x:c r="R35" s="21"/>
      <x:c r="S35" s="21"/>
      <x:c r="T35" s="21"/>
      <x:c r="U35" s="21"/>
      <x:c r="V35" s="21"/>
      <x:c r="W35" s="21"/>
      <x:c r="X35" s="21"/>
      <x:c r="Y35" s="21"/>
      <x:c r="Z35" s="21"/>
    </x:row>
    <x:row r="36">
      <x:c r="A36" s="21"/>
      <x:c r="B36" s="21"/>
      <x:c r="C36" s="21"/>
      <x:c r="D36" s="21"/>
      <x:c r="E36" s="21"/>
      <x:c r="F36" s="21"/>
      <x:c r="G36" s="21"/>
      <x:c r="H36" s="21"/>
      <x:c r="I36" s="21"/>
      <x:c r="J36" s="21"/>
      <x:c r="K36" s="21"/>
      <x:c r="L36" s="21"/>
      <x:c r="M36" s="21"/>
      <x:c r="N36" s="21"/>
      <x:c r="O36" s="21"/>
      <x:c r="P36" s="21"/>
      <x:c r="Q36" s="21"/>
      <x:c r="R36" s="21"/>
      <x:c r="S36" s="21"/>
      <x:c r="T36" s="21"/>
      <x:c r="U36" s="21"/>
      <x:c r="V36" s="21"/>
      <x:c r="W36" s="21"/>
      <x:c r="X36" s="21"/>
      <x:c r="Y36" s="21"/>
      <x:c r="Z36" s="21"/>
    </x:row>
    <x:row r="37">
      <x:c r="A37" s="21"/>
      <x:c r="B37" s="21"/>
      <x:c r="C37" s="21"/>
      <x:c r="D37" s="21"/>
      <x:c r="E37" s="21"/>
      <x:c r="F37" s="21"/>
      <x:c r="G37" s="21"/>
      <x:c r="H37" s="21"/>
      <x:c r="I37" s="21"/>
      <x:c r="J37" s="21"/>
      <x:c r="K37" s="21"/>
      <x:c r="L37" s="21"/>
      <x:c r="M37" s="21"/>
      <x:c r="N37" s="21"/>
      <x:c r="O37" s="21"/>
      <x:c r="P37" s="21"/>
      <x:c r="Q37" s="21"/>
      <x:c r="R37" s="21"/>
      <x:c r="S37" s="21"/>
      <x:c r="T37" s="21"/>
      <x:c r="U37" s="21"/>
      <x:c r="V37" s="21"/>
      <x:c r="W37" s="21"/>
      <x:c r="X37" s="21"/>
      <x:c r="Y37" s="21"/>
      <x:c r="Z37" s="21"/>
    </x:row>
    <x:row r="38">
      <x:c r="A38" s="21"/>
      <x:c r="B38" s="21"/>
      <x:c r="C38" s="21"/>
      <x:c r="D38" s="21"/>
      <x:c r="E38" s="21"/>
      <x:c r="F38" s="21"/>
      <x:c r="G38" s="21"/>
      <x:c r="H38" s="21"/>
      <x:c r="I38" s="21"/>
      <x:c r="J38" s="21"/>
      <x:c r="K38" s="21"/>
      <x:c r="L38" s="21"/>
      <x:c r="M38" s="21"/>
      <x:c r="N38" s="21"/>
      <x:c r="O38" s="21"/>
      <x:c r="P38" s="21"/>
      <x:c r="Q38" s="21"/>
      <x:c r="R38" s="21"/>
      <x:c r="S38" s="21"/>
      <x:c r="T38" s="21"/>
      <x:c r="U38" s="21"/>
      <x:c r="V38" s="21"/>
      <x:c r="W38" s="21"/>
      <x:c r="X38" s="21"/>
      <x:c r="Y38" s="21"/>
      <x:c r="Z38" s="21"/>
    </x:row>
    <x:row r="39">
      <x:c r="A39" s="21"/>
      <x:c r="B39" s="21"/>
      <x:c r="C39" s="21"/>
      <x:c r="D39" s="21"/>
      <x:c r="E39" s="21"/>
      <x:c r="F39" s="21"/>
      <x:c r="G39" s="21"/>
      <x:c r="H39" s="21"/>
      <x:c r="I39" s="21"/>
      <x:c r="J39" s="21"/>
      <x:c r="K39" s="21"/>
      <x:c r="L39" s="21"/>
      <x:c r="M39" s="21"/>
      <x:c r="N39" s="21"/>
      <x:c r="O39" s="21"/>
      <x:c r="P39" s="21"/>
      <x:c r="Q39" s="21"/>
      <x:c r="R39" s="21"/>
      <x:c r="S39" s="21"/>
      <x:c r="T39" s="21"/>
      <x:c r="U39" s="21"/>
      <x:c r="V39" s="21"/>
      <x:c r="W39" s="21"/>
      <x:c r="X39" s="21"/>
      <x:c r="Y39" s="21"/>
      <x:c r="Z39" s="21"/>
    </x:row>
    <x:row r="40">
      <x:c r="A40" s="21"/>
      <x:c r="B40" s="21"/>
      <x:c r="C40" s="21"/>
      <x:c r="D40" s="21"/>
      <x:c r="E40" s="21"/>
      <x:c r="F40" s="21"/>
      <x:c r="G40" s="21"/>
      <x:c r="H40" s="21"/>
      <x:c r="I40" s="21"/>
      <x:c r="J40" s="21"/>
      <x:c r="K40" s="21"/>
      <x:c r="L40" s="21"/>
      <x:c r="M40" s="21"/>
      <x:c r="N40" s="21"/>
      <x:c r="O40" s="21"/>
      <x:c r="P40" s="21"/>
      <x:c r="Q40" s="21"/>
      <x:c r="R40" s="21"/>
      <x:c r="S40" s="21"/>
      <x:c r="T40" s="21"/>
      <x:c r="U40" s="21"/>
      <x:c r="V40" s="21"/>
      <x:c r="W40" s="21"/>
      <x:c r="X40" s="21"/>
      <x:c r="Y40" s="21"/>
      <x:c r="Z40" s="21"/>
    </x:row>
    <x:row r="41">
      <x:c r="A41" s="21"/>
      <x:c r="B41" s="21"/>
      <x:c r="C41" s="21"/>
      <x:c r="D41" s="21"/>
      <x:c r="E41" s="21"/>
      <x:c r="F41" s="21"/>
      <x:c r="G41" s="21"/>
      <x:c r="H41" s="21"/>
      <x:c r="I41" s="21"/>
      <x:c r="J41" s="21"/>
      <x:c r="K41" s="21"/>
      <x:c r="L41" s="21"/>
      <x:c r="M41" s="21"/>
      <x:c r="N41" s="21"/>
      <x:c r="O41" s="21"/>
      <x:c r="P41" s="21"/>
      <x:c r="Q41" s="21"/>
      <x:c r="R41" s="21"/>
      <x:c r="S41" s="21"/>
      <x:c r="T41" s="21"/>
      <x:c r="U41" s="21"/>
      <x:c r="V41" s="21"/>
      <x:c r="W41" s="21"/>
      <x:c r="X41" s="21"/>
      <x:c r="Y41" s="21"/>
      <x:c r="Z41" s="21"/>
    </x:row>
    <x:row r="42">
      <x:c r="A42" s="21"/>
      <x:c r="B42" s="21"/>
      <x:c r="C42" s="21"/>
      <x:c r="D42" s="21"/>
      <x:c r="E42" s="21"/>
      <x:c r="F42" s="21"/>
      <x:c r="G42" s="21"/>
      <x:c r="H42" s="21"/>
      <x:c r="I42" s="21"/>
      <x:c r="J42" s="21"/>
      <x:c r="K42" s="21"/>
      <x:c r="L42" s="21"/>
      <x:c r="M42" s="21"/>
      <x:c r="N42" s="21"/>
      <x:c r="O42" s="21"/>
      <x:c r="P42" s="21"/>
      <x:c r="Q42" s="21"/>
      <x:c r="R42" s="21"/>
      <x:c r="S42" s="21"/>
      <x:c r="T42" s="21"/>
      <x:c r="U42" s="21"/>
      <x:c r="V42" s="21"/>
      <x:c r="W42" s="21"/>
      <x:c r="X42" s="21"/>
      <x:c r="Y42" s="21"/>
      <x:c r="Z42" s="21"/>
    </x:row>
    <x:row r="43">
      <x:c r="A43" s="21"/>
      <x:c r="B43" s="21"/>
      <x:c r="C43" s="21"/>
      <x:c r="D43" s="21"/>
      <x:c r="E43" s="21"/>
      <x:c r="F43" s="21"/>
      <x:c r="G43" s="21"/>
      <x:c r="H43" s="21"/>
      <x:c r="I43" s="21"/>
      <x:c r="J43" s="21"/>
      <x:c r="K43" s="21"/>
      <x:c r="L43" s="21"/>
      <x:c r="M43" s="21"/>
      <x:c r="N43" s="21"/>
      <x:c r="O43" s="21"/>
      <x:c r="P43" s="21"/>
      <x:c r="Q43" s="21"/>
      <x:c r="R43" s="21"/>
      <x:c r="S43" s="21"/>
      <x:c r="T43" s="21"/>
      <x:c r="U43" s="21"/>
      <x:c r="V43" s="21"/>
      <x:c r="W43" s="21"/>
      <x:c r="X43" s="21"/>
      <x:c r="Y43" s="21"/>
      <x:c r="Z43" s="21"/>
    </x:row>
    <x:row r="44">
      <x:c r="A44" s="21"/>
      <x:c r="B44" s="21"/>
      <x:c r="C44" s="21"/>
      <x:c r="D44" s="21"/>
      <x:c r="E44" s="21"/>
      <x:c r="F44" s="21"/>
      <x:c r="G44" s="21"/>
      <x:c r="H44" s="21"/>
      <x:c r="I44" s="21"/>
      <x:c r="J44" s="21"/>
      <x:c r="K44" s="21"/>
      <x:c r="L44" s="21"/>
      <x:c r="M44" s="21"/>
      <x:c r="N44" s="21"/>
      <x:c r="O44" s="21"/>
      <x:c r="P44" s="21"/>
      <x:c r="Q44" s="21"/>
      <x:c r="R44" s="21"/>
      <x:c r="S44" s="21"/>
      <x:c r="T44" s="21"/>
      <x:c r="U44" s="21"/>
      <x:c r="V44" s="21"/>
      <x:c r="W44" s="21"/>
      <x:c r="X44" s="21"/>
      <x:c r="Y44" s="21"/>
      <x:c r="Z44" s="21"/>
    </x:row>
    <x:row r="45">
      <x:c r="A45" s="21"/>
      <x:c r="B45" s="21"/>
      <x:c r="C45" s="21"/>
      <x:c r="D45" s="21"/>
      <x:c r="E45" s="21"/>
      <x:c r="F45" s="21"/>
      <x:c r="G45" s="21"/>
      <x:c r="H45" s="21"/>
      <x:c r="I45" s="21"/>
      <x:c r="J45" s="21"/>
      <x:c r="K45" s="21"/>
      <x:c r="L45" s="21"/>
      <x:c r="M45" s="21"/>
      <x:c r="N45" s="21"/>
      <x:c r="O45" s="21"/>
      <x:c r="P45" s="21"/>
      <x:c r="Q45" s="21"/>
      <x:c r="R45" s="21"/>
      <x:c r="S45" s="21"/>
      <x:c r="T45" s="21"/>
      <x:c r="U45" s="21"/>
      <x:c r="V45" s="21"/>
      <x:c r="W45" s="21"/>
      <x:c r="X45" s="21"/>
      <x:c r="Y45" s="21"/>
      <x:c r="Z45" s="21"/>
    </x:row>
    <x:row r="46">
      <x:c r="A46" s="21"/>
      <x:c r="B46" s="21"/>
      <x:c r="C46" s="21"/>
      <x:c r="D46" s="21"/>
      <x:c r="E46" s="21"/>
      <x:c r="F46" s="21"/>
      <x:c r="G46" s="21"/>
      <x:c r="H46" s="21"/>
      <x:c r="I46" s="21"/>
      <x:c r="J46" s="21"/>
      <x:c r="K46" s="21"/>
      <x:c r="L46" s="21"/>
      <x:c r="M46" s="21"/>
      <x:c r="N46" s="21"/>
      <x:c r="O46" s="21"/>
      <x:c r="P46" s="21"/>
      <x:c r="Q46" s="21"/>
      <x:c r="R46" s="21"/>
      <x:c r="S46" s="21"/>
      <x:c r="T46" s="21"/>
      <x:c r="U46" s="21"/>
      <x:c r="V46" s="21"/>
      <x:c r="W46" s="21"/>
      <x:c r="X46" s="21"/>
      <x:c r="Y46" s="21"/>
      <x:c r="Z46" s="21"/>
    </x:row>
    <x:row r="47">
      <x:c r="A47" s="21"/>
      <x:c r="B47" s="21"/>
      <x:c r="C47" s="21"/>
      <x:c r="D47" s="21"/>
      <x:c r="E47" s="21"/>
      <x:c r="F47" s="21"/>
      <x:c r="G47" s="21"/>
      <x:c r="H47" s="21"/>
      <x:c r="I47" s="21"/>
      <x:c r="J47" s="21"/>
      <x:c r="K47" s="21"/>
      <x:c r="L47" s="21"/>
      <x:c r="M47" s="21"/>
      <x:c r="N47" s="21"/>
      <x:c r="O47" s="21"/>
      <x:c r="P47" s="21"/>
      <x:c r="Q47" s="21"/>
      <x:c r="R47" s="21"/>
      <x:c r="S47" s="21"/>
      <x:c r="T47" s="21"/>
      <x:c r="U47" s="21"/>
      <x:c r="V47" s="21"/>
      <x:c r="W47" s="21"/>
      <x:c r="X47" s="21"/>
      <x:c r="Y47" s="21"/>
      <x:c r="Z47" s="21"/>
    </x:row>
    <x:row r="48">
      <x:c r="A48" s="21"/>
      <x:c r="B48" s="21"/>
      <x:c r="C48" s="21"/>
      <x:c r="D48" s="21"/>
      <x:c r="E48" s="21"/>
      <x:c r="F48" s="21"/>
      <x:c r="G48" s="21"/>
      <x:c r="H48" s="21"/>
      <x:c r="I48" s="21"/>
      <x:c r="J48" s="21"/>
      <x:c r="K48" s="21"/>
      <x:c r="L48" s="21"/>
      <x:c r="M48" s="21"/>
      <x:c r="N48" s="21"/>
      <x:c r="O48" s="21"/>
      <x:c r="P48" s="21"/>
      <x:c r="Q48" s="21"/>
      <x:c r="R48" s="21"/>
      <x:c r="S48" s="21"/>
      <x:c r="T48" s="21"/>
      <x:c r="U48" s="21"/>
      <x:c r="V48" s="21"/>
      <x:c r="W48" s="21"/>
      <x:c r="X48" s="21"/>
      <x:c r="Y48" s="21"/>
      <x:c r="Z48" s="21"/>
    </x:row>
    <x:row r="49">
      <x:c r="A49" s="21"/>
      <x:c r="B49" s="21"/>
      <x:c r="C49" s="21"/>
      <x:c r="D49" s="21"/>
      <x:c r="E49" s="21"/>
      <x:c r="F49" s="21"/>
      <x:c r="G49" s="21"/>
      <x:c r="H49" s="21"/>
      <x:c r="I49" s="21"/>
      <x:c r="J49" s="21"/>
      <x:c r="K49" s="21"/>
      <x:c r="L49" s="21"/>
      <x:c r="M49" s="21"/>
      <x:c r="N49" s="21"/>
      <x:c r="O49" s="21"/>
      <x:c r="P49" s="21"/>
      <x:c r="Q49" s="21"/>
      <x:c r="R49" s="21"/>
      <x:c r="S49" s="21"/>
      <x:c r="T49" s="21"/>
      <x:c r="U49" s="21"/>
      <x:c r="V49" s="21"/>
      <x:c r="W49" s="21"/>
      <x:c r="X49" s="21"/>
      <x:c r="Y49" s="21"/>
      <x:c r="Z49" s="21"/>
    </x:row>
    <x:row r="50">
      <x:c r="A50" s="21"/>
      <x:c r="B50" s="21"/>
      <x:c r="C50" s="21"/>
      <x:c r="D50" s="21"/>
      <x:c r="E50" s="21"/>
      <x:c r="F50" s="21"/>
      <x:c r="G50" s="21"/>
      <x:c r="H50" s="21"/>
      <x:c r="I50" s="21"/>
      <x:c r="J50" s="21"/>
      <x:c r="K50" s="21"/>
      <x:c r="L50" s="21"/>
      <x:c r="M50" s="21"/>
      <x:c r="N50" s="21"/>
      <x:c r="O50" s="21"/>
      <x:c r="P50" s="21"/>
      <x:c r="Q50" s="21"/>
      <x:c r="R50" s="21"/>
      <x:c r="S50" s="21"/>
      <x:c r="T50" s="21"/>
      <x:c r="U50" s="21"/>
      <x:c r="V50" s="21"/>
      <x:c r="W50" s="21"/>
      <x:c r="X50" s="21"/>
      <x:c r="Y50" s="21"/>
      <x:c r="Z50" s="21"/>
    </x:row>
    <x:row r="51">
      <x:c r="A51" s="21"/>
      <x:c r="B51" s="21"/>
      <x:c r="C51" s="21"/>
      <x:c r="D51" s="21"/>
      <x:c r="E51" s="21"/>
      <x:c r="F51" s="21"/>
      <x:c r="G51" s="21"/>
      <x:c r="H51" s="21"/>
      <x:c r="I51" s="21"/>
      <x:c r="J51" s="21"/>
      <x:c r="K51" s="21"/>
      <x:c r="L51" s="21"/>
      <x:c r="M51" s="21"/>
      <x:c r="N51" s="21"/>
      <x:c r="O51" s="21"/>
      <x:c r="P51" s="21"/>
      <x:c r="Q51" s="21"/>
      <x:c r="R51" s="21"/>
      <x:c r="S51" s="21"/>
      <x:c r="T51" s="21"/>
      <x:c r="U51" s="21"/>
      <x:c r="V51" s="21"/>
      <x:c r="W51" s="21"/>
      <x:c r="X51" s="21"/>
      <x:c r="Y51" s="21"/>
      <x:c r="Z51" s="21"/>
    </x:row>
    <x:row r="52">
      <x:c r="A52" s="21"/>
      <x:c r="B52" s="21"/>
      <x:c r="C52" s="21"/>
      <x:c r="D52" s="21"/>
      <x:c r="E52" s="21"/>
      <x:c r="F52" s="21"/>
      <x:c r="G52" s="21"/>
      <x:c r="H52" s="21"/>
      <x:c r="I52" s="21"/>
      <x:c r="J52" s="21"/>
      <x:c r="K52" s="21"/>
      <x:c r="L52" s="21"/>
      <x:c r="M52" s="21"/>
      <x:c r="N52" s="21"/>
      <x:c r="O52" s="21"/>
      <x:c r="P52" s="21"/>
      <x:c r="Q52" s="21"/>
      <x:c r="R52" s="21"/>
      <x:c r="S52" s="21"/>
      <x:c r="T52" s="21"/>
      <x:c r="U52" s="21"/>
      <x:c r="V52" s="21"/>
      <x:c r="W52" s="21"/>
      <x:c r="X52" s="21"/>
      <x:c r="Y52" s="21"/>
      <x:c r="Z52" s="21"/>
    </x:row>
    <x:row r="53">
      <x:c r="A53" s="21"/>
      <x:c r="B53" s="21"/>
      <x:c r="C53" s="21"/>
      <x:c r="D53" s="21"/>
      <x:c r="E53" s="21"/>
      <x:c r="F53" s="21"/>
      <x:c r="G53" s="21"/>
      <x:c r="H53" s="21"/>
      <x:c r="I53" s="21"/>
      <x:c r="J53" s="21"/>
      <x:c r="K53" s="21"/>
      <x:c r="L53" s="21"/>
      <x:c r="M53" s="21"/>
      <x:c r="N53" s="21"/>
      <x:c r="O53" s="21"/>
      <x:c r="P53" s="21"/>
      <x:c r="Q53" s="21"/>
      <x:c r="R53" s="21"/>
      <x:c r="S53" s="21"/>
      <x:c r="T53" s="21"/>
      <x:c r="U53" s="21"/>
      <x:c r="V53" s="21"/>
      <x:c r="W53" s="21"/>
      <x:c r="X53" s="21"/>
      <x:c r="Y53" s="21"/>
      <x:c r="Z53" s="21"/>
    </x:row>
    <x:row r="54">
      <x:c r="A54" s="21"/>
      <x:c r="B54" s="21"/>
      <x:c r="C54" s="21"/>
      <x:c r="D54" s="21"/>
      <x:c r="E54" s="21"/>
      <x:c r="F54" s="21"/>
      <x:c r="G54" s="21"/>
      <x:c r="H54" s="21"/>
      <x:c r="I54" s="21"/>
      <x:c r="J54" s="21"/>
      <x:c r="K54" s="21"/>
      <x:c r="L54" s="21"/>
      <x:c r="M54" s="21"/>
      <x:c r="N54" s="21"/>
      <x:c r="O54" s="21"/>
      <x:c r="P54" s="21"/>
      <x:c r="Q54" s="21"/>
      <x:c r="R54" s="21"/>
      <x:c r="S54" s="21"/>
      <x:c r="T54" s="21"/>
      <x:c r="U54" s="21"/>
      <x:c r="V54" s="21"/>
      <x:c r="W54" s="21"/>
      <x:c r="X54" s="21"/>
      <x:c r="Y54" s="21"/>
      <x:c r="Z54" s="21"/>
    </x:row>
    <x:row r="55">
      <x:c r="A55" s="21"/>
      <x:c r="B55" s="21"/>
      <x:c r="C55" s="21"/>
      <x:c r="D55" s="21"/>
      <x:c r="E55" s="21"/>
      <x:c r="F55" s="21"/>
      <x:c r="G55" s="21"/>
      <x:c r="H55" s="21"/>
      <x:c r="I55" s="21"/>
      <x:c r="J55" s="21"/>
      <x:c r="K55" s="21"/>
      <x:c r="L55" s="21"/>
      <x:c r="M55" s="21"/>
      <x:c r="N55" s="21"/>
      <x:c r="O55" s="21"/>
      <x:c r="P55" s="21"/>
      <x:c r="Q55" s="21"/>
      <x:c r="R55" s="21"/>
      <x:c r="S55" s="21"/>
      <x:c r="T55" s="21"/>
      <x:c r="U55" s="21"/>
      <x:c r="V55" s="21"/>
      <x:c r="W55" s="21"/>
      <x:c r="X55" s="21"/>
      <x:c r="Y55" s="21"/>
      <x:c r="Z55" s="21"/>
    </x:row>
    <x:row r="56">
      <x:c r="A56" s="21"/>
      <x:c r="B56" s="21"/>
      <x:c r="C56" s="21"/>
      <x:c r="D56" s="21"/>
      <x:c r="E56" s="21"/>
      <x:c r="F56" s="21"/>
      <x:c r="G56" s="21"/>
      <x:c r="H56" s="21"/>
      <x:c r="I56" s="21"/>
      <x:c r="J56" s="21"/>
      <x:c r="K56" s="21"/>
      <x:c r="L56" s="21"/>
      <x:c r="M56" s="21"/>
      <x:c r="N56" s="21"/>
      <x:c r="O56" s="21"/>
      <x:c r="P56" s="21"/>
      <x:c r="Q56" s="21"/>
      <x:c r="R56" s="21"/>
      <x:c r="S56" s="21"/>
      <x:c r="T56" s="21"/>
      <x:c r="U56" s="21"/>
      <x:c r="V56" s="21"/>
      <x:c r="W56" s="21"/>
      <x:c r="X56" s="21"/>
      <x:c r="Y56" s="21"/>
      <x:c r="Z56" s="21"/>
    </x:row>
    <x:row r="57">
      <x:c r="A57" s="21"/>
      <x:c r="B57" s="21"/>
      <x:c r="C57" s="21"/>
      <x:c r="D57" s="21"/>
      <x:c r="E57" s="21"/>
      <x:c r="F57" s="21"/>
      <x:c r="G57" s="21"/>
      <x:c r="H57" s="21"/>
      <x:c r="I57" s="21"/>
      <x:c r="J57" s="21"/>
      <x:c r="K57" s="21"/>
      <x:c r="L57" s="21"/>
      <x:c r="M57" s="21"/>
      <x:c r="N57" s="21"/>
      <x:c r="O57" s="21"/>
      <x:c r="P57" s="21"/>
      <x:c r="Q57" s="21"/>
      <x:c r="R57" s="21"/>
      <x:c r="S57" s="21"/>
      <x:c r="T57" s="21"/>
      <x:c r="U57" s="21"/>
      <x:c r="V57" s="21"/>
      <x:c r="W57" s="21"/>
      <x:c r="X57" s="21"/>
      <x:c r="Y57" s="21"/>
      <x:c r="Z57" s="21"/>
    </x:row>
    <x:row r="58">
      <x:c r="A58" s="21"/>
      <x:c r="B58" s="21"/>
      <x:c r="C58" s="21"/>
      <x:c r="D58" s="21"/>
      <x:c r="E58" s="21"/>
      <x:c r="F58" s="21"/>
      <x:c r="G58" s="21"/>
      <x:c r="H58" s="21"/>
      <x:c r="I58" s="21"/>
      <x:c r="J58" s="21"/>
      <x:c r="K58" s="21"/>
      <x:c r="L58" s="21"/>
      <x:c r="M58" s="21"/>
      <x:c r="N58" s="21"/>
      <x:c r="O58" s="21"/>
      <x:c r="P58" s="21"/>
      <x:c r="Q58" s="21"/>
      <x:c r="R58" s="21"/>
      <x:c r="S58" s="21"/>
      <x:c r="T58" s="21"/>
      <x:c r="U58" s="21"/>
      <x:c r="V58" s="21"/>
      <x:c r="W58" s="21"/>
      <x:c r="X58" s="21"/>
      <x:c r="Y58" s="21"/>
      <x:c r="Z58" s="21"/>
    </x:row>
    <x:row r="59">
      <x:c r="A59" s="21"/>
      <x:c r="B59" s="21"/>
      <x:c r="C59" s="21"/>
      <x:c r="D59" s="21"/>
      <x:c r="E59" s="21"/>
      <x:c r="F59" s="21"/>
      <x:c r="G59" s="21"/>
      <x:c r="H59" s="21"/>
      <x:c r="I59" s="21"/>
      <x:c r="J59" s="21"/>
      <x:c r="K59" s="21"/>
      <x:c r="L59" s="21"/>
      <x:c r="M59" s="21"/>
      <x:c r="N59" s="21"/>
      <x:c r="O59" s="21"/>
      <x:c r="P59" s="21"/>
      <x:c r="Q59" s="21"/>
      <x:c r="R59" s="21"/>
      <x:c r="S59" s="21"/>
      <x:c r="T59" s="21"/>
      <x:c r="U59" s="21"/>
      <x:c r="V59" s="21"/>
      <x:c r="W59" s="21"/>
      <x:c r="X59" s="21"/>
      <x:c r="Y59" s="21"/>
      <x:c r="Z59" s="21"/>
    </x:row>
    <x:row r="60">
      <x:c r="A60" s="21"/>
      <x:c r="B60" s="21"/>
      <x:c r="C60" s="21"/>
      <x:c r="D60" s="21"/>
      <x:c r="E60" s="21"/>
      <x:c r="F60" s="21"/>
      <x:c r="G60" s="21"/>
      <x:c r="H60" s="21"/>
      <x:c r="I60" s="21"/>
      <x:c r="J60" s="21"/>
      <x:c r="K60" s="21"/>
      <x:c r="L60" s="21"/>
      <x:c r="M60" s="21"/>
      <x:c r="N60" s="21"/>
      <x:c r="O60" s="21"/>
      <x:c r="P60" s="21"/>
      <x:c r="Q60" s="21"/>
      <x:c r="R60" s="21"/>
      <x:c r="S60" s="21"/>
      <x:c r="T60" s="21"/>
      <x:c r="U60" s="21"/>
      <x:c r="V60" s="21"/>
      <x:c r="W60" s="21"/>
      <x:c r="X60" s="21"/>
      <x:c r="Y60" s="21"/>
      <x:c r="Z60" s="21"/>
    </x:row>
    <x:row r="61">
      <x:c r="A61" s="21"/>
      <x:c r="B61" s="21"/>
      <x:c r="C61" s="21"/>
      <x:c r="D61" s="21"/>
      <x:c r="E61" s="21"/>
      <x:c r="F61" s="21"/>
      <x:c r="G61" s="21"/>
      <x:c r="H61" s="21"/>
      <x:c r="I61" s="21"/>
      <x:c r="J61" s="21"/>
      <x:c r="K61" s="21"/>
      <x:c r="L61" s="21"/>
      <x:c r="M61" s="21"/>
      <x:c r="N61" s="21"/>
      <x:c r="O61" s="21"/>
      <x:c r="P61" s="21"/>
      <x:c r="Q61" s="21"/>
      <x:c r="R61" s="21"/>
      <x:c r="S61" s="21"/>
      <x:c r="T61" s="21"/>
      <x:c r="U61" s="21"/>
      <x:c r="V61" s="21"/>
      <x:c r="W61" s="21"/>
      <x:c r="X61" s="21"/>
      <x:c r="Y61" s="21"/>
      <x:c r="Z61" s="21"/>
    </x:row>
    <x:row r="62">
      <x:c r="A62" s="21"/>
      <x:c r="B62" s="21"/>
      <x:c r="C62" s="21"/>
      <x:c r="D62" s="21"/>
      <x:c r="E62" s="21"/>
      <x:c r="F62" s="21"/>
      <x:c r="G62" s="21"/>
      <x:c r="H62" s="21"/>
      <x:c r="I62" s="21"/>
      <x:c r="J62" s="21"/>
      <x:c r="K62" s="21"/>
      <x:c r="L62" s="21"/>
      <x:c r="M62" s="21"/>
      <x:c r="N62" s="21"/>
      <x:c r="O62" s="21"/>
      <x:c r="P62" s="21"/>
      <x:c r="Q62" s="21"/>
      <x:c r="R62" s="21"/>
      <x:c r="S62" s="21"/>
      <x:c r="T62" s="21"/>
      <x:c r="U62" s="21"/>
      <x:c r="V62" s="21"/>
      <x:c r="W62" s="21"/>
      <x:c r="X62" s="21"/>
      <x:c r="Y62" s="21"/>
      <x:c r="Z62" s="21"/>
    </x:row>
    <x:row r="63">
      <x:c r="A63" s="21"/>
      <x:c r="B63" s="21"/>
      <x:c r="C63" s="21"/>
      <x:c r="D63" s="21"/>
      <x:c r="E63" s="21"/>
      <x:c r="F63" s="21"/>
      <x:c r="G63" s="21"/>
      <x:c r="H63" s="21"/>
      <x:c r="I63" s="21"/>
      <x:c r="J63" s="21"/>
      <x:c r="K63" s="21"/>
      <x:c r="L63" s="21"/>
      <x:c r="M63" s="21"/>
      <x:c r="N63" s="21"/>
      <x:c r="O63" s="21"/>
      <x:c r="P63" s="21"/>
      <x:c r="Q63" s="21"/>
      <x:c r="R63" s="21"/>
      <x:c r="S63" s="21"/>
      <x:c r="T63" s="21"/>
      <x:c r="U63" s="21"/>
      <x:c r="V63" s="21"/>
      <x:c r="W63" s="21"/>
      <x:c r="X63" s="21"/>
      <x:c r="Y63" s="21"/>
      <x:c r="Z63" s="21"/>
    </x:row>
    <x:row r="64">
      <x:c r="A64" s="21"/>
      <x:c r="B64" s="21"/>
      <x:c r="C64" s="21"/>
      <x:c r="D64" s="21"/>
      <x:c r="E64" s="21"/>
      <x:c r="F64" s="21"/>
      <x:c r="G64" s="21"/>
      <x:c r="H64" s="21"/>
      <x:c r="I64" s="21"/>
      <x:c r="J64" s="21"/>
      <x:c r="K64" s="21"/>
      <x:c r="L64" s="21"/>
      <x:c r="M64" s="21"/>
      <x:c r="N64" s="21"/>
      <x:c r="O64" s="21"/>
      <x:c r="P64" s="21"/>
      <x:c r="Q64" s="21"/>
      <x:c r="R64" s="21"/>
      <x:c r="S64" s="21"/>
      <x:c r="T64" s="21"/>
      <x:c r="U64" s="21"/>
      <x:c r="V64" s="21"/>
      <x:c r="W64" s="21"/>
      <x:c r="X64" s="21"/>
      <x:c r="Y64" s="21"/>
      <x:c r="Z64" s="21"/>
    </x:row>
    <x:row r="65">
      <x:c r="A65" s="21"/>
      <x:c r="B65" s="21"/>
      <x:c r="C65" s="21"/>
      <x:c r="D65" s="21"/>
      <x:c r="E65" s="21"/>
      <x:c r="F65" s="21"/>
      <x:c r="G65" s="21"/>
      <x:c r="H65" s="21"/>
      <x:c r="I65" s="21"/>
      <x:c r="J65" s="21"/>
      <x:c r="K65" s="21"/>
      <x:c r="L65" s="21"/>
      <x:c r="M65" s="21"/>
      <x:c r="N65" s="21"/>
      <x:c r="O65" s="21"/>
      <x:c r="P65" s="21"/>
      <x:c r="Q65" s="21"/>
      <x:c r="R65" s="21"/>
      <x:c r="S65" s="21"/>
      <x:c r="T65" s="21"/>
      <x:c r="U65" s="21"/>
      <x:c r="V65" s="21"/>
      <x:c r="W65" s="21"/>
      <x:c r="X65" s="21"/>
      <x:c r="Y65" s="21"/>
      <x:c r="Z65" s="21"/>
    </x:row>
    <x:row r="66">
      <x:c r="A66" s="21"/>
      <x:c r="B66" s="21"/>
      <x:c r="C66" s="21"/>
      <x:c r="D66" s="21"/>
      <x:c r="E66" s="21"/>
      <x:c r="F66" s="21"/>
      <x:c r="G66" s="21"/>
      <x:c r="H66" s="21"/>
      <x:c r="I66" s="21"/>
      <x:c r="J66" s="21"/>
      <x:c r="K66" s="21"/>
      <x:c r="L66" s="21"/>
      <x:c r="M66" s="21"/>
      <x:c r="N66" s="21"/>
      <x:c r="O66" s="21"/>
      <x:c r="P66" s="21"/>
      <x:c r="Q66" s="21"/>
      <x:c r="R66" s="21"/>
      <x:c r="S66" s="21"/>
      <x:c r="T66" s="21"/>
      <x:c r="U66" s="21"/>
      <x:c r="V66" s="21"/>
      <x:c r="W66" s="21"/>
      <x:c r="X66" s="21"/>
      <x:c r="Y66" s="21"/>
      <x:c r="Z66" s="21"/>
    </x:row>
    <x:row r="67">
      <x:c r="A67" s="21"/>
      <x:c r="B67" s="21"/>
      <x:c r="C67" s="21"/>
      <x:c r="D67" s="21"/>
      <x:c r="E67" s="21"/>
      <x:c r="F67" s="21"/>
      <x:c r="G67" s="21"/>
      <x:c r="H67" s="21"/>
      <x:c r="I67" s="21"/>
      <x:c r="J67" s="21"/>
      <x:c r="K67" s="21"/>
      <x:c r="L67" s="21"/>
      <x:c r="M67" s="21"/>
      <x:c r="N67" s="21"/>
      <x:c r="O67" s="21"/>
      <x:c r="P67" s="21"/>
      <x:c r="Q67" s="21"/>
      <x:c r="R67" s="21"/>
      <x:c r="S67" s="21"/>
      <x:c r="T67" s="21"/>
      <x:c r="U67" s="21"/>
      <x:c r="V67" s="21"/>
      <x:c r="W67" s="21"/>
      <x:c r="X67" s="21"/>
      <x:c r="Y67" s="21"/>
      <x:c r="Z67" s="21"/>
    </x:row>
    <x:row r="68">
      <x:c r="A68" s="21"/>
      <x:c r="B68" s="21"/>
      <x:c r="C68" s="21"/>
      <x:c r="D68" s="21"/>
      <x:c r="E68" s="21"/>
      <x:c r="F68" s="21"/>
      <x:c r="G68" s="21"/>
      <x:c r="H68" s="21"/>
      <x:c r="I68" s="21"/>
      <x:c r="J68" s="21"/>
      <x:c r="K68" s="21"/>
      <x:c r="L68" s="21"/>
      <x:c r="M68" s="21"/>
      <x:c r="N68" s="21"/>
      <x:c r="O68" s="21"/>
      <x:c r="P68" s="21"/>
      <x:c r="Q68" s="21"/>
      <x:c r="R68" s="21"/>
      <x:c r="S68" s="21"/>
      <x:c r="T68" s="21"/>
      <x:c r="U68" s="21"/>
      <x:c r="V68" s="21"/>
      <x:c r="W68" s="21"/>
      <x:c r="X68" s="21"/>
      <x:c r="Y68" s="21"/>
      <x:c r="Z68" s="21"/>
    </x:row>
    <x:row r="69">
      <x:c r="A69" s="21"/>
      <x:c r="B69" s="21"/>
      <x:c r="C69" s="21"/>
      <x:c r="D69" s="21"/>
      <x:c r="E69" s="21"/>
      <x:c r="F69" s="21"/>
      <x:c r="G69" s="21"/>
      <x:c r="H69" s="21"/>
      <x:c r="I69" s="21"/>
      <x:c r="J69" s="21"/>
      <x:c r="K69" s="21"/>
      <x:c r="L69" s="21"/>
      <x:c r="M69" s="21"/>
      <x:c r="N69" s="21"/>
      <x:c r="O69" s="21"/>
      <x:c r="P69" s="21"/>
      <x:c r="Q69" s="21"/>
      <x:c r="R69" s="21"/>
      <x:c r="S69" s="21"/>
      <x:c r="T69" s="21"/>
      <x:c r="U69" s="21"/>
      <x:c r="V69" s="21"/>
      <x:c r="W69" s="21"/>
      <x:c r="X69" s="21"/>
      <x:c r="Y69" s="21"/>
      <x:c r="Z69" s="21"/>
    </x:row>
    <x:row r="70">
      <x:c r="A70" s="21"/>
      <x:c r="B70" s="21"/>
      <x:c r="C70" s="21"/>
      <x:c r="D70" s="21"/>
      <x:c r="E70" s="21"/>
      <x:c r="F70" s="21"/>
      <x:c r="G70" s="21"/>
      <x:c r="H70" s="21"/>
      <x:c r="I70" s="21"/>
      <x:c r="J70" s="21"/>
      <x:c r="K70" s="21"/>
      <x:c r="L70" s="21"/>
      <x:c r="M70" s="21"/>
      <x:c r="N70" s="21"/>
      <x:c r="O70" s="21"/>
      <x:c r="P70" s="21"/>
      <x:c r="Q70" s="21"/>
      <x:c r="R70" s="21"/>
      <x:c r="S70" s="21"/>
      <x:c r="T70" s="21"/>
      <x:c r="U70" s="21"/>
      <x:c r="V70" s="21"/>
      <x:c r="W70" s="21"/>
      <x:c r="X70" s="21"/>
      <x:c r="Y70" s="21"/>
      <x:c r="Z70" s="21"/>
    </x:row>
    <x:row r="71">
      <x:c r="A71" s="21"/>
      <x:c r="B71" s="21"/>
      <x:c r="C71" s="21"/>
      <x:c r="D71" s="21"/>
      <x:c r="E71" s="21"/>
      <x:c r="F71" s="21"/>
      <x:c r="G71" s="21"/>
      <x:c r="H71" s="21"/>
      <x:c r="I71" s="21"/>
      <x:c r="J71" s="21"/>
      <x:c r="K71" s="21"/>
      <x:c r="L71" s="21"/>
      <x:c r="M71" s="21"/>
      <x:c r="N71" s="21"/>
      <x:c r="O71" s="21"/>
      <x:c r="P71" s="21"/>
      <x:c r="Q71" s="21"/>
      <x:c r="R71" s="21"/>
      <x:c r="S71" s="21"/>
      <x:c r="T71" s="21"/>
      <x:c r="U71" s="21"/>
      <x:c r="V71" s="21"/>
      <x:c r="W71" s="21"/>
      <x:c r="X71" s="21"/>
      <x:c r="Y71" s="21"/>
      <x:c r="Z71" s="21"/>
    </x:row>
    <x:row r="72">
      <x:c r="A72" s="21"/>
      <x:c r="B72" s="21"/>
      <x:c r="C72" s="21"/>
      <x:c r="D72" s="21"/>
      <x:c r="E72" s="21"/>
      <x:c r="F72" s="21"/>
      <x:c r="G72" s="21"/>
      <x:c r="H72" s="21"/>
      <x:c r="I72" s="21"/>
      <x:c r="J72" s="21"/>
      <x:c r="K72" s="21"/>
      <x:c r="L72" s="21"/>
      <x:c r="M72" s="21"/>
      <x:c r="N72" s="21"/>
      <x:c r="O72" s="21"/>
      <x:c r="P72" s="21"/>
      <x:c r="Q72" s="21"/>
      <x:c r="R72" s="21"/>
      <x:c r="S72" s="21"/>
      <x:c r="T72" s="21"/>
      <x:c r="U72" s="21"/>
      <x:c r="V72" s="21"/>
      <x:c r="W72" s="21"/>
      <x:c r="X72" s="21"/>
      <x:c r="Y72" s="21"/>
      <x:c r="Z72" s="21"/>
    </x:row>
    <x:row r="73">
      <x:c r="A73" s="21"/>
      <x:c r="B73" s="21"/>
      <x:c r="C73" s="21"/>
      <x:c r="D73" s="21"/>
      <x:c r="E73" s="21"/>
      <x:c r="F73" s="21"/>
      <x:c r="G73" s="21"/>
      <x:c r="H73" s="21"/>
      <x:c r="I73" s="21"/>
      <x:c r="J73" s="21"/>
      <x:c r="K73" s="21"/>
      <x:c r="L73" s="21"/>
      <x:c r="M73" s="21"/>
      <x:c r="N73" s="21"/>
      <x:c r="O73" s="21"/>
      <x:c r="P73" s="21"/>
      <x:c r="Q73" s="21"/>
      <x:c r="R73" s="21"/>
      <x:c r="S73" s="21"/>
      <x:c r="T73" s="21"/>
      <x:c r="U73" s="21"/>
      <x:c r="V73" s="21"/>
      <x:c r="W73" s="21"/>
      <x:c r="X73" s="21"/>
      <x:c r="Y73" s="21"/>
      <x:c r="Z73" s="21"/>
    </x:row>
    <x:row r="74">
      <x:c r="A74" s="21"/>
      <x:c r="B74" s="21"/>
      <x:c r="C74" s="21"/>
      <x:c r="D74" s="21"/>
      <x:c r="E74" s="21"/>
      <x:c r="F74" s="21"/>
      <x:c r="G74" s="21"/>
      <x:c r="H74" s="21"/>
      <x:c r="I74" s="21"/>
      <x:c r="J74" s="21"/>
      <x:c r="K74" s="21"/>
      <x:c r="L74" s="21"/>
      <x:c r="M74" s="21"/>
      <x:c r="N74" s="21"/>
      <x:c r="O74" s="21"/>
      <x:c r="P74" s="21"/>
      <x:c r="Q74" s="21"/>
      <x:c r="R74" s="21"/>
      <x:c r="S74" s="21"/>
      <x:c r="T74" s="21"/>
      <x:c r="U74" s="21"/>
      <x:c r="V74" s="21"/>
      <x:c r="W74" s="21"/>
      <x:c r="X74" s="21"/>
      <x:c r="Y74" s="21"/>
      <x:c r="Z74" s="21"/>
    </x:row>
    <x:row r="75">
      <x:c r="A75" s="21"/>
      <x:c r="B75" s="21"/>
      <x:c r="C75" s="21"/>
      <x:c r="D75" s="21"/>
      <x:c r="E75" s="21"/>
      <x:c r="F75" s="21"/>
      <x:c r="G75" s="21"/>
      <x:c r="H75" s="21"/>
      <x:c r="I75" s="21"/>
      <x:c r="J75" s="21"/>
      <x:c r="K75" s="21"/>
      <x:c r="L75" s="21"/>
      <x:c r="M75" s="21"/>
      <x:c r="N75" s="21"/>
      <x:c r="O75" s="21"/>
      <x:c r="P75" s="21"/>
      <x:c r="Q75" s="21"/>
      <x:c r="R75" s="21"/>
      <x:c r="S75" s="21"/>
      <x:c r="T75" s="21"/>
      <x:c r="U75" s="21"/>
      <x:c r="V75" s="21"/>
      <x:c r="W75" s="21"/>
      <x:c r="X75" s="21"/>
      <x:c r="Y75" s="21"/>
      <x:c r="Z75" s="21"/>
    </x:row>
    <x:row r="76">
      <x:c r="A76" s="21"/>
      <x:c r="B76" s="21"/>
      <x:c r="C76" s="21"/>
      <x:c r="D76" s="21"/>
      <x:c r="E76" s="21"/>
      <x:c r="F76" s="21"/>
      <x:c r="G76" s="21"/>
      <x:c r="H76" s="21"/>
      <x:c r="I76" s="21"/>
      <x:c r="J76" s="21"/>
      <x:c r="K76" s="21"/>
      <x:c r="L76" s="21"/>
      <x:c r="M76" s="21"/>
      <x:c r="N76" s="21"/>
      <x:c r="O76" s="21"/>
      <x:c r="P76" s="21"/>
      <x:c r="Q76" s="21"/>
      <x:c r="R76" s="21"/>
      <x:c r="S76" s="21"/>
      <x:c r="T76" s="21"/>
      <x:c r="U76" s="21"/>
      <x:c r="V76" s="21"/>
      <x:c r="W76" s="21"/>
      <x:c r="X76" s="21"/>
      <x:c r="Y76" s="21"/>
      <x:c r="Z76" s="21"/>
    </x:row>
    <x:row r="77">
      <x:c r="A77" s="21"/>
      <x:c r="B77" s="21"/>
      <x:c r="C77" s="21"/>
      <x:c r="D77" s="21"/>
      <x:c r="E77" s="21"/>
      <x:c r="F77" s="21"/>
      <x:c r="G77" s="21"/>
      <x:c r="H77" s="21"/>
      <x:c r="I77" s="21"/>
      <x:c r="J77" s="21"/>
      <x:c r="K77" s="21"/>
      <x:c r="L77" s="21"/>
      <x:c r="M77" s="21"/>
      <x:c r="N77" s="21"/>
      <x:c r="O77" s="21"/>
      <x:c r="P77" s="21"/>
      <x:c r="Q77" s="21"/>
      <x:c r="R77" s="21"/>
      <x:c r="S77" s="21"/>
      <x:c r="T77" s="21"/>
      <x:c r="U77" s="21"/>
      <x:c r="V77" s="21"/>
      <x:c r="W77" s="21"/>
      <x:c r="X77" s="21"/>
      <x:c r="Y77" s="21"/>
      <x:c r="Z77" s="21"/>
    </x:row>
    <x:row r="78">
      <x:c r="A78" s="21"/>
      <x:c r="B78" s="21"/>
      <x:c r="C78" s="21"/>
      <x:c r="D78" s="21"/>
      <x:c r="E78" s="21"/>
      <x:c r="F78" s="21"/>
      <x:c r="G78" s="21"/>
      <x:c r="H78" s="21"/>
      <x:c r="I78" s="21"/>
      <x:c r="J78" s="21"/>
      <x:c r="K78" s="21"/>
      <x:c r="L78" s="21"/>
      <x:c r="M78" s="21"/>
      <x:c r="N78" s="21"/>
      <x:c r="O78" s="21"/>
      <x:c r="P78" s="21"/>
      <x:c r="Q78" s="21"/>
      <x:c r="R78" s="21"/>
      <x:c r="S78" s="21"/>
      <x:c r="T78" s="21"/>
      <x:c r="U78" s="21"/>
      <x:c r="V78" s="21"/>
      <x:c r="W78" s="21"/>
      <x:c r="X78" s="21"/>
      <x:c r="Y78" s="21"/>
      <x:c r="Z78" s="21"/>
    </x:row>
    <x:row r="79">
      <x:c r="A79" s="21"/>
      <x:c r="B79" s="21"/>
      <x:c r="C79" s="21"/>
      <x:c r="D79" s="21"/>
      <x:c r="E79" s="21"/>
      <x:c r="F79" s="21"/>
      <x:c r="G79" s="21"/>
      <x:c r="H79" s="21"/>
      <x:c r="I79" s="21"/>
      <x:c r="J79" s="21"/>
      <x:c r="K79" s="21"/>
      <x:c r="L79" s="21"/>
      <x:c r="M79" s="21"/>
      <x:c r="N79" s="21"/>
      <x:c r="O79" s="21"/>
      <x:c r="P79" s="21"/>
      <x:c r="Q79" s="21"/>
      <x:c r="R79" s="21"/>
      <x:c r="S79" s="21"/>
      <x:c r="T79" s="21"/>
      <x:c r="U79" s="21"/>
      <x:c r="V79" s="21"/>
      <x:c r="W79" s="21"/>
      <x:c r="X79" s="21"/>
      <x:c r="Y79" s="21"/>
      <x:c r="Z79" s="21"/>
    </x:row>
    <x:row r="80">
      <x:c r="A80" s="21"/>
      <x:c r="B80" s="21"/>
      <x:c r="C80" s="21"/>
      <x:c r="D80" s="21"/>
      <x:c r="E80" s="21"/>
      <x:c r="F80" s="21"/>
      <x:c r="G80" s="21"/>
      <x:c r="H80" s="21"/>
      <x:c r="I80" s="21"/>
      <x:c r="J80" s="21"/>
      <x:c r="K80" s="21"/>
      <x:c r="L80" s="21"/>
      <x:c r="M80" s="21"/>
      <x:c r="N80" s="21"/>
      <x:c r="O80" s="21"/>
      <x:c r="P80" s="21"/>
      <x:c r="Q80" s="21"/>
      <x:c r="R80" s="21"/>
      <x:c r="S80" s="21"/>
      <x:c r="T80" s="21"/>
      <x:c r="U80" s="21"/>
      <x:c r="V80" s="21"/>
      <x:c r="W80" s="21"/>
      <x:c r="X80" s="21"/>
      <x:c r="Y80" s="21"/>
      <x:c r="Z80" s="21"/>
    </x:row>
    <x:row r="81">
      <x:c r="A81" s="21"/>
      <x:c r="B81" s="21"/>
      <x:c r="C81" s="21"/>
      <x:c r="D81" s="21"/>
      <x:c r="E81" s="21"/>
      <x:c r="F81" s="21"/>
      <x:c r="G81" s="21"/>
      <x:c r="H81" s="21"/>
      <x:c r="I81" s="21"/>
      <x:c r="J81" s="21"/>
      <x:c r="K81" s="21"/>
      <x:c r="L81" s="21"/>
      <x:c r="M81" s="21"/>
      <x:c r="N81" s="21"/>
      <x:c r="O81" s="21"/>
      <x:c r="P81" s="21"/>
      <x:c r="Q81" s="21"/>
      <x:c r="R81" s="21"/>
      <x:c r="S81" s="21"/>
      <x:c r="T81" s="21"/>
      <x:c r="U81" s="21"/>
      <x:c r="V81" s="21"/>
      <x:c r="W81" s="21"/>
      <x:c r="X81" s="21"/>
      <x:c r="Y81" s="21"/>
      <x:c r="Z81" s="21"/>
    </x:row>
    <x:row r="82">
      <x:c r="A82" s="21"/>
      <x:c r="B82" s="21"/>
      <x:c r="C82" s="21"/>
      <x:c r="D82" s="21"/>
      <x:c r="E82" s="21"/>
      <x:c r="F82" s="21"/>
      <x:c r="G82" s="21"/>
      <x:c r="H82" s="21"/>
      <x:c r="I82" s="21"/>
      <x:c r="J82" s="21"/>
      <x:c r="K82" s="21"/>
      <x:c r="L82" s="21"/>
      <x:c r="M82" s="21"/>
      <x:c r="N82" s="21"/>
      <x:c r="O82" s="21"/>
      <x:c r="P82" s="21"/>
      <x:c r="Q82" s="21"/>
      <x:c r="R82" s="21"/>
      <x:c r="S82" s="21"/>
      <x:c r="T82" s="21"/>
      <x:c r="U82" s="21"/>
      <x:c r="V82" s="21"/>
      <x:c r="W82" s="21"/>
      <x:c r="X82" s="21"/>
      <x:c r="Y82" s="21"/>
      <x:c r="Z82" s="21"/>
    </x:row>
    <x:row r="83">
      <x:c r="A83" s="21"/>
      <x:c r="B83" s="21"/>
      <x:c r="C83" s="21"/>
      <x:c r="D83" s="21"/>
      <x:c r="E83" s="21"/>
      <x:c r="F83" s="21"/>
      <x:c r="G83" s="21"/>
      <x:c r="H83" s="21"/>
      <x:c r="I83" s="21"/>
      <x:c r="J83" s="21"/>
      <x:c r="K83" s="21"/>
      <x:c r="L83" s="21"/>
      <x:c r="M83" s="21"/>
      <x:c r="N83" s="21"/>
      <x:c r="O83" s="21"/>
      <x:c r="P83" s="21"/>
      <x:c r="Q83" s="21"/>
      <x:c r="R83" s="21"/>
      <x:c r="S83" s="21"/>
      <x:c r="T83" s="21"/>
      <x:c r="U83" s="21"/>
      <x:c r="V83" s="21"/>
      <x:c r="W83" s="21"/>
      <x:c r="X83" s="21"/>
      <x:c r="Y83" s="21"/>
      <x:c r="Z83" s="21"/>
    </x:row>
    <x:row r="84">
      <x:c r="A84" s="21"/>
      <x:c r="B84" s="21"/>
      <x:c r="C84" s="21"/>
      <x:c r="D84" s="21"/>
      <x:c r="E84" s="21"/>
      <x:c r="F84" s="21"/>
      <x:c r="G84" s="21"/>
      <x:c r="H84" s="21"/>
      <x:c r="I84" s="21"/>
      <x:c r="J84" s="21"/>
      <x:c r="K84" s="21"/>
      <x:c r="L84" s="21"/>
      <x:c r="M84" s="21"/>
      <x:c r="N84" s="21"/>
      <x:c r="O84" s="21"/>
      <x:c r="P84" s="21"/>
      <x:c r="Q84" s="21"/>
      <x:c r="R84" s="21"/>
      <x:c r="S84" s="21"/>
      <x:c r="T84" s="21"/>
      <x:c r="U84" s="21"/>
      <x:c r="V84" s="21"/>
      <x:c r="W84" s="21"/>
      <x:c r="X84" s="21"/>
      <x:c r="Y84" s="21"/>
      <x:c r="Z84" s="21"/>
    </x:row>
    <x:row r="85">
      <x:c r="A85" s="21"/>
      <x:c r="B85" s="21"/>
      <x:c r="C85" s="21"/>
      <x:c r="D85" s="21"/>
      <x:c r="E85" s="21"/>
      <x:c r="F85" s="21"/>
      <x:c r="G85" s="21"/>
      <x:c r="H85" s="21"/>
      <x:c r="I85" s="21"/>
      <x:c r="J85" s="21"/>
      <x:c r="K85" s="21"/>
      <x:c r="L85" s="21"/>
      <x:c r="M85" s="21"/>
      <x:c r="N85" s="21"/>
      <x:c r="O85" s="21"/>
      <x:c r="P85" s="21"/>
      <x:c r="Q85" s="21"/>
      <x:c r="R85" s="21"/>
      <x:c r="S85" s="21"/>
      <x:c r="T85" s="21"/>
      <x:c r="U85" s="21"/>
      <x:c r="V85" s="21"/>
      <x:c r="W85" s="21"/>
      <x:c r="X85" s="21"/>
      <x:c r="Y85" s="21"/>
      <x:c r="Z85" s="21"/>
    </x:row>
    <x:row r="86">
      <x:c r="A86" s="21"/>
      <x:c r="B86" s="21"/>
      <x:c r="C86" s="21"/>
      <x:c r="D86" s="21"/>
      <x:c r="E86" s="21"/>
      <x:c r="F86" s="21"/>
      <x:c r="G86" s="21"/>
      <x:c r="H86" s="21"/>
      <x:c r="I86" s="21"/>
      <x:c r="J86" s="21"/>
      <x:c r="K86" s="21"/>
      <x:c r="L86" s="21"/>
      <x:c r="M86" s="21"/>
      <x:c r="N86" s="21"/>
      <x:c r="O86" s="21"/>
      <x:c r="P86" s="21"/>
      <x:c r="Q86" s="21"/>
      <x:c r="R86" s="21"/>
      <x:c r="S86" s="21"/>
      <x:c r="T86" s="21"/>
      <x:c r="U86" s="21"/>
      <x:c r="V86" s="21"/>
      <x:c r="W86" s="21"/>
      <x:c r="X86" s="21"/>
      <x:c r="Y86" s="21"/>
      <x:c r="Z86" s="21"/>
    </x:row>
    <x:row r="87">
      <x:c r="A87" s="21"/>
      <x:c r="B87" s="21"/>
      <x:c r="C87" s="21"/>
      <x:c r="D87" s="21"/>
      <x:c r="E87" s="21"/>
      <x:c r="F87" s="21"/>
      <x:c r="G87" s="21"/>
      <x:c r="H87" s="21"/>
      <x:c r="I87" s="21"/>
      <x:c r="J87" s="21"/>
      <x:c r="K87" s="21"/>
      <x:c r="L87" s="21"/>
      <x:c r="M87" s="21"/>
      <x:c r="N87" s="21"/>
      <x:c r="O87" s="21"/>
      <x:c r="P87" s="21"/>
      <x:c r="Q87" s="21"/>
      <x:c r="R87" s="21"/>
      <x:c r="S87" s="21"/>
      <x:c r="T87" s="21"/>
      <x:c r="U87" s="21"/>
      <x:c r="V87" s="21"/>
      <x:c r="W87" s="21"/>
      <x:c r="X87" s="21"/>
      <x:c r="Y87" s="21"/>
      <x:c r="Z87" s="21"/>
    </x:row>
    <x:row r="88">
      <x:c r="A88" s="21"/>
      <x:c r="B88" s="21"/>
      <x:c r="C88" s="21"/>
      <x:c r="D88" s="21"/>
      <x:c r="E88" s="21"/>
      <x:c r="F88" s="21"/>
      <x:c r="G88" s="21"/>
      <x:c r="H88" s="21"/>
      <x:c r="I88" s="21"/>
      <x:c r="J88" s="21"/>
      <x:c r="K88" s="21"/>
      <x:c r="L88" s="21"/>
      <x:c r="M88" s="21"/>
      <x:c r="N88" s="21"/>
      <x:c r="O88" s="21"/>
      <x:c r="P88" s="21"/>
      <x:c r="Q88" s="21"/>
      <x:c r="R88" s="21"/>
      <x:c r="S88" s="21"/>
      <x:c r="T88" s="21"/>
      <x:c r="U88" s="21"/>
      <x:c r="V88" s="21"/>
      <x:c r="W88" s="21"/>
      <x:c r="X88" s="21"/>
      <x:c r="Y88" s="21"/>
      <x:c r="Z88" s="21"/>
    </x:row>
    <x:row r="89">
      <x:c r="A89" s="21"/>
      <x:c r="B89" s="21"/>
      <x:c r="C89" s="21"/>
      <x:c r="D89" s="21"/>
      <x:c r="E89" s="21"/>
      <x:c r="F89" s="21"/>
      <x:c r="G89" s="21"/>
      <x:c r="H89" s="21"/>
      <x:c r="I89" s="21"/>
      <x:c r="J89" s="21"/>
      <x:c r="K89" s="21"/>
      <x:c r="L89" s="21"/>
      <x:c r="M89" s="21"/>
      <x:c r="N89" s="21"/>
      <x:c r="O89" s="21"/>
      <x:c r="P89" s="21"/>
      <x:c r="Q89" s="21"/>
      <x:c r="R89" s="21"/>
      <x:c r="S89" s="21"/>
      <x:c r="T89" s="21"/>
      <x:c r="U89" s="21"/>
      <x:c r="V89" s="21"/>
      <x:c r="W89" s="21"/>
      <x:c r="X89" s="21"/>
      <x:c r="Y89" s="21"/>
      <x:c r="Z89" s="21"/>
    </x:row>
    <x:row r="90">
      <x:c r="A90" s="21"/>
      <x:c r="B90" s="21"/>
      <x:c r="C90" s="21"/>
      <x:c r="D90" s="21"/>
      <x:c r="E90" s="21"/>
      <x:c r="F90" s="21"/>
      <x:c r="G90" s="21"/>
      <x:c r="H90" s="21"/>
      <x:c r="I90" s="21"/>
      <x:c r="J90" s="21"/>
      <x:c r="K90" s="21"/>
      <x:c r="L90" s="21"/>
      <x:c r="M90" s="21"/>
      <x:c r="N90" s="21"/>
      <x:c r="O90" s="21"/>
      <x:c r="P90" s="21"/>
      <x:c r="Q90" s="21"/>
      <x:c r="R90" s="21"/>
      <x:c r="S90" s="21"/>
      <x:c r="T90" s="21"/>
      <x:c r="U90" s="21"/>
      <x:c r="V90" s="21"/>
      <x:c r="W90" s="21"/>
      <x:c r="X90" s="21"/>
      <x:c r="Y90" s="21"/>
      <x:c r="Z90" s="21"/>
    </x:row>
    <x:row r="91">
      <x:c r="A91" s="21"/>
      <x:c r="B91" s="21"/>
      <x:c r="C91" s="21"/>
      <x:c r="D91" s="21"/>
      <x:c r="E91" s="21"/>
      <x:c r="F91" s="21"/>
      <x:c r="G91" s="21"/>
      <x:c r="H91" s="21"/>
      <x:c r="I91" s="21"/>
      <x:c r="J91" s="21"/>
      <x:c r="K91" s="21"/>
      <x:c r="L91" s="21"/>
      <x:c r="M91" s="21"/>
      <x:c r="N91" s="21"/>
      <x:c r="O91" s="21"/>
      <x:c r="P91" s="21"/>
      <x:c r="Q91" s="21"/>
      <x:c r="R91" s="21"/>
      <x:c r="S91" s="21"/>
      <x:c r="T91" s="21"/>
      <x:c r="U91" s="21"/>
      <x:c r="V91" s="21"/>
      <x:c r="W91" s="21"/>
      <x:c r="X91" s="21"/>
      <x:c r="Y91" s="21"/>
      <x:c r="Z91" s="21"/>
    </x:row>
    <x:row r="92">
      <x:c r="A92" s="21"/>
      <x:c r="B92" s="21"/>
      <x:c r="C92" s="21"/>
      <x:c r="D92" s="21"/>
      <x:c r="E92" s="21"/>
      <x:c r="F92" s="21"/>
      <x:c r="G92" s="21"/>
      <x:c r="H92" s="21"/>
      <x:c r="I92" s="21"/>
      <x:c r="J92" s="21"/>
      <x:c r="K92" s="21"/>
      <x:c r="L92" s="21"/>
      <x:c r="M92" s="21"/>
      <x:c r="N92" s="21"/>
      <x:c r="O92" s="21"/>
      <x:c r="P92" s="21"/>
      <x:c r="Q92" s="21"/>
      <x:c r="R92" s="21"/>
      <x:c r="S92" s="21"/>
      <x:c r="T92" s="21"/>
      <x:c r="U92" s="21"/>
      <x:c r="V92" s="21"/>
      <x:c r="W92" s="21"/>
      <x:c r="X92" s="21"/>
      <x:c r="Y92" s="21"/>
      <x:c r="Z92" s="21"/>
    </x:row>
    <x:row r="93">
      <x:c r="A93" s="21"/>
      <x:c r="B93" s="21"/>
      <x:c r="C93" s="21"/>
      <x:c r="D93" s="21"/>
      <x:c r="E93" s="21"/>
      <x:c r="F93" s="21"/>
      <x:c r="G93" s="21"/>
      <x:c r="H93" s="21"/>
      <x:c r="I93" s="21"/>
      <x:c r="J93" s="21"/>
      <x:c r="K93" s="21"/>
      <x:c r="L93" s="21"/>
      <x:c r="M93" s="21"/>
      <x:c r="N93" s="21"/>
      <x:c r="O93" s="21"/>
      <x:c r="P93" s="21"/>
      <x:c r="Q93" s="21"/>
      <x:c r="R93" s="21"/>
      <x:c r="S93" s="21"/>
      <x:c r="T93" s="21"/>
      <x:c r="U93" s="21"/>
      <x:c r="V93" s="21"/>
      <x:c r="W93" s="21"/>
      <x:c r="X93" s="21"/>
      <x:c r="Y93" s="21"/>
      <x:c r="Z93" s="21"/>
    </x:row>
    <x:row r="94">
      <x:c r="A94" s="21"/>
      <x:c r="B94" s="21"/>
      <x:c r="C94" s="21"/>
      <x:c r="D94" s="21"/>
      <x:c r="E94" s="21"/>
      <x:c r="F94" s="21"/>
      <x:c r="G94" s="21"/>
      <x:c r="H94" s="21"/>
      <x:c r="I94" s="21"/>
      <x:c r="J94" s="21"/>
      <x:c r="K94" s="21"/>
      <x:c r="L94" s="21"/>
      <x:c r="M94" s="21"/>
      <x:c r="N94" s="21"/>
      <x:c r="O94" s="21"/>
      <x:c r="P94" s="21"/>
      <x:c r="Q94" s="21"/>
      <x:c r="R94" s="21"/>
      <x:c r="S94" s="21"/>
      <x:c r="T94" s="21"/>
      <x:c r="U94" s="21"/>
      <x:c r="V94" s="21"/>
      <x:c r="W94" s="21"/>
      <x:c r="X94" s="21"/>
      <x:c r="Y94" s="21"/>
      <x:c r="Z94" s="21"/>
    </x:row>
    <x:row r="95">
      <x:c r="A95" s="21"/>
      <x:c r="B95" s="21"/>
      <x:c r="C95" s="21"/>
      <x:c r="D95" s="21"/>
      <x:c r="E95" s="21"/>
      <x:c r="F95" s="21"/>
      <x:c r="G95" s="21"/>
      <x:c r="H95" s="21"/>
      <x:c r="I95" s="21"/>
      <x:c r="J95" s="21"/>
      <x:c r="K95" s="21"/>
      <x:c r="L95" s="21"/>
      <x:c r="M95" s="21"/>
      <x:c r="N95" s="21"/>
      <x:c r="O95" s="21"/>
      <x:c r="P95" s="21"/>
      <x:c r="Q95" s="21"/>
      <x:c r="R95" s="21"/>
      <x:c r="S95" s="21"/>
      <x:c r="T95" s="21"/>
      <x:c r="U95" s="21"/>
      <x:c r="V95" s="21"/>
      <x:c r="W95" s="21"/>
      <x:c r="X95" s="21"/>
      <x:c r="Y95" s="21"/>
      <x:c r="Z95" s="21"/>
    </x:row>
    <x:row r="96">
      <x:c r="A96" s="21"/>
      <x:c r="B96" s="21"/>
      <x:c r="C96" s="21"/>
      <x:c r="D96" s="21"/>
      <x:c r="E96" s="21"/>
      <x:c r="F96" s="21"/>
      <x:c r="G96" s="21"/>
      <x:c r="H96" s="21"/>
      <x:c r="I96" s="21"/>
      <x:c r="J96" s="21"/>
      <x:c r="K96" s="21"/>
      <x:c r="L96" s="21"/>
      <x:c r="M96" s="21"/>
      <x:c r="N96" s="21"/>
      <x:c r="O96" s="21"/>
      <x:c r="P96" s="21"/>
      <x:c r="Q96" s="21"/>
      <x:c r="R96" s="21"/>
      <x:c r="S96" s="21"/>
      <x:c r="T96" s="21"/>
      <x:c r="U96" s="21"/>
      <x:c r="V96" s="21"/>
      <x:c r="W96" s="21"/>
      <x:c r="X96" s="21"/>
      <x:c r="Y96" s="21"/>
      <x:c r="Z96" s="21"/>
    </x:row>
    <x:row r="97">
      <x:c r="A97" s="21"/>
      <x:c r="B97" s="21"/>
      <x:c r="C97" s="21"/>
      <x:c r="D97" s="21"/>
      <x:c r="E97" s="21"/>
      <x:c r="F97" s="21"/>
      <x:c r="G97" s="21"/>
      <x:c r="H97" s="21"/>
      <x:c r="I97" s="21"/>
      <x:c r="J97" s="21"/>
      <x:c r="K97" s="21"/>
      <x:c r="L97" s="21"/>
      <x:c r="M97" s="21"/>
      <x:c r="N97" s="21"/>
      <x:c r="O97" s="21"/>
      <x:c r="P97" s="21"/>
      <x:c r="Q97" s="21"/>
      <x:c r="R97" s="21"/>
      <x:c r="S97" s="21"/>
      <x:c r="T97" s="21"/>
      <x:c r="U97" s="21"/>
      <x:c r="V97" s="21"/>
      <x:c r="W97" s="21"/>
      <x:c r="X97" s="21"/>
      <x:c r="Y97" s="21"/>
      <x:c r="Z97" s="21"/>
    </x:row>
    <x:row r="98">
      <x:c r="A98" s="21"/>
      <x:c r="B98" s="21"/>
      <x:c r="C98" s="21"/>
      <x:c r="D98" s="21"/>
      <x:c r="E98" s="21"/>
      <x:c r="F98" s="21"/>
      <x:c r="G98" s="21"/>
      <x:c r="H98" s="21"/>
      <x:c r="I98" s="21"/>
      <x:c r="J98" s="21"/>
      <x:c r="K98" s="21"/>
      <x:c r="L98" s="21"/>
      <x:c r="M98" s="21"/>
      <x:c r="N98" s="21"/>
      <x:c r="O98" s="21"/>
      <x:c r="P98" s="21"/>
      <x:c r="Q98" s="21"/>
      <x:c r="R98" s="21"/>
      <x:c r="S98" s="21"/>
      <x:c r="T98" s="21"/>
      <x:c r="U98" s="21"/>
      <x:c r="V98" s="21"/>
      <x:c r="W98" s="21"/>
      <x:c r="X98" s="21"/>
      <x:c r="Y98" s="21"/>
      <x:c r="Z98" s="21"/>
    </x:row>
    <x:row r="99">
      <x:c r="A99" s="21"/>
      <x:c r="B99" s="21"/>
      <x:c r="C99" s="21"/>
      <x:c r="D99" s="21"/>
      <x:c r="E99" s="21"/>
      <x:c r="F99" s="21"/>
      <x:c r="G99" s="21"/>
      <x:c r="H99" s="21"/>
      <x:c r="I99" s="21"/>
      <x:c r="J99" s="21"/>
      <x:c r="K99" s="21"/>
      <x:c r="L99" s="21"/>
      <x:c r="M99" s="21"/>
      <x:c r="N99" s="21"/>
      <x:c r="O99" s="21"/>
      <x:c r="P99" s="21"/>
      <x:c r="Q99" s="21"/>
      <x:c r="R99" s="21"/>
      <x:c r="S99" s="21"/>
      <x:c r="T99" s="21"/>
      <x:c r="U99" s="21"/>
      <x:c r="V99" s="21"/>
      <x:c r="W99" s="21"/>
      <x:c r="X99" s="21"/>
      <x:c r="Y99" s="21"/>
      <x:c r="Z99" s="21"/>
    </x:row>
    <x:row r="100">
      <x:c r="A100" s="21"/>
      <x:c r="B100" s="21"/>
      <x:c r="C100" s="21"/>
      <x:c r="D100" s="21"/>
      <x:c r="E100" s="21"/>
      <x:c r="F100" s="21"/>
      <x:c r="G100" s="21"/>
      <x:c r="H100" s="21"/>
      <x:c r="I100" s="21"/>
      <x:c r="J100" s="21"/>
      <x:c r="K100" s="21"/>
      <x:c r="L100" s="21"/>
      <x:c r="M100" s="21"/>
      <x:c r="N100" s="21"/>
      <x:c r="O100" s="21"/>
      <x:c r="P100" s="21"/>
      <x:c r="Q100" s="21"/>
      <x:c r="R100" s="21"/>
      <x:c r="S100" s="21"/>
      <x:c r="T100" s="21"/>
      <x:c r="U100" s="21"/>
      <x:c r="V100" s="21"/>
      <x:c r="W100" s="21"/>
      <x:c r="X100" s="21"/>
      <x:c r="Y100" s="21"/>
      <x:c r="Z100" s="21"/>
    </x:row>
  </x:sheetData>
  <x:mergeCells>
    <x:mergeCell ref="A1:J1"/>
    <x:mergeCell ref="A14:G14"/>
    <x:mergeCell ref="A22:G22"/>
  </x:mergeCells>
  <x:conditionalFormatting sqref="D16:D20">
    <x:cfRule type="cellIs" dxfId="13" priority="1" operator="lessThan">
      <x:formula>0</x:formula>
    </x:cfRule>
    <x:cfRule type="cellIs" dxfId="12" priority="2" operator="greaterThanOrEqual">
      <x:formula>0</x:formula>
    </x:cfRule>
  </x:conditionalFormatting>
  <x:conditionalFormatting sqref="F16:F20">
    <x:cfRule type="cellIs" dxfId="11" priority="3" operator="lessThan">
      <x:formula>0</x:formula>
    </x:cfRule>
  </x:conditionalFormatting>
  <x:pageMargins left="0.7" right="0.7" top="0.75" bottom="0.75" header="0.3" footer="0.3"/>
  <x:drawing xmlns:r="http://schemas.openxmlformats.org/officeDocument/2006/relationships" r:id="R0b899d94065b494c"/>
</x:worksheet>
</file>

<file path=xl/worksheets/sheet15.xml><?xml version="1.0" encoding="utf-8"?>
<x:worksheet xmlns:x="http://schemas.openxmlformats.org/spreadsheetml/2006/main">
  <x:sheetFormatPr defaultRowHeight="15"/>
  <x:cols>
    <x:col min="1" max="1" width="14" customWidth="1"/>
    <x:col min="2" max="2" width="32" customWidth="1"/>
    <x:col min="3" max="3" width="36" customWidth="1"/>
    <x:col min="4" max="5" width="38" customWidth="1"/>
    <x:col min="6" max="7" width="44" customWidth="1"/>
    <x:col min="8" max="8" width="31" customWidth="1"/>
  </x:cols>
  <x:sheetData>
    <x:row r="1" ht="21">
      <x:c r="A1" s="137" t="s">
        <x:v>2646</x:v>
      </x:c>
      <x:c r="B1" s="137"/>
      <x:c r="C1" s="137"/>
      <x:c r="D1" s="137"/>
      <x:c r="E1" s="137"/>
      <x:c r="F1" s="137"/>
      <x:c r="G1" s="137"/>
      <x:c r="H1" s="137"/>
    </x:row>
    <x:row r="3">
      <x:c r="A3" s="113" t="s">
        <x:v>2647</x:v>
      </x:c>
      <x:c r="B3" s="113" t="s">
        <x:v>2648</x:v>
      </x:c>
      <x:c r="C3" s="113" t="s">
        <x:v>2649</x:v>
      </x:c>
      <x:c r="D3" s="113" t="s">
        <x:v>2650</x:v>
      </x:c>
      <x:c r="E3" s="113" t="s">
        <x:v>2651</x:v>
      </x:c>
      <x:c r="F3" s="113" t="s">
        <x:v>2652</x:v>
      </x:c>
      <x:c r="G3" s="113" t="s">
        <x:v>2653</x:v>
      </x:c>
      <x:c r="H3" s="113" t="s">
        <x:v>2654</x:v>
      </x:c>
    </x:row>
    <x:row r="4" ht="60">
      <x:c r="A4" s="2" t="s">
        <x:v>336</x:v>
      </x:c>
      <x:c r="B4" s="2" t="s">
        <x:v>2655</x:v>
      </x:c>
      <x:c r="C4" s="2" t="s">
        <x:v>2656</x:v>
      </x:c>
      <x:c r="D4" s="2" t="s">
        <x:v>2657</x:v>
      </x:c>
      <x:c r="E4" s="2" t="s">
        <x:v>2658</x:v>
      </x:c>
      <x:c r="F4" s="2" t="s">
        <x:v>2659</x:v>
      </x:c>
      <x:c r="G4" s="2" t="s">
        <x:v>2660</x:v>
      </x:c>
      <x:c r="H4" s="2" t="s">
        <x:v>2661</x:v>
      </x:c>
    </x:row>
    <x:row r="5" ht="60">
      <x:c r="A5" s="2" t="s">
        <x:v>303</x:v>
      </x:c>
      <x:c r="B5" s="2" t="s">
        <x:v>2662</x:v>
      </x:c>
      <x:c r="C5" s="2" t="s">
        <x:v>2663</x:v>
      </x:c>
      <x:c r="D5" s="2" t="s">
        <x:v>2664</x:v>
      </x:c>
      <x:c r="E5" s="2" t="s">
        <x:v>2665</x:v>
      </x:c>
      <x:c r="F5" s="2" t="s">
        <x:v>2666</x:v>
      </x:c>
      <x:c r="G5" s="2" t="s">
        <x:v>2667</x:v>
      </x:c>
      <x:c r="H5" s="2" t="s">
        <x:v>2668</x:v>
      </x:c>
    </x:row>
    <x:row r="6" ht="60">
      <x:c r="A6" s="2" t="s">
        <x:v>417</x:v>
      </x:c>
      <x:c r="B6" s="2" t="s">
        <x:v>2669</x:v>
      </x:c>
      <x:c r="C6" s="2" t="s">
        <x:v>2670</x:v>
      </x:c>
      <x:c r="D6" s="2" t="s">
        <x:v>2671</x:v>
      </x:c>
      <x:c r="E6" s="2" t="s">
        <x:v>2672</x:v>
      </x:c>
      <x:c r="F6" s="2" t="s">
        <x:v>2673</x:v>
      </x:c>
      <x:c r="G6" s="2" t="s">
        <x:v>2674</x:v>
      </x:c>
      <x:c r="H6" s="2" t="s">
        <x:v>2675</x:v>
      </x:c>
    </x:row>
    <x:row r="8">
      <x:c r="A8" s="132" t="s">
        <x:v>2676</x:v>
      </x:c>
      <x:c r="B8" s="132"/>
      <x:c r="C8" s="132"/>
      <x:c r="D8" s="132"/>
      <x:c r="E8" s="132"/>
      <x:c r="F8" s="132"/>
      <x:c r="G8" s="132"/>
      <x:c r="H8" s="132"/>
    </x:row>
    <x:row r="9" ht="30">
      <x:c r="A9" s="2" t="s">
        <x:v>2677</x:v>
      </x:c>
      <x:c r="B9" s="2" t="s">
        <x:v>2678</x:v>
      </x:c>
      <x:c r="C9" s="2" t="s">
        <x:v>2679</x:v>
      </x:c>
    </x:row>
    <x:row r="10" ht="45">
      <x:c r="A10" s="2" t="s">
        <x:v>2680</x:v>
      </x:c>
      <x:c r="B10" s="2" t="s">
        <x:v>2681</x:v>
      </x:c>
      <x:c r="C10" s="2" t="s">
        <x:v>2682</x:v>
      </x:c>
    </x:row>
    <x:row r="11" ht="45">
      <x:c r="A11" s="2" t="s">
        <x:v>2683</x:v>
      </x:c>
      <x:c r="B11" s="2" t="s">
        <x:v>2684</x:v>
      </x:c>
      <x:c r="C11" s="2" t="s">
        <x:v>2685</x:v>
      </x:c>
    </x:row>
    <x:row r="12" ht="30">
      <x:c r="A12" s="2" t="s">
        <x:v>2686</x:v>
      </x:c>
      <x:c r="B12" s="2" t="s">
        <x:v>2687</x:v>
      </x:c>
      <x:c r="C12" s="2" t="s">
        <x:v>2688</x:v>
      </x:c>
    </x:row>
    <x:row r="13" ht="45">
      <x:c r="A13" s="2" t="s">
        <x:v>2689</x:v>
      </x:c>
      <x:c r="B13" s="2" t="s">
        <x:v>2690</x:v>
      </x:c>
      <x:c r="C13" s="2" t="s">
        <x:v>2691</x:v>
      </x:c>
    </x:row>
    <x:row r="14" ht="45">
      <x:c r="A14" s="2" t="s">
        <x:v>2692</x:v>
      </x:c>
      <x:c r="B14" s="2" t="s">
        <x:v>2693</x:v>
      </x:c>
      <x:c r="C14" s="2" t="s">
        <x:v>2694</x:v>
      </x:c>
    </x:row>
    <x:row r="15" ht="60">
      <x:c r="A15" s="2" t="s">
        <x:v>2695</x:v>
      </x:c>
      <x:c r="B15" s="2" t="s">
        <x:v>2696</x:v>
      </x:c>
      <x:c r="C15" s="2" t="s">
        <x:v>2697</x:v>
      </x:c>
    </x:row>
    <x:row r="17">
      <x:c r="A17" s="132" t="s">
        <x:v>2698</x:v>
      </x:c>
      <x:c r="B17" s="132"/>
      <x:c r="C17" s="132"/>
      <x:c r="D17" s="132"/>
      <x:c r="E17" s="132"/>
      <x:c r="F17" s="132"/>
      <x:c r="G17" s="132"/>
      <x:c r="H17" s="132"/>
    </x:row>
    <x:row r="18" ht="30">
      <x:c r="A18" s="114" t="s">
        <x:v>2699</x:v>
      </x:c>
      <x:c r="B18" s="114" t="s">
        <x:v>2700</x:v>
      </x:c>
      <x:c r="C18" s="114" t="s">
        <x:v>2701</x:v>
      </x:c>
      <x:c r="D18" s="114" t="s">
        <x:v>2702</x:v>
      </x:c>
      <x:c r="E18" s="114"/>
      <x:c r="F18" s="114"/>
      <x:c r="G18" s="114"/>
      <x:c r="H18" s="114"/>
    </x:row>
    <x:row r="19" ht="60">
      <x:c r="A19" s="2" t="s">
        <x:v>495</x:v>
      </x:c>
      <x:c r="B19" s="2" t="s">
        <x:v>2703</x:v>
      </x:c>
      <x:c r="C19" s="2" t="s">
        <x:v>2704</x:v>
      </x:c>
      <x:c r="D19" s="2" t="s">
        <x:v>2705</x:v>
      </x:c>
      <x:c r="E19" s="2"/>
      <x:c r="F19" s="2"/>
      <x:c r="G19" s="2"/>
      <x:c r="H19" s="2"/>
    </x:row>
    <x:row r="20" ht="30">
      <x:c r="A20" s="2" t="s">
        <x:v>363</x:v>
      </x:c>
      <x:c r="B20" s="2" t="s">
        <x:v>2706</x:v>
      </x:c>
      <x:c r="C20" s="2" t="s">
        <x:v>2707</x:v>
      </x:c>
      <x:c r="D20" s="2" t="s">
        <x:v>2708</x:v>
      </x:c>
      <x:c r="E20" s="2"/>
      <x:c r="F20" s="2"/>
      <x:c r="G20" s="2"/>
      <x:c r="H20" s="2"/>
    </x:row>
    <x:row r="21" ht="30">
      <x:c r="A21" s="2" t="s">
        <x:v>314</x:v>
      </x:c>
      <x:c r="B21" s="2" t="s">
        <x:v>2709</x:v>
      </x:c>
      <x:c r="C21" s="2" t="s">
        <x:v>2710</x:v>
      </x:c>
      <x:c r="D21" s="2" t="s">
        <x:v>2711</x:v>
      </x:c>
      <x:c r="E21" s="2"/>
      <x:c r="F21" s="2"/>
      <x:c r="G21" s="2"/>
      <x:c r="H21" s="2"/>
    </x:row>
    <x:row r="22" ht="30">
      <x:c r="A22" s="2" t="s">
        <x:v>564</x:v>
      </x:c>
      <x:c r="B22" s="2" t="s">
        <x:v>2712</x:v>
      </x:c>
      <x:c r="C22" s="2" t="s">
        <x:v>2713</x:v>
      </x:c>
      <x:c r="D22" s="2" t="s">
        <x:v>2714</x:v>
      </x:c>
      <x:c r="E22" s="2"/>
      <x:c r="F22" s="2"/>
      <x:c r="G22" s="2"/>
      <x:c r="H22" s="2"/>
    </x:row>
    <x:row r="23" ht="30">
      <x:c r="A23" s="2" t="s">
        <x:v>538</x:v>
      </x:c>
      <x:c r="B23" s="2" t="s">
        <x:v>2715</x:v>
      </x:c>
      <x:c r="C23" s="2" t="s">
        <x:v>2716</x:v>
      </x:c>
      <x:c r="D23" s="2" t="s">
        <x:v>2717</x:v>
      </x:c>
      <x:c r="E23" s="2"/>
      <x:c r="F23" s="2"/>
      <x:c r="G23" s="2"/>
      <x:c r="H23" s="2"/>
    </x:row>
    <x:row r="24" ht="30">
      <x:c r="A24" s="2" t="s">
        <x:v>504</x:v>
      </x:c>
      <x:c r="B24" s="2" t="s">
        <x:v>2718</x:v>
      </x:c>
      <x:c r="C24" s="2" t="s">
        <x:v>2719</x:v>
      </x:c>
      <x:c r="D24" s="2" t="s">
        <x:v>2720</x:v>
      </x:c>
      <x:c r="E24" s="2"/>
      <x:c r="F24" s="2"/>
      <x:c r="G24" s="2"/>
      <x:c r="H24" s="2"/>
    </x:row>
    <x:row r="25" ht="30">
      <x:c r="A25" s="2" t="s">
        <x:v>1070</x:v>
      </x:c>
      <x:c r="B25" s="2" t="s">
        <x:v>2721</x:v>
      </x:c>
      <x:c r="C25" s="2" t="s">
        <x:v>2722</x:v>
      </x:c>
      <x:c r="D25" s="2" t="s">
        <x:v>2723</x:v>
      </x:c>
      <x:c r="E25" s="2"/>
      <x:c r="F25" s="2"/>
      <x:c r="G25" s="2"/>
      <x:c r="H25" s="2"/>
    </x:row>
  </x:sheetData>
  <x:mergeCells>
    <x:mergeCell ref="A1:H1"/>
    <x:mergeCell ref="A8:H8"/>
    <x:mergeCell ref="A17:H17"/>
  </x:mergeCells>
  <x:pageMargins left="0.7" right="0.7" top="0.75" bottom="0.75" header="0.3" footer="0.3"/>
</x:worksheet>
</file>

<file path=xl/worksheets/sheet16.xml><?xml version="1.0" encoding="utf-8"?>
<x:worksheet xmlns:x="http://schemas.openxmlformats.org/spreadsheetml/2006/main">
  <x:sheetFormatPr defaultRowHeight="15"/>
  <x:cols>
    <x:col min="1" max="2" width="10" customWidth="1"/>
    <x:col min="3" max="3" width="12" customWidth="1"/>
    <x:col min="4" max="4" width="13" customWidth="1"/>
    <x:col min="5" max="5" width="42" customWidth="1"/>
    <x:col min="6" max="7" width="12" customWidth="1"/>
    <x:col min="8" max="8" width="11" customWidth="1"/>
    <x:col min="9" max="9" width="34" customWidth="1"/>
    <x:col min="10" max="10" width="26" customWidth="1"/>
    <x:col min="11" max="11" width="10" customWidth="1"/>
    <x:col min="12" max="13" width="12" customWidth="1"/>
    <x:col min="14" max="14" width="28" customWidth="1"/>
    <x:col min="15" max="17" width="46" customWidth="1"/>
  </x:cols>
  <x:sheetData>
    <x:row r="1" ht="30">
      <x:c r="A1" s="375" t="s">
        <x:v>2724</x:v>
      </x:c>
      <x:c r="B1" s="375" t="s">
        <x:v>2725</x:v>
      </x:c>
      <x:c r="C1" s="375" t="s">
        <x:v>1506</x:v>
      </x:c>
      <x:c r="D1" s="375" t="s">
        <x:v>10</x:v>
      </x:c>
      <x:c r="E1" s="375" t="s">
        <x:v>3</x:v>
      </x:c>
      <x:c r="F1" s="375" t="s">
        <x:v>2726</x:v>
      </x:c>
      <x:c r="G1" s="375" t="s">
        <x:v>2647</x:v>
      </x:c>
      <x:c r="H1" s="375" t="s">
        <x:v>2727</x:v>
      </x:c>
      <x:c r="I1" s="375" t="s">
        <x:v>2728</x:v>
      </x:c>
      <x:c r="J1" s="375" t="s">
        <x:v>2699</x:v>
      </x:c>
      <x:c r="K1" s="375" t="s">
        <x:v>2729</x:v>
      </x:c>
      <x:c r="L1" s="375" t="s">
        <x:v>2730</x:v>
      </x:c>
      <x:c r="M1" s="375" t="s">
        <x:v>2731</x:v>
      </x:c>
      <x:c r="N1" s="375" t="s">
        <x:v>1853</x:v>
      </x:c>
      <x:c r="O1" s="375" t="s">
        <x:v>1481</x:v>
      </x:c>
      <x:c r="P1" s="109" t="s">
        <x:v>38</x:v>
      </x:c>
      <x:c r="Q1" s="109" t="s">
        <x:v>2732</x:v>
      </x:c>
    </x:row>
    <x:row r="2" ht="30">
      <x:c r="A2" s="301" t="s">
        <x:v>40</x:v>
      </x:c>
      <x:c r="B2" s="301" t="s">
        <x:v>41</x:v>
      </x:c>
      <x:c r="C2" s="301" t="s">
        <x:v>42</x:v>
      </x:c>
      <x:c r="D2" s="301" t="s">
        <x:v>49</x:v>
      </x:c>
      <x:c r="E2" s="301" t="s">
        <x:v>43</x:v>
      </x:c>
      <x:c r="F2" s="343">
        <x:v>8</x:v>
      </x:c>
      <x:c r="G2" s="301" t="s">
        <x:v>51</x:v>
      </x:c>
      <x:c r="H2" s="301">
        <x:v>0</x:v>
      </x:c>
      <x:c r="I2" s="301" t="s">
        <x:v>62</x:v>
      </x:c>
      <x:c r="J2" s="301" t="s">
        <x:v>61</x:v>
      </x:c>
      <x:c r="K2" s="302">
        <x:v>0</x:v>
      </x:c>
      <x:c r="L2" s="302">
        <x:v>0</x:v>
      </x:c>
      <x:c r="M2" s="302">
        <x:v>0</x:v>
      </x:c>
      <x:c r="N2" s="301" t="s">
        <x:v>51</x:v>
      </x:c>
      <x:c r="O2" s="301" t="s">
        <x:v>63</x:v>
      </x:c>
      <x:c r="P2" s="2" t="s">
        <x:v>64</x:v>
      </x:c>
      <x:c r="Q2" s="2" t="s">
        <x:v>65</x:v>
      </x:c>
    </x:row>
    <x:row r="3" ht="30">
      <x:c r="A3" s="301" t="s">
        <x:v>66</x:v>
      </x:c>
      <x:c r="B3" s="301" t="s">
        <x:v>41</x:v>
      </x:c>
      <x:c r="C3" s="301" t="s">
        <x:v>42</x:v>
      </x:c>
      <x:c r="D3" s="301" t="s">
        <x:v>49</x:v>
      </x:c>
      <x:c r="E3" s="301" t="s">
        <x:v>67</x:v>
      </x:c>
      <x:c r="F3" s="343">
        <x:v>8</x:v>
      </x:c>
      <x:c r="G3" s="301" t="s">
        <x:v>51</x:v>
      </x:c>
      <x:c r="H3" s="301">
        <x:v>0</x:v>
      </x:c>
      <x:c r="I3" s="301" t="s">
        <x:v>62</x:v>
      </x:c>
      <x:c r="J3" s="301" t="s">
        <x:v>61</x:v>
      </x:c>
      <x:c r="K3" s="302">
        <x:v>0</x:v>
      </x:c>
      <x:c r="L3" s="302">
        <x:v>0</x:v>
      </x:c>
      <x:c r="M3" s="302">
        <x:v>0</x:v>
      </x:c>
      <x:c r="N3" s="301" t="s">
        <x:v>51</x:v>
      </x:c>
      <x:c r="O3" s="301" t="s">
        <x:v>63</x:v>
      </x:c>
      <x:c r="P3" s="2" t="s">
        <x:v>64</x:v>
      </x:c>
      <x:c r="Q3" s="2" t="s">
        <x:v>65</x:v>
      </x:c>
    </x:row>
    <x:row r="4" ht="30">
      <x:c r="A4" s="301" t="s">
        <x:v>71</x:v>
      </x:c>
      <x:c r="B4" s="301" t="s">
        <x:v>41</x:v>
      </x:c>
      <x:c r="C4" s="301" t="s">
        <x:v>42</x:v>
      </x:c>
      <x:c r="D4" s="301" t="s">
        <x:v>49</x:v>
      </x:c>
      <x:c r="E4" s="301" t="s">
        <x:v>72</x:v>
      </x:c>
      <x:c r="F4" s="343">
        <x:v>4</x:v>
      </x:c>
      <x:c r="G4" s="301" t="s">
        <x:v>51</x:v>
      </x:c>
      <x:c r="H4" s="301">
        <x:v>0</x:v>
      </x:c>
      <x:c r="I4" s="301" t="s">
        <x:v>62</x:v>
      </x:c>
      <x:c r="J4" s="301" t="s">
        <x:v>61</x:v>
      </x:c>
      <x:c r="K4" s="302">
        <x:v>0</x:v>
      </x:c>
      <x:c r="L4" s="302">
        <x:v>0</x:v>
      </x:c>
      <x:c r="M4" s="302">
        <x:v>0</x:v>
      </x:c>
      <x:c r="N4" s="301" t="s">
        <x:v>51</x:v>
      </x:c>
      <x:c r="O4" s="301" t="s">
        <x:v>63</x:v>
      </x:c>
      <x:c r="P4" s="2" t="s">
        <x:v>64</x:v>
      </x:c>
      <x:c r="Q4" s="2" t="s">
        <x:v>65</x:v>
      </x:c>
    </x:row>
    <x:row r="5" ht="30">
      <x:c r="A5" s="301" t="s">
        <x:v>78</x:v>
      </x:c>
      <x:c r="B5" s="301" t="s">
        <x:v>41</x:v>
      </x:c>
      <x:c r="C5" s="301" t="s">
        <x:v>42</x:v>
      </x:c>
      <x:c r="D5" s="301" t="s">
        <x:v>49</x:v>
      </x:c>
      <x:c r="E5" s="301" t="s">
        <x:v>79</x:v>
      </x:c>
      <x:c r="F5" s="343">
        <x:v>4</x:v>
      </x:c>
      <x:c r="G5" s="301" t="s">
        <x:v>51</x:v>
      </x:c>
      <x:c r="H5" s="301">
        <x:v>0</x:v>
      </x:c>
      <x:c r="I5" s="301" t="s">
        <x:v>62</x:v>
      </x:c>
      <x:c r="J5" s="301" t="s">
        <x:v>61</x:v>
      </x:c>
      <x:c r="K5" s="302">
        <x:v>0</x:v>
      </x:c>
      <x:c r="L5" s="302">
        <x:v>0</x:v>
      </x:c>
      <x:c r="M5" s="302">
        <x:v>0</x:v>
      </x:c>
      <x:c r="N5" s="301" t="s">
        <x:v>51</x:v>
      </x:c>
      <x:c r="O5" s="301" t="s">
        <x:v>63</x:v>
      </x:c>
      <x:c r="P5" s="2" t="s">
        <x:v>64</x:v>
      </x:c>
      <x:c r="Q5" s="2" t="s">
        <x:v>65</x:v>
      </x:c>
    </x:row>
    <x:row r="6" ht="30">
      <x:c r="A6" s="301" t="s">
        <x:v>84</x:v>
      </x:c>
      <x:c r="B6" s="301" t="s">
        <x:v>41</x:v>
      </x:c>
      <x:c r="C6" s="301" t="s">
        <x:v>42</x:v>
      </x:c>
      <x:c r="D6" s="301" t="s">
        <x:v>49</x:v>
      </x:c>
      <x:c r="E6" s="301" t="s">
        <x:v>85</x:v>
      </x:c>
      <x:c r="F6" s="343">
        <x:v>6</x:v>
      </x:c>
      <x:c r="G6" s="301" t="s">
        <x:v>51</x:v>
      </x:c>
      <x:c r="H6" s="301">
        <x:v>0</x:v>
      </x:c>
      <x:c r="I6" s="301" t="s">
        <x:v>62</x:v>
      </x:c>
      <x:c r="J6" s="301" t="s">
        <x:v>61</x:v>
      </x:c>
      <x:c r="K6" s="302">
        <x:v>0</x:v>
      </x:c>
      <x:c r="L6" s="302">
        <x:v>0</x:v>
      </x:c>
      <x:c r="M6" s="302">
        <x:v>0</x:v>
      </x:c>
      <x:c r="N6" s="301" t="s">
        <x:v>51</x:v>
      </x:c>
      <x:c r="O6" s="301" t="s">
        <x:v>63</x:v>
      </x:c>
      <x:c r="P6" s="2" t="s">
        <x:v>64</x:v>
      </x:c>
      <x:c r="Q6" s="2" t="s">
        <x:v>65</x:v>
      </x:c>
    </x:row>
    <x:row r="7" ht="30">
      <x:c r="A7" s="301" t="s">
        <x:v>90</x:v>
      </x:c>
      <x:c r="B7" s="301" t="s">
        <x:v>41</x:v>
      </x:c>
      <x:c r="C7" s="301" t="s">
        <x:v>42</x:v>
      </x:c>
      <x:c r="D7" s="301" t="s">
        <x:v>49</x:v>
      </x:c>
      <x:c r="E7" s="301" t="s">
        <x:v>91</x:v>
      </x:c>
      <x:c r="F7" s="343">
        <x:v>8</x:v>
      </x:c>
      <x:c r="G7" s="301" t="s">
        <x:v>51</x:v>
      </x:c>
      <x:c r="H7" s="301">
        <x:v>0</x:v>
      </x:c>
      <x:c r="I7" s="301" t="s">
        <x:v>62</x:v>
      </x:c>
      <x:c r="J7" s="301" t="s">
        <x:v>61</x:v>
      </x:c>
      <x:c r="K7" s="302">
        <x:v>0</x:v>
      </x:c>
      <x:c r="L7" s="302">
        <x:v>0</x:v>
      </x:c>
      <x:c r="M7" s="302">
        <x:v>0</x:v>
      </x:c>
      <x:c r="N7" s="301" t="s">
        <x:v>51</x:v>
      </x:c>
      <x:c r="O7" s="301" t="s">
        <x:v>63</x:v>
      </x:c>
      <x:c r="P7" s="2" t="s">
        <x:v>64</x:v>
      </x:c>
      <x:c r="Q7" s="2" t="s">
        <x:v>65</x:v>
      </x:c>
    </x:row>
    <x:row r="8" ht="45">
      <x:c r="A8" s="301" t="s">
        <x:v>94</x:v>
      </x:c>
      <x:c r="B8" s="301" t="s">
        <x:v>41</x:v>
      </x:c>
      <x:c r="C8" s="301" t="s">
        <x:v>42</x:v>
      </x:c>
      <x:c r="D8" s="301" t="s">
        <x:v>49</x:v>
      </x:c>
      <x:c r="E8" s="301" t="s">
        <x:v>2733</x:v>
      </x:c>
      <x:c r="F8" s="343">
        <x:v>10</x:v>
      </x:c>
      <x:c r="G8" s="301" t="s">
        <x:v>51</x:v>
      </x:c>
      <x:c r="H8" s="301">
        <x:v>0</x:v>
      </x:c>
      <x:c r="I8" s="301" t="s">
        <x:v>62</x:v>
      </x:c>
      <x:c r="J8" s="301" t="s">
        <x:v>61</x:v>
      </x:c>
      <x:c r="K8" s="302">
        <x:v>0</x:v>
      </x:c>
      <x:c r="L8" s="302">
        <x:v>0</x:v>
      </x:c>
      <x:c r="M8" s="302">
        <x:v>0</x:v>
      </x:c>
      <x:c r="N8" s="301" t="s">
        <x:v>51</x:v>
      </x:c>
      <x:c r="O8" s="301" t="s">
        <x:v>63</x:v>
      </x:c>
      <x:c r="P8" s="2" t="s">
        <x:v>64</x:v>
      </x:c>
      <x:c r="Q8" s="2" t="s">
        <x:v>65</x:v>
      </x:c>
    </x:row>
    <x:row r="9" ht="30">
      <x:c r="A9" s="301" t="s">
        <x:v>98</x:v>
      </x:c>
      <x:c r="B9" s="301" t="s">
        <x:v>41</x:v>
      </x:c>
      <x:c r="C9" s="301" t="s">
        <x:v>42</x:v>
      </x:c>
      <x:c r="D9" s="301" t="s">
        <x:v>49</x:v>
      </x:c>
      <x:c r="E9" s="301" t="s">
        <x:v>99</x:v>
      </x:c>
      <x:c r="F9" s="343">
        <x:v>10</x:v>
      </x:c>
      <x:c r="G9" s="301" t="s">
        <x:v>51</x:v>
      </x:c>
      <x:c r="H9" s="301">
        <x:v>0</x:v>
      </x:c>
      <x:c r="I9" s="301" t="s">
        <x:v>62</x:v>
      </x:c>
      <x:c r="J9" s="301" t="s">
        <x:v>61</x:v>
      </x:c>
      <x:c r="K9" s="302">
        <x:v>0</x:v>
      </x:c>
      <x:c r="L9" s="302">
        <x:v>0</x:v>
      </x:c>
      <x:c r="M9" s="302">
        <x:v>0</x:v>
      </x:c>
      <x:c r="N9" s="301" t="s">
        <x:v>51</x:v>
      </x:c>
      <x:c r="O9" s="301" t="s">
        <x:v>63</x:v>
      </x:c>
      <x:c r="P9" s="2" t="s">
        <x:v>64</x:v>
      </x:c>
      <x:c r="Q9" s="2" t="s">
        <x:v>65</x:v>
      </x:c>
    </x:row>
    <x:row r="10" ht="30">
      <x:c r="A10" s="301" t="s">
        <x:v>104</x:v>
      </x:c>
      <x:c r="B10" s="301" t="s">
        <x:v>41</x:v>
      </x:c>
      <x:c r="C10" s="301" t="s">
        <x:v>42</x:v>
      </x:c>
      <x:c r="D10" s="301" t="s">
        <x:v>49</x:v>
      </x:c>
      <x:c r="E10" s="301" t="s">
        <x:v>105</x:v>
      </x:c>
      <x:c r="F10" s="343">
        <x:v>6</x:v>
      </x:c>
      <x:c r="G10" s="301" t="s">
        <x:v>51</x:v>
      </x:c>
      <x:c r="H10" s="301">
        <x:v>0</x:v>
      </x:c>
      <x:c r="I10" s="301" t="s">
        <x:v>62</x:v>
      </x:c>
      <x:c r="J10" s="301" t="s">
        <x:v>61</x:v>
      </x:c>
      <x:c r="K10" s="302">
        <x:v>0</x:v>
      </x:c>
      <x:c r="L10" s="302">
        <x:v>0</x:v>
      </x:c>
      <x:c r="M10" s="302">
        <x:v>0</x:v>
      </x:c>
      <x:c r="N10" s="301" t="s">
        <x:v>51</x:v>
      </x:c>
      <x:c r="O10" s="301" t="s">
        <x:v>63</x:v>
      </x:c>
      <x:c r="P10" s="2" t="s">
        <x:v>64</x:v>
      </x:c>
      <x:c r="Q10" s="2" t="s">
        <x:v>65</x:v>
      </x:c>
    </x:row>
    <x:row r="11" ht="30">
      <x:c r="A11" s="301" t="s">
        <x:v>110</x:v>
      </x:c>
      <x:c r="B11" s="301" t="s">
        <x:v>41</x:v>
      </x:c>
      <x:c r="C11" s="301" t="s">
        <x:v>42</x:v>
      </x:c>
      <x:c r="D11" s="301" t="s">
        <x:v>49</x:v>
      </x:c>
      <x:c r="E11" s="301" t="s">
        <x:v>2734</x:v>
      </x:c>
      <x:c r="F11" s="343">
        <x:v>8</x:v>
      </x:c>
      <x:c r="G11" s="301" t="s">
        <x:v>51</x:v>
      </x:c>
      <x:c r="H11" s="301">
        <x:v>0</x:v>
      </x:c>
      <x:c r="I11" s="301" t="s">
        <x:v>62</x:v>
      </x:c>
      <x:c r="J11" s="301" t="s">
        <x:v>61</x:v>
      </x:c>
      <x:c r="K11" s="302">
        <x:v>0</x:v>
      </x:c>
      <x:c r="L11" s="302">
        <x:v>0</x:v>
      </x:c>
      <x:c r="M11" s="302">
        <x:v>0</x:v>
      </x:c>
      <x:c r="N11" s="301" t="s">
        <x:v>51</x:v>
      </x:c>
      <x:c r="O11" s="301" t="s">
        <x:v>63</x:v>
      </x:c>
      <x:c r="P11" s="2" t="s">
        <x:v>64</x:v>
      </x:c>
      <x:c r="Q11" s="2" t="s">
        <x:v>65</x:v>
      </x:c>
    </x:row>
    <x:row r="12" ht="30">
      <x:c r="A12" s="301" t="s">
        <x:v>115</x:v>
      </x:c>
      <x:c r="B12" s="301" t="s">
        <x:v>41</x:v>
      </x:c>
      <x:c r="C12" s="301" t="s">
        <x:v>42</x:v>
      </x:c>
      <x:c r="D12" s="301" t="s">
        <x:v>49</x:v>
      </x:c>
      <x:c r="E12" s="301" t="s">
        <x:v>116</x:v>
      </x:c>
      <x:c r="F12" s="343">
        <x:v>6</x:v>
      </x:c>
      <x:c r="G12" s="301" t="s">
        <x:v>51</x:v>
      </x:c>
      <x:c r="H12" s="301">
        <x:v>0</x:v>
      </x:c>
      <x:c r="I12" s="301" t="s">
        <x:v>62</x:v>
      </x:c>
      <x:c r="J12" s="301" t="s">
        <x:v>61</x:v>
      </x:c>
      <x:c r="K12" s="302">
        <x:v>0</x:v>
      </x:c>
      <x:c r="L12" s="302">
        <x:v>0</x:v>
      </x:c>
      <x:c r="M12" s="302">
        <x:v>0</x:v>
      </x:c>
      <x:c r="N12" s="301" t="s">
        <x:v>51</x:v>
      </x:c>
      <x:c r="O12" s="301" t="s">
        <x:v>63</x:v>
      </x:c>
      <x:c r="P12" s="2" t="s">
        <x:v>64</x:v>
      </x:c>
      <x:c r="Q12" s="2" t="s">
        <x:v>65</x:v>
      </x:c>
    </x:row>
    <x:row r="13" ht="30">
      <x:c r="A13" s="301" t="s">
        <x:v>121</x:v>
      </x:c>
      <x:c r="B13" s="301" t="s">
        <x:v>41</x:v>
      </x:c>
      <x:c r="C13" s="301" t="s">
        <x:v>42</x:v>
      </x:c>
      <x:c r="D13" s="301" t="s">
        <x:v>49</x:v>
      </x:c>
      <x:c r="E13" s="301" t="s">
        <x:v>122</x:v>
      </x:c>
      <x:c r="F13" s="343">
        <x:v>6</x:v>
      </x:c>
      <x:c r="G13" s="301" t="s">
        <x:v>51</x:v>
      </x:c>
      <x:c r="H13" s="301">
        <x:v>0</x:v>
      </x:c>
      <x:c r="I13" s="301" t="s">
        <x:v>62</x:v>
      </x:c>
      <x:c r="J13" s="301" t="s">
        <x:v>61</x:v>
      </x:c>
      <x:c r="K13" s="302">
        <x:v>0</x:v>
      </x:c>
      <x:c r="L13" s="302">
        <x:v>0</x:v>
      </x:c>
      <x:c r="M13" s="302">
        <x:v>0</x:v>
      </x:c>
      <x:c r="N13" s="301" t="s">
        <x:v>51</x:v>
      </x:c>
      <x:c r="O13" s="301" t="s">
        <x:v>63</x:v>
      </x:c>
      <x:c r="P13" s="2" t="s">
        <x:v>64</x:v>
      </x:c>
      <x:c r="Q13" s="2" t="s">
        <x:v>65</x:v>
      </x:c>
    </x:row>
    <x:row r="14" ht="30">
      <x:c r="A14" s="301" t="s">
        <x:v>126</x:v>
      </x:c>
      <x:c r="B14" s="301" t="s">
        <x:v>41</x:v>
      </x:c>
      <x:c r="C14" s="301" t="s">
        <x:v>127</x:v>
      </x:c>
      <x:c r="D14" s="301" t="s">
        <x:v>49</x:v>
      </x:c>
      <x:c r="E14" s="301" t="s">
        <x:v>128</x:v>
      </x:c>
      <x:c r="F14" s="343">
        <x:v>8</x:v>
      </x:c>
      <x:c r="G14" s="301" t="s">
        <x:v>51</x:v>
      </x:c>
      <x:c r="H14" s="301">
        <x:v>0</x:v>
      </x:c>
      <x:c r="I14" s="301" t="s">
        <x:v>62</x:v>
      </x:c>
      <x:c r="J14" s="301" t="s">
        <x:v>61</x:v>
      </x:c>
      <x:c r="K14" s="302">
        <x:v>0</x:v>
      </x:c>
      <x:c r="L14" s="302">
        <x:v>0</x:v>
      </x:c>
      <x:c r="M14" s="302">
        <x:v>0</x:v>
      </x:c>
      <x:c r="N14" s="301" t="s">
        <x:v>51</x:v>
      </x:c>
      <x:c r="O14" s="301" t="s">
        <x:v>63</x:v>
      </x:c>
      <x:c r="P14" s="2" t="s">
        <x:v>64</x:v>
      </x:c>
      <x:c r="Q14" s="2" t="s">
        <x:v>65</x:v>
      </x:c>
    </x:row>
    <x:row r="15" ht="30">
      <x:c r="A15" s="301" t="s">
        <x:v>132</x:v>
      </x:c>
      <x:c r="B15" s="301" t="s">
        <x:v>41</x:v>
      </x:c>
      <x:c r="C15" s="301" t="s">
        <x:v>127</x:v>
      </x:c>
      <x:c r="D15" s="301" t="s">
        <x:v>49</x:v>
      </x:c>
      <x:c r="E15" s="301" t="s">
        <x:v>133</x:v>
      </x:c>
      <x:c r="F15" s="343">
        <x:v>8</x:v>
      </x:c>
      <x:c r="G15" s="301" t="s">
        <x:v>51</x:v>
      </x:c>
      <x:c r="H15" s="301">
        <x:v>0</x:v>
      </x:c>
      <x:c r="I15" s="301" t="s">
        <x:v>62</x:v>
      </x:c>
      <x:c r="J15" s="301" t="s">
        <x:v>61</x:v>
      </x:c>
      <x:c r="K15" s="302">
        <x:v>0</x:v>
      </x:c>
      <x:c r="L15" s="302">
        <x:v>0</x:v>
      </x:c>
      <x:c r="M15" s="302">
        <x:v>0</x:v>
      </x:c>
      <x:c r="N15" s="301" t="s">
        <x:v>51</x:v>
      </x:c>
      <x:c r="O15" s="301" t="s">
        <x:v>63</x:v>
      </x:c>
      <x:c r="P15" s="2" t="s">
        <x:v>64</x:v>
      </x:c>
      <x:c r="Q15" s="2" t="s">
        <x:v>65</x:v>
      </x:c>
    </x:row>
    <x:row r="16" ht="30">
      <x:c r="A16" s="301" t="s">
        <x:v>136</x:v>
      </x:c>
      <x:c r="B16" s="301" t="s">
        <x:v>41</x:v>
      </x:c>
      <x:c r="C16" s="301" t="s">
        <x:v>127</x:v>
      </x:c>
      <x:c r="D16" s="301" t="s">
        <x:v>49</x:v>
      </x:c>
      <x:c r="E16" s="301" t="s">
        <x:v>137</x:v>
      </x:c>
      <x:c r="F16" s="343">
        <x:v>8</x:v>
      </x:c>
      <x:c r="G16" s="301" t="s">
        <x:v>51</x:v>
      </x:c>
      <x:c r="H16" s="301">
        <x:v>0</x:v>
      </x:c>
      <x:c r="I16" s="301" t="s">
        <x:v>62</x:v>
      </x:c>
      <x:c r="J16" s="301" t="s">
        <x:v>61</x:v>
      </x:c>
      <x:c r="K16" s="302">
        <x:v>0</x:v>
      </x:c>
      <x:c r="L16" s="302">
        <x:v>0</x:v>
      </x:c>
      <x:c r="M16" s="302">
        <x:v>0</x:v>
      </x:c>
      <x:c r="N16" s="301" t="s">
        <x:v>51</x:v>
      </x:c>
      <x:c r="O16" s="301" t="s">
        <x:v>63</x:v>
      </x:c>
      <x:c r="P16" s="2" t="s">
        <x:v>64</x:v>
      </x:c>
      <x:c r="Q16" s="2" t="s">
        <x:v>65</x:v>
      </x:c>
    </x:row>
    <x:row r="17" ht="30">
      <x:c r="A17" s="301" t="s">
        <x:v>140</x:v>
      </x:c>
      <x:c r="B17" s="301" t="s">
        <x:v>41</x:v>
      </x:c>
      <x:c r="C17" s="301" t="s">
        <x:v>127</x:v>
      </x:c>
      <x:c r="D17" s="301" t="s">
        <x:v>49</x:v>
      </x:c>
      <x:c r="E17" s="301" t="s">
        <x:v>141</x:v>
      </x:c>
      <x:c r="F17" s="343">
        <x:v>10</x:v>
      </x:c>
      <x:c r="G17" s="301" t="s">
        <x:v>51</x:v>
      </x:c>
      <x:c r="H17" s="301">
        <x:v>0</x:v>
      </x:c>
      <x:c r="I17" s="301" t="s">
        <x:v>62</x:v>
      </x:c>
      <x:c r="J17" s="301" t="s">
        <x:v>61</x:v>
      </x:c>
      <x:c r="K17" s="302">
        <x:v>0</x:v>
      </x:c>
      <x:c r="L17" s="302">
        <x:v>0</x:v>
      </x:c>
      <x:c r="M17" s="302">
        <x:v>0</x:v>
      </x:c>
      <x:c r="N17" s="301" t="s">
        <x:v>51</x:v>
      </x:c>
      <x:c r="O17" s="301" t="s">
        <x:v>63</x:v>
      </x:c>
      <x:c r="P17" s="2" t="s">
        <x:v>64</x:v>
      </x:c>
      <x:c r="Q17" s="2" t="s">
        <x:v>65</x:v>
      </x:c>
    </x:row>
    <x:row r="18" ht="30">
      <x:c r="A18" s="301" t="s">
        <x:v>144</x:v>
      </x:c>
      <x:c r="B18" s="301" t="s">
        <x:v>41</x:v>
      </x:c>
      <x:c r="C18" s="301" t="s">
        <x:v>127</x:v>
      </x:c>
      <x:c r="D18" s="301" t="s">
        <x:v>49</x:v>
      </x:c>
      <x:c r="E18" s="301" t="s">
        <x:v>145</x:v>
      </x:c>
      <x:c r="F18" s="343">
        <x:v>8</x:v>
      </x:c>
      <x:c r="G18" s="301" t="s">
        <x:v>51</x:v>
      </x:c>
      <x:c r="H18" s="301">
        <x:v>0</x:v>
      </x:c>
      <x:c r="I18" s="301" t="s">
        <x:v>62</x:v>
      </x:c>
      <x:c r="J18" s="301" t="s">
        <x:v>61</x:v>
      </x:c>
      <x:c r="K18" s="302">
        <x:v>0</x:v>
      </x:c>
      <x:c r="L18" s="302">
        <x:v>0</x:v>
      </x:c>
      <x:c r="M18" s="302">
        <x:v>0</x:v>
      </x:c>
      <x:c r="N18" s="301" t="s">
        <x:v>51</x:v>
      </x:c>
      <x:c r="O18" s="301" t="s">
        <x:v>63</x:v>
      </x:c>
      <x:c r="P18" s="2" t="s">
        <x:v>64</x:v>
      </x:c>
      <x:c r="Q18" s="2" t="s">
        <x:v>65</x:v>
      </x:c>
    </x:row>
    <x:row r="19" ht="30">
      <x:c r="A19" s="301" t="s">
        <x:v>148</x:v>
      </x:c>
      <x:c r="B19" s="301" t="s">
        <x:v>41</x:v>
      </x:c>
      <x:c r="C19" s="301" t="s">
        <x:v>127</x:v>
      </x:c>
      <x:c r="D19" s="301" t="s">
        <x:v>49</x:v>
      </x:c>
      <x:c r="E19" s="301" t="s">
        <x:v>149</x:v>
      </x:c>
      <x:c r="F19" s="343">
        <x:v>6</x:v>
      </x:c>
      <x:c r="G19" s="301" t="s">
        <x:v>51</x:v>
      </x:c>
      <x:c r="H19" s="301">
        <x:v>0</x:v>
      </x:c>
      <x:c r="I19" s="301" t="s">
        <x:v>62</x:v>
      </x:c>
      <x:c r="J19" s="301" t="s">
        <x:v>61</x:v>
      </x:c>
      <x:c r="K19" s="302">
        <x:v>0</x:v>
      </x:c>
      <x:c r="L19" s="302">
        <x:v>0</x:v>
      </x:c>
      <x:c r="M19" s="302">
        <x:v>0</x:v>
      </x:c>
      <x:c r="N19" s="301" t="s">
        <x:v>51</x:v>
      </x:c>
      <x:c r="O19" s="301" t="s">
        <x:v>63</x:v>
      </x:c>
      <x:c r="P19" s="2" t="s">
        <x:v>64</x:v>
      </x:c>
      <x:c r="Q19" s="2" t="s">
        <x:v>65</x:v>
      </x:c>
    </x:row>
    <x:row r="20" ht="30">
      <x:c r="A20" s="301" t="s">
        <x:v>152</x:v>
      </x:c>
      <x:c r="B20" s="301" t="s">
        <x:v>41</x:v>
      </x:c>
      <x:c r="C20" s="301" t="s">
        <x:v>127</x:v>
      </x:c>
      <x:c r="D20" s="301" t="s">
        <x:v>49</x:v>
      </x:c>
      <x:c r="E20" s="301" t="s">
        <x:v>153</x:v>
      </x:c>
      <x:c r="F20" s="343">
        <x:v>6</x:v>
      </x:c>
      <x:c r="G20" s="301" t="s">
        <x:v>51</x:v>
      </x:c>
      <x:c r="H20" s="301">
        <x:v>0</x:v>
      </x:c>
      <x:c r="I20" s="301" t="s">
        <x:v>62</x:v>
      </x:c>
      <x:c r="J20" s="301" t="s">
        <x:v>61</x:v>
      </x:c>
      <x:c r="K20" s="302">
        <x:v>0</x:v>
      </x:c>
      <x:c r="L20" s="302">
        <x:v>0</x:v>
      </x:c>
      <x:c r="M20" s="302">
        <x:v>0</x:v>
      </x:c>
      <x:c r="N20" s="301" t="s">
        <x:v>51</x:v>
      </x:c>
      <x:c r="O20" s="301" t="s">
        <x:v>63</x:v>
      </x:c>
      <x:c r="P20" s="2" t="s">
        <x:v>64</x:v>
      </x:c>
      <x:c r="Q20" s="2" t="s">
        <x:v>65</x:v>
      </x:c>
    </x:row>
    <x:row r="21" ht="30">
      <x:c r="A21" s="301" t="s">
        <x:v>156</x:v>
      </x:c>
      <x:c r="B21" s="301" t="s">
        <x:v>41</x:v>
      </x:c>
      <x:c r="C21" s="301" t="s">
        <x:v>127</x:v>
      </x:c>
      <x:c r="D21" s="301" t="s">
        <x:v>49</x:v>
      </x:c>
      <x:c r="E21" s="301" t="s">
        <x:v>157</x:v>
      </x:c>
      <x:c r="F21" s="343">
        <x:v>6</x:v>
      </x:c>
      <x:c r="G21" s="301" t="s">
        <x:v>51</x:v>
      </x:c>
      <x:c r="H21" s="301">
        <x:v>0</x:v>
      </x:c>
      <x:c r="I21" s="301" t="s">
        <x:v>62</x:v>
      </x:c>
      <x:c r="J21" s="301" t="s">
        <x:v>61</x:v>
      </x:c>
      <x:c r="K21" s="302">
        <x:v>0</x:v>
      </x:c>
      <x:c r="L21" s="302">
        <x:v>0</x:v>
      </x:c>
      <x:c r="M21" s="302">
        <x:v>0</x:v>
      </x:c>
      <x:c r="N21" s="301" t="s">
        <x:v>51</x:v>
      </x:c>
      <x:c r="O21" s="301" t="s">
        <x:v>63</x:v>
      </x:c>
      <x:c r="P21" s="2" t="s">
        <x:v>64</x:v>
      </x:c>
      <x:c r="Q21" s="2" t="s">
        <x:v>65</x:v>
      </x:c>
    </x:row>
    <x:row r="22" ht="30">
      <x:c r="A22" s="301" t="s">
        <x:v>160</x:v>
      </x:c>
      <x:c r="B22" s="301" t="s">
        <x:v>41</x:v>
      </x:c>
      <x:c r="C22" s="301" t="s">
        <x:v>127</x:v>
      </x:c>
      <x:c r="D22" s="301" t="s">
        <x:v>49</x:v>
      </x:c>
      <x:c r="E22" s="301" t="s">
        <x:v>161</x:v>
      </x:c>
      <x:c r="F22" s="343">
        <x:v>6</x:v>
      </x:c>
      <x:c r="G22" s="301" t="s">
        <x:v>51</x:v>
      </x:c>
      <x:c r="H22" s="301">
        <x:v>0</x:v>
      </x:c>
      <x:c r="I22" s="301" t="s">
        <x:v>62</x:v>
      </x:c>
      <x:c r="J22" s="301" t="s">
        <x:v>61</x:v>
      </x:c>
      <x:c r="K22" s="302">
        <x:v>0</x:v>
      </x:c>
      <x:c r="L22" s="302">
        <x:v>0</x:v>
      </x:c>
      <x:c r="M22" s="302">
        <x:v>0</x:v>
      </x:c>
      <x:c r="N22" s="301" t="s">
        <x:v>51</x:v>
      </x:c>
      <x:c r="O22" s="301" t="s">
        <x:v>63</x:v>
      </x:c>
      <x:c r="P22" s="2" t="s">
        <x:v>64</x:v>
      </x:c>
      <x:c r="Q22" s="2" t="s">
        <x:v>65</x:v>
      </x:c>
    </x:row>
    <x:row r="23" ht="30">
      <x:c r="A23" s="301" t="s">
        <x:v>164</x:v>
      </x:c>
      <x:c r="B23" s="301" t="s">
        <x:v>41</x:v>
      </x:c>
      <x:c r="C23" s="301" t="s">
        <x:v>127</x:v>
      </x:c>
      <x:c r="D23" s="301" t="s">
        <x:v>49</x:v>
      </x:c>
      <x:c r="E23" s="301" t="s">
        <x:v>165</x:v>
      </x:c>
      <x:c r="F23" s="343">
        <x:v>8</x:v>
      </x:c>
      <x:c r="G23" s="301" t="s">
        <x:v>51</x:v>
      </x:c>
      <x:c r="H23" s="301">
        <x:v>0</x:v>
      </x:c>
      <x:c r="I23" s="301" t="s">
        <x:v>62</x:v>
      </x:c>
      <x:c r="J23" s="301" t="s">
        <x:v>61</x:v>
      </x:c>
      <x:c r="K23" s="302">
        <x:v>0</x:v>
      </x:c>
      <x:c r="L23" s="302">
        <x:v>0</x:v>
      </x:c>
      <x:c r="M23" s="302">
        <x:v>0</x:v>
      </x:c>
      <x:c r="N23" s="301" t="s">
        <x:v>51</x:v>
      </x:c>
      <x:c r="O23" s="301" t="s">
        <x:v>63</x:v>
      </x:c>
      <x:c r="P23" s="2" t="s">
        <x:v>64</x:v>
      </x:c>
      <x:c r="Q23" s="2" t="s">
        <x:v>65</x:v>
      </x:c>
    </x:row>
    <x:row r="24" ht="30">
      <x:c r="A24" s="301" t="s">
        <x:v>168</x:v>
      </x:c>
      <x:c r="B24" s="301" t="s">
        <x:v>41</x:v>
      </x:c>
      <x:c r="C24" s="301" t="s">
        <x:v>127</x:v>
      </x:c>
      <x:c r="D24" s="301" t="s">
        <x:v>49</x:v>
      </x:c>
      <x:c r="E24" s="301" t="s">
        <x:v>169</x:v>
      </x:c>
      <x:c r="F24" s="343">
        <x:v>6</x:v>
      </x:c>
      <x:c r="G24" s="301" t="s">
        <x:v>51</x:v>
      </x:c>
      <x:c r="H24" s="301">
        <x:v>0</x:v>
      </x:c>
      <x:c r="I24" s="301" t="s">
        <x:v>62</x:v>
      </x:c>
      <x:c r="J24" s="301" t="s">
        <x:v>61</x:v>
      </x:c>
      <x:c r="K24" s="302">
        <x:v>0</x:v>
      </x:c>
      <x:c r="L24" s="302">
        <x:v>0</x:v>
      </x:c>
      <x:c r="M24" s="302">
        <x:v>0</x:v>
      </x:c>
      <x:c r="N24" s="301" t="s">
        <x:v>51</x:v>
      </x:c>
      <x:c r="O24" s="301" t="s">
        <x:v>63</x:v>
      </x:c>
      <x:c r="P24" s="2" t="s">
        <x:v>64</x:v>
      </x:c>
      <x:c r="Q24" s="2" t="s">
        <x:v>65</x:v>
      </x:c>
    </x:row>
    <x:row r="25" ht="30">
      <x:c r="A25" s="301" t="s">
        <x:v>172</x:v>
      </x:c>
      <x:c r="B25" s="301" t="s">
        <x:v>41</x:v>
      </x:c>
      <x:c r="C25" s="301" t="s">
        <x:v>127</x:v>
      </x:c>
      <x:c r="D25" s="301" t="s">
        <x:v>49</x:v>
      </x:c>
      <x:c r="E25" s="301" t="s">
        <x:v>173</x:v>
      </x:c>
      <x:c r="F25" s="343">
        <x:v>8</x:v>
      </x:c>
      <x:c r="G25" s="301" t="s">
        <x:v>51</x:v>
      </x:c>
      <x:c r="H25" s="301">
        <x:v>0</x:v>
      </x:c>
      <x:c r="I25" s="301" t="s">
        <x:v>62</x:v>
      </x:c>
      <x:c r="J25" s="301" t="s">
        <x:v>61</x:v>
      </x:c>
      <x:c r="K25" s="302">
        <x:v>0</x:v>
      </x:c>
      <x:c r="L25" s="302">
        <x:v>0</x:v>
      </x:c>
      <x:c r="M25" s="302">
        <x:v>0</x:v>
      </x:c>
      <x:c r="N25" s="301" t="s">
        <x:v>51</x:v>
      </x:c>
      <x:c r="O25" s="301" t="s">
        <x:v>63</x:v>
      </x:c>
      <x:c r="P25" s="2" t="s">
        <x:v>64</x:v>
      </x:c>
      <x:c r="Q25" s="2" t="s">
        <x:v>65</x:v>
      </x:c>
    </x:row>
    <x:row r="26" ht="30">
      <x:c r="A26" s="301" t="s">
        <x:v>177</x:v>
      </x:c>
      <x:c r="B26" s="301" t="s">
        <x:v>41</x:v>
      </x:c>
      <x:c r="C26" s="301" t="s">
        <x:v>127</x:v>
      </x:c>
      <x:c r="D26" s="301" t="s">
        <x:v>49</x:v>
      </x:c>
      <x:c r="E26" s="301" t="s">
        <x:v>178</x:v>
      </x:c>
      <x:c r="F26" s="343">
        <x:v>8</x:v>
      </x:c>
      <x:c r="G26" s="301" t="s">
        <x:v>51</x:v>
      </x:c>
      <x:c r="H26" s="301">
        <x:v>0</x:v>
      </x:c>
      <x:c r="I26" s="301" t="s">
        <x:v>62</x:v>
      </x:c>
      <x:c r="J26" s="301" t="s">
        <x:v>61</x:v>
      </x:c>
      <x:c r="K26" s="302">
        <x:v>0</x:v>
      </x:c>
      <x:c r="L26" s="302">
        <x:v>0</x:v>
      </x:c>
      <x:c r="M26" s="302">
        <x:v>0</x:v>
      </x:c>
      <x:c r="N26" s="301" t="s">
        <x:v>51</x:v>
      </x:c>
      <x:c r="O26" s="301" t="s">
        <x:v>63</x:v>
      </x:c>
      <x:c r="P26" s="2" t="s">
        <x:v>64</x:v>
      </x:c>
      <x:c r="Q26" s="2" t="s">
        <x:v>65</x:v>
      </x:c>
    </x:row>
    <x:row r="27" ht="30">
      <x:c r="A27" s="301" t="s">
        <x:v>183</x:v>
      </x:c>
      <x:c r="B27" s="301" t="s">
        <x:v>41</x:v>
      </x:c>
      <x:c r="C27" s="301" t="s">
        <x:v>127</x:v>
      </x:c>
      <x:c r="D27" s="301" t="s">
        <x:v>49</x:v>
      </x:c>
      <x:c r="E27" s="301" t="s">
        <x:v>184</x:v>
      </x:c>
      <x:c r="F27" s="343">
        <x:v>6</x:v>
      </x:c>
      <x:c r="G27" s="301" t="s">
        <x:v>51</x:v>
      </x:c>
      <x:c r="H27" s="301">
        <x:v>0</x:v>
      </x:c>
      <x:c r="I27" s="301" t="s">
        <x:v>62</x:v>
      </x:c>
      <x:c r="J27" s="301" t="s">
        <x:v>61</x:v>
      </x:c>
      <x:c r="K27" s="302">
        <x:v>0</x:v>
      </x:c>
      <x:c r="L27" s="302">
        <x:v>0</x:v>
      </x:c>
      <x:c r="M27" s="302">
        <x:v>0</x:v>
      </x:c>
      <x:c r="N27" s="301" t="s">
        <x:v>51</x:v>
      </x:c>
      <x:c r="O27" s="301" t="s">
        <x:v>63</x:v>
      </x:c>
      <x:c r="P27" s="2" t="s">
        <x:v>64</x:v>
      </x:c>
      <x:c r="Q27" s="2" t="s">
        <x:v>65</x:v>
      </x:c>
    </x:row>
    <x:row r="28" ht="30">
      <x:c r="A28" s="301" t="s">
        <x:v>187</x:v>
      </x:c>
      <x:c r="B28" s="301" t="s">
        <x:v>41</x:v>
      </x:c>
      <x:c r="C28" s="301" t="s">
        <x:v>127</x:v>
      </x:c>
      <x:c r="D28" s="301" t="s">
        <x:v>49</x:v>
      </x:c>
      <x:c r="E28" s="301" t="s">
        <x:v>188</x:v>
      </x:c>
      <x:c r="F28" s="343">
        <x:v>6</x:v>
      </x:c>
      <x:c r="G28" s="301" t="s">
        <x:v>51</x:v>
      </x:c>
      <x:c r="H28" s="301">
        <x:v>0</x:v>
      </x:c>
      <x:c r="I28" s="301" t="s">
        <x:v>62</x:v>
      </x:c>
      <x:c r="J28" s="301" t="s">
        <x:v>61</x:v>
      </x:c>
      <x:c r="K28" s="302">
        <x:v>0</x:v>
      </x:c>
      <x:c r="L28" s="302">
        <x:v>0</x:v>
      </x:c>
      <x:c r="M28" s="302">
        <x:v>0</x:v>
      </x:c>
      <x:c r="N28" s="301" t="s">
        <x:v>51</x:v>
      </x:c>
      <x:c r="O28" s="301" t="s">
        <x:v>63</x:v>
      </x:c>
      <x:c r="P28" s="2" t="s">
        <x:v>64</x:v>
      </x:c>
      <x:c r="Q28" s="2" t="s">
        <x:v>65</x:v>
      </x:c>
    </x:row>
    <x:row r="29" ht="30">
      <x:c r="A29" s="301" t="s">
        <x:v>191</x:v>
      </x:c>
      <x:c r="B29" s="301" t="s">
        <x:v>41</x:v>
      </x:c>
      <x:c r="C29" s="301" t="s">
        <x:v>127</x:v>
      </x:c>
      <x:c r="D29" s="301" t="s">
        <x:v>49</x:v>
      </x:c>
      <x:c r="E29" s="301" t="s">
        <x:v>192</x:v>
      </x:c>
      <x:c r="F29" s="343">
        <x:v>2</x:v>
      </x:c>
      <x:c r="G29" s="301" t="s">
        <x:v>51</x:v>
      </x:c>
      <x:c r="H29" s="301">
        <x:v>0</x:v>
      </x:c>
      <x:c r="I29" s="301" t="s">
        <x:v>62</x:v>
      </x:c>
      <x:c r="J29" s="301" t="s">
        <x:v>61</x:v>
      </x:c>
      <x:c r="K29" s="302">
        <x:v>0</x:v>
      </x:c>
      <x:c r="L29" s="302">
        <x:v>0</x:v>
      </x:c>
      <x:c r="M29" s="302">
        <x:v>0</x:v>
      </x:c>
      <x:c r="N29" s="301" t="s">
        <x:v>51</x:v>
      </x:c>
      <x:c r="O29" s="301" t="s">
        <x:v>63</x:v>
      </x:c>
      <x:c r="P29" s="2" t="s">
        <x:v>64</x:v>
      </x:c>
      <x:c r="Q29" s="2" t="s">
        <x:v>65</x:v>
      </x:c>
    </x:row>
    <x:row r="30" ht="30">
      <x:c r="A30" s="301" t="s">
        <x:v>195</x:v>
      </x:c>
      <x:c r="B30" s="301" t="s">
        <x:v>41</x:v>
      </x:c>
      <x:c r="C30" s="301" t="s">
        <x:v>127</x:v>
      </x:c>
      <x:c r="D30" s="301" t="s">
        <x:v>49</x:v>
      </x:c>
      <x:c r="E30" s="301" t="s">
        <x:v>196</x:v>
      </x:c>
      <x:c r="F30" s="343">
        <x:v>4</x:v>
      </x:c>
      <x:c r="G30" s="301" t="s">
        <x:v>51</x:v>
      </x:c>
      <x:c r="H30" s="301">
        <x:v>0</x:v>
      </x:c>
      <x:c r="I30" s="301" t="s">
        <x:v>62</x:v>
      </x:c>
      <x:c r="J30" s="301" t="s">
        <x:v>61</x:v>
      </x:c>
      <x:c r="K30" s="302">
        <x:v>0</x:v>
      </x:c>
      <x:c r="L30" s="302">
        <x:v>0</x:v>
      </x:c>
      <x:c r="M30" s="302">
        <x:v>0</x:v>
      </x:c>
      <x:c r="N30" s="301" t="s">
        <x:v>51</x:v>
      </x:c>
      <x:c r="O30" s="301" t="s">
        <x:v>63</x:v>
      </x:c>
      <x:c r="P30" s="2" t="s">
        <x:v>64</x:v>
      </x:c>
      <x:c r="Q30" s="2" t="s">
        <x:v>65</x:v>
      </x:c>
    </x:row>
    <x:row r="31" ht="30">
      <x:c r="A31" s="301" t="s">
        <x:v>199</x:v>
      </x:c>
      <x:c r="B31" s="301" t="s">
        <x:v>41</x:v>
      </x:c>
      <x:c r="C31" s="301" t="s">
        <x:v>200</x:v>
      </x:c>
      <x:c r="D31" s="301" t="s">
        <x:v>49</x:v>
      </x:c>
      <x:c r="E31" s="301" t="s">
        <x:v>201</x:v>
      </x:c>
      <x:c r="F31" s="343">
        <x:v>8</x:v>
      </x:c>
      <x:c r="G31" s="301" t="s">
        <x:v>51</x:v>
      </x:c>
      <x:c r="H31" s="301">
        <x:v>0</x:v>
      </x:c>
      <x:c r="I31" s="301" t="s">
        <x:v>62</x:v>
      </x:c>
      <x:c r="J31" s="301" t="s">
        <x:v>61</x:v>
      </x:c>
      <x:c r="K31" s="302">
        <x:v>0</x:v>
      </x:c>
      <x:c r="L31" s="302">
        <x:v>0</x:v>
      </x:c>
      <x:c r="M31" s="302">
        <x:v>0</x:v>
      </x:c>
      <x:c r="N31" s="301" t="s">
        <x:v>51</x:v>
      </x:c>
      <x:c r="O31" s="301" t="s">
        <x:v>63</x:v>
      </x:c>
      <x:c r="P31" s="2" t="s">
        <x:v>64</x:v>
      </x:c>
      <x:c r="Q31" s="2" t="s">
        <x:v>65</x:v>
      </x:c>
    </x:row>
    <x:row r="32" ht="30">
      <x:c r="A32" s="301" t="s">
        <x:v>205</x:v>
      </x:c>
      <x:c r="B32" s="301" t="s">
        <x:v>41</x:v>
      </x:c>
      <x:c r="C32" s="301" t="s">
        <x:v>200</x:v>
      </x:c>
      <x:c r="D32" s="301" t="s">
        <x:v>49</x:v>
      </x:c>
      <x:c r="E32" s="301" t="s">
        <x:v>206</x:v>
      </x:c>
      <x:c r="F32" s="343">
        <x:v>10</x:v>
      </x:c>
      <x:c r="G32" s="301" t="s">
        <x:v>51</x:v>
      </x:c>
      <x:c r="H32" s="301">
        <x:v>0</x:v>
      </x:c>
      <x:c r="I32" s="301" t="s">
        <x:v>62</x:v>
      </x:c>
      <x:c r="J32" s="301" t="s">
        <x:v>61</x:v>
      </x:c>
      <x:c r="K32" s="302">
        <x:v>0</x:v>
      </x:c>
      <x:c r="L32" s="302">
        <x:v>0</x:v>
      </x:c>
      <x:c r="M32" s="302">
        <x:v>0</x:v>
      </x:c>
      <x:c r="N32" s="301" t="s">
        <x:v>51</x:v>
      </x:c>
      <x:c r="O32" s="301" t="s">
        <x:v>63</x:v>
      </x:c>
      <x:c r="P32" s="2" t="s">
        <x:v>64</x:v>
      </x:c>
      <x:c r="Q32" s="2" t="s">
        <x:v>65</x:v>
      </x:c>
    </x:row>
    <x:row r="33" ht="30">
      <x:c r="A33" s="301" t="s">
        <x:v>209</x:v>
      </x:c>
      <x:c r="B33" s="301" t="s">
        <x:v>41</x:v>
      </x:c>
      <x:c r="C33" s="301" t="s">
        <x:v>200</x:v>
      </x:c>
      <x:c r="D33" s="301" t="s">
        <x:v>49</x:v>
      </x:c>
      <x:c r="E33" s="301" t="s">
        <x:v>210</x:v>
      </x:c>
      <x:c r="F33" s="343">
        <x:v>12</x:v>
      </x:c>
      <x:c r="G33" s="301" t="s">
        <x:v>51</x:v>
      </x:c>
      <x:c r="H33" s="301">
        <x:v>0</x:v>
      </x:c>
      <x:c r="I33" s="301" t="s">
        <x:v>62</x:v>
      </x:c>
      <x:c r="J33" s="301" t="s">
        <x:v>61</x:v>
      </x:c>
      <x:c r="K33" s="302">
        <x:v>0</x:v>
      </x:c>
      <x:c r="L33" s="302">
        <x:v>0</x:v>
      </x:c>
      <x:c r="M33" s="302">
        <x:v>0</x:v>
      </x:c>
      <x:c r="N33" s="301" t="s">
        <x:v>51</x:v>
      </x:c>
      <x:c r="O33" s="301" t="s">
        <x:v>63</x:v>
      </x:c>
      <x:c r="P33" s="2" t="s">
        <x:v>64</x:v>
      </x:c>
      <x:c r="Q33" s="2" t="s">
        <x:v>65</x:v>
      </x:c>
    </x:row>
    <x:row r="34" ht="30">
      <x:c r="A34" s="301" t="s">
        <x:v>214</x:v>
      </x:c>
      <x:c r="B34" s="301" t="s">
        <x:v>41</x:v>
      </x:c>
      <x:c r="C34" s="301" t="s">
        <x:v>200</x:v>
      </x:c>
      <x:c r="D34" s="301" t="s">
        <x:v>49</x:v>
      </x:c>
      <x:c r="E34" s="301" t="s">
        <x:v>215</x:v>
      </x:c>
      <x:c r="F34" s="343">
        <x:v>12</x:v>
      </x:c>
      <x:c r="G34" s="301" t="s">
        <x:v>51</x:v>
      </x:c>
      <x:c r="H34" s="301">
        <x:v>0</x:v>
      </x:c>
      <x:c r="I34" s="301" t="s">
        <x:v>62</x:v>
      </x:c>
      <x:c r="J34" s="301" t="s">
        <x:v>61</x:v>
      </x:c>
      <x:c r="K34" s="302">
        <x:v>0</x:v>
      </x:c>
      <x:c r="L34" s="302">
        <x:v>0</x:v>
      </x:c>
      <x:c r="M34" s="302">
        <x:v>0</x:v>
      </x:c>
      <x:c r="N34" s="301" t="s">
        <x:v>51</x:v>
      </x:c>
      <x:c r="O34" s="301" t="s">
        <x:v>63</x:v>
      </x:c>
      <x:c r="P34" s="2" t="s">
        <x:v>64</x:v>
      </x:c>
      <x:c r="Q34" s="2" t="s">
        <x:v>65</x:v>
      </x:c>
    </x:row>
    <x:row r="35" ht="30">
      <x:c r="A35" s="301" t="s">
        <x:v>218</x:v>
      </x:c>
      <x:c r="B35" s="301" t="s">
        <x:v>41</x:v>
      </x:c>
      <x:c r="C35" s="301" t="s">
        <x:v>200</x:v>
      </x:c>
      <x:c r="D35" s="301" t="s">
        <x:v>49</x:v>
      </x:c>
      <x:c r="E35" s="301" t="s">
        <x:v>219</x:v>
      </x:c>
      <x:c r="F35" s="343">
        <x:v>10</x:v>
      </x:c>
      <x:c r="G35" s="301" t="s">
        <x:v>51</x:v>
      </x:c>
      <x:c r="H35" s="301">
        <x:v>0</x:v>
      </x:c>
      <x:c r="I35" s="301" t="s">
        <x:v>62</x:v>
      </x:c>
      <x:c r="J35" s="301" t="s">
        <x:v>61</x:v>
      </x:c>
      <x:c r="K35" s="302">
        <x:v>0</x:v>
      </x:c>
      <x:c r="L35" s="302">
        <x:v>0</x:v>
      </x:c>
      <x:c r="M35" s="302">
        <x:v>0</x:v>
      </x:c>
      <x:c r="N35" s="301" t="s">
        <x:v>51</x:v>
      </x:c>
      <x:c r="O35" s="301" t="s">
        <x:v>63</x:v>
      </x:c>
      <x:c r="P35" s="2" t="s">
        <x:v>64</x:v>
      </x:c>
      <x:c r="Q35" s="2" t="s">
        <x:v>65</x:v>
      </x:c>
    </x:row>
    <x:row r="36" ht="30">
      <x:c r="A36" s="301" t="s">
        <x:v>222</x:v>
      </x:c>
      <x:c r="B36" s="301" t="s">
        <x:v>41</x:v>
      </x:c>
      <x:c r="C36" s="301" t="s">
        <x:v>200</x:v>
      </x:c>
      <x:c r="D36" s="301" t="s">
        <x:v>49</x:v>
      </x:c>
      <x:c r="E36" s="301" t="s">
        <x:v>223</x:v>
      </x:c>
      <x:c r="F36" s="343">
        <x:v>8</x:v>
      </x:c>
      <x:c r="G36" s="301" t="s">
        <x:v>51</x:v>
      </x:c>
      <x:c r="H36" s="301">
        <x:v>0</x:v>
      </x:c>
      <x:c r="I36" s="301" t="s">
        <x:v>62</x:v>
      </x:c>
      <x:c r="J36" s="301" t="s">
        <x:v>61</x:v>
      </x:c>
      <x:c r="K36" s="302">
        <x:v>0</x:v>
      </x:c>
      <x:c r="L36" s="302">
        <x:v>0</x:v>
      </x:c>
      <x:c r="M36" s="302">
        <x:v>0</x:v>
      </x:c>
      <x:c r="N36" s="301" t="s">
        <x:v>51</x:v>
      </x:c>
      <x:c r="O36" s="301" t="s">
        <x:v>63</x:v>
      </x:c>
      <x:c r="P36" s="2" t="s">
        <x:v>64</x:v>
      </x:c>
      <x:c r="Q36" s="2" t="s">
        <x:v>65</x:v>
      </x:c>
    </x:row>
    <x:row r="37" ht="30">
      <x:c r="A37" s="301" t="s">
        <x:v>227</x:v>
      </x:c>
      <x:c r="B37" s="301" t="s">
        <x:v>41</x:v>
      </x:c>
      <x:c r="C37" s="301" t="s">
        <x:v>200</x:v>
      </x:c>
      <x:c r="D37" s="301" t="s">
        <x:v>49</x:v>
      </x:c>
      <x:c r="E37" s="301" t="s">
        <x:v>2735</x:v>
      </x:c>
      <x:c r="F37" s="343">
        <x:v>12</x:v>
      </x:c>
      <x:c r="G37" s="301" t="s">
        <x:v>51</x:v>
      </x:c>
      <x:c r="H37" s="301">
        <x:v>0</x:v>
      </x:c>
      <x:c r="I37" s="301" t="s">
        <x:v>62</x:v>
      </x:c>
      <x:c r="J37" s="301" t="s">
        <x:v>61</x:v>
      </x:c>
      <x:c r="K37" s="302">
        <x:v>0</x:v>
      </x:c>
      <x:c r="L37" s="302">
        <x:v>0</x:v>
      </x:c>
      <x:c r="M37" s="302">
        <x:v>0</x:v>
      </x:c>
      <x:c r="N37" s="301" t="s">
        <x:v>51</x:v>
      </x:c>
      <x:c r="O37" s="301" t="s">
        <x:v>63</x:v>
      </x:c>
      <x:c r="P37" s="2" t="s">
        <x:v>64</x:v>
      </x:c>
      <x:c r="Q37" s="2" t="s">
        <x:v>65</x:v>
      </x:c>
    </x:row>
    <x:row r="38" ht="30">
      <x:c r="A38" s="301" t="s">
        <x:v>231</x:v>
      </x:c>
      <x:c r="B38" s="301" t="s">
        <x:v>41</x:v>
      </x:c>
      <x:c r="C38" s="301" t="s">
        <x:v>200</x:v>
      </x:c>
      <x:c r="D38" s="301" t="s">
        <x:v>49</x:v>
      </x:c>
      <x:c r="E38" s="301" t="s">
        <x:v>232</x:v>
      </x:c>
      <x:c r="F38" s="343">
        <x:v>3</x:v>
      </x:c>
      <x:c r="G38" s="301" t="s">
        <x:v>51</x:v>
      </x:c>
      <x:c r="H38" s="301">
        <x:v>0</x:v>
      </x:c>
      <x:c r="I38" s="301" t="s">
        <x:v>62</x:v>
      </x:c>
      <x:c r="J38" s="301" t="s">
        <x:v>61</x:v>
      </x:c>
      <x:c r="K38" s="302">
        <x:v>0</x:v>
      </x:c>
      <x:c r="L38" s="302">
        <x:v>0</x:v>
      </x:c>
      <x:c r="M38" s="302">
        <x:v>0</x:v>
      </x:c>
      <x:c r="N38" s="301" t="s">
        <x:v>51</x:v>
      </x:c>
      <x:c r="O38" s="301" t="s">
        <x:v>63</x:v>
      </x:c>
      <x:c r="P38" s="2" t="s">
        <x:v>64</x:v>
      </x:c>
      <x:c r="Q38" s="2" t="s">
        <x:v>65</x:v>
      </x:c>
    </x:row>
    <x:row r="39" ht="30">
      <x:c r="A39" s="301" t="s">
        <x:v>235</x:v>
      </x:c>
      <x:c r="B39" s="301" t="s">
        <x:v>41</x:v>
      </x:c>
      <x:c r="C39" s="301" t="s">
        <x:v>200</x:v>
      </x:c>
      <x:c r="D39" s="301" t="s">
        <x:v>49</x:v>
      </x:c>
      <x:c r="E39" s="301" t="s">
        <x:v>236</x:v>
      </x:c>
      <x:c r="F39" s="343">
        <x:v>12</x:v>
      </x:c>
      <x:c r="G39" s="301" t="s">
        <x:v>51</x:v>
      </x:c>
      <x:c r="H39" s="301">
        <x:v>0</x:v>
      </x:c>
      <x:c r="I39" s="301" t="s">
        <x:v>62</x:v>
      </x:c>
      <x:c r="J39" s="301" t="s">
        <x:v>61</x:v>
      </x:c>
      <x:c r="K39" s="302">
        <x:v>0</x:v>
      </x:c>
      <x:c r="L39" s="302">
        <x:v>0</x:v>
      </x:c>
      <x:c r="M39" s="302">
        <x:v>0</x:v>
      </x:c>
      <x:c r="N39" s="301" t="s">
        <x:v>51</x:v>
      </x:c>
      <x:c r="O39" s="301" t="s">
        <x:v>63</x:v>
      </x:c>
      <x:c r="P39" s="2" t="s">
        <x:v>64</x:v>
      </x:c>
      <x:c r="Q39" s="2" t="s">
        <x:v>65</x:v>
      </x:c>
    </x:row>
    <x:row r="40" ht="30">
      <x:c r="A40" s="301" t="s">
        <x:v>239</x:v>
      </x:c>
      <x:c r="B40" s="301" t="s">
        <x:v>41</x:v>
      </x:c>
      <x:c r="C40" s="301" t="s">
        <x:v>200</x:v>
      </x:c>
      <x:c r="D40" s="301" t="s">
        <x:v>49</x:v>
      </x:c>
      <x:c r="E40" s="301" t="s">
        <x:v>240</x:v>
      </x:c>
      <x:c r="F40" s="343">
        <x:v>12</x:v>
      </x:c>
      <x:c r="G40" s="301" t="s">
        <x:v>51</x:v>
      </x:c>
      <x:c r="H40" s="301">
        <x:v>0</x:v>
      </x:c>
      <x:c r="I40" s="301" t="s">
        <x:v>62</x:v>
      </x:c>
      <x:c r="J40" s="301" t="s">
        <x:v>61</x:v>
      </x:c>
      <x:c r="K40" s="302">
        <x:v>0</x:v>
      </x:c>
      <x:c r="L40" s="302">
        <x:v>0</x:v>
      </x:c>
      <x:c r="M40" s="302">
        <x:v>0</x:v>
      </x:c>
      <x:c r="N40" s="301" t="s">
        <x:v>51</x:v>
      </x:c>
      <x:c r="O40" s="301" t="s">
        <x:v>63</x:v>
      </x:c>
      <x:c r="P40" s="2" t="s">
        <x:v>64</x:v>
      </x:c>
      <x:c r="Q40" s="2" t="s">
        <x:v>65</x:v>
      </x:c>
    </x:row>
    <x:row r="41" ht="30">
      <x:c r="A41" s="301" t="s">
        <x:v>244</x:v>
      </x:c>
      <x:c r="B41" s="301" t="s">
        <x:v>41</x:v>
      </x:c>
      <x:c r="C41" s="301" t="s">
        <x:v>200</x:v>
      </x:c>
      <x:c r="D41" s="301" t="s">
        <x:v>49</x:v>
      </x:c>
      <x:c r="E41" s="301" t="s">
        <x:v>245</x:v>
      </x:c>
      <x:c r="F41" s="343">
        <x:v>8</x:v>
      </x:c>
      <x:c r="G41" s="301" t="s">
        <x:v>51</x:v>
      </x:c>
      <x:c r="H41" s="301">
        <x:v>0</x:v>
      </x:c>
      <x:c r="I41" s="301" t="s">
        <x:v>62</x:v>
      </x:c>
      <x:c r="J41" s="301" t="s">
        <x:v>61</x:v>
      </x:c>
      <x:c r="K41" s="302">
        <x:v>0</x:v>
      </x:c>
      <x:c r="L41" s="302">
        <x:v>0</x:v>
      </x:c>
      <x:c r="M41" s="302">
        <x:v>0</x:v>
      </x:c>
      <x:c r="N41" s="301" t="s">
        <x:v>51</x:v>
      </x:c>
      <x:c r="O41" s="301" t="s">
        <x:v>63</x:v>
      </x:c>
      <x:c r="P41" s="2" t="s">
        <x:v>64</x:v>
      </x:c>
      <x:c r="Q41" s="2" t="s">
        <x:v>65</x:v>
      </x:c>
    </x:row>
    <x:row r="42" ht="30">
      <x:c r="A42" s="301" t="s">
        <x:v>248</x:v>
      </x:c>
      <x:c r="B42" s="301" t="s">
        <x:v>41</x:v>
      </x:c>
      <x:c r="C42" s="301" t="s">
        <x:v>249</x:v>
      </x:c>
      <x:c r="D42" s="301" t="s">
        <x:v>49</x:v>
      </x:c>
      <x:c r="E42" s="301" t="s">
        <x:v>250</x:v>
      </x:c>
      <x:c r="F42" s="343">
        <x:v>6</x:v>
      </x:c>
      <x:c r="G42" s="301" t="s">
        <x:v>51</x:v>
      </x:c>
      <x:c r="H42" s="301">
        <x:v>0</x:v>
      </x:c>
      <x:c r="I42" s="301" t="s">
        <x:v>62</x:v>
      </x:c>
      <x:c r="J42" s="301" t="s">
        <x:v>61</x:v>
      </x:c>
      <x:c r="K42" s="302">
        <x:v>0</x:v>
      </x:c>
      <x:c r="L42" s="302">
        <x:v>0</x:v>
      </x:c>
      <x:c r="M42" s="302">
        <x:v>0</x:v>
      </x:c>
      <x:c r="N42" s="301" t="s">
        <x:v>51</x:v>
      </x:c>
      <x:c r="O42" s="301" t="s">
        <x:v>63</x:v>
      </x:c>
      <x:c r="P42" s="2" t="s">
        <x:v>64</x:v>
      </x:c>
      <x:c r="Q42" s="2" t="s">
        <x:v>65</x:v>
      </x:c>
    </x:row>
    <x:row r="43" ht="30">
      <x:c r="A43" s="301" t="s">
        <x:v>253</x:v>
      </x:c>
      <x:c r="B43" s="301" t="s">
        <x:v>41</x:v>
      </x:c>
      <x:c r="C43" s="301" t="s">
        <x:v>249</x:v>
      </x:c>
      <x:c r="D43" s="301" t="s">
        <x:v>49</x:v>
      </x:c>
      <x:c r="E43" s="301" t="s">
        <x:v>254</x:v>
      </x:c>
      <x:c r="F43" s="343">
        <x:v>6</x:v>
      </x:c>
      <x:c r="G43" s="301" t="s">
        <x:v>51</x:v>
      </x:c>
      <x:c r="H43" s="301">
        <x:v>0</x:v>
      </x:c>
      <x:c r="I43" s="301" t="s">
        <x:v>62</x:v>
      </x:c>
      <x:c r="J43" s="301" t="s">
        <x:v>61</x:v>
      </x:c>
      <x:c r="K43" s="302">
        <x:v>0</x:v>
      </x:c>
      <x:c r="L43" s="302">
        <x:v>0</x:v>
      </x:c>
      <x:c r="M43" s="302">
        <x:v>0</x:v>
      </x:c>
      <x:c r="N43" s="301" t="s">
        <x:v>51</x:v>
      </x:c>
      <x:c r="O43" s="301" t="s">
        <x:v>63</x:v>
      </x:c>
      <x:c r="P43" s="2" t="s">
        <x:v>64</x:v>
      </x:c>
      <x:c r="Q43" s="2" t="s">
        <x:v>65</x:v>
      </x:c>
    </x:row>
    <x:row r="44" ht="30">
      <x:c r="A44" s="301" t="s">
        <x:v>257</x:v>
      </x:c>
      <x:c r="B44" s="301" t="s">
        <x:v>41</x:v>
      </x:c>
      <x:c r="C44" s="301" t="s">
        <x:v>249</x:v>
      </x:c>
      <x:c r="D44" s="301" t="s">
        <x:v>49</x:v>
      </x:c>
      <x:c r="E44" s="301" t="s">
        <x:v>258</x:v>
      </x:c>
      <x:c r="F44" s="343">
        <x:v>12</x:v>
      </x:c>
      <x:c r="G44" s="301" t="s">
        <x:v>51</x:v>
      </x:c>
      <x:c r="H44" s="301">
        <x:v>0</x:v>
      </x:c>
      <x:c r="I44" s="301" t="s">
        <x:v>62</x:v>
      </x:c>
      <x:c r="J44" s="301" t="s">
        <x:v>61</x:v>
      </x:c>
      <x:c r="K44" s="302">
        <x:v>0</x:v>
      </x:c>
      <x:c r="L44" s="302">
        <x:v>0</x:v>
      </x:c>
      <x:c r="M44" s="302">
        <x:v>0</x:v>
      </x:c>
      <x:c r="N44" s="301" t="s">
        <x:v>51</x:v>
      </x:c>
      <x:c r="O44" s="301" t="s">
        <x:v>63</x:v>
      </x:c>
      <x:c r="P44" s="2" t="s">
        <x:v>64</x:v>
      </x:c>
      <x:c r="Q44" s="2" t="s">
        <x:v>65</x:v>
      </x:c>
    </x:row>
    <x:row r="45" ht="30">
      <x:c r="A45" s="301" t="s">
        <x:v>261</x:v>
      </x:c>
      <x:c r="B45" s="301" t="s">
        <x:v>41</x:v>
      </x:c>
      <x:c r="C45" s="301" t="s">
        <x:v>249</x:v>
      </x:c>
      <x:c r="D45" s="301" t="s">
        <x:v>49</x:v>
      </x:c>
      <x:c r="E45" s="301" t="s">
        <x:v>262</x:v>
      </x:c>
      <x:c r="F45" s="343">
        <x:v>8</x:v>
      </x:c>
      <x:c r="G45" s="301" t="s">
        <x:v>51</x:v>
      </x:c>
      <x:c r="H45" s="301">
        <x:v>0</x:v>
      </x:c>
      <x:c r="I45" s="301" t="s">
        <x:v>62</x:v>
      </x:c>
      <x:c r="J45" s="301" t="s">
        <x:v>61</x:v>
      </x:c>
      <x:c r="K45" s="302">
        <x:v>0</x:v>
      </x:c>
      <x:c r="L45" s="302">
        <x:v>0</x:v>
      </x:c>
      <x:c r="M45" s="302">
        <x:v>0</x:v>
      </x:c>
      <x:c r="N45" s="301" t="s">
        <x:v>51</x:v>
      </x:c>
      <x:c r="O45" s="301" t="s">
        <x:v>63</x:v>
      </x:c>
      <x:c r="P45" s="2" t="s">
        <x:v>64</x:v>
      </x:c>
      <x:c r="Q45" s="2" t="s">
        <x:v>65</x:v>
      </x:c>
    </x:row>
    <x:row r="46" ht="30">
      <x:c r="A46" s="301" t="s">
        <x:v>267</x:v>
      </x:c>
      <x:c r="B46" s="301" t="s">
        <x:v>41</x:v>
      </x:c>
      <x:c r="C46" s="301" t="s">
        <x:v>249</x:v>
      </x:c>
      <x:c r="D46" s="301" t="s">
        <x:v>49</x:v>
      </x:c>
      <x:c r="E46" s="301" t="s">
        <x:v>268</x:v>
      </x:c>
      <x:c r="F46" s="343">
        <x:v>6</x:v>
      </x:c>
      <x:c r="G46" s="301" t="s">
        <x:v>51</x:v>
      </x:c>
      <x:c r="H46" s="301">
        <x:v>0</x:v>
      </x:c>
      <x:c r="I46" s="301" t="s">
        <x:v>62</x:v>
      </x:c>
      <x:c r="J46" s="301" t="s">
        <x:v>61</x:v>
      </x:c>
      <x:c r="K46" s="302">
        <x:v>0</x:v>
      </x:c>
      <x:c r="L46" s="302">
        <x:v>0</x:v>
      </x:c>
      <x:c r="M46" s="302">
        <x:v>0</x:v>
      </x:c>
      <x:c r="N46" s="301" t="s">
        <x:v>51</x:v>
      </x:c>
      <x:c r="O46" s="301" t="s">
        <x:v>63</x:v>
      </x:c>
      <x:c r="P46" s="2" t="s">
        <x:v>64</x:v>
      </x:c>
      <x:c r="Q46" s="2" t="s">
        <x:v>65</x:v>
      </x:c>
    </x:row>
    <x:row r="47" ht="30">
      <x:c r="A47" s="301" t="s">
        <x:v>275</x:v>
      </x:c>
      <x:c r="B47" s="301" t="s">
        <x:v>41</x:v>
      </x:c>
      <x:c r="C47" s="301" t="s">
        <x:v>249</x:v>
      </x:c>
      <x:c r="D47" s="301" t="s">
        <x:v>49</x:v>
      </x:c>
      <x:c r="E47" s="301" t="s">
        <x:v>276</x:v>
      </x:c>
      <x:c r="F47" s="343">
        <x:v>8</x:v>
      </x:c>
      <x:c r="G47" s="301" t="s">
        <x:v>51</x:v>
      </x:c>
      <x:c r="H47" s="301">
        <x:v>0</x:v>
      </x:c>
      <x:c r="I47" s="301" t="s">
        <x:v>62</x:v>
      </x:c>
      <x:c r="J47" s="301" t="s">
        <x:v>61</x:v>
      </x:c>
      <x:c r="K47" s="302">
        <x:v>0</x:v>
      </x:c>
      <x:c r="L47" s="302">
        <x:v>0</x:v>
      </x:c>
      <x:c r="M47" s="302">
        <x:v>0</x:v>
      </x:c>
      <x:c r="N47" s="301" t="s">
        <x:v>51</x:v>
      </x:c>
      <x:c r="O47" s="301" t="s">
        <x:v>63</x:v>
      </x:c>
      <x:c r="P47" s="2" t="s">
        <x:v>64</x:v>
      </x:c>
      <x:c r="Q47" s="2" t="s">
        <x:v>65</x:v>
      </x:c>
    </x:row>
    <x:row r="48" ht="30">
      <x:c r="A48" s="301" t="s">
        <x:v>281</x:v>
      </x:c>
      <x:c r="B48" s="301" t="s">
        <x:v>41</x:v>
      </x:c>
      <x:c r="C48" s="301" t="s">
        <x:v>249</x:v>
      </x:c>
      <x:c r="D48" s="301" t="s">
        <x:v>49</x:v>
      </x:c>
      <x:c r="E48" s="301" t="s">
        <x:v>282</x:v>
      </x:c>
      <x:c r="F48" s="343">
        <x:v>10</x:v>
      </x:c>
      <x:c r="G48" s="301" t="s">
        <x:v>51</x:v>
      </x:c>
      <x:c r="H48" s="301">
        <x:v>0</x:v>
      </x:c>
      <x:c r="I48" s="301" t="s">
        <x:v>62</x:v>
      </x:c>
      <x:c r="J48" s="301" t="s">
        <x:v>61</x:v>
      </x:c>
      <x:c r="K48" s="302">
        <x:v>0</x:v>
      </x:c>
      <x:c r="L48" s="302">
        <x:v>0</x:v>
      </x:c>
      <x:c r="M48" s="302">
        <x:v>0</x:v>
      </x:c>
      <x:c r="N48" s="301" t="s">
        <x:v>51</x:v>
      </x:c>
      <x:c r="O48" s="301" t="s">
        <x:v>63</x:v>
      </x:c>
      <x:c r="P48" s="2" t="s">
        <x:v>64</x:v>
      </x:c>
      <x:c r="Q48" s="2" t="s">
        <x:v>65</x:v>
      </x:c>
    </x:row>
    <x:row r="49" ht="30">
      <x:c r="A49" s="301" t="s">
        <x:v>286</x:v>
      </x:c>
      <x:c r="B49" s="301" t="s">
        <x:v>41</x:v>
      </x:c>
      <x:c r="C49" s="301" t="s">
        <x:v>249</x:v>
      </x:c>
      <x:c r="D49" s="301" t="s">
        <x:v>49</x:v>
      </x:c>
      <x:c r="E49" s="301" t="s">
        <x:v>287</x:v>
      </x:c>
      <x:c r="F49" s="343">
        <x:v>4</x:v>
      </x:c>
      <x:c r="G49" s="301" t="s">
        <x:v>51</x:v>
      </x:c>
      <x:c r="H49" s="301">
        <x:v>0</x:v>
      </x:c>
      <x:c r="I49" s="301" t="s">
        <x:v>62</x:v>
      </x:c>
      <x:c r="J49" s="301" t="s">
        <x:v>61</x:v>
      </x:c>
      <x:c r="K49" s="302">
        <x:v>0</x:v>
      </x:c>
      <x:c r="L49" s="302">
        <x:v>0</x:v>
      </x:c>
      <x:c r="M49" s="302">
        <x:v>0</x:v>
      </x:c>
      <x:c r="N49" s="301" t="s">
        <x:v>51</x:v>
      </x:c>
      <x:c r="O49" s="301" t="s">
        <x:v>63</x:v>
      </x:c>
      <x:c r="P49" s="2" t="s">
        <x:v>64</x:v>
      </x:c>
      <x:c r="Q49" s="2" t="s">
        <x:v>65</x:v>
      </x:c>
    </x:row>
    <x:row r="50" ht="45">
      <x:c r="A50" s="301" t="s">
        <x:v>291</x:v>
      </x:c>
      <x:c r="B50" s="301" t="s">
        <x:v>41</x:v>
      </x:c>
      <x:c r="C50" s="301" t="s">
        <x:v>249</x:v>
      </x:c>
      <x:c r="D50" s="301" t="s">
        <x:v>383</x:v>
      </x:c>
      <x:c r="E50" s="301" t="s">
        <x:v>292</x:v>
      </x:c>
      <x:c r="F50" s="343">
        <x:v>4</x:v>
      </x:c>
      <x:c r="G50" s="301" t="s">
        <x:v>303</x:v>
      </x:c>
      <x:c r="H50" s="301">
        <x:v>1</x:v>
      </x:c>
      <x:c r="I50" s="301" t="s">
        <x:v>304</x:v>
      </x:c>
      <x:c r="J50" s="301" t="s">
        <x:v>305</x:v>
      </x:c>
      <x:c r="K50" s="302">
        <x:v>5.3333333332999997</x:v>
      </x:c>
      <x:c r="L50" s="302">
        <x:v>0.75</x:v>
      </x:c>
      <x:c r="M50" s="302">
        <x:v>1.5</x:v>
      </x:c>
      <x:c r="N50" s="301" t="s">
        <x:v>306</x:v>
      </x:c>
      <x:c r="O50" s="301" t="s">
        <x:v>307</x:v>
      </x:c>
      <x:c r="P50" s="2" t="s">
        <x:v>308</x:v>
      </x:c>
      <x:c r="Q50" s="2" t="s">
        <x:v>309</x:v>
      </x:c>
    </x:row>
    <x:row r="51" ht="45">
      <x:c r="A51" s="301" t="s">
        <x:v>310</x:v>
      </x:c>
      <x:c r="B51" s="301" t="s">
        <x:v>41</x:v>
      </x:c>
      <x:c r="C51" s="301" t="s">
        <x:v>249</x:v>
      </x:c>
      <x:c r="D51" s="301" t="s">
        <x:v>328</x:v>
      </x:c>
      <x:c r="E51" s="301" t="s">
        <x:v>311</x:v>
      </x:c>
      <x:c r="F51" s="343">
        <x:v>6</x:v>
      </x:c>
      <x:c r="G51" s="301" t="s">
        <x:v>303</x:v>
      </x:c>
      <x:c r="H51" s="301">
        <x:v>2</x:v>
      </x:c>
      <x:c r="I51" s="301" t="s">
        <x:v>304</x:v>
      </x:c>
      <x:c r="J51" s="301" t="s">
        <x:v>314</x:v>
      </x:c>
      <x:c r="K51" s="302">
        <x:v>9</x:v>
      </x:c>
      <x:c r="L51" s="302">
        <x:v>0.66666666666666663</x:v>
      </x:c>
      <x:c r="M51" s="302">
        <x:v>1</x:v>
      </x:c>
      <x:c r="N51" s="301" t="s">
        <x:v>306</x:v>
      </x:c>
      <x:c r="O51" s="301" t="s">
        <x:v>273</x:v>
      </x:c>
      <x:c r="P51" s="2" t="s">
        <x:v>308</x:v>
      </x:c>
      <x:c r="Q51" s="2" t="s">
        <x:v>309</x:v>
      </x:c>
    </x:row>
    <x:row r="52" ht="45">
      <x:c r="A52" s="301" t="s">
        <x:v>315</x:v>
      </x:c>
      <x:c r="B52" s="301" t="s">
        <x:v>41</x:v>
      </x:c>
      <x:c r="C52" s="301" t="s">
        <x:v>249</x:v>
      </x:c>
      <x:c r="D52" s="301" t="s">
        <x:v>328</x:v>
      </x:c>
      <x:c r="E52" s="301" t="s">
        <x:v>316</x:v>
      </x:c>
      <x:c r="F52" s="343">
        <x:v>6</x:v>
      </x:c>
      <x:c r="G52" s="301" t="s">
        <x:v>303</x:v>
      </x:c>
      <x:c r="H52" s="301">
        <x:v>3</x:v>
      </x:c>
      <x:c r="I52" s="301" t="s">
        <x:v>304</x:v>
      </x:c>
      <x:c r="J52" s="301" t="s">
        <x:v>314</x:v>
      </x:c>
      <x:c r="K52" s="302">
        <x:v>9</x:v>
      </x:c>
      <x:c r="L52" s="302">
        <x:v>0.66666666666666663</x:v>
      </x:c>
      <x:c r="M52" s="302">
        <x:v>1</x:v>
      </x:c>
      <x:c r="N52" s="301" t="s">
        <x:v>306</x:v>
      </x:c>
      <x:c r="O52" s="301" t="s">
        <x:v>273</x:v>
      </x:c>
      <x:c r="P52" s="2" t="s">
        <x:v>308</x:v>
      </x:c>
      <x:c r="Q52" s="2" t="s">
        <x:v>309</x:v>
      </x:c>
    </x:row>
    <x:row r="53" ht="45">
      <x:c r="A53" s="301" t="s">
        <x:v>319</x:v>
      </x:c>
      <x:c r="B53" s="301" t="s">
        <x:v>41</x:v>
      </x:c>
      <x:c r="C53" s="301" t="s">
        <x:v>249</x:v>
      </x:c>
      <x:c r="D53" s="301" t="s">
        <x:v>328</x:v>
      </x:c>
      <x:c r="E53" s="301" t="s">
        <x:v>320</x:v>
      </x:c>
      <x:c r="F53" s="343">
        <x:v>4</x:v>
      </x:c>
      <x:c r="G53" s="301" t="s">
        <x:v>303</x:v>
      </x:c>
      <x:c r="H53" s="301">
        <x:v>4</x:v>
      </x:c>
      <x:c r="I53" s="301" t="s">
        <x:v>304</x:v>
      </x:c>
      <x:c r="J53" s="301" t="s">
        <x:v>314</x:v>
      </x:c>
      <x:c r="K53" s="302">
        <x:v>9</x:v>
      </x:c>
      <x:c r="L53" s="302">
        <x:v>0.44444444444444442</x:v>
      </x:c>
      <x:c r="M53" s="302">
        <x:v>0.66666666666666663</x:v>
      </x:c>
      <x:c r="N53" s="301" t="s">
        <x:v>306</x:v>
      </x:c>
      <x:c r="O53" s="301" t="s">
        <x:v>273</x:v>
      </x:c>
      <x:c r="P53" s="2" t="s">
        <x:v>308</x:v>
      </x:c>
      <x:c r="Q53" s="2" t="s">
        <x:v>309</x:v>
      </x:c>
    </x:row>
    <x:row r="54" ht="45">
      <x:c r="A54" s="301" t="s">
        <x:v>323</x:v>
      </x:c>
      <x:c r="B54" s="301" t="s">
        <x:v>41</x:v>
      </x:c>
      <x:c r="C54" s="301" t="s">
        <x:v>324</x:v>
      </x:c>
      <x:c r="D54" s="301" t="s">
        <x:v>328</x:v>
      </x:c>
      <x:c r="E54" s="301" t="s">
        <x:v>325</x:v>
      </x:c>
      <x:c r="F54" s="343">
        <x:v>4</x:v>
      </x:c>
      <x:c r="G54" s="301" t="s">
        <x:v>303</x:v>
      </x:c>
      <x:c r="H54" s="301">
        <x:v>5</x:v>
      </x:c>
      <x:c r="I54" s="301" t="s">
        <x:v>304</x:v>
      </x:c>
      <x:c r="J54" s="301" t="s">
        <x:v>314</x:v>
      </x:c>
      <x:c r="K54" s="302">
        <x:v>9</x:v>
      </x:c>
      <x:c r="L54" s="302">
        <x:v>0.44444444444444442</x:v>
      </x:c>
      <x:c r="M54" s="302">
        <x:v>0.66666666666666663</x:v>
      </x:c>
      <x:c r="N54" s="301" t="s">
        <x:v>330</x:v>
      </x:c>
      <x:c r="O54" s="301" t="s">
        <x:v>273</x:v>
      </x:c>
      <x:c r="P54" s="2" t="s">
        <x:v>308</x:v>
      </x:c>
      <x:c r="Q54" s="2" t="s">
        <x:v>309</x:v>
      </x:c>
    </x:row>
    <x:row r="55" ht="60">
      <x:c r="A55" s="301" t="s">
        <x:v>331</x:v>
      </x:c>
      <x:c r="B55" s="301" t="s">
        <x:v>41</x:v>
      </x:c>
      <x:c r="C55" s="301" t="s">
        <x:v>324</x:v>
      </x:c>
      <x:c r="D55" s="301" t="s">
        <x:v>328</x:v>
      </x:c>
      <x:c r="E55" s="301" t="s">
        <x:v>332</x:v>
      </x:c>
      <x:c r="F55" s="343">
        <x:v>4</x:v>
      </x:c>
      <x:c r="G55" s="301" t="s">
        <x:v>336</x:v>
      </x:c>
      <x:c r="H55" s="301">
        <x:v>6</x:v>
      </x:c>
      <x:c r="I55" s="301" t="s">
        <x:v>337</x:v>
      </x:c>
      <x:c r="J55" s="301" t="s">
        <x:v>314</x:v>
      </x:c>
      <x:c r="K55" s="302">
        <x:v>9</x:v>
      </x:c>
      <x:c r="L55" s="302">
        <x:v>0.44444444444444442</x:v>
      </x:c>
      <x:c r="M55" s="302">
        <x:v>0.66666666666666663</x:v>
      </x:c>
      <x:c r="N55" s="301" t="s">
        <x:v>330</x:v>
      </x:c>
      <x:c r="O55" s="301" t="s">
        <x:v>273</x:v>
      </x:c>
      <x:c r="P55" s="2" t="s">
        <x:v>338</x:v>
      </x:c>
      <x:c r="Q55" s="2" t="s">
        <x:v>309</x:v>
      </x:c>
    </x:row>
    <x:row r="56" ht="60">
      <x:c r="A56" s="301" t="s">
        <x:v>339</x:v>
      </x:c>
      <x:c r="B56" s="301" t="s">
        <x:v>41</x:v>
      </x:c>
      <x:c r="C56" s="301" t="s">
        <x:v>324</x:v>
      </x:c>
      <x:c r="D56" s="301" t="s">
        <x:v>328</x:v>
      </x:c>
      <x:c r="E56" s="301" t="s">
        <x:v>340</x:v>
      </x:c>
      <x:c r="F56" s="343">
        <x:v>6</x:v>
      </x:c>
      <x:c r="G56" s="301" t="s">
        <x:v>336</x:v>
      </x:c>
      <x:c r="H56" s="301">
        <x:v>7</x:v>
      </x:c>
      <x:c r="I56" s="301" t="s">
        <x:v>337</x:v>
      </x:c>
      <x:c r="J56" s="301" t="s">
        <x:v>314</x:v>
      </x:c>
      <x:c r="K56" s="302">
        <x:v>9</x:v>
      </x:c>
      <x:c r="L56" s="302">
        <x:v>0.66666666666666663</x:v>
      </x:c>
      <x:c r="M56" s="302">
        <x:v>1</x:v>
      </x:c>
      <x:c r="N56" s="301" t="s">
        <x:v>330</x:v>
      </x:c>
      <x:c r="O56" s="301" t="s">
        <x:v>273</x:v>
      </x:c>
      <x:c r="P56" s="2" t="s">
        <x:v>338</x:v>
      </x:c>
      <x:c r="Q56" s="2" t="s">
        <x:v>309</x:v>
      </x:c>
    </x:row>
    <x:row r="57" ht="60">
      <x:c r="A57" s="301" t="s">
        <x:v>344</x:v>
      </x:c>
      <x:c r="B57" s="301" t="s">
        <x:v>41</x:v>
      </x:c>
      <x:c r="C57" s="301" t="s">
        <x:v>324</x:v>
      </x:c>
      <x:c r="D57" s="301" t="s">
        <x:v>328</x:v>
      </x:c>
      <x:c r="E57" s="301" t="s">
        <x:v>345</x:v>
      </x:c>
      <x:c r="F57" s="343">
        <x:v>4</x:v>
      </x:c>
      <x:c r="G57" s="301" t="s">
        <x:v>336</x:v>
      </x:c>
      <x:c r="H57" s="301">
        <x:v>8</x:v>
      </x:c>
      <x:c r="I57" s="301" t="s">
        <x:v>337</x:v>
      </x:c>
      <x:c r="J57" s="301" t="s">
        <x:v>314</x:v>
      </x:c>
      <x:c r="K57" s="302">
        <x:v>9</x:v>
      </x:c>
      <x:c r="L57" s="302">
        <x:v>0.44444444444444442</x:v>
      </x:c>
      <x:c r="M57" s="302">
        <x:v>0.66666666666666663</x:v>
      </x:c>
      <x:c r="N57" s="301" t="s">
        <x:v>330</x:v>
      </x:c>
      <x:c r="O57" s="301" t="s">
        <x:v>273</x:v>
      </x:c>
      <x:c r="P57" s="2" t="s">
        <x:v>338</x:v>
      </x:c>
      <x:c r="Q57" s="2" t="s">
        <x:v>309</x:v>
      </x:c>
    </x:row>
    <x:row r="58" ht="60">
      <x:c r="A58" s="301" t="s">
        <x:v>349</x:v>
      </x:c>
      <x:c r="B58" s="301" t="s">
        <x:v>41</x:v>
      </x:c>
      <x:c r="C58" s="301" t="s">
        <x:v>324</x:v>
      </x:c>
      <x:c r="D58" s="301" t="s">
        <x:v>328</x:v>
      </x:c>
      <x:c r="E58" s="301" t="s">
        <x:v>350</x:v>
      </x:c>
      <x:c r="F58" s="343">
        <x:v>10</x:v>
      </x:c>
      <x:c r="G58" s="301" t="s">
        <x:v>336</x:v>
      </x:c>
      <x:c r="H58" s="301">
        <x:v>1</x:v>
      </x:c>
      <x:c r="I58" s="301" t="s">
        <x:v>337</x:v>
      </x:c>
      <x:c r="J58" s="301" t="s">
        <x:v>363</x:v>
      </x:c>
      <x:c r="K58" s="302">
        <x:v>10</x:v>
      </x:c>
      <x:c r="L58" s="302">
        <x:v>1</x:v>
      </x:c>
      <x:c r="M58" s="302">
        <x:v>1.5</x:v>
      </x:c>
      <x:c r="N58" s="301" t="s">
        <x:v>306</x:v>
      </x:c>
      <x:c r="O58" s="301" t="s">
        <x:v>364</x:v>
      </x:c>
      <x:c r="P58" s="2" t="s">
        <x:v>338</x:v>
      </x:c>
      <x:c r="Q58" s="2" t="s">
        <x:v>365</x:v>
      </x:c>
    </x:row>
    <x:row r="59" ht="60">
      <x:c r="A59" s="301" t="s">
        <x:v>366</x:v>
      </x:c>
      <x:c r="B59" s="301" t="s">
        <x:v>41</x:v>
      </x:c>
      <x:c r="C59" s="301" t="s">
        <x:v>324</x:v>
      </x:c>
      <x:c r="D59" s="301" t="s">
        <x:v>328</x:v>
      </x:c>
      <x:c r="E59" s="301" t="s">
        <x:v>367</x:v>
      </x:c>
      <x:c r="F59" s="343">
        <x:v>10</x:v>
      </x:c>
      <x:c r="G59" s="301" t="s">
        <x:v>336</x:v>
      </x:c>
      <x:c r="H59" s="301">
        <x:v>2</x:v>
      </x:c>
      <x:c r="I59" s="301" t="s">
        <x:v>337</x:v>
      </x:c>
      <x:c r="J59" s="301" t="s">
        <x:v>363</x:v>
      </x:c>
      <x:c r="K59" s="302">
        <x:v>10</x:v>
      </x:c>
      <x:c r="L59" s="302">
        <x:v>1</x:v>
      </x:c>
      <x:c r="M59" s="302">
        <x:v>1.5</x:v>
      </x:c>
      <x:c r="N59" s="301" t="s">
        <x:v>306</x:v>
      </x:c>
      <x:c r="O59" s="301" t="s">
        <x:v>372</x:v>
      </x:c>
      <x:c r="P59" s="2" t="s">
        <x:v>338</x:v>
      </x:c>
      <x:c r="Q59" s="2" t="s">
        <x:v>365</x:v>
      </x:c>
    </x:row>
    <x:row r="60" ht="45">
      <x:c r="A60" s="301" t="s">
        <x:v>373</x:v>
      </x:c>
      <x:c r="B60" s="301" t="s">
        <x:v>41</x:v>
      </x:c>
      <x:c r="C60" s="301" t="s">
        <x:v>324</x:v>
      </x:c>
      <x:c r="D60" s="301" t="s">
        <x:v>328</x:v>
      </x:c>
      <x:c r="E60" s="301" t="s">
        <x:v>374</x:v>
      </x:c>
      <x:c r="F60" s="343">
        <x:v>4</x:v>
      </x:c>
      <x:c r="G60" s="301" t="s">
        <x:v>303</x:v>
      </x:c>
      <x:c r="H60" s="301">
        <x:v>6</x:v>
      </x:c>
      <x:c r="I60" s="301" t="s">
        <x:v>304</x:v>
      </x:c>
      <x:c r="J60" s="301" t="s">
        <x:v>314</x:v>
      </x:c>
      <x:c r="K60" s="302">
        <x:v>9</x:v>
      </x:c>
      <x:c r="L60" s="302">
        <x:v>0.44444444444444442</x:v>
      </x:c>
      <x:c r="M60" s="302">
        <x:v>0.66666666666666663</x:v>
      </x:c>
      <x:c r="N60" s="301" t="s">
        <x:v>330</x:v>
      </x:c>
      <x:c r="O60" s="301" t="s">
        <x:v>2736</x:v>
      </x:c>
      <x:c r="P60" s="2" t="s">
        <x:v>308</x:v>
      </x:c>
      <x:c r="Q60" s="2" t="s">
        <x:v>309</x:v>
      </x:c>
    </x:row>
    <x:row r="61" ht="60">
      <x:c r="A61" s="301" t="s">
        <x:v>379</x:v>
      </x:c>
      <x:c r="B61" s="301" t="s">
        <x:v>41</x:v>
      </x:c>
      <x:c r="C61" s="301" t="s">
        <x:v>324</x:v>
      </x:c>
      <x:c r="D61" s="301" t="s">
        <x:v>328</x:v>
      </x:c>
      <x:c r="E61" s="301" t="s">
        <x:v>380</x:v>
      </x:c>
      <x:c r="F61" s="343">
        <x:v>4</x:v>
      </x:c>
      <x:c r="G61" s="301" t="s">
        <x:v>336</x:v>
      </x:c>
      <x:c r="H61" s="301">
        <x:v>3</x:v>
      </x:c>
      <x:c r="I61" s="301" t="s">
        <x:v>337</x:v>
      </x:c>
      <x:c r="J61" s="301" t="s">
        <x:v>314</x:v>
      </x:c>
      <x:c r="K61" s="302">
        <x:v>9</x:v>
      </x:c>
      <x:c r="L61" s="302">
        <x:v>0.44444444444444442</x:v>
      </x:c>
      <x:c r="M61" s="302">
        <x:v>0.66666666666666663</x:v>
      </x:c>
      <x:c r="N61" s="301" t="s">
        <x:v>330</x:v>
      </x:c>
      <x:c r="O61" s="301" t="s">
        <x:v>2737</x:v>
      </x:c>
      <x:c r="P61" s="2" t="s">
        <x:v>338</x:v>
      </x:c>
      <x:c r="Q61" s="2" t="s">
        <x:v>309</x:v>
      </x:c>
    </x:row>
    <x:row r="62" ht="60">
      <x:c r="A62" s="301" t="s">
        <x:v>387</x:v>
      </x:c>
      <x:c r="B62" s="301" t="s">
        <x:v>41</x:v>
      </x:c>
      <x:c r="C62" s="301" t="s">
        <x:v>324</x:v>
      </x:c>
      <x:c r="D62" s="301" t="s">
        <x:v>328</x:v>
      </x:c>
      <x:c r="E62" s="301" t="s">
        <x:v>388</x:v>
      </x:c>
      <x:c r="F62" s="343">
        <x:v>6</x:v>
      </x:c>
      <x:c r="G62" s="301" t="s">
        <x:v>336</x:v>
      </x:c>
      <x:c r="H62" s="301">
        <x:v>4</x:v>
      </x:c>
      <x:c r="I62" s="301" t="s">
        <x:v>337</x:v>
      </x:c>
      <x:c r="J62" s="301" t="s">
        <x:v>363</x:v>
      </x:c>
      <x:c r="K62" s="302">
        <x:v>10</x:v>
      </x:c>
      <x:c r="L62" s="302">
        <x:v>0.6</x:v>
      </x:c>
      <x:c r="M62" s="302">
        <x:v>0.89999999999999991</x:v>
      </x:c>
      <x:c r="N62" s="301" t="s">
        <x:v>330</x:v>
      </x:c>
      <x:c r="O62" s="301" t="s">
        <x:v>2738</x:v>
      </x:c>
      <x:c r="P62" s="2" t="s">
        <x:v>338</x:v>
      </x:c>
      <x:c r="Q62" s="2" t="s">
        <x:v>2739</x:v>
      </x:c>
    </x:row>
    <x:row r="63" ht="60">
      <x:c r="A63" s="301" t="s">
        <x:v>395</x:v>
      </x:c>
      <x:c r="B63" s="301" t="s">
        <x:v>41</x:v>
      </x:c>
      <x:c r="C63" s="301" t="s">
        <x:v>324</x:v>
      </x:c>
      <x:c r="D63" s="301" t="s">
        <x:v>328</x:v>
      </x:c>
      <x:c r="E63" s="301" t="s">
        <x:v>396</x:v>
      </x:c>
      <x:c r="F63" s="343">
        <x:v>4</x:v>
      </x:c>
      <x:c r="G63" s="301" t="s">
        <x:v>336</x:v>
      </x:c>
      <x:c r="H63" s="301">
        <x:v>5</x:v>
      </x:c>
      <x:c r="I63" s="301" t="s">
        <x:v>337</x:v>
      </x:c>
      <x:c r="J63" s="301" t="s">
        <x:v>314</x:v>
      </x:c>
      <x:c r="K63" s="302">
        <x:v>9</x:v>
      </x:c>
      <x:c r="L63" s="302">
        <x:v>0.44444444444444442</x:v>
      </x:c>
      <x:c r="M63" s="302">
        <x:v>0.66666666666666663</x:v>
      </x:c>
      <x:c r="N63" s="301" t="s">
        <x:v>330</x:v>
      </x:c>
      <x:c r="O63" s="301" t="s">
        <x:v>399</x:v>
      </x:c>
      <x:c r="P63" s="2" t="s">
        <x:v>338</x:v>
      </x:c>
      <x:c r="Q63" s="2" t="s">
        <x:v>309</x:v>
      </x:c>
    </x:row>
    <x:row r="64" ht="60">
      <x:c r="A64" s="301" t="s">
        <x:v>401</x:v>
      </x:c>
      <x:c r="B64" s="301" t="s">
        <x:v>41</x:v>
      </x:c>
      <x:c r="C64" s="301" t="s">
        <x:v>324</x:v>
      </x:c>
      <x:c r="D64" s="301" t="s">
        <x:v>328</x:v>
      </x:c>
      <x:c r="E64" s="301" t="s">
        <x:v>402</x:v>
      </x:c>
      <x:c r="F64" s="343">
        <x:v>10</x:v>
      </x:c>
      <x:c r="G64" s="301" t="s">
        <x:v>336</x:v>
      </x:c>
      <x:c r="H64" s="301">
        <x:v>9</x:v>
      </x:c>
      <x:c r="I64" s="301" t="s">
        <x:v>337</x:v>
      </x:c>
      <x:c r="J64" s="301" t="s">
        <x:v>314</x:v>
      </x:c>
      <x:c r="K64" s="302">
        <x:v>9</x:v>
      </x:c>
      <x:c r="L64" s="302">
        <x:v>1.1111111111111112</x:v>
      </x:c>
      <x:c r="M64" s="302">
        <x:v>1.6666666666666667</x:v>
      </x:c>
      <x:c r="N64" s="301" t="s">
        <x:v>330</x:v>
      </x:c>
      <x:c r="O64" s="301" t="s">
        <x:v>273</x:v>
      </x:c>
      <x:c r="P64" s="2" t="s">
        <x:v>338</x:v>
      </x:c>
      <x:c r="Q64" s="2" t="s">
        <x:v>309</x:v>
      </x:c>
    </x:row>
    <x:row r="65" ht="45">
      <x:c r="A65" s="301" t="s">
        <x:v>408</x:v>
      </x:c>
      <x:c r="B65" s="301" t="s">
        <x:v>41</x:v>
      </x:c>
      <x:c r="C65" s="301" t="s">
        <x:v>324</x:v>
      </x:c>
      <x:c r="D65" s="301" t="s">
        <x:v>328</x:v>
      </x:c>
      <x:c r="E65" s="301" t="s">
        <x:v>409</x:v>
      </x:c>
      <x:c r="F65" s="343">
        <x:v>8</x:v>
      </x:c>
      <x:c r="G65" s="301" t="s">
        <x:v>417</x:v>
      </x:c>
      <x:c r="H65" s="301">
        <x:v>1</x:v>
      </x:c>
      <x:c r="I65" s="301" t="s">
        <x:v>418</x:v>
      </x:c>
      <x:c r="J65" s="301" t="s">
        <x:v>363</x:v>
      </x:c>
      <x:c r="K65" s="302">
        <x:v>10</x:v>
      </x:c>
      <x:c r="L65" s="302">
        <x:v>0.8</x:v>
      </x:c>
      <x:c r="M65" s="302">
        <x:v>1.2000000000000002</x:v>
      </x:c>
      <x:c r="N65" s="301" t="s">
        <x:v>306</x:v>
      </x:c>
      <x:c r="O65" s="301" t="s">
        <x:v>419</x:v>
      </x:c>
      <x:c r="P65" s="2" t="s">
        <x:v>420</x:v>
      </x:c>
      <x:c r="Q65" s="2" t="s">
        <x:v>421</x:v>
      </x:c>
    </x:row>
    <x:row r="66" ht="45">
      <x:c r="A66" s="301" t="s">
        <x:v>422</x:v>
      </x:c>
      <x:c r="B66" s="301" t="s">
        <x:v>41</x:v>
      </x:c>
      <x:c r="C66" s="301" t="s">
        <x:v>324</x:v>
      </x:c>
      <x:c r="D66" s="301" t="s">
        <x:v>328</x:v>
      </x:c>
      <x:c r="E66" s="301" t="s">
        <x:v>423</x:v>
      </x:c>
      <x:c r="F66" s="343">
        <x:v>12</x:v>
      </x:c>
      <x:c r="G66" s="301" t="s">
        <x:v>303</x:v>
      </x:c>
      <x:c r="H66" s="301">
        <x:v>8</x:v>
      </x:c>
      <x:c r="I66" s="301" t="s">
        <x:v>304</x:v>
      </x:c>
      <x:c r="J66" s="301" t="s">
        <x:v>314</x:v>
      </x:c>
      <x:c r="K66" s="302">
        <x:v>9</x:v>
      </x:c>
      <x:c r="L66" s="302">
        <x:v>1.3333333333333333</x:v>
      </x:c>
      <x:c r="M66" s="302">
        <x:v>2</x:v>
      </x:c>
      <x:c r="N66" s="301" t="s">
        <x:v>429</x:v>
      </x:c>
      <x:c r="O66" s="301" t="s">
        <x:v>2740</x:v>
      </x:c>
      <x:c r="P66" s="2" t="s">
        <x:v>308</x:v>
      </x:c>
      <x:c r="Q66" s="2" t="s">
        <x:v>309</x:v>
      </x:c>
    </x:row>
    <x:row r="67" ht="45">
      <x:c r="A67" s="301" t="s">
        <x:v>430</x:v>
      </x:c>
      <x:c r="B67" s="301" t="s">
        <x:v>41</x:v>
      </x:c>
      <x:c r="C67" s="301" t="s">
        <x:v>324</x:v>
      </x:c>
      <x:c r="D67" s="301" t="s">
        <x:v>328</x:v>
      </x:c>
      <x:c r="E67" s="301" t="s">
        <x:v>431</x:v>
      </x:c>
      <x:c r="F67" s="343">
        <x:v>6</x:v>
      </x:c>
      <x:c r="G67" s="301" t="s">
        <x:v>303</x:v>
      </x:c>
      <x:c r="H67" s="301">
        <x:v>9</x:v>
      </x:c>
      <x:c r="I67" s="301" t="s">
        <x:v>304</x:v>
      </x:c>
      <x:c r="J67" s="301" t="s">
        <x:v>314</x:v>
      </x:c>
      <x:c r="K67" s="302">
        <x:v>9</x:v>
      </x:c>
      <x:c r="L67" s="302">
        <x:v>0.66666666666666663</x:v>
      </x:c>
      <x:c r="M67" s="302">
        <x:v>1</x:v>
      </x:c>
      <x:c r="N67" s="301" t="s">
        <x:v>429</x:v>
      </x:c>
      <x:c r="O67" s="301" t="s">
        <x:v>2741</x:v>
      </x:c>
      <x:c r="P67" s="2" t="s">
        <x:v>308</x:v>
      </x:c>
      <x:c r="Q67" s="2" t="s">
        <x:v>2742</x:v>
      </x:c>
    </x:row>
    <x:row r="68" ht="45">
      <x:c r="A68" s="301" t="s">
        <x:v>437</x:v>
      </x:c>
      <x:c r="B68" s="301" t="s">
        <x:v>41</x:v>
      </x:c>
      <x:c r="C68" s="301" t="s">
        <x:v>324</x:v>
      </x:c>
      <x:c r="D68" s="301" t="s">
        <x:v>328</x:v>
      </x:c>
      <x:c r="E68" s="301" t="s">
        <x:v>438</x:v>
      </x:c>
      <x:c r="F68" s="343">
        <x:v>8</x:v>
      </x:c>
      <x:c r="G68" s="301" t="s">
        <x:v>417</x:v>
      </x:c>
      <x:c r="H68" s="301">
        <x:v>2</x:v>
      </x:c>
      <x:c r="I68" s="301" t="s">
        <x:v>418</x:v>
      </x:c>
      <x:c r="J68" s="301" t="s">
        <x:v>314</x:v>
      </x:c>
      <x:c r="K68" s="302">
        <x:v>9</x:v>
      </x:c>
      <x:c r="L68" s="302">
        <x:v>0.88888888888888884</x:v>
      </x:c>
      <x:c r="M68" s="302">
        <x:v>1.3333333333333333</x:v>
      </x:c>
      <x:c r="N68" s="301" t="s">
        <x:v>429</x:v>
      </x:c>
      <x:c r="O68" s="301" t="s">
        <x:v>443</x:v>
      </x:c>
      <x:c r="P68" s="2" t="s">
        <x:v>420</x:v>
      </x:c>
      <x:c r="Q68" s="2" t="s">
        <x:v>444</x:v>
      </x:c>
    </x:row>
    <x:row r="69" ht="45">
      <x:c r="A69" s="301" t="s">
        <x:v>445</x:v>
      </x:c>
      <x:c r="B69" s="301" t="s">
        <x:v>41</x:v>
      </x:c>
      <x:c r="C69" s="301" t="s">
        <x:v>324</x:v>
      </x:c>
      <x:c r="D69" s="301" t="s">
        <x:v>328</x:v>
      </x:c>
      <x:c r="E69" s="301" t="s">
        <x:v>446</x:v>
      </x:c>
      <x:c r="F69" s="343">
        <x:v>6</x:v>
      </x:c>
      <x:c r="G69" s="301" t="s">
        <x:v>303</x:v>
      </x:c>
      <x:c r="H69" s="301">
        <x:v>7</x:v>
      </x:c>
      <x:c r="I69" s="301" t="s">
        <x:v>304</x:v>
      </x:c>
      <x:c r="J69" s="301" t="s">
        <x:v>314</x:v>
      </x:c>
      <x:c r="K69" s="302">
        <x:v>9</x:v>
      </x:c>
      <x:c r="L69" s="302">
        <x:v>0.66666666666666663</x:v>
      </x:c>
      <x:c r="M69" s="302">
        <x:v>1</x:v>
      </x:c>
      <x:c r="N69" s="301" t="s">
        <x:v>429</x:v>
      </x:c>
      <x:c r="O69" s="301" t="s">
        <x:v>454</x:v>
      </x:c>
      <x:c r="P69" s="2" t="s">
        <x:v>308</x:v>
      </x:c>
      <x:c r="Q69" s="2" t="s">
        <x:v>309</x:v>
      </x:c>
    </x:row>
    <x:row r="70" ht="30">
      <x:c r="A70" s="301" t="s">
        <x:v>455</x:v>
      </x:c>
      <x:c r="B70" s="301" t="s">
        <x:v>41</x:v>
      </x:c>
      <x:c r="C70" s="301" t="s">
        <x:v>456</x:v>
      </x:c>
      <x:c r="D70" s="301" t="s">
        <x:v>49</x:v>
      </x:c>
      <x:c r="E70" s="301" t="s">
        <x:v>457</x:v>
      </x:c>
      <x:c r="F70" s="343">
        <x:v>8</x:v>
      </x:c>
      <x:c r="G70" s="301" t="s">
        <x:v>51</x:v>
      </x:c>
      <x:c r="H70" s="301">
        <x:v>0</x:v>
      </x:c>
      <x:c r="I70" s="301" t="s">
        <x:v>62</x:v>
      </x:c>
      <x:c r="J70" s="301" t="s">
        <x:v>61</x:v>
      </x:c>
      <x:c r="K70" s="302">
        <x:v>0</x:v>
      </x:c>
      <x:c r="L70" s="302">
        <x:v>0</x:v>
      </x:c>
      <x:c r="M70" s="302">
        <x:v>0</x:v>
      </x:c>
      <x:c r="N70" s="301" t="s">
        <x:v>51</x:v>
      </x:c>
      <x:c r="O70" s="301" t="s">
        <x:v>63</x:v>
      </x:c>
      <x:c r="P70" s="2" t="s">
        <x:v>64</x:v>
      </x:c>
      <x:c r="Q70" s="2" t="s">
        <x:v>65</x:v>
      </x:c>
    </x:row>
    <x:row r="71" ht="30">
      <x:c r="A71" s="301" t="s">
        <x:v>462</x:v>
      </x:c>
      <x:c r="B71" s="301" t="s">
        <x:v>41</x:v>
      </x:c>
      <x:c r="C71" s="301" t="s">
        <x:v>456</x:v>
      </x:c>
      <x:c r="D71" s="301" t="s">
        <x:v>49</x:v>
      </x:c>
      <x:c r="E71" s="301" t="s">
        <x:v>463</x:v>
      </x:c>
      <x:c r="F71" s="343">
        <x:v>6</x:v>
      </x:c>
      <x:c r="G71" s="301" t="s">
        <x:v>51</x:v>
      </x:c>
      <x:c r="H71" s="301">
        <x:v>0</x:v>
      </x:c>
      <x:c r="I71" s="301" t="s">
        <x:v>62</x:v>
      </x:c>
      <x:c r="J71" s="301" t="s">
        <x:v>61</x:v>
      </x:c>
      <x:c r="K71" s="302">
        <x:v>0</x:v>
      </x:c>
      <x:c r="L71" s="302">
        <x:v>0</x:v>
      </x:c>
      <x:c r="M71" s="302">
        <x:v>0</x:v>
      </x:c>
      <x:c r="N71" s="301" t="s">
        <x:v>51</x:v>
      </x:c>
      <x:c r="O71" s="301" t="s">
        <x:v>63</x:v>
      </x:c>
      <x:c r="P71" s="2" t="s">
        <x:v>64</x:v>
      </x:c>
      <x:c r="Q71" s="2" t="s">
        <x:v>65</x:v>
      </x:c>
    </x:row>
    <x:row r="72" ht="30">
      <x:c r="A72" s="301" t="s">
        <x:v>466</x:v>
      </x:c>
      <x:c r="B72" s="301" t="s">
        <x:v>41</x:v>
      </x:c>
      <x:c r="C72" s="301" t="s">
        <x:v>456</x:v>
      </x:c>
      <x:c r="D72" s="301" t="s">
        <x:v>49</x:v>
      </x:c>
      <x:c r="E72" s="301" t="s">
        <x:v>467</x:v>
      </x:c>
      <x:c r="F72" s="343">
        <x:v>8</x:v>
      </x:c>
      <x:c r="G72" s="301" t="s">
        <x:v>51</x:v>
      </x:c>
      <x:c r="H72" s="301">
        <x:v>0</x:v>
      </x:c>
      <x:c r="I72" s="301" t="s">
        <x:v>62</x:v>
      </x:c>
      <x:c r="J72" s="301" t="s">
        <x:v>61</x:v>
      </x:c>
      <x:c r="K72" s="302">
        <x:v>0</x:v>
      </x:c>
      <x:c r="L72" s="302">
        <x:v>0</x:v>
      </x:c>
      <x:c r="M72" s="302">
        <x:v>0</x:v>
      </x:c>
      <x:c r="N72" s="301" t="s">
        <x:v>51</x:v>
      </x:c>
      <x:c r="O72" s="301" t="s">
        <x:v>63</x:v>
      </x:c>
      <x:c r="P72" s="2" t="s">
        <x:v>64</x:v>
      </x:c>
      <x:c r="Q72" s="2" t="s">
        <x:v>65</x:v>
      </x:c>
    </x:row>
    <x:row r="73" ht="30">
      <x:c r="A73" s="301" t="s">
        <x:v>472</x:v>
      </x:c>
      <x:c r="B73" s="301" t="s">
        <x:v>41</x:v>
      </x:c>
      <x:c r="C73" s="301" t="s">
        <x:v>456</x:v>
      </x:c>
      <x:c r="D73" s="301" t="s">
        <x:v>49</x:v>
      </x:c>
      <x:c r="E73" s="301" t="s">
        <x:v>473</x:v>
      </x:c>
      <x:c r="F73" s="343">
        <x:v>8</x:v>
      </x:c>
      <x:c r="G73" s="301" t="s">
        <x:v>51</x:v>
      </x:c>
      <x:c r="H73" s="301">
        <x:v>0</x:v>
      </x:c>
      <x:c r="I73" s="301" t="s">
        <x:v>62</x:v>
      </x:c>
      <x:c r="J73" s="301" t="s">
        <x:v>61</x:v>
      </x:c>
      <x:c r="K73" s="302">
        <x:v>0</x:v>
      </x:c>
      <x:c r="L73" s="302">
        <x:v>0</x:v>
      </x:c>
      <x:c r="M73" s="302">
        <x:v>0</x:v>
      </x:c>
      <x:c r="N73" s="301" t="s">
        <x:v>51</x:v>
      </x:c>
      <x:c r="O73" s="301" t="s">
        <x:v>63</x:v>
      </x:c>
      <x:c r="P73" s="2" t="s">
        <x:v>64</x:v>
      </x:c>
      <x:c r="Q73" s="2" t="s">
        <x:v>65</x:v>
      </x:c>
    </x:row>
    <x:row r="74" ht="30">
      <x:c r="A74" s="301" t="s">
        <x:v>476</x:v>
      </x:c>
      <x:c r="B74" s="301" t="s">
        <x:v>41</x:v>
      </x:c>
      <x:c r="C74" s="301" t="s">
        <x:v>456</x:v>
      </x:c>
      <x:c r="D74" s="301" t="s">
        <x:v>49</x:v>
      </x:c>
      <x:c r="E74" s="301" t="s">
        <x:v>477</x:v>
      </x:c>
      <x:c r="F74" s="343">
        <x:v>8</x:v>
      </x:c>
      <x:c r="G74" s="301" t="s">
        <x:v>51</x:v>
      </x:c>
      <x:c r="H74" s="301">
        <x:v>0</x:v>
      </x:c>
      <x:c r="I74" s="301" t="s">
        <x:v>62</x:v>
      </x:c>
      <x:c r="J74" s="301" t="s">
        <x:v>61</x:v>
      </x:c>
      <x:c r="K74" s="302">
        <x:v>0</x:v>
      </x:c>
      <x:c r="L74" s="302">
        <x:v>0</x:v>
      </x:c>
      <x:c r="M74" s="302">
        <x:v>0</x:v>
      </x:c>
      <x:c r="N74" s="301" t="s">
        <x:v>51</x:v>
      </x:c>
      <x:c r="O74" s="301" t="s">
        <x:v>63</x:v>
      </x:c>
      <x:c r="P74" s="2" t="s">
        <x:v>64</x:v>
      </x:c>
      <x:c r="Q74" s="2" t="s">
        <x:v>65</x:v>
      </x:c>
    </x:row>
    <x:row r="75" ht="30">
      <x:c r="A75" s="301" t="s">
        <x:v>481</x:v>
      </x:c>
      <x:c r="B75" s="301" t="s">
        <x:v>41</x:v>
      </x:c>
      <x:c r="C75" s="301" t="s">
        <x:v>456</x:v>
      </x:c>
      <x:c r="D75" s="301" t="s">
        <x:v>49</x:v>
      </x:c>
      <x:c r="E75" s="301" t="s">
        <x:v>482</x:v>
      </x:c>
      <x:c r="F75" s="343">
        <x:v>4</x:v>
      </x:c>
      <x:c r="G75" s="301" t="s">
        <x:v>51</x:v>
      </x:c>
      <x:c r="H75" s="301">
        <x:v>0</x:v>
      </x:c>
      <x:c r="I75" s="301" t="s">
        <x:v>62</x:v>
      </x:c>
      <x:c r="J75" s="301" t="s">
        <x:v>61</x:v>
      </x:c>
      <x:c r="K75" s="302">
        <x:v>0</x:v>
      </x:c>
      <x:c r="L75" s="302">
        <x:v>0</x:v>
      </x:c>
      <x:c r="M75" s="302">
        <x:v>0</x:v>
      </x:c>
      <x:c r="N75" s="301" t="s">
        <x:v>51</x:v>
      </x:c>
      <x:c r="O75" s="301" t="s">
        <x:v>63</x:v>
      </x:c>
      <x:c r="P75" s="2" t="s">
        <x:v>64</x:v>
      </x:c>
      <x:c r="Q75" s="2" t="s">
        <x:v>65</x:v>
      </x:c>
    </x:row>
    <x:row r="76" ht="30">
      <x:c r="A76" s="301" t="s">
        <x:v>485</x:v>
      </x:c>
      <x:c r="B76" s="301" t="s">
        <x:v>41</x:v>
      </x:c>
      <x:c r="C76" s="301" t="s">
        <x:v>456</x:v>
      </x:c>
      <x:c r="D76" s="301" t="s">
        <x:v>49</x:v>
      </x:c>
      <x:c r="E76" s="301" t="s">
        <x:v>486</x:v>
      </x:c>
      <x:c r="F76" s="343">
        <x:v>4</x:v>
      </x:c>
      <x:c r="G76" s="301" t="s">
        <x:v>51</x:v>
      </x:c>
      <x:c r="H76" s="301">
        <x:v>0</x:v>
      </x:c>
      <x:c r="I76" s="301" t="s">
        <x:v>62</x:v>
      </x:c>
      <x:c r="J76" s="301" t="s">
        <x:v>61</x:v>
      </x:c>
      <x:c r="K76" s="302">
        <x:v>0</x:v>
      </x:c>
      <x:c r="L76" s="302">
        <x:v>0</x:v>
      </x:c>
      <x:c r="M76" s="302">
        <x:v>0</x:v>
      </x:c>
      <x:c r="N76" s="301" t="s">
        <x:v>51</x:v>
      </x:c>
      <x:c r="O76" s="301" t="s">
        <x:v>63</x:v>
      </x:c>
      <x:c r="P76" s="2" t="s">
        <x:v>64</x:v>
      </x:c>
      <x:c r="Q76" s="2" t="s">
        <x:v>65</x:v>
      </x:c>
    </x:row>
    <x:row r="77" ht="45">
      <x:c r="A77" s="301" t="s">
        <x:v>489</x:v>
      </x:c>
      <x:c r="B77" s="301" t="s">
        <x:v>41</x:v>
      </x:c>
      <x:c r="C77" s="301" t="s">
        <x:v>456</x:v>
      </x:c>
      <x:c r="D77" s="301" t="s">
        <x:v>328</x:v>
      </x:c>
      <x:c r="E77" s="301" t="s">
        <x:v>490</x:v>
      </x:c>
      <x:c r="F77" s="343">
        <x:v>4</x:v>
      </x:c>
      <x:c r="G77" s="301" t="s">
        <x:v>417</x:v>
      </x:c>
      <x:c r="H77" s="301">
        <x:v>3</x:v>
      </x:c>
      <x:c r="I77" s="301" t="s">
        <x:v>418</x:v>
      </x:c>
      <x:c r="J77" s="301" t="s">
        <x:v>495</x:v>
      </x:c>
      <x:c r="K77" s="302">
        <x:v>18</x:v>
      </x:c>
      <x:c r="L77" s="302">
        <x:v>0.25</x:v>
      </x:c>
      <x:c r="M77" s="302">
        <x:v>0.33750000000000002</x:v>
      </x:c>
      <x:c r="N77" s="301" t="s">
        <x:v>496</x:v>
      </x:c>
      <x:c r="O77" s="301" t="s">
        <x:v>2743</x:v>
      </x:c>
      <x:c r="P77" s="2" t="s">
        <x:v>420</x:v>
      </x:c>
      <x:c r="Q77" s="2" t="s">
        <x:v>2744</x:v>
      </x:c>
    </x:row>
    <x:row r="78" ht="45">
      <x:c r="A78" s="301" t="s">
        <x:v>497</x:v>
      </x:c>
      <x:c r="B78" s="301" t="s">
        <x:v>41</x:v>
      </x:c>
      <x:c r="C78" s="301" t="s">
        <x:v>456</x:v>
      </x:c>
      <x:c r="D78" s="301" t="s">
        <x:v>328</x:v>
      </x:c>
      <x:c r="E78" s="301" t="s">
        <x:v>498</x:v>
      </x:c>
      <x:c r="F78" s="343">
        <x:v>6</x:v>
      </x:c>
      <x:c r="G78" s="301" t="s">
        <x:v>303</x:v>
      </x:c>
      <x:c r="H78" s="301">
        <x:v>10</x:v>
      </x:c>
      <x:c r="I78" s="301" t="s">
        <x:v>304</x:v>
      </x:c>
      <x:c r="J78" s="301" t="s">
        <x:v>504</x:v>
      </x:c>
      <x:c r="K78" s="302">
        <x:v>5</x:v>
      </x:c>
      <x:c r="L78" s="302">
        <x:v>1.2</x:v>
      </x:c>
      <x:c r="M78" s="302">
        <x:v>2.04</x:v>
      </x:c>
      <x:c r="N78" s="301" t="s">
        <x:v>496</x:v>
      </x:c>
      <x:c r="O78" s="301" t="s">
        <x:v>2745</x:v>
      </x:c>
      <x:c r="P78" s="2" t="s">
        <x:v>308</x:v>
      </x:c>
      <x:c r="Q78" s="2" t="s">
        <x:v>309</x:v>
      </x:c>
    </x:row>
    <x:row r="79" ht="45">
      <x:c r="A79" s="301" t="s">
        <x:v>505</x:v>
      </x:c>
      <x:c r="B79" s="301" t="s">
        <x:v>41</x:v>
      </x:c>
      <x:c r="C79" s="301" t="s">
        <x:v>456</x:v>
      </x:c>
      <x:c r="D79" s="301" t="s">
        <x:v>328</x:v>
      </x:c>
      <x:c r="E79" s="301" t="s">
        <x:v>506</x:v>
      </x:c>
      <x:c r="F79" s="343">
        <x:v>4</x:v>
      </x:c>
      <x:c r="G79" s="301" t="s">
        <x:v>303</x:v>
      </x:c>
      <x:c r="H79" s="301">
        <x:v>11</x:v>
      </x:c>
      <x:c r="I79" s="301" t="s">
        <x:v>304</x:v>
      </x:c>
      <x:c r="J79" s="301" t="s">
        <x:v>504</x:v>
      </x:c>
      <x:c r="K79" s="302">
        <x:v>5</x:v>
      </x:c>
      <x:c r="L79" s="302">
        <x:v>0.8</x:v>
      </x:c>
      <x:c r="M79" s="302">
        <x:v>1.36</x:v>
      </x:c>
      <x:c r="N79" s="301" t="s">
        <x:v>496</x:v>
      </x:c>
      <x:c r="O79" s="301" t="s">
        <x:v>510</x:v>
      </x:c>
      <x:c r="P79" s="2" t="s">
        <x:v>308</x:v>
      </x:c>
      <x:c r="Q79" s="2" t="s">
        <x:v>309</x:v>
      </x:c>
    </x:row>
    <x:row r="80" ht="45">
      <x:c r="A80" s="301" t="s">
        <x:v>512</x:v>
      </x:c>
      <x:c r="B80" s="301" t="s">
        <x:v>41</x:v>
      </x:c>
      <x:c r="C80" s="301" t="s">
        <x:v>456</x:v>
      </x:c>
      <x:c r="D80" s="301" t="s">
        <x:v>328</x:v>
      </x:c>
      <x:c r="E80" s="301" t="s">
        <x:v>513</x:v>
      </x:c>
      <x:c r="F80" s="343">
        <x:v>3</x:v>
      </x:c>
      <x:c r="G80" s="301" t="s">
        <x:v>303</x:v>
      </x:c>
      <x:c r="H80" s="301">
        <x:v>12</x:v>
      </x:c>
      <x:c r="I80" s="301" t="s">
        <x:v>304</x:v>
      </x:c>
      <x:c r="J80" s="301" t="s">
        <x:v>504</x:v>
      </x:c>
      <x:c r="K80" s="302">
        <x:v>5</x:v>
      </x:c>
      <x:c r="L80" s="302">
        <x:v>0.6</x:v>
      </x:c>
      <x:c r="M80" s="302">
        <x:v>1.02</x:v>
      </x:c>
      <x:c r="N80" s="301" t="s">
        <x:v>496</x:v>
      </x:c>
      <x:c r="O80" s="301" t="s">
        <x:v>2746</x:v>
      </x:c>
      <x:c r="P80" s="2" t="s">
        <x:v>308</x:v>
      </x:c>
      <x:c r="Q80" s="2" t="s">
        <x:v>309</x:v>
      </x:c>
    </x:row>
    <x:row r="81" ht="45">
      <x:c r="A81" s="301" t="s">
        <x:v>518</x:v>
      </x:c>
      <x:c r="B81" s="301" t="s">
        <x:v>41</x:v>
      </x:c>
      <x:c r="C81" s="301" t="s">
        <x:v>456</x:v>
      </x:c>
      <x:c r="D81" s="301" t="s">
        <x:v>328</x:v>
      </x:c>
      <x:c r="E81" s="301" t="s">
        <x:v>519</x:v>
      </x:c>
      <x:c r="F81" s="343">
        <x:v>4</x:v>
      </x:c>
      <x:c r="G81" s="301" t="s">
        <x:v>303</x:v>
      </x:c>
      <x:c r="H81" s="301">
        <x:v>13</x:v>
      </x:c>
      <x:c r="I81" s="301" t="s">
        <x:v>304</x:v>
      </x:c>
      <x:c r="J81" s="301" t="s">
        <x:v>504</x:v>
      </x:c>
      <x:c r="K81" s="302">
        <x:v>5</x:v>
      </x:c>
      <x:c r="L81" s="302">
        <x:v>0.8</x:v>
      </x:c>
      <x:c r="M81" s="302">
        <x:v>1.36</x:v>
      </x:c>
      <x:c r="N81" s="301" t="s">
        <x:v>496</x:v>
      </x:c>
      <x:c r="O81" s="301" t="s">
        <x:v>2747</x:v>
      </x:c>
      <x:c r="P81" s="2" t="s">
        <x:v>308</x:v>
      </x:c>
      <x:c r="Q81" s="2" t="s">
        <x:v>309</x:v>
      </x:c>
    </x:row>
    <x:row r="82" ht="45">
      <x:c r="A82" s="301" t="s">
        <x:v>525</x:v>
      </x:c>
      <x:c r="B82" s="301" t="s">
        <x:v>41</x:v>
      </x:c>
      <x:c r="C82" s="301" t="s">
        <x:v>456</x:v>
      </x:c>
      <x:c r="D82" s="301" t="s">
        <x:v>328</x:v>
      </x:c>
      <x:c r="E82" s="301" t="s">
        <x:v>526</x:v>
      </x:c>
      <x:c r="F82" s="343">
        <x:v>6</x:v>
      </x:c>
      <x:c r="G82" s="301" t="s">
        <x:v>303</x:v>
      </x:c>
      <x:c r="H82" s="301">
        <x:v>14</x:v>
      </x:c>
      <x:c r="I82" s="301" t="s">
        <x:v>304</x:v>
      </x:c>
      <x:c r="J82" s="301" t="s">
        <x:v>495</x:v>
      </x:c>
      <x:c r="K82" s="302">
        <x:v>18</x:v>
      </x:c>
      <x:c r="L82" s="302">
        <x:v>0.33333333333333331</x:v>
      </x:c>
      <x:c r="M82" s="302">
        <x:v>0.45</x:v>
      </x:c>
      <x:c r="N82" s="301" t="s">
        <x:v>496</x:v>
      </x:c>
      <x:c r="O82" s="301" t="s">
        <x:v>530</x:v>
      </x:c>
      <x:c r="P82" s="2" t="s">
        <x:v>308</x:v>
      </x:c>
      <x:c r="Q82" s="2" t="s">
        <x:v>309</x:v>
      </x:c>
    </x:row>
    <x:row r="83" ht="45">
      <x:c r="A83" s="301" t="s">
        <x:v>532</x:v>
      </x:c>
      <x:c r="B83" s="301" t="s">
        <x:v>41</x:v>
      </x:c>
      <x:c r="C83" s="301" t="s">
        <x:v>456</x:v>
      </x:c>
      <x:c r="D83" s="301" t="s">
        <x:v>328</x:v>
      </x:c>
      <x:c r="E83" s="301" t="s">
        <x:v>533</x:v>
      </x:c>
      <x:c r="F83" s="343">
        <x:v>4</x:v>
      </x:c>
      <x:c r="G83" s="301" t="s">
        <x:v>303</x:v>
      </x:c>
      <x:c r="H83" s="301">
        <x:v>15</x:v>
      </x:c>
      <x:c r="I83" s="301" t="s">
        <x:v>304</x:v>
      </x:c>
      <x:c r="J83" s="301" t="s">
        <x:v>538</x:v>
      </x:c>
      <x:c r="K83" s="302">
        <x:v>6</x:v>
      </x:c>
      <x:c r="L83" s="302">
        <x:v>0.66666666666666663</x:v>
      </x:c>
      <x:c r="M83" s="302">
        <x:v>1.0666666666666667</x:v>
      </x:c>
      <x:c r="N83" s="301" t="s">
        <x:v>496</x:v>
      </x:c>
      <x:c r="O83" s="301" t="s">
        <x:v>2748</x:v>
      </x:c>
      <x:c r="P83" s="2" t="s">
        <x:v>308</x:v>
      </x:c>
      <x:c r="Q83" s="2" t="s">
        <x:v>309</x:v>
      </x:c>
    </x:row>
    <x:row r="84" ht="45">
      <x:c r="A84" s="301" t="s">
        <x:v>539</x:v>
      </x:c>
      <x:c r="B84" s="301" t="s">
        <x:v>41</x:v>
      </x:c>
      <x:c r="C84" s="301" t="s">
        <x:v>456</x:v>
      </x:c>
      <x:c r="D84" s="301" t="s">
        <x:v>328</x:v>
      </x:c>
      <x:c r="E84" s="301" t="s">
        <x:v>540</x:v>
      </x:c>
      <x:c r="F84" s="343">
        <x:v>6</x:v>
      </x:c>
      <x:c r="G84" s="301" t="s">
        <x:v>303</x:v>
      </x:c>
      <x:c r="H84" s="301">
        <x:v>16</x:v>
      </x:c>
      <x:c r="I84" s="301" t="s">
        <x:v>304</x:v>
      </x:c>
      <x:c r="J84" s="301" t="s">
        <x:v>495</x:v>
      </x:c>
      <x:c r="K84" s="302">
        <x:v>18</x:v>
      </x:c>
      <x:c r="L84" s="302">
        <x:v>0.33333333333333331</x:v>
      </x:c>
      <x:c r="M84" s="302">
        <x:v>0.45</x:v>
      </x:c>
      <x:c r="N84" s="301" t="s">
        <x:v>496</x:v>
      </x:c>
      <x:c r="O84" s="301" t="s">
        <x:v>2749</x:v>
      </x:c>
      <x:c r="P84" s="2" t="s">
        <x:v>308</x:v>
      </x:c>
      <x:c r="Q84" s="2" t="s">
        <x:v>309</x:v>
      </x:c>
    </x:row>
    <x:row r="85" ht="45">
      <x:c r="A85" s="301" t="s">
        <x:v>545</x:v>
      </x:c>
      <x:c r="B85" s="301" t="s">
        <x:v>546</x:v>
      </x:c>
      <x:c r="C85" s="301" t="s">
        <x:v>547</x:v>
      </x:c>
      <x:c r="D85" s="301" t="s">
        <x:v>328</x:v>
      </x:c>
      <x:c r="E85" s="301" t="s">
        <x:v>548</x:v>
      </x:c>
      <x:c r="F85" s="343">
        <x:v>10</x:v>
      </x:c>
      <x:c r="G85" s="301" t="s">
        <x:v>336</x:v>
      </x:c>
      <x:c r="H85" s="301">
        <x:v>10</x:v>
      </x:c>
      <x:c r="I85" s="301" t="s">
        <x:v>556</x:v>
      </x:c>
      <x:c r="J85" s="301" t="s">
        <x:v>538</x:v>
      </x:c>
      <x:c r="K85" s="302">
        <x:v>6</x:v>
      </x:c>
      <x:c r="L85" s="302">
        <x:v>1.6666666666666667</x:v>
      </x:c>
      <x:c r="M85" s="302">
        <x:v>2.666666666666667</x:v>
      </x:c>
      <x:c r="N85" s="301" t="s">
        <x:v>557</x:v>
      </x:c>
      <x:c r="O85" s="301" t="s">
        <x:v>558</x:v>
      </x:c>
      <x:c r="P85" s="2" t="s">
        <x:v>559</x:v>
      </x:c>
      <x:c r="Q85" s="2" t="s">
        <x:v>309</x:v>
      </x:c>
    </x:row>
    <x:row r="86" ht="45">
      <x:c r="A86" s="301" t="s">
        <x:v>560</x:v>
      </x:c>
      <x:c r="B86" s="301" t="s">
        <x:v>546</x:v>
      </x:c>
      <x:c r="C86" s="301" t="s">
        <x:v>547</x:v>
      </x:c>
      <x:c r="D86" s="301" t="s">
        <x:v>328</x:v>
      </x:c>
      <x:c r="E86" s="301" t="s">
        <x:v>561</x:v>
      </x:c>
      <x:c r="F86" s="343">
        <x:v>10</x:v>
      </x:c>
      <x:c r="G86" s="301" t="s">
        <x:v>336</x:v>
      </x:c>
      <x:c r="H86" s="301">
        <x:v>11</x:v>
      </x:c>
      <x:c r="I86" s="301" t="s">
        <x:v>556</x:v>
      </x:c>
      <x:c r="J86" s="301" t="s">
        <x:v>564</x:v>
      </x:c>
      <x:c r="K86" s="302">
        <x:v>8</x:v>
      </x:c>
      <x:c r="L86" s="302">
        <x:v>1.25</x:v>
      </x:c>
      <x:c r="M86" s="302">
        <x:v>1.9375</x:v>
      </x:c>
      <x:c r="N86" s="301" t="s">
        <x:v>557</x:v>
      </x:c>
      <x:c r="O86" s="301" t="s">
        <x:v>558</x:v>
      </x:c>
      <x:c r="P86" s="2" t="s">
        <x:v>559</x:v>
      </x:c>
      <x:c r="Q86" s="2" t="s">
        <x:v>309</x:v>
      </x:c>
    </x:row>
    <x:row r="87" ht="45">
      <x:c r="A87" s="301" t="s">
        <x:v>565</x:v>
      </x:c>
      <x:c r="B87" s="301" t="str">
        <x:v>M2a</x:v>
      </x:c>
      <x:c r="C87" s="301" t="str">
        <x:v>M2a-P1</x:v>
      </x:c>
      <x:c r="D87" s="301" t="str">
        <x:v>Not Started</x:v>
      </x:c>
      <x:c r="E87" s="301" t="str">
        <x:v>Freeze the legacy Fleet v2 controlled regression oracle</x:v>
      </x:c>
      <x:c r="F87" s="343">
        <x:v>8</x:v>
      </x:c>
      <x:c r="G87" s="301" t="s">
        <x:v>336</x:v>
      </x:c>
      <x:c r="H87" s="301">
        <x:v>12</x:v>
      </x:c>
      <x:c r="I87" s="301" t="s">
        <x:v>556</x:v>
      </x:c>
      <x:c r="J87" s="301" t="s">
        <x:v>504</x:v>
      </x:c>
      <x:c r="K87" s="302">
        <x:v>5</x:v>
      </x:c>
      <x:c r="L87" s="302">
        <x:v>1.6</x:v>
      </x:c>
      <x:c r="M87" s="302">
        <x:v>2.72</x:v>
      </x:c>
      <x:c r="N87" s="301" t="s">
        <x:v>557</x:v>
      </x:c>
      <x:c r="O87" s="301" t="str">
        <x:v>WAIT for Presentation RC freeze/tag + clean index/worktree. Then: M2a dependency order</x:v>
      </x:c>
      <x:c r="P87" s="2" t="s">
        <x:v>559</x:v>
      </x:c>
      <x:c r="Q87" s="2" t="s">
        <x:v>309</x:v>
      </x:c>
    </x:row>
    <x:row r="88" ht="60">
      <x:c r="A88" s="301" t="s">
        <x:v>568</x:v>
      </x:c>
      <x:c r="B88" s="301" t="s">
        <x:v>546</x:v>
      </x:c>
      <x:c r="C88" s="301" t="s">
        <x:v>547</x:v>
      </x:c>
      <x:c r="D88" s="301" t="s">
        <x:v>328</x:v>
      </x:c>
      <x:c r="E88" s="301" t="s">
        <x:v>569</x:v>
      </x:c>
      <x:c r="F88" s="343">
        <x:v>12</x:v>
      </x:c>
      <x:c r="G88" s="301" t="s">
        <x:v>336</x:v>
      </x:c>
      <x:c r="H88" s="301">
        <x:v>14</x:v>
      </x:c>
      <x:c r="I88" s="301" t="s">
        <x:v>556</x:v>
      </x:c>
      <x:c r="J88" s="301" t="s">
        <x:v>564</x:v>
      </x:c>
      <x:c r="K88" s="302">
        <x:v>8</x:v>
      </x:c>
      <x:c r="L88" s="302">
        <x:v>1.5</x:v>
      </x:c>
      <x:c r="M88" s="302">
        <x:v>2.3250000000000002</x:v>
      </x:c>
      <x:c r="N88" s="301" t="s">
        <x:v>577</x:v>
      </x:c>
      <x:c r="O88" s="301" t="s">
        <x:v>578</x:v>
      </x:c>
      <x:c r="P88" s="2" t="s">
        <x:v>559</x:v>
      </x:c>
      <x:c r="Q88" s="2" t="s">
        <x:v>309</x:v>
      </x:c>
    </x:row>
    <x:row r="89" ht="60">
      <x:c r="A89" s="301" t="s">
        <x:v>579</x:v>
      </x:c>
      <x:c r="B89" s="301" t="s">
        <x:v>546</x:v>
      </x:c>
      <x:c r="C89" s="301" t="s">
        <x:v>547</x:v>
      </x:c>
      <x:c r="D89" s="301" t="s">
        <x:v>328</x:v>
      </x:c>
      <x:c r="E89" s="301" t="s">
        <x:v>580</x:v>
      </x:c>
      <x:c r="F89" s="343">
        <x:v>12</x:v>
      </x:c>
      <x:c r="G89" s="301" t="s">
        <x:v>336</x:v>
      </x:c>
      <x:c r="H89" s="301">
        <x:v>13</x:v>
      </x:c>
      <x:c r="I89" s="301" t="s">
        <x:v>556</x:v>
      </x:c>
      <x:c r="J89" s="301" t="s">
        <x:v>564</x:v>
      </x:c>
      <x:c r="K89" s="302">
        <x:v>8</x:v>
      </x:c>
      <x:c r="L89" s="302">
        <x:v>1.5</x:v>
      </x:c>
      <x:c r="M89" s="302">
        <x:v>2.3250000000000002</x:v>
      </x:c>
      <x:c r="N89" s="301" t="s">
        <x:v>577</x:v>
      </x:c>
      <x:c r="O89" s="301" t="s">
        <x:v>587</x:v>
      </x:c>
      <x:c r="P89" s="2" t="s">
        <x:v>559</x:v>
      </x:c>
      <x:c r="Q89" s="2" t="s">
        <x:v>309</x:v>
      </x:c>
    </x:row>
    <x:row r="90" ht="45">
      <x:c r="A90" s="301" t="s">
        <x:v>588</x:v>
      </x:c>
      <x:c r="B90" s="301" t="s">
        <x:v>546</x:v>
      </x:c>
      <x:c r="C90" s="301" t="s">
        <x:v>547</x:v>
      </x:c>
      <x:c r="D90" s="301" t="s">
        <x:v>328</x:v>
      </x:c>
      <x:c r="E90" s="301" t="s">
        <x:v>589</x:v>
      </x:c>
      <x:c r="F90" s="343">
        <x:v>12</x:v>
      </x:c>
      <x:c r="G90" s="301" t="s">
        <x:v>336</x:v>
      </x:c>
      <x:c r="H90" s="301">
        <x:v>15</x:v>
      </x:c>
      <x:c r="I90" s="301" t="s">
        <x:v>556</x:v>
      </x:c>
      <x:c r="J90" s="301" t="s">
        <x:v>564</x:v>
      </x:c>
      <x:c r="K90" s="302">
        <x:v>8</x:v>
      </x:c>
      <x:c r="L90" s="302">
        <x:v>1.5</x:v>
      </x:c>
      <x:c r="M90" s="302">
        <x:v>2.3250000000000002</x:v>
      </x:c>
      <x:c r="N90" s="301" t="s">
        <x:v>577</x:v>
      </x:c>
      <x:c r="O90" s="301" t="s">
        <x:v>597</x:v>
      </x:c>
      <x:c r="P90" s="2" t="s">
        <x:v>559</x:v>
      </x:c>
      <x:c r="Q90" s="2" t="s">
        <x:v>309</x:v>
      </x:c>
    </x:row>
    <x:row r="91" ht="60">
      <x:c r="A91" s="301" t="s">
        <x:v>598</x:v>
      </x:c>
      <x:c r="B91" s="301" t="s">
        <x:v>546</x:v>
      </x:c>
      <x:c r="C91" s="301" t="s">
        <x:v>547</x:v>
      </x:c>
      <x:c r="D91" s="301" t="s">
        <x:v>328</x:v>
      </x:c>
      <x:c r="E91" s="301" t="s">
        <x:v>599</x:v>
      </x:c>
      <x:c r="F91" s="343">
        <x:v>12</x:v>
      </x:c>
      <x:c r="G91" s="301" t="s">
        <x:v>336</x:v>
      </x:c>
      <x:c r="H91" s="301">
        <x:v>16</x:v>
      </x:c>
      <x:c r="I91" s="301" t="s">
        <x:v>556</x:v>
      </x:c>
      <x:c r="J91" s="301" t="s">
        <x:v>363</x:v>
      </x:c>
      <x:c r="K91" s="302">
        <x:v>10</x:v>
      </x:c>
      <x:c r="L91" s="302">
        <x:v>1.2</x:v>
      </x:c>
      <x:c r="M91" s="302">
        <x:v>1.7999999999999998</x:v>
      </x:c>
      <x:c r="N91" s="301" t="s">
        <x:v>577</x:v>
      </x:c>
      <x:c r="O91" s="301" t="s">
        <x:v>606</x:v>
      </x:c>
      <x:c r="P91" s="2" t="s">
        <x:v>559</x:v>
      </x:c>
      <x:c r="Q91" s="2" t="s">
        <x:v>309</x:v>
      </x:c>
    </x:row>
    <x:row r="92" ht="45">
      <x:c r="A92" s="301" t="s">
        <x:v>607</x:v>
      </x:c>
      <x:c r="B92" s="301" t="s">
        <x:v>546</x:v>
      </x:c>
      <x:c r="C92" s="301" t="s">
        <x:v>547</x:v>
      </x:c>
      <x:c r="D92" s="301" t="s">
        <x:v>328</x:v>
      </x:c>
      <x:c r="E92" s="301" t="s">
        <x:v>608</x:v>
      </x:c>
      <x:c r="F92" s="343">
        <x:v>12</x:v>
      </x:c>
      <x:c r="G92" s="301" t="s">
        <x:v>336</x:v>
      </x:c>
      <x:c r="H92" s="301">
        <x:v>38</x:v>
      </x:c>
      <x:c r="I92" s="301" t="s">
        <x:v>556</x:v>
      </x:c>
      <x:c r="J92" s="301" t="s">
        <x:v>363</x:v>
      </x:c>
      <x:c r="K92" s="302">
        <x:v>10</x:v>
      </x:c>
      <x:c r="L92" s="302">
        <x:v>1.2</x:v>
      </x:c>
      <x:c r="M92" s="302">
        <x:v>1.7999999999999998</x:v>
      </x:c>
      <x:c r="N92" s="301" t="s">
        <x:v>577</x:v>
      </x:c>
      <x:c r="O92" s="301" t="s">
        <x:v>614</x:v>
      </x:c>
      <x:c r="P92" s="2" t="s">
        <x:v>559</x:v>
      </x:c>
      <x:c r="Q92" s="2" t="s">
        <x:v>309</x:v>
      </x:c>
    </x:row>
    <x:row r="93" ht="45">
      <x:c r="A93" s="301" t="s">
        <x:v>615</x:v>
      </x:c>
      <x:c r="B93" s="301" t="s">
        <x:v>546</x:v>
      </x:c>
      <x:c r="C93" s="301" t="s">
        <x:v>547</x:v>
      </x:c>
      <x:c r="D93" s="301" t="s">
        <x:v>328</x:v>
      </x:c>
      <x:c r="E93" s="301" t="s">
        <x:v>616</x:v>
      </x:c>
      <x:c r="F93" s="343">
        <x:v>12</x:v>
      </x:c>
      <x:c r="G93" s="301" t="s">
        <x:v>336</x:v>
      </x:c>
      <x:c r="H93" s="301">
        <x:v>17</x:v>
      </x:c>
      <x:c r="I93" s="301" t="s">
        <x:v>556</x:v>
      </x:c>
      <x:c r="J93" s="301" t="s">
        <x:v>363</x:v>
      </x:c>
      <x:c r="K93" s="302">
        <x:v>10</x:v>
      </x:c>
      <x:c r="L93" s="302">
        <x:v>1.2</x:v>
      </x:c>
      <x:c r="M93" s="302">
        <x:v>1.7999999999999998</x:v>
      </x:c>
      <x:c r="N93" s="301" t="s">
        <x:v>577</x:v>
      </x:c>
      <x:c r="O93" s="301" t="s">
        <x:v>619</x:v>
      </x:c>
      <x:c r="P93" s="2" t="s">
        <x:v>559</x:v>
      </x:c>
      <x:c r="Q93" s="2" t="s">
        <x:v>309</x:v>
      </x:c>
    </x:row>
    <x:row r="94" ht="60">
      <x:c r="A94" s="301" t="s">
        <x:v>620</x:v>
      </x:c>
      <x:c r="B94" s="301" t="s">
        <x:v>546</x:v>
      </x:c>
      <x:c r="C94" s="301" t="s">
        <x:v>547</x:v>
      </x:c>
      <x:c r="D94" s="301" t="s">
        <x:v>328</x:v>
      </x:c>
      <x:c r="E94" s="301" t="s">
        <x:v>621</x:v>
      </x:c>
      <x:c r="F94" s="343">
        <x:v>6</x:v>
      </x:c>
      <x:c r="G94" s="301" t="s">
        <x:v>336</x:v>
      </x:c>
      <x:c r="H94" s="301">
        <x:v>18</x:v>
      </x:c>
      <x:c r="I94" s="301" t="s">
        <x:v>556</x:v>
      </x:c>
      <x:c r="J94" s="301" t="s">
        <x:v>363</x:v>
      </x:c>
      <x:c r="K94" s="302">
        <x:v>10</x:v>
      </x:c>
      <x:c r="L94" s="302">
        <x:v>0.6</x:v>
      </x:c>
      <x:c r="M94" s="302">
        <x:v>0.89999999999999991</x:v>
      </x:c>
      <x:c r="N94" s="301" t="s">
        <x:v>577</x:v>
      </x:c>
      <x:c r="O94" s="301" t="s">
        <x:v>625</x:v>
      </x:c>
      <x:c r="P94" s="2" t="s">
        <x:v>559</x:v>
      </x:c>
      <x:c r="Q94" s="2" t="s">
        <x:v>309</x:v>
      </x:c>
    </x:row>
    <x:row r="95" ht="45">
      <x:c r="A95" s="301" t="s">
        <x:v>626</x:v>
      </x:c>
      <x:c r="B95" s="301" t="str">
        <x:v>M2a</x:v>
      </x:c>
      <x:c r="C95" s="301" t="str">
        <x:v>M2a-P1</x:v>
      </x:c>
      <x:c r="D95" s="301" t="str">
        <x:v>Not Started</x:v>
      </x:c>
      <x:c r="E95" s="301" t="str">
        <x:v>Plant-vocabulary sweep, part 2: remove hardcoded universal grain and industry vocabulary</x:v>
      </x:c>
      <x:c r="F95" s="343">
        <x:v>8</x:v>
      </x:c>
      <x:c r="G95" s="301" t="s">
        <x:v>336</x:v>
      </x:c>
      <x:c r="H95" s="301">
        <x:v>19</x:v>
      </x:c>
      <x:c r="I95" s="301" t="s">
        <x:v>556</x:v>
      </x:c>
      <x:c r="J95" s="301" t="s">
        <x:v>363</x:v>
      </x:c>
      <x:c r="K95" s="302">
        <x:v>10</x:v>
      </x:c>
      <x:c r="L95" s="302">
        <x:v>0.8</x:v>
      </x:c>
      <x:c r="M95" s="302">
        <x:v>1.2000000000000002</x:v>
      </x:c>
      <x:c r="N95" s="301" t="s">
        <x:v>577</x:v>
      </x:c>
      <x:c r="O95" s="301" t="str">
        <x:v>WAIT for Presentation RC freeze/tag + clean index/worktree. Then: T-092 + T-093; canonical multi-grain vocabulary authority available.</x:v>
      </x:c>
      <x:c r="P95" s="2" t="s">
        <x:v>559</x:v>
      </x:c>
      <x:c r="Q95" s="2" t="s">
        <x:v>309</x:v>
      </x:c>
    </x:row>
    <x:row r="96" ht="45">
      <x:c r="A96" s="301" t="s">
        <x:v>630</x:v>
      </x:c>
      <x:c r="B96" s="301" t="s">
        <x:v>546</x:v>
      </x:c>
      <x:c r="C96" s="301" t="s">
        <x:v>631</x:v>
      </x:c>
      <x:c r="D96" s="301" t="s">
        <x:v>328</x:v>
      </x:c>
      <x:c r="E96" s="301" t="s">
        <x:v>632</x:v>
      </x:c>
      <x:c r="F96" s="343">
        <x:v>12</x:v>
      </x:c>
      <x:c r="G96" s="301" t="s">
        <x:v>336</x:v>
      </x:c>
      <x:c r="H96" s="301">
        <x:v>20</x:v>
      </x:c>
      <x:c r="I96" s="301" t="s">
        <x:v>556</x:v>
      </x:c>
      <x:c r="J96" s="301" t="s">
        <x:v>363</x:v>
      </x:c>
      <x:c r="K96" s="302">
        <x:v>10</x:v>
      </x:c>
      <x:c r="L96" s="302">
        <x:v>1.2</x:v>
      </x:c>
      <x:c r="M96" s="302">
        <x:v>1.7999999999999998</x:v>
      </x:c>
      <x:c r="N96" s="301" t="s">
        <x:v>639</x:v>
      </x:c>
      <x:c r="O96" s="301" t="s">
        <x:v>640</x:v>
      </x:c>
      <x:c r="P96" s="2" t="s">
        <x:v>559</x:v>
      </x:c>
      <x:c r="Q96" s="2" t="s">
        <x:v>309</x:v>
      </x:c>
    </x:row>
    <x:row r="97" ht="45">
      <x:c r="A97" s="301" t="s">
        <x:v>641</x:v>
      </x:c>
      <x:c r="B97" s="301" t="s">
        <x:v>546</x:v>
      </x:c>
      <x:c r="C97" s="301" t="s">
        <x:v>631</x:v>
      </x:c>
      <x:c r="D97" s="301" t="s">
        <x:v>328</x:v>
      </x:c>
      <x:c r="E97" s="301" t="s">
        <x:v>642</x:v>
      </x:c>
      <x:c r="F97" s="343">
        <x:v>8</x:v>
      </x:c>
      <x:c r="G97" s="301" t="s">
        <x:v>336</x:v>
      </x:c>
      <x:c r="H97" s="301">
        <x:v>21</x:v>
      </x:c>
      <x:c r="I97" s="301" t="s">
        <x:v>556</x:v>
      </x:c>
      <x:c r="J97" s="301" t="s">
        <x:v>363</x:v>
      </x:c>
      <x:c r="K97" s="302">
        <x:v>10</x:v>
      </x:c>
      <x:c r="L97" s="302">
        <x:v>0.8</x:v>
      </x:c>
      <x:c r="M97" s="302">
        <x:v>1.2000000000000002</x:v>
      </x:c>
      <x:c r="N97" s="301" t="s">
        <x:v>639</x:v>
      </x:c>
      <x:c r="O97" s="301" t="s">
        <x:v>649</x:v>
      </x:c>
      <x:c r="P97" s="2" t="s">
        <x:v>559</x:v>
      </x:c>
      <x:c r="Q97" s="2" t="s">
        <x:v>309</x:v>
      </x:c>
    </x:row>
    <x:row r="98" ht="45">
      <x:c r="A98" s="301" t="s">
        <x:v>650</x:v>
      </x:c>
      <x:c r="B98" s="301" t="s">
        <x:v>546</x:v>
      </x:c>
      <x:c r="C98" s="301" t="s">
        <x:v>631</x:v>
      </x:c>
      <x:c r="D98" s="301" t="s">
        <x:v>328</x:v>
      </x:c>
      <x:c r="E98" s="301" t="s">
        <x:v>651</x:v>
      </x:c>
      <x:c r="F98" s="343">
        <x:v>6</x:v>
      </x:c>
      <x:c r="G98" s="301" t="s">
        <x:v>336</x:v>
      </x:c>
      <x:c r="H98" s="301">
        <x:v>22</x:v>
      </x:c>
      <x:c r="I98" s="301" t="s">
        <x:v>556</x:v>
      </x:c>
      <x:c r="J98" s="301" t="s">
        <x:v>363</x:v>
      </x:c>
      <x:c r="K98" s="302">
        <x:v>10</x:v>
      </x:c>
      <x:c r="L98" s="302">
        <x:v>0.6</x:v>
      </x:c>
      <x:c r="M98" s="302">
        <x:v>0.89999999999999991</x:v>
      </x:c>
      <x:c r="N98" s="301" t="s">
        <x:v>639</x:v>
      </x:c>
      <x:c r="O98" s="301" t="s">
        <x:v>656</x:v>
      </x:c>
      <x:c r="P98" s="2" t="s">
        <x:v>559</x:v>
      </x:c>
      <x:c r="Q98" s="2" t="s">
        <x:v>309</x:v>
      </x:c>
    </x:row>
    <x:row r="99" ht="45">
      <x:c r="A99" s="301" t="s">
        <x:v>657</x:v>
      </x:c>
      <x:c r="B99" s="301" t="s">
        <x:v>546</x:v>
      </x:c>
      <x:c r="C99" s="301" t="s">
        <x:v>631</x:v>
      </x:c>
      <x:c r="D99" s="301" t="s">
        <x:v>328</x:v>
      </x:c>
      <x:c r="E99" s="301" t="s">
        <x:v>658</x:v>
      </x:c>
      <x:c r="F99" s="343">
        <x:v>12</x:v>
      </x:c>
      <x:c r="G99" s="301" t="s">
        <x:v>303</x:v>
      </x:c>
      <x:c r="H99" s="301">
        <x:v>18</x:v>
      </x:c>
      <x:c r="I99" s="301" t="s">
        <x:v>663</x:v>
      </x:c>
      <x:c r="J99" s="301" t="s">
        <x:v>314</x:v>
      </x:c>
      <x:c r="K99" s="302">
        <x:v>9</x:v>
      </x:c>
      <x:c r="L99" s="302">
        <x:v>1.3333333333333333</x:v>
      </x:c>
      <x:c r="M99" s="302">
        <x:v>2</x:v>
      </x:c>
      <x:c r="N99" s="301" t="s">
        <x:v>639</x:v>
      </x:c>
      <x:c r="O99" s="301" t="s">
        <x:v>664</x:v>
      </x:c>
      <x:c r="P99" s="2" t="s">
        <x:v>665</x:v>
      </x:c>
      <x:c r="Q99" s="2" t="s">
        <x:v>309</x:v>
      </x:c>
    </x:row>
    <x:row r="100" ht="60">
      <x:c r="A100" s="301" t="s">
        <x:v>666</x:v>
      </x:c>
      <x:c r="B100" s="301" t="s">
        <x:v>546</x:v>
      </x:c>
      <x:c r="C100" s="301" t="s">
        <x:v>631</x:v>
      </x:c>
      <x:c r="D100" s="301" t="s">
        <x:v>328</x:v>
      </x:c>
      <x:c r="E100" s="301" t="s">
        <x:v>667</x:v>
      </x:c>
      <x:c r="F100" s="343">
        <x:v>8</x:v>
      </x:c>
      <x:c r="G100" s="301" t="s">
        <x:v>336</x:v>
      </x:c>
      <x:c r="H100" s="301">
        <x:v>23</x:v>
      </x:c>
      <x:c r="I100" s="301" t="s">
        <x:v>556</x:v>
      </x:c>
      <x:c r="J100" s="301" t="s">
        <x:v>363</x:v>
      </x:c>
      <x:c r="K100" s="302">
        <x:v>10</x:v>
      </x:c>
      <x:c r="L100" s="302">
        <x:v>0.8</x:v>
      </x:c>
      <x:c r="M100" s="302">
        <x:v>1.2000000000000002</x:v>
      </x:c>
      <x:c r="N100" s="301" t="s">
        <x:v>639</x:v>
      </x:c>
      <x:c r="O100" s="301" t="s">
        <x:v>674</x:v>
      </x:c>
      <x:c r="P100" s="2" t="s">
        <x:v>559</x:v>
      </x:c>
      <x:c r="Q100" s="2" t="s">
        <x:v>309</x:v>
      </x:c>
    </x:row>
    <x:row r="101" ht="45">
      <x:c r="A101" s="301" t="s">
        <x:v>675</x:v>
      </x:c>
      <x:c r="B101" s="301" t="s">
        <x:v>546</x:v>
      </x:c>
      <x:c r="C101" s="301" t="s">
        <x:v>631</x:v>
      </x:c>
      <x:c r="D101" s="301" t="s">
        <x:v>328</x:v>
      </x:c>
      <x:c r="E101" s="301" t="s">
        <x:v>676</x:v>
      </x:c>
      <x:c r="F101" s="343">
        <x:v>6</x:v>
      </x:c>
      <x:c r="G101" s="301" t="s">
        <x:v>336</x:v>
      </x:c>
      <x:c r="H101" s="301">
        <x:v>24</x:v>
      </x:c>
      <x:c r="I101" s="301" t="s">
        <x:v>556</x:v>
      </x:c>
      <x:c r="J101" s="301" t="s">
        <x:v>363</x:v>
      </x:c>
      <x:c r="K101" s="302">
        <x:v>10</x:v>
      </x:c>
      <x:c r="L101" s="302">
        <x:v>0.6</x:v>
      </x:c>
      <x:c r="M101" s="302">
        <x:v>0.89999999999999991</x:v>
      </x:c>
      <x:c r="N101" s="301" t="s">
        <x:v>639</x:v>
      </x:c>
      <x:c r="O101" s="301" t="s">
        <x:v>681</x:v>
      </x:c>
      <x:c r="P101" s="2" t="s">
        <x:v>559</x:v>
      </x:c>
      <x:c r="Q101" s="2" t="s">
        <x:v>309</x:v>
      </x:c>
    </x:row>
    <x:row r="102" ht="60">
      <x:c r="A102" s="301" t="s">
        <x:v>682</x:v>
      </x:c>
      <x:c r="B102" s="301" t="s">
        <x:v>546</x:v>
      </x:c>
      <x:c r="C102" s="301" t="s">
        <x:v>631</x:v>
      </x:c>
      <x:c r="D102" s="301" t="s">
        <x:v>328</x:v>
      </x:c>
      <x:c r="E102" s="301" t="s">
        <x:v>683</x:v>
      </x:c>
      <x:c r="F102" s="343">
        <x:v>12</x:v>
      </x:c>
      <x:c r="G102" s="301" t="s">
        <x:v>303</x:v>
      </x:c>
      <x:c r="H102" s="301">
        <x:v>19</x:v>
      </x:c>
      <x:c r="I102" s="301" t="s">
        <x:v>663</x:v>
      </x:c>
      <x:c r="J102" s="301" t="s">
        <x:v>314</x:v>
      </x:c>
      <x:c r="K102" s="302">
        <x:v>9</x:v>
      </x:c>
      <x:c r="L102" s="302">
        <x:v>1.3333333333333333</x:v>
      </x:c>
      <x:c r="M102" s="302">
        <x:v>2</x:v>
      </x:c>
      <x:c r="N102" s="301" t="s">
        <x:v>639</x:v>
      </x:c>
      <x:c r="O102" s="301" t="s">
        <x:v>688</x:v>
      </x:c>
      <x:c r="P102" s="2" t="s">
        <x:v>665</x:v>
      </x:c>
      <x:c r="Q102" s="2" t="s">
        <x:v>309</x:v>
      </x:c>
    </x:row>
    <x:row r="103" ht="60">
      <x:c r="A103" s="301" t="s">
        <x:v>689</x:v>
      </x:c>
      <x:c r="B103" s="301" t="s">
        <x:v>546</x:v>
      </x:c>
      <x:c r="C103" s="301" t="s">
        <x:v>631</x:v>
      </x:c>
      <x:c r="D103" s="301" t="s">
        <x:v>328</x:v>
      </x:c>
      <x:c r="E103" s="301" t="s">
        <x:v>690</x:v>
      </x:c>
      <x:c r="F103" s="343">
        <x:v>8</x:v>
      </x:c>
      <x:c r="G103" s="301" t="s">
        <x:v>336</x:v>
      </x:c>
      <x:c r="H103" s="301">
        <x:v>25</x:v>
      </x:c>
      <x:c r="I103" s="301" t="s">
        <x:v>556</x:v>
      </x:c>
      <x:c r="J103" s="301" t="s">
        <x:v>363</x:v>
      </x:c>
      <x:c r="K103" s="302">
        <x:v>10</x:v>
      </x:c>
      <x:c r="L103" s="302">
        <x:v>0.8</x:v>
      </x:c>
      <x:c r="M103" s="302">
        <x:v>1.2000000000000002</x:v>
      </x:c>
      <x:c r="N103" s="301" t="s">
        <x:v>639</x:v>
      </x:c>
      <x:c r="O103" s="301" t="s">
        <x:v>695</x:v>
      </x:c>
      <x:c r="P103" s="2" t="s">
        <x:v>559</x:v>
      </x:c>
      <x:c r="Q103" s="2" t="s">
        <x:v>309</x:v>
      </x:c>
    </x:row>
    <x:row r="104" ht="45">
      <x:c r="A104" s="301" t="s">
        <x:v>696</x:v>
      </x:c>
      <x:c r="B104" s="301" t="s">
        <x:v>546</x:v>
      </x:c>
      <x:c r="C104" s="301" t="s">
        <x:v>631</x:v>
      </x:c>
      <x:c r="D104" s="301" t="s">
        <x:v>328</x:v>
      </x:c>
      <x:c r="E104" s="301" t="s">
        <x:v>697</x:v>
      </x:c>
      <x:c r="F104" s="343">
        <x:v>6</x:v>
      </x:c>
      <x:c r="G104" s="301" t="s">
        <x:v>336</x:v>
      </x:c>
      <x:c r="H104" s="301">
        <x:v>26</x:v>
      </x:c>
      <x:c r="I104" s="301" t="s">
        <x:v>556</x:v>
      </x:c>
      <x:c r="J104" s="301" t="s">
        <x:v>363</x:v>
      </x:c>
      <x:c r="K104" s="302">
        <x:v>10</x:v>
      </x:c>
      <x:c r="L104" s="302">
        <x:v>0.6</x:v>
      </x:c>
      <x:c r="M104" s="302">
        <x:v>0.89999999999999991</x:v>
      </x:c>
      <x:c r="N104" s="301" t="s">
        <x:v>639</x:v>
      </x:c>
      <x:c r="O104" s="301" t="s">
        <x:v>702</x:v>
      </x:c>
      <x:c r="P104" s="2" t="s">
        <x:v>559</x:v>
      </x:c>
      <x:c r="Q104" s="2" t="s">
        <x:v>309</x:v>
      </x:c>
    </x:row>
    <x:row r="105" ht="60">
      <x:c r="A105" s="301" t="s">
        <x:v>703</x:v>
      </x:c>
      <x:c r="B105" s="301" t="s">
        <x:v>546</x:v>
      </x:c>
      <x:c r="C105" s="301" t="s">
        <x:v>631</x:v>
      </x:c>
      <x:c r="D105" s="301" t="s">
        <x:v>328</x:v>
      </x:c>
      <x:c r="E105" s="301" t="s">
        <x:v>704</x:v>
      </x:c>
      <x:c r="F105" s="343">
        <x:v>8</x:v>
      </x:c>
      <x:c r="G105" s="301" t="s">
        <x:v>336</x:v>
      </x:c>
      <x:c r="H105" s="301">
        <x:v>27</x:v>
      </x:c>
      <x:c r="I105" s="301" t="s">
        <x:v>556</x:v>
      </x:c>
      <x:c r="J105" s="301" t="s">
        <x:v>363</x:v>
      </x:c>
      <x:c r="K105" s="302">
        <x:v>10</x:v>
      </x:c>
      <x:c r="L105" s="302">
        <x:v>0.8</x:v>
      </x:c>
      <x:c r="M105" s="302">
        <x:v>1.2000000000000002</x:v>
      </x:c>
      <x:c r="N105" s="301" t="s">
        <x:v>639</x:v>
      </x:c>
      <x:c r="O105" s="301" t="s">
        <x:v>710</x:v>
      </x:c>
      <x:c r="P105" s="2" t="s">
        <x:v>559</x:v>
      </x:c>
      <x:c r="Q105" s="2" t="s">
        <x:v>309</x:v>
      </x:c>
    </x:row>
    <x:row r="106" ht="45">
      <x:c r="A106" s="301" t="s">
        <x:v>711</x:v>
      </x:c>
      <x:c r="B106" s="301" t="s">
        <x:v>546</x:v>
      </x:c>
      <x:c r="C106" s="301" t="s">
        <x:v>631</x:v>
      </x:c>
      <x:c r="D106" s="301" t="s">
        <x:v>328</x:v>
      </x:c>
      <x:c r="E106" s="301" t="s">
        <x:v>712</x:v>
      </x:c>
      <x:c r="F106" s="343">
        <x:v>6</x:v>
      </x:c>
      <x:c r="G106" s="301" t="s">
        <x:v>336</x:v>
      </x:c>
      <x:c r="H106" s="301">
        <x:v>28</x:v>
      </x:c>
      <x:c r="I106" s="301" t="s">
        <x:v>556</x:v>
      </x:c>
      <x:c r="J106" s="301" t="s">
        <x:v>363</x:v>
      </x:c>
      <x:c r="K106" s="302">
        <x:v>10</x:v>
      </x:c>
      <x:c r="L106" s="302">
        <x:v>0.6</x:v>
      </x:c>
      <x:c r="M106" s="302">
        <x:v>0.89999999999999991</x:v>
      </x:c>
      <x:c r="N106" s="301" t="s">
        <x:v>639</x:v>
      </x:c>
      <x:c r="O106" s="301" t="s">
        <x:v>717</x:v>
      </x:c>
      <x:c r="P106" s="2" t="s">
        <x:v>559</x:v>
      </x:c>
      <x:c r="Q106" s="2" t="s">
        <x:v>718</x:v>
      </x:c>
    </x:row>
    <x:row r="107" ht="45">
      <x:c r="A107" s="301" t="s">
        <x:v>719</x:v>
      </x:c>
      <x:c r="B107" s="301" t="s">
        <x:v>546</x:v>
      </x:c>
      <x:c r="C107" s="301" t="s">
        <x:v>720</x:v>
      </x:c>
      <x:c r="D107" s="301" t="s">
        <x:v>328</x:v>
      </x:c>
      <x:c r="E107" s="301" t="s">
        <x:v>721</x:v>
      </x:c>
      <x:c r="F107" s="343">
        <x:v>12</x:v>
      </x:c>
      <x:c r="G107" s="301" t="s">
        <x:v>417</x:v>
      </x:c>
      <x:c r="H107" s="301">
        <x:v>4</x:v>
      </x:c>
      <x:c r="I107" s="301" t="s">
        <x:v>726</x:v>
      </x:c>
      <x:c r="J107" s="301" t="s">
        <x:v>363</x:v>
      </x:c>
      <x:c r="K107" s="302">
        <x:v>10</x:v>
      </x:c>
      <x:c r="L107" s="302">
        <x:v>1.2</x:v>
      </x:c>
      <x:c r="M107" s="302">
        <x:v>1.7999999999999998</x:v>
      </x:c>
      <x:c r="N107" s="301" t="s">
        <x:v>727</x:v>
      </x:c>
      <x:c r="O107" s="301" t="s">
        <x:v>728</x:v>
      </x:c>
      <x:c r="P107" s="2" t="s">
        <x:v>729</x:v>
      </x:c>
      <x:c r="Q107" s="2" t="s">
        <x:v>309</x:v>
      </x:c>
    </x:row>
    <x:row r="108" ht="60">
      <x:c r="A108" s="301" t="s">
        <x:v>730</x:v>
      </x:c>
      <x:c r="B108" s="301" t="s">
        <x:v>546</x:v>
      </x:c>
      <x:c r="C108" s="301" t="s">
        <x:v>720</x:v>
      </x:c>
      <x:c r="D108" s="301" t="s">
        <x:v>328</x:v>
      </x:c>
      <x:c r="E108" s="301" t="s">
        <x:v>731</x:v>
      </x:c>
      <x:c r="F108" s="343">
        <x:v>12</x:v>
      </x:c>
      <x:c r="G108" s="301" t="s">
        <x:v>417</x:v>
      </x:c>
      <x:c r="H108" s="301">
        <x:v>5</x:v>
      </x:c>
      <x:c r="I108" s="301" t="s">
        <x:v>726</x:v>
      </x:c>
      <x:c r="J108" s="301" t="s">
        <x:v>363</x:v>
      </x:c>
      <x:c r="K108" s="302">
        <x:v>10</x:v>
      </x:c>
      <x:c r="L108" s="302">
        <x:v>1.2</x:v>
      </x:c>
      <x:c r="M108" s="302">
        <x:v>1.7999999999999998</x:v>
      </x:c>
      <x:c r="N108" s="301" t="s">
        <x:v>727</x:v>
      </x:c>
      <x:c r="O108" s="301" t="s">
        <x:v>741</x:v>
      </x:c>
      <x:c r="P108" s="2" t="s">
        <x:v>729</x:v>
      </x:c>
      <x:c r="Q108" s="2" t="s">
        <x:v>309</x:v>
      </x:c>
    </x:row>
    <x:row r="109" ht="45">
      <x:c r="A109" s="301" t="s">
        <x:v>742</x:v>
      </x:c>
      <x:c r="B109" s="301" t="s">
        <x:v>546</x:v>
      </x:c>
      <x:c r="C109" s="301" t="s">
        <x:v>720</x:v>
      </x:c>
      <x:c r="D109" s="301" t="s">
        <x:v>328</x:v>
      </x:c>
      <x:c r="E109" s="301" t="s">
        <x:v>743</x:v>
      </x:c>
      <x:c r="F109" s="343">
        <x:v>8</x:v>
      </x:c>
      <x:c r="G109" s="301" t="s">
        <x:v>336</x:v>
      </x:c>
      <x:c r="H109" s="301">
        <x:v>31</x:v>
      </x:c>
      <x:c r="I109" s="301" t="s">
        <x:v>556</x:v>
      </x:c>
      <x:c r="J109" s="301" t="s">
        <x:v>363</x:v>
      </x:c>
      <x:c r="K109" s="302">
        <x:v>10</x:v>
      </x:c>
      <x:c r="L109" s="302">
        <x:v>0.8</x:v>
      </x:c>
      <x:c r="M109" s="302">
        <x:v>1.2000000000000002</x:v>
      </x:c>
      <x:c r="N109" s="301" t="s">
        <x:v>727</x:v>
      </x:c>
      <x:c r="O109" s="301" t="s">
        <x:v>558</x:v>
      </x:c>
      <x:c r="P109" s="2" t="s">
        <x:v>559</x:v>
      </x:c>
      <x:c r="Q109" s="2" t="s">
        <x:v>309</x:v>
      </x:c>
    </x:row>
    <x:row r="110" ht="45">
      <x:c r="A110" s="301" t="s">
        <x:v>747</x:v>
      </x:c>
      <x:c r="B110" s="301" t="s">
        <x:v>546</x:v>
      </x:c>
      <x:c r="C110" s="301" t="s">
        <x:v>720</x:v>
      </x:c>
      <x:c r="D110" s="301" t="s">
        <x:v>328</x:v>
      </x:c>
      <x:c r="E110" s="301" t="s">
        <x:v>748</x:v>
      </x:c>
      <x:c r="F110" s="343">
        <x:v>6</x:v>
      </x:c>
      <x:c r="G110" s="301" t="s">
        <x:v>417</x:v>
      </x:c>
      <x:c r="H110" s="301">
        <x:v>6</x:v>
      </x:c>
      <x:c r="I110" s="301" t="s">
        <x:v>726</x:v>
      </x:c>
      <x:c r="J110" s="301" t="s">
        <x:v>363</x:v>
      </x:c>
      <x:c r="K110" s="302">
        <x:v>10</x:v>
      </x:c>
      <x:c r="L110" s="302">
        <x:v>0.6</x:v>
      </x:c>
      <x:c r="M110" s="302">
        <x:v>0.89999999999999991</x:v>
      </x:c>
      <x:c r="N110" s="301" t="s">
        <x:v>727</x:v>
      </x:c>
      <x:c r="O110" s="301" t="s">
        <x:v>756</x:v>
      </x:c>
      <x:c r="P110" s="2" t="s">
        <x:v>729</x:v>
      </x:c>
      <x:c r="Q110" s="2" t="s">
        <x:v>309</x:v>
      </x:c>
    </x:row>
    <x:row r="111" ht="45">
      <x:c r="A111" s="301" t="s">
        <x:v>757</x:v>
      </x:c>
      <x:c r="B111" s="301" t="s">
        <x:v>546</x:v>
      </x:c>
      <x:c r="C111" s="301" t="s">
        <x:v>720</x:v>
      </x:c>
      <x:c r="D111" s="301" t="s">
        <x:v>328</x:v>
      </x:c>
      <x:c r="E111" s="301" t="s">
        <x:v>758</x:v>
      </x:c>
      <x:c r="F111" s="343">
        <x:v>12</x:v>
      </x:c>
      <x:c r="G111" s="301" t="s">
        <x:v>336</x:v>
      </x:c>
      <x:c r="H111" s="301">
        <x:v>32</x:v>
      </x:c>
      <x:c r="I111" s="301" t="s">
        <x:v>556</x:v>
      </x:c>
      <x:c r="J111" s="301" t="s">
        <x:v>363</x:v>
      </x:c>
      <x:c r="K111" s="302">
        <x:v>10</x:v>
      </x:c>
      <x:c r="L111" s="302">
        <x:v>1.2</x:v>
      </x:c>
      <x:c r="M111" s="302">
        <x:v>1.7999999999999998</x:v>
      </x:c>
      <x:c r="N111" s="301" t="s">
        <x:v>727</x:v>
      </x:c>
      <x:c r="O111" s="301" t="s">
        <x:v>558</x:v>
      </x:c>
      <x:c r="P111" s="2" t="s">
        <x:v>559</x:v>
      </x:c>
      <x:c r="Q111" s="2" t="s">
        <x:v>309</x:v>
      </x:c>
    </x:row>
    <x:row r="112" ht="45">
      <x:c r="A112" s="301" t="s">
        <x:v>761</x:v>
      </x:c>
      <x:c r="B112" s="301" t="s">
        <x:v>546</x:v>
      </x:c>
      <x:c r="C112" s="301" t="s">
        <x:v>720</x:v>
      </x:c>
      <x:c r="D112" s="301" t="s">
        <x:v>328</x:v>
      </x:c>
      <x:c r="E112" s="301" t="s">
        <x:v>762</x:v>
      </x:c>
      <x:c r="F112" s="343">
        <x:v>12</x:v>
      </x:c>
      <x:c r="G112" s="301" t="s">
        <x:v>336</x:v>
      </x:c>
      <x:c r="H112" s="301">
        <x:v>33</x:v>
      </x:c>
      <x:c r="I112" s="301" t="s">
        <x:v>556</x:v>
      </x:c>
      <x:c r="J112" s="301" t="s">
        <x:v>538</x:v>
      </x:c>
      <x:c r="K112" s="302">
        <x:v>6</x:v>
      </x:c>
      <x:c r="L112" s="302">
        <x:v>2</x:v>
      </x:c>
      <x:c r="M112" s="302">
        <x:v>3.2</x:v>
      </x:c>
      <x:c r="N112" s="301" t="s">
        <x:v>727</x:v>
      </x:c>
      <x:c r="O112" s="301" t="s">
        <x:v>558</x:v>
      </x:c>
      <x:c r="P112" s="2" t="s">
        <x:v>559</x:v>
      </x:c>
      <x:c r="Q112" s="2" t="s">
        <x:v>309</x:v>
      </x:c>
    </x:row>
    <x:row r="113" ht="60">
      <x:c r="A113" s="301" t="s">
        <x:v>766</x:v>
      </x:c>
      <x:c r="B113" s="301" t="s">
        <x:v>546</x:v>
      </x:c>
      <x:c r="C113" s="301" t="s">
        <x:v>720</x:v>
      </x:c>
      <x:c r="D113" s="301" t="s">
        <x:v>328</x:v>
      </x:c>
      <x:c r="E113" s="301" t="s">
        <x:v>767</x:v>
      </x:c>
      <x:c r="F113" s="343">
        <x:v>12</x:v>
      </x:c>
      <x:c r="G113" s="301" t="s">
        <x:v>336</x:v>
      </x:c>
      <x:c r="H113" s="301">
        <x:v>29</x:v>
      </x:c>
      <x:c r="I113" s="301" t="s">
        <x:v>556</x:v>
      </x:c>
      <x:c r="J113" s="301" t="s">
        <x:v>564</x:v>
      </x:c>
      <x:c r="K113" s="302">
        <x:v>8</x:v>
      </x:c>
      <x:c r="L113" s="302">
        <x:v>1.5</x:v>
      </x:c>
      <x:c r="M113" s="302">
        <x:v>2.3250000000000002</x:v>
      </x:c>
      <x:c r="N113" s="301" t="s">
        <x:v>727</x:v>
      </x:c>
      <x:c r="O113" s="301" t="s">
        <x:v>776</x:v>
      </x:c>
      <x:c r="P113" s="2" t="s">
        <x:v>559</x:v>
      </x:c>
      <x:c r="Q113" s="2" t="s">
        <x:v>718</x:v>
      </x:c>
    </x:row>
    <x:row r="114" ht="45">
      <x:c r="A114" s="301" t="s">
        <x:v>777</x:v>
      </x:c>
      <x:c r="B114" s="301" t="s">
        <x:v>546</x:v>
      </x:c>
      <x:c r="C114" s="301" t="s">
        <x:v>720</x:v>
      </x:c>
      <x:c r="D114" s="301" t="s">
        <x:v>328</x:v>
      </x:c>
      <x:c r="E114" s="301" t="s">
        <x:v>778</x:v>
      </x:c>
      <x:c r="F114" s="343">
        <x:v>8</x:v>
      </x:c>
      <x:c r="G114" s="301" t="s">
        <x:v>336</x:v>
      </x:c>
      <x:c r="H114" s="301">
        <x:v>34</x:v>
      </x:c>
      <x:c r="I114" s="301" t="s">
        <x:v>556</x:v>
      </x:c>
      <x:c r="J114" s="301" t="s">
        <x:v>363</x:v>
      </x:c>
      <x:c r="K114" s="302">
        <x:v>10</x:v>
      </x:c>
      <x:c r="L114" s="302">
        <x:v>0.8</x:v>
      </x:c>
      <x:c r="M114" s="302">
        <x:v>1.2000000000000002</x:v>
      </x:c>
      <x:c r="N114" s="301" t="s">
        <x:v>727</x:v>
      </x:c>
      <x:c r="O114" s="301" t="s">
        <x:v>558</x:v>
      </x:c>
      <x:c r="P114" s="2" t="s">
        <x:v>559</x:v>
      </x:c>
      <x:c r="Q114" s="2" t="s">
        <x:v>309</x:v>
      </x:c>
    </x:row>
    <x:row r="115" ht="60">
      <x:c r="A115" s="301" t="s">
        <x:v>783</x:v>
      </x:c>
      <x:c r="B115" s="301" t="s">
        <x:v>546</x:v>
      </x:c>
      <x:c r="C115" s="301" t="s">
        <x:v>720</x:v>
      </x:c>
      <x:c r="D115" s="301" t="s">
        <x:v>328</x:v>
      </x:c>
      <x:c r="E115" s="301" t="s">
        <x:v>784</x:v>
      </x:c>
      <x:c r="F115" s="343">
        <x:v>6</x:v>
      </x:c>
      <x:c r="G115" s="301" t="s">
        <x:v>336</x:v>
      </x:c>
      <x:c r="H115" s="301">
        <x:v>30</x:v>
      </x:c>
      <x:c r="I115" s="301" t="s">
        <x:v>556</x:v>
      </x:c>
      <x:c r="J115" s="301" t="s">
        <x:v>363</x:v>
      </x:c>
      <x:c r="K115" s="302">
        <x:v>10</x:v>
      </x:c>
      <x:c r="L115" s="302">
        <x:v>0.6</x:v>
      </x:c>
      <x:c r="M115" s="302">
        <x:v>0.89999999999999991</x:v>
      </x:c>
      <x:c r="N115" s="301" t="s">
        <x:v>727</x:v>
      </x:c>
      <x:c r="O115" s="301" t="s">
        <x:v>788</x:v>
      </x:c>
      <x:c r="P115" s="2" t="s">
        <x:v>559</x:v>
      </x:c>
      <x:c r="Q115" s="2" t="s">
        <x:v>718</x:v>
      </x:c>
    </x:row>
    <x:row r="116" ht="45">
      <x:c r="A116" s="301" t="s">
        <x:v>789</x:v>
      </x:c>
      <x:c r="B116" s="301" t="s">
        <x:v>546</x:v>
      </x:c>
      <x:c r="C116" s="301" t="s">
        <x:v>720</x:v>
      </x:c>
      <x:c r="D116" s="301" t="s">
        <x:v>328</x:v>
      </x:c>
      <x:c r="E116" s="301" t="s">
        <x:v>790</x:v>
      </x:c>
      <x:c r="F116" s="343">
        <x:v>4</x:v>
      </x:c>
      <x:c r="G116" s="301" t="s">
        <x:v>336</x:v>
      </x:c>
      <x:c r="H116" s="301">
        <x:v>35</x:v>
      </x:c>
      <x:c r="I116" s="301" t="s">
        <x:v>556</x:v>
      </x:c>
      <x:c r="J116" s="301" t="s">
        <x:v>564</x:v>
      </x:c>
      <x:c r="K116" s="302">
        <x:v>8</x:v>
      </x:c>
      <x:c r="L116" s="302">
        <x:v>0.5</x:v>
      </x:c>
      <x:c r="M116" s="302">
        <x:v>0.77500000000000002</x:v>
      </x:c>
      <x:c r="N116" s="301" t="s">
        <x:v>727</x:v>
      </x:c>
      <x:c r="O116" s="301" t="s">
        <x:v>558</x:v>
      </x:c>
      <x:c r="P116" s="2" t="s">
        <x:v>559</x:v>
      </x:c>
      <x:c r="Q116" s="2" t="s">
        <x:v>309</x:v>
      </x:c>
    </x:row>
    <x:row r="117" ht="45">
      <x:c r="A117" s="301" t="s">
        <x:v>793</x:v>
      </x:c>
      <x:c r="B117" s="301" t="s">
        <x:v>546</x:v>
      </x:c>
      <x:c r="C117" s="301" t="s">
        <x:v>720</x:v>
      </x:c>
      <x:c r="D117" s="301" t="s">
        <x:v>328</x:v>
      </x:c>
      <x:c r="E117" s="301" t="s">
        <x:v>2750</x:v>
      </x:c>
      <x:c r="F117" s="343">
        <x:v>8</x:v>
      </x:c>
      <x:c r="G117" s="301" t="s">
        <x:v>336</x:v>
      </x:c>
      <x:c r="H117" s="301">
        <x:v>36</x:v>
      </x:c>
      <x:c r="I117" s="301" t="s">
        <x:v>556</x:v>
      </x:c>
      <x:c r="J117" s="301" t="s">
        <x:v>363</x:v>
      </x:c>
      <x:c r="K117" s="302">
        <x:v>10</x:v>
      </x:c>
      <x:c r="L117" s="302">
        <x:v>0.8</x:v>
      </x:c>
      <x:c r="M117" s="302">
        <x:v>1.2000000000000002</x:v>
      </x:c>
      <x:c r="N117" s="301" t="s">
        <x:v>727</x:v>
      </x:c>
      <x:c r="O117" s="301" t="s">
        <x:v>558</x:v>
      </x:c>
      <x:c r="P117" s="2" t="s">
        <x:v>559</x:v>
      </x:c>
      <x:c r="Q117" s="2" t="s">
        <x:v>309</x:v>
      </x:c>
    </x:row>
    <x:row r="118" ht="45">
      <x:c r="A118" s="301" t="s">
        <x:v>800</x:v>
      </x:c>
      <x:c r="B118" s="301" t="s">
        <x:v>546</x:v>
      </x:c>
      <x:c r="C118" s="301" t="s">
        <x:v>720</x:v>
      </x:c>
      <x:c r="D118" s="301" t="s">
        <x:v>328</x:v>
      </x:c>
      <x:c r="E118" s="301" t="s">
        <x:v>801</x:v>
      </x:c>
      <x:c r="F118" s="343">
        <x:v>6</x:v>
      </x:c>
      <x:c r="G118" s="301" t="s">
        <x:v>336</x:v>
      </x:c>
      <x:c r="H118" s="301">
        <x:v>37</x:v>
      </x:c>
      <x:c r="I118" s="301" t="s">
        <x:v>556</x:v>
      </x:c>
      <x:c r="J118" s="301" t="s">
        <x:v>363</x:v>
      </x:c>
      <x:c r="K118" s="302">
        <x:v>10</x:v>
      </x:c>
      <x:c r="L118" s="302">
        <x:v>0.6</x:v>
      </x:c>
      <x:c r="M118" s="302">
        <x:v>0.89999999999999991</x:v>
      </x:c>
      <x:c r="N118" s="301" t="s">
        <x:v>727</x:v>
      </x:c>
      <x:c r="O118" s="301" t="s">
        <x:v>558</x:v>
      </x:c>
      <x:c r="P118" s="2" t="s">
        <x:v>559</x:v>
      </x:c>
      <x:c r="Q118" s="2" t="s">
        <x:v>309</x:v>
      </x:c>
    </x:row>
    <x:row r="119" ht="45">
      <x:c r="A119" s="301" t="s">
        <x:v>804</x:v>
      </x:c>
      <x:c r="B119" s="301" t="s">
        <x:v>546</x:v>
      </x:c>
      <x:c r="C119" s="301" t="s">
        <x:v>805</x:v>
      </x:c>
      <x:c r="D119" s="301" t="s">
        <x:v>328</x:v>
      </x:c>
      <x:c r="E119" s="301" t="s">
        <x:v>806</x:v>
      </x:c>
      <x:c r="F119" s="343">
        <x:v>12</x:v>
      </x:c>
      <x:c r="G119" s="301" t="s">
        <x:v>336</x:v>
      </x:c>
      <x:c r="H119" s="301">
        <x:v>39</x:v>
      </x:c>
      <x:c r="I119" s="301" t="s">
        <x:v>556</x:v>
      </x:c>
      <x:c r="J119" s="301" t="s">
        <x:v>363</x:v>
      </x:c>
      <x:c r="K119" s="302">
        <x:v>10</x:v>
      </x:c>
      <x:c r="L119" s="302">
        <x:v>1.2</x:v>
      </x:c>
      <x:c r="M119" s="302">
        <x:v>1.7999999999999998</x:v>
      </x:c>
      <x:c r="N119" s="301" t="s">
        <x:v>810</x:v>
      </x:c>
      <x:c r="O119" s="301" t="s">
        <x:v>558</x:v>
      </x:c>
      <x:c r="P119" s="2" t="s">
        <x:v>559</x:v>
      </x:c>
      <x:c r="Q119" s="2" t="s">
        <x:v>309</x:v>
      </x:c>
    </x:row>
    <x:row r="120" ht="45">
      <x:c r="A120" s="301" t="s">
        <x:v>811</x:v>
      </x:c>
      <x:c r="B120" s="301" t="s">
        <x:v>546</x:v>
      </x:c>
      <x:c r="C120" s="301" t="s">
        <x:v>805</x:v>
      </x:c>
      <x:c r="D120" s="301" t="s">
        <x:v>328</x:v>
      </x:c>
      <x:c r="E120" s="301" t="s">
        <x:v>812</x:v>
      </x:c>
      <x:c r="F120" s="343">
        <x:v>12</x:v>
      </x:c>
      <x:c r="G120" s="301" t="s">
        <x:v>336</x:v>
      </x:c>
      <x:c r="H120" s="301">
        <x:v>40</x:v>
      </x:c>
      <x:c r="I120" s="301" t="s">
        <x:v>556</x:v>
      </x:c>
      <x:c r="J120" s="301" t="s">
        <x:v>363</x:v>
      </x:c>
      <x:c r="K120" s="302">
        <x:v>10</x:v>
      </x:c>
      <x:c r="L120" s="302">
        <x:v>1.2</x:v>
      </x:c>
      <x:c r="M120" s="302">
        <x:v>1.7999999999999998</x:v>
      </x:c>
      <x:c r="N120" s="301" t="s">
        <x:v>810</x:v>
      </x:c>
      <x:c r="O120" s="301" t="s">
        <x:v>558</x:v>
      </x:c>
      <x:c r="P120" s="2" t="s">
        <x:v>559</x:v>
      </x:c>
      <x:c r="Q120" s="2" t="s">
        <x:v>309</x:v>
      </x:c>
    </x:row>
    <x:row r="121" ht="45">
      <x:c r="A121" s="301" t="s">
        <x:v>816</x:v>
      </x:c>
      <x:c r="B121" s="301" t="s">
        <x:v>546</x:v>
      </x:c>
      <x:c r="C121" s="301" t="s">
        <x:v>805</x:v>
      </x:c>
      <x:c r="D121" s="301" t="s">
        <x:v>328</x:v>
      </x:c>
      <x:c r="E121" s="301" t="s">
        <x:v>817</x:v>
      </x:c>
      <x:c r="F121" s="343">
        <x:v>12</x:v>
      </x:c>
      <x:c r="G121" s="301" t="s">
        <x:v>303</x:v>
      </x:c>
      <x:c r="H121" s="301">
        <x:v>20</x:v>
      </x:c>
      <x:c r="I121" s="301" t="s">
        <x:v>663</x:v>
      </x:c>
      <x:c r="J121" s="301" t="s">
        <x:v>314</x:v>
      </x:c>
      <x:c r="K121" s="302">
        <x:v>9</x:v>
      </x:c>
      <x:c r="L121" s="302">
        <x:v>1.3333333333333333</x:v>
      </x:c>
      <x:c r="M121" s="302">
        <x:v>2</x:v>
      </x:c>
      <x:c r="N121" s="301" t="s">
        <x:v>810</x:v>
      </x:c>
      <x:c r="O121" s="301" t="s">
        <x:v>558</x:v>
      </x:c>
      <x:c r="P121" s="2" t="s">
        <x:v>665</x:v>
      </x:c>
      <x:c r="Q121" s="2" t="s">
        <x:v>309</x:v>
      </x:c>
    </x:row>
    <x:row r="122" ht="45">
      <x:c r="A122" s="301" t="s">
        <x:v>820</x:v>
      </x:c>
      <x:c r="B122" s="301" t="s">
        <x:v>546</x:v>
      </x:c>
      <x:c r="C122" s="301" t="s">
        <x:v>805</x:v>
      </x:c>
      <x:c r="D122" s="301" t="s">
        <x:v>328</x:v>
      </x:c>
      <x:c r="E122" s="301" t="s">
        <x:v>821</x:v>
      </x:c>
      <x:c r="F122" s="343">
        <x:v>12</x:v>
      </x:c>
      <x:c r="G122" s="301" t="s">
        <x:v>336</x:v>
      </x:c>
      <x:c r="H122" s="301">
        <x:v>41</x:v>
      </x:c>
      <x:c r="I122" s="301" t="s">
        <x:v>556</x:v>
      </x:c>
      <x:c r="J122" s="301" t="s">
        <x:v>363</x:v>
      </x:c>
      <x:c r="K122" s="302">
        <x:v>10</x:v>
      </x:c>
      <x:c r="L122" s="302">
        <x:v>1.2</x:v>
      </x:c>
      <x:c r="M122" s="302">
        <x:v>1.7999999999999998</x:v>
      </x:c>
      <x:c r="N122" s="301" t="s">
        <x:v>810</x:v>
      </x:c>
      <x:c r="O122" s="301" t="s">
        <x:v>829</x:v>
      </x:c>
      <x:c r="P122" s="2" t="s">
        <x:v>559</x:v>
      </x:c>
      <x:c r="Q122" s="2" t="s">
        <x:v>309</x:v>
      </x:c>
    </x:row>
    <x:row r="123" ht="60">
      <x:c r="A123" s="301" t="s">
        <x:v>830</x:v>
      </x:c>
      <x:c r="B123" s="301" t="s">
        <x:v>546</x:v>
      </x:c>
      <x:c r="C123" s="301" t="s">
        <x:v>805</x:v>
      </x:c>
      <x:c r="D123" s="301" t="s">
        <x:v>328</x:v>
      </x:c>
      <x:c r="E123" s="301" t="s">
        <x:v>2751</x:v>
      </x:c>
      <x:c r="F123" s="343">
        <x:v>12</x:v>
      </x:c>
      <x:c r="G123" s="301" t="s">
        <x:v>336</x:v>
      </x:c>
      <x:c r="H123" s="301">
        <x:v>42</x:v>
      </x:c>
      <x:c r="I123" s="301" t="s">
        <x:v>556</x:v>
      </x:c>
      <x:c r="J123" s="301" t="s">
        <x:v>538</x:v>
      </x:c>
      <x:c r="K123" s="302">
        <x:v>6</x:v>
      </x:c>
      <x:c r="L123" s="302">
        <x:v>2</x:v>
      </x:c>
      <x:c r="M123" s="302">
        <x:v>3.2</x:v>
      </x:c>
      <x:c r="N123" s="301" t="s">
        <x:v>810</x:v>
      </x:c>
      <x:c r="O123" s="301" t="s">
        <x:v>840</x:v>
      </x:c>
      <x:c r="P123" s="2" t="s">
        <x:v>559</x:v>
      </x:c>
      <x:c r="Q123" s="2" t="s">
        <x:v>309</x:v>
      </x:c>
    </x:row>
    <x:row r="124" ht="45">
      <x:c r="A124" s="301" t="s">
        <x:v>841</x:v>
      </x:c>
      <x:c r="B124" s="301" t="s">
        <x:v>546</x:v>
      </x:c>
      <x:c r="C124" s="301" t="s">
        <x:v>805</x:v>
      </x:c>
      <x:c r="D124" s="301" t="s">
        <x:v>328</x:v>
      </x:c>
      <x:c r="E124" s="301" t="s">
        <x:v>842</x:v>
      </x:c>
      <x:c r="F124" s="343">
        <x:v>12</x:v>
      </x:c>
      <x:c r="G124" s="301" t="s">
        <x:v>336</x:v>
      </x:c>
      <x:c r="H124" s="301">
        <x:v>43</x:v>
      </x:c>
      <x:c r="I124" s="301" t="s">
        <x:v>556</x:v>
      </x:c>
      <x:c r="J124" s="301" t="s">
        <x:v>538</x:v>
      </x:c>
      <x:c r="K124" s="302">
        <x:v>6</x:v>
      </x:c>
      <x:c r="L124" s="302">
        <x:v>2</x:v>
      </x:c>
      <x:c r="M124" s="302">
        <x:v>3.2</x:v>
      </x:c>
      <x:c r="N124" s="301" t="s">
        <x:v>810</x:v>
      </x:c>
      <x:c r="O124" s="301" t="s">
        <x:v>558</x:v>
      </x:c>
      <x:c r="P124" s="2" t="s">
        <x:v>559</x:v>
      </x:c>
      <x:c r="Q124" s="2" t="s">
        <x:v>309</x:v>
      </x:c>
    </x:row>
    <x:row r="125" ht="45">
      <x:c r="A125" s="301" t="s">
        <x:v>845</x:v>
      </x:c>
      <x:c r="B125" s="301" t="s">
        <x:v>546</x:v>
      </x:c>
      <x:c r="C125" s="301" t="s">
        <x:v>805</x:v>
      </x:c>
      <x:c r="D125" s="301" t="s">
        <x:v>328</x:v>
      </x:c>
      <x:c r="E125" s="301" t="s">
        <x:v>846</x:v>
      </x:c>
      <x:c r="F125" s="343">
        <x:v>12</x:v>
      </x:c>
      <x:c r="G125" s="301" t="s">
        <x:v>336</x:v>
      </x:c>
      <x:c r="H125" s="301">
        <x:v>44</x:v>
      </x:c>
      <x:c r="I125" s="301" t="s">
        <x:v>556</x:v>
      </x:c>
      <x:c r="J125" s="301" t="s">
        <x:v>538</x:v>
      </x:c>
      <x:c r="K125" s="302">
        <x:v>6</x:v>
      </x:c>
      <x:c r="L125" s="302">
        <x:v>2</x:v>
      </x:c>
      <x:c r="M125" s="302">
        <x:v>3.2</x:v>
      </x:c>
      <x:c r="N125" s="301" t="s">
        <x:v>810</x:v>
      </x:c>
      <x:c r="O125" s="301" t="s">
        <x:v>558</x:v>
      </x:c>
      <x:c r="P125" s="2" t="s">
        <x:v>559</x:v>
      </x:c>
      <x:c r="Q125" s="2" t="s">
        <x:v>309</x:v>
      </x:c>
    </x:row>
    <x:row r="126" ht="45">
      <x:c r="A126" s="301" t="s">
        <x:v>852</x:v>
      </x:c>
      <x:c r="B126" s="301" t="s">
        <x:v>546</x:v>
      </x:c>
      <x:c r="C126" s="301" t="s">
        <x:v>805</x:v>
      </x:c>
      <x:c r="D126" s="301" t="s">
        <x:v>328</x:v>
      </x:c>
      <x:c r="E126" s="301" t="s">
        <x:v>853</x:v>
      </x:c>
      <x:c r="F126" s="343">
        <x:v>12</x:v>
      </x:c>
      <x:c r="G126" s="301" t="s">
        <x:v>336</x:v>
      </x:c>
      <x:c r="H126" s="301">
        <x:v>45</x:v>
      </x:c>
      <x:c r="I126" s="301" t="s">
        <x:v>556</x:v>
      </x:c>
      <x:c r="J126" s="301" t="s">
        <x:v>538</x:v>
      </x:c>
      <x:c r="K126" s="302">
        <x:v>6</x:v>
      </x:c>
      <x:c r="L126" s="302">
        <x:v>2</x:v>
      </x:c>
      <x:c r="M126" s="302">
        <x:v>3.2</x:v>
      </x:c>
      <x:c r="N126" s="301" t="s">
        <x:v>810</x:v>
      </x:c>
      <x:c r="O126" s="301" t="s">
        <x:v>558</x:v>
      </x:c>
      <x:c r="P126" s="2" t="s">
        <x:v>559</x:v>
      </x:c>
      <x:c r="Q126" s="2" t="s">
        <x:v>309</x:v>
      </x:c>
    </x:row>
    <x:row r="127" ht="45">
      <x:c r="A127" s="301" t="s">
        <x:v>858</x:v>
      </x:c>
      <x:c r="B127" s="301" t="s">
        <x:v>546</x:v>
      </x:c>
      <x:c r="C127" s="301" t="s">
        <x:v>805</x:v>
      </x:c>
      <x:c r="D127" s="301" t="s">
        <x:v>328</x:v>
      </x:c>
      <x:c r="E127" s="301" t="s">
        <x:v>859</x:v>
      </x:c>
      <x:c r="F127" s="343">
        <x:v>12</x:v>
      </x:c>
      <x:c r="G127" s="301" t="s">
        <x:v>336</x:v>
      </x:c>
      <x:c r="H127" s="301">
        <x:v>46</x:v>
      </x:c>
      <x:c r="I127" s="301" t="s">
        <x:v>556</x:v>
      </x:c>
      <x:c r="J127" s="301" t="s">
        <x:v>495</x:v>
      </x:c>
      <x:c r="K127" s="302">
        <x:v>18</x:v>
      </x:c>
      <x:c r="L127" s="302">
        <x:v>0.66666666666666663</x:v>
      </x:c>
      <x:c r="M127" s="302">
        <x:v>0.9</x:v>
      </x:c>
      <x:c r="N127" s="301" t="s">
        <x:v>810</x:v>
      </x:c>
      <x:c r="O127" s="301" t="s">
        <x:v>558</x:v>
      </x:c>
      <x:c r="P127" s="2" t="s">
        <x:v>559</x:v>
      </x:c>
      <x:c r="Q127" s="2" t="s">
        <x:v>309</x:v>
      </x:c>
    </x:row>
    <x:row r="128" ht="60">
      <x:c r="A128" s="301" t="s">
        <x:v>863</x:v>
      </x:c>
      <x:c r="B128" s="301" t="s">
        <x:v>546</x:v>
      </x:c>
      <x:c r="C128" s="301" t="s">
        <x:v>805</x:v>
      </x:c>
      <x:c r="D128" s="301" t="s">
        <x:v>328</x:v>
      </x:c>
      <x:c r="E128" s="301" t="s">
        <x:v>864</x:v>
      </x:c>
      <x:c r="F128" s="343">
        <x:v>12</x:v>
      </x:c>
      <x:c r="G128" s="301" t="s">
        <x:v>303</x:v>
      </x:c>
      <x:c r="H128" s="301">
        <x:v>25</x:v>
      </x:c>
      <x:c r="I128" s="301" t="s">
        <x:v>663</x:v>
      </x:c>
      <x:c r="J128" s="301" t="s">
        <x:v>504</x:v>
      </x:c>
      <x:c r="K128" s="302">
        <x:v>5</x:v>
      </x:c>
      <x:c r="L128" s="302">
        <x:v>2.4</x:v>
      </x:c>
      <x:c r="M128" s="302">
        <x:v>4.08</x:v>
      </x:c>
      <x:c r="N128" s="301" t="s">
        <x:v>810</x:v>
      </x:c>
      <x:c r="O128" s="301" t="s">
        <x:v>871</x:v>
      </x:c>
      <x:c r="P128" s="2" t="s">
        <x:v>665</x:v>
      </x:c>
      <x:c r="Q128" s="2" t="s">
        <x:v>872</x:v>
      </x:c>
    </x:row>
    <x:row r="129" ht="45">
      <x:c r="A129" s="301" t="s">
        <x:v>873</x:v>
      </x:c>
      <x:c r="B129" s="301" t="s">
        <x:v>874</x:v>
      </x:c>
      <x:c r="C129" s="301" t="s">
        <x:v>875</x:v>
      </x:c>
      <x:c r="D129" s="301" t="s">
        <x:v>328</x:v>
      </x:c>
      <x:c r="E129" s="301" t="s">
        <x:v>876</x:v>
      </x:c>
      <x:c r="F129" s="343">
        <x:v>10</x:v>
      </x:c>
      <x:c r="G129" s="301" t="s">
        <x:v>417</x:v>
      </x:c>
      <x:c r="H129" s="301">
        <x:v>9</x:v>
      </x:c>
      <x:c r="I129" s="301" t="s">
        <x:v>881</x:v>
      </x:c>
      <x:c r="J129" s="301" t="s">
        <x:v>882</x:v>
      </x:c>
      <x:c r="K129" s="302">
        <x:v>10</x:v>
      </x:c>
      <x:c r="L129" s="302">
        <x:v>1</x:v>
      </x:c>
      <x:c r="M129" s="302">
        <x:v>1.5</x:v>
      </x:c>
      <x:c r="N129" s="301" t="s">
        <x:v>883</x:v>
      </x:c>
      <x:c r="O129" s="301" t="s">
        <x:v>884</x:v>
      </x:c>
      <x:c r="P129" s="2" t="s">
        <x:v>885</x:v>
      </x:c>
      <x:c r="Q129" s="2" t="s">
        <x:v>309</x:v>
      </x:c>
    </x:row>
    <x:row r="130" ht="45">
      <x:c r="A130" s="301" t="s">
        <x:v>886</x:v>
      </x:c>
      <x:c r="B130" s="301" t="s">
        <x:v>874</x:v>
      </x:c>
      <x:c r="C130" s="301" t="s">
        <x:v>875</x:v>
      </x:c>
      <x:c r="D130" s="301" t="s">
        <x:v>328</x:v>
      </x:c>
      <x:c r="E130" s="301" t="s">
        <x:v>887</x:v>
      </x:c>
      <x:c r="F130" s="343">
        <x:v>12</x:v>
      </x:c>
      <x:c r="G130" s="301" t="s">
        <x:v>417</x:v>
      </x:c>
      <x:c r="H130" s="301">
        <x:v>10</x:v>
      </x:c>
      <x:c r="I130" s="301" t="s">
        <x:v>881</x:v>
      </x:c>
      <x:c r="J130" s="301" t="s">
        <x:v>882</x:v>
      </x:c>
      <x:c r="K130" s="302">
        <x:v>10</x:v>
      </x:c>
      <x:c r="L130" s="302">
        <x:v>1.2</x:v>
      </x:c>
      <x:c r="M130" s="302">
        <x:v>1.7999999999999998</x:v>
      </x:c>
      <x:c r="N130" s="301" t="s">
        <x:v>883</x:v>
      </x:c>
      <x:c r="O130" s="301" t="s">
        <x:v>890</x:v>
      </x:c>
      <x:c r="P130" s="2" t="s">
        <x:v>885</x:v>
      </x:c>
      <x:c r="Q130" s="2" t="s">
        <x:v>309</x:v>
      </x:c>
    </x:row>
    <x:row r="131" ht="45">
      <x:c r="A131" s="301" t="s">
        <x:v>894</x:v>
      </x:c>
      <x:c r="B131" s="301" t="s">
        <x:v>874</x:v>
      </x:c>
      <x:c r="C131" s="301" t="s">
        <x:v>875</x:v>
      </x:c>
      <x:c r="D131" s="301" t="s">
        <x:v>328</x:v>
      </x:c>
      <x:c r="E131" s="301" t="s">
        <x:v>895</x:v>
      </x:c>
      <x:c r="F131" s="343">
        <x:v>12</x:v>
      </x:c>
      <x:c r="G131" s="301" t="s">
        <x:v>417</x:v>
      </x:c>
      <x:c r="H131" s="301">
        <x:v>11</x:v>
      </x:c>
      <x:c r="I131" s="301" t="s">
        <x:v>881</x:v>
      </x:c>
      <x:c r="J131" s="301" t="s">
        <x:v>882</x:v>
      </x:c>
      <x:c r="K131" s="302">
        <x:v>10</x:v>
      </x:c>
      <x:c r="L131" s="302">
        <x:v>1.2</x:v>
      </x:c>
      <x:c r="M131" s="302">
        <x:v>1.7999999999999998</x:v>
      </x:c>
      <x:c r="N131" s="301" t="s">
        <x:v>883</x:v>
      </x:c>
      <x:c r="O131" s="301" t="s">
        <x:v>890</x:v>
      </x:c>
      <x:c r="P131" s="2" t="s">
        <x:v>885</x:v>
      </x:c>
      <x:c r="Q131" s="2" t="s">
        <x:v>309</x:v>
      </x:c>
    </x:row>
    <x:row r="132" ht="45">
      <x:c r="A132" s="301" t="s">
        <x:v>899</x:v>
      </x:c>
      <x:c r="B132" s="301" t="s">
        <x:v>874</x:v>
      </x:c>
      <x:c r="C132" s="301" t="s">
        <x:v>875</x:v>
      </x:c>
      <x:c r="D132" s="301" t="s">
        <x:v>328</x:v>
      </x:c>
      <x:c r="E132" s="301" t="s">
        <x:v>900</x:v>
      </x:c>
      <x:c r="F132" s="343">
        <x:v>12</x:v>
      </x:c>
      <x:c r="G132" s="301" t="s">
        <x:v>417</x:v>
      </x:c>
      <x:c r="H132" s="301">
        <x:v>12</x:v>
      </x:c>
      <x:c r="I132" s="301" t="s">
        <x:v>881</x:v>
      </x:c>
      <x:c r="J132" s="301" t="s">
        <x:v>882</x:v>
      </x:c>
      <x:c r="K132" s="302">
        <x:v>10</x:v>
      </x:c>
      <x:c r="L132" s="302">
        <x:v>1.2</x:v>
      </x:c>
      <x:c r="M132" s="302">
        <x:v>1.7999999999999998</x:v>
      </x:c>
      <x:c r="N132" s="301" t="s">
        <x:v>883</x:v>
      </x:c>
      <x:c r="O132" s="301" t="s">
        <x:v>904</x:v>
      </x:c>
      <x:c r="P132" s="2" t="s">
        <x:v>885</x:v>
      </x:c>
      <x:c r="Q132" s="2" t="s">
        <x:v>309</x:v>
      </x:c>
    </x:row>
    <x:row r="133" ht="45">
      <x:c r="A133" s="301" t="s">
        <x:v>905</x:v>
      </x:c>
      <x:c r="B133" s="301" t="s">
        <x:v>874</x:v>
      </x:c>
      <x:c r="C133" s="301" t="s">
        <x:v>875</x:v>
      </x:c>
      <x:c r="D133" s="301" t="s">
        <x:v>328</x:v>
      </x:c>
      <x:c r="E133" s="301" t="s">
        <x:v>906</x:v>
      </x:c>
      <x:c r="F133" s="343">
        <x:v>12</x:v>
      </x:c>
      <x:c r="G133" s="301" t="s">
        <x:v>417</x:v>
      </x:c>
      <x:c r="H133" s="301">
        <x:v>13</x:v>
      </x:c>
      <x:c r="I133" s="301" t="s">
        <x:v>881</x:v>
      </x:c>
      <x:c r="J133" s="301" t="s">
        <x:v>882</x:v>
      </x:c>
      <x:c r="K133" s="302">
        <x:v>10</x:v>
      </x:c>
      <x:c r="L133" s="302">
        <x:v>1.2</x:v>
      </x:c>
      <x:c r="M133" s="302">
        <x:v>1.7999999999999998</x:v>
      </x:c>
      <x:c r="N133" s="301" t="s">
        <x:v>883</x:v>
      </x:c>
      <x:c r="O133" s="301" t="s">
        <x:v>899</x:v>
      </x:c>
      <x:c r="P133" s="2" t="s">
        <x:v>885</x:v>
      </x:c>
      <x:c r="Q133" s="2" t="s">
        <x:v>309</x:v>
      </x:c>
    </x:row>
    <x:row r="134" ht="45">
      <x:c r="A134" s="301" t="s">
        <x:v>909</x:v>
      </x:c>
      <x:c r="B134" s="301" t="s">
        <x:v>874</x:v>
      </x:c>
      <x:c r="C134" s="301" t="s">
        <x:v>910</x:v>
      </x:c>
      <x:c r="D134" s="301" t="s">
        <x:v>328</x:v>
      </x:c>
      <x:c r="E134" s="301" t="s">
        <x:v>911</x:v>
      </x:c>
      <x:c r="F134" s="343">
        <x:v>12</x:v>
      </x:c>
      <x:c r="G134" s="301" t="s">
        <x:v>417</x:v>
      </x:c>
      <x:c r="H134" s="301">
        <x:v>14</x:v>
      </x:c>
      <x:c r="I134" s="301" t="s">
        <x:v>881</x:v>
      </x:c>
      <x:c r="J134" s="301" t="s">
        <x:v>882</x:v>
      </x:c>
      <x:c r="K134" s="302">
        <x:v>10</x:v>
      </x:c>
      <x:c r="L134" s="302">
        <x:v>1.2</x:v>
      </x:c>
      <x:c r="M134" s="302">
        <x:v>1.7999999999999998</x:v>
      </x:c>
      <x:c r="N134" s="301" t="s">
        <x:v>883</x:v>
      </x:c>
      <x:c r="O134" s="301" t="s">
        <x:v>916</x:v>
      </x:c>
      <x:c r="P134" s="2" t="s">
        <x:v>885</x:v>
      </x:c>
      <x:c r="Q134" s="2" t="s">
        <x:v>309</x:v>
      </x:c>
    </x:row>
    <x:row r="135" ht="45">
      <x:c r="A135" s="301" t="s">
        <x:v>918</x:v>
      </x:c>
      <x:c r="B135" s="301" t="s">
        <x:v>874</x:v>
      </x:c>
      <x:c r="C135" s="301" t="s">
        <x:v>910</x:v>
      </x:c>
      <x:c r="D135" s="301" t="s">
        <x:v>328</x:v>
      </x:c>
      <x:c r="E135" s="301" t="s">
        <x:v>919</x:v>
      </x:c>
      <x:c r="F135" s="343">
        <x:v>12</x:v>
      </x:c>
      <x:c r="G135" s="301" t="s">
        <x:v>417</x:v>
      </x:c>
      <x:c r="H135" s="301">
        <x:v>15</x:v>
      </x:c>
      <x:c r="I135" s="301" t="s">
        <x:v>881</x:v>
      </x:c>
      <x:c r="J135" s="301" t="s">
        <x:v>882</x:v>
      </x:c>
      <x:c r="K135" s="302">
        <x:v>10</x:v>
      </x:c>
      <x:c r="L135" s="302">
        <x:v>1.2</x:v>
      </x:c>
      <x:c r="M135" s="302">
        <x:v>1.7999999999999998</x:v>
      </x:c>
      <x:c r="N135" s="301" t="s">
        <x:v>883</x:v>
      </x:c>
      <x:c r="O135" s="301" t="s">
        <x:v>926</x:v>
      </x:c>
      <x:c r="P135" s="2" t="s">
        <x:v>885</x:v>
      </x:c>
      <x:c r="Q135" s="2" t="s">
        <x:v>309</x:v>
      </x:c>
    </x:row>
    <x:row r="136" ht="45">
      <x:c r="A136" s="301" t="s">
        <x:v>927</x:v>
      </x:c>
      <x:c r="B136" s="301" t="s">
        <x:v>874</x:v>
      </x:c>
      <x:c r="C136" s="301" t="s">
        <x:v>875</x:v>
      </x:c>
      <x:c r="D136" s="301" t="s">
        <x:v>328</x:v>
      </x:c>
      <x:c r="E136" s="301" t="s">
        <x:v>928</x:v>
      </x:c>
      <x:c r="F136" s="343">
        <x:v>10</x:v>
      </x:c>
      <x:c r="G136" s="301" t="s">
        <x:v>417</x:v>
      </x:c>
      <x:c r="H136" s="301">
        <x:v>16</x:v>
      </x:c>
      <x:c r="I136" s="301" t="s">
        <x:v>881</x:v>
      </x:c>
      <x:c r="J136" s="301" t="s">
        <x:v>564</x:v>
      </x:c>
      <x:c r="K136" s="302">
        <x:v>8</x:v>
      </x:c>
      <x:c r="L136" s="302">
        <x:v>1.25</x:v>
      </x:c>
      <x:c r="M136" s="302">
        <x:v>1.9375</x:v>
      </x:c>
      <x:c r="N136" s="301" t="s">
        <x:v>883</x:v>
      </x:c>
      <x:c r="O136" s="301" t="s">
        <x:v>935</x:v>
      </x:c>
      <x:c r="P136" s="2" t="s">
        <x:v>885</x:v>
      </x:c>
      <x:c r="Q136" s="2" t="s">
        <x:v>309</x:v>
      </x:c>
    </x:row>
    <x:row r="137" ht="45">
      <x:c r="A137" s="301" t="s">
        <x:v>936</x:v>
      </x:c>
      <x:c r="B137" s="301" t="s">
        <x:v>874</x:v>
      </x:c>
      <x:c r="C137" s="301" t="s">
        <x:v>910</x:v>
      </x:c>
      <x:c r="D137" s="301" t="s">
        <x:v>328</x:v>
      </x:c>
      <x:c r="E137" s="301" t="s">
        <x:v>937</x:v>
      </x:c>
      <x:c r="F137" s="343">
        <x:v>10</x:v>
      </x:c>
      <x:c r="G137" s="301" t="s">
        <x:v>417</x:v>
      </x:c>
      <x:c r="H137" s="301">
        <x:v>19</x:v>
      </x:c>
      <x:c r="I137" s="301" t="s">
        <x:v>881</x:v>
      </x:c>
      <x:c r="J137" s="301" t="s">
        <x:v>882</x:v>
      </x:c>
      <x:c r="K137" s="302">
        <x:v>10</x:v>
      </x:c>
      <x:c r="L137" s="302">
        <x:v>1</x:v>
      </x:c>
      <x:c r="M137" s="302">
        <x:v>1.5</x:v>
      </x:c>
      <x:c r="N137" s="301" t="s">
        <x:v>941</x:v>
      </x:c>
      <x:c r="O137" s="301" t="s">
        <x:v>940</x:v>
      </x:c>
      <x:c r="P137" s="2" t="s">
        <x:v>885</x:v>
      </x:c>
      <x:c r="Q137" s="2" t="s">
        <x:v>309</x:v>
      </x:c>
    </x:row>
    <x:row r="138" ht="30">
      <x:c r="A138" s="301" t="s">
        <x:v>942</x:v>
      </x:c>
      <x:c r="B138" s="301" t="s">
        <x:v>874</x:v>
      </x:c>
      <x:c r="C138" s="301" t="s">
        <x:v>943</x:v>
      </x:c>
      <x:c r="D138" s="301" t="s">
        <x:v>49</x:v>
      </x:c>
      <x:c r="E138" s="301" t="s">
        <x:v>2752</x:v>
      </x:c>
      <x:c r="F138" s="343">
        <x:v>10</x:v>
      </x:c>
      <x:c r="G138" s="301" t="s">
        <x:v>51</x:v>
      </x:c>
      <x:c r="H138" s="301">
        <x:v>0</x:v>
      </x:c>
      <x:c r="I138" s="301" t="s">
        <x:v>62</x:v>
      </x:c>
      <x:c r="J138" s="301" t="s">
        <x:v>61</x:v>
      </x:c>
      <x:c r="K138" s="302">
        <x:v>0</x:v>
      </x:c>
      <x:c r="L138" s="302">
        <x:v>0</x:v>
      </x:c>
      <x:c r="M138" s="302">
        <x:v>0</x:v>
      </x:c>
      <x:c r="N138" s="301" t="s">
        <x:v>51</x:v>
      </x:c>
      <x:c r="O138" s="301" t="s">
        <x:v>63</x:v>
      </x:c>
      <x:c r="P138" s="2" t="s">
        <x:v>64</x:v>
      </x:c>
      <x:c r="Q138" s="2" t="s">
        <x:v>65</x:v>
      </x:c>
    </x:row>
    <x:row r="139" ht="45">
      <x:c r="A139" s="301" t="s">
        <x:v>954</x:v>
      </x:c>
      <x:c r="B139" s="301" t="s">
        <x:v>874</x:v>
      </x:c>
      <x:c r="C139" s="301" t="s">
        <x:v>955</x:v>
      </x:c>
      <x:c r="D139" s="301" t="s">
        <x:v>328</x:v>
      </x:c>
      <x:c r="E139" s="301" t="s">
        <x:v>2753</x:v>
      </x:c>
      <x:c r="F139" s="343">
        <x:v>12</x:v>
      </x:c>
      <x:c r="G139" s="301" t="s">
        <x:v>417</x:v>
      </x:c>
      <x:c r="H139" s="301">
        <x:v>35</x:v>
      </x:c>
      <x:c r="I139" s="301" t="s">
        <x:v>881</x:v>
      </x:c>
      <x:c r="J139" s="301" t="s">
        <x:v>882</x:v>
      </x:c>
      <x:c r="K139" s="302">
        <x:v>10</x:v>
      </x:c>
      <x:c r="L139" s="302">
        <x:v>1.2</x:v>
      </x:c>
      <x:c r="M139" s="302">
        <x:v>1.7999999999999998</x:v>
      </x:c>
      <x:c r="N139" s="301" t="s">
        <x:v>963</x:v>
      </x:c>
      <x:c r="O139" s="301" t="s">
        <x:v>960</x:v>
      </x:c>
      <x:c r="P139" s="2" t="s">
        <x:v>885</x:v>
      </x:c>
      <x:c r="Q139" s="2" t="s">
        <x:v>309</x:v>
      </x:c>
    </x:row>
    <x:row r="140" ht="45">
      <x:c r="A140" s="301" t="s">
        <x:v>964</x:v>
      </x:c>
      <x:c r="B140" s="301" t="s">
        <x:v>874</x:v>
      </x:c>
      <x:c r="C140" s="301" t="s">
        <x:v>965</x:v>
      </x:c>
      <x:c r="D140" s="301" t="s">
        <x:v>328</x:v>
      </x:c>
      <x:c r="E140" s="301" t="s">
        <x:v>966</x:v>
      </x:c>
      <x:c r="F140" s="343">
        <x:v>12</x:v>
      </x:c>
      <x:c r="G140" s="301" t="s">
        <x:v>417</x:v>
      </x:c>
      <x:c r="H140" s="301">
        <x:v>23</x:v>
      </x:c>
      <x:c r="I140" s="301" t="s">
        <x:v>881</x:v>
      </x:c>
      <x:c r="J140" s="301" t="s">
        <x:v>882</x:v>
      </x:c>
      <x:c r="K140" s="302">
        <x:v>10</x:v>
      </x:c>
      <x:c r="L140" s="302">
        <x:v>1.2</x:v>
      </x:c>
      <x:c r="M140" s="302">
        <x:v>1.7999999999999998</x:v>
      </x:c>
      <x:c r="N140" s="301" t="s">
        <x:v>969</x:v>
      </x:c>
      <x:c r="O140" s="301" t="s">
        <x:v>970</x:v>
      </x:c>
      <x:c r="P140" s="2" t="s">
        <x:v>885</x:v>
      </x:c>
      <x:c r="Q140" s="2" t="s">
        <x:v>309</x:v>
      </x:c>
    </x:row>
    <x:row r="141" ht="45">
      <x:c r="A141" s="301" t="s">
        <x:v>971</x:v>
      </x:c>
      <x:c r="B141" s="301" t="s">
        <x:v>874</x:v>
      </x:c>
      <x:c r="C141" s="301" t="s">
        <x:v>965</x:v>
      </x:c>
      <x:c r="D141" s="301" t="s">
        <x:v>328</x:v>
      </x:c>
      <x:c r="E141" s="301" t="s">
        <x:v>972</x:v>
      </x:c>
      <x:c r="F141" s="343">
        <x:v>12</x:v>
      </x:c>
      <x:c r="G141" s="301" t="s">
        <x:v>417</x:v>
      </x:c>
      <x:c r="H141" s="301">
        <x:v>24</x:v>
      </x:c>
      <x:c r="I141" s="301" t="s">
        <x:v>881</x:v>
      </x:c>
      <x:c r="J141" s="301" t="s">
        <x:v>882</x:v>
      </x:c>
      <x:c r="K141" s="302">
        <x:v>10</x:v>
      </x:c>
      <x:c r="L141" s="302">
        <x:v>1.2</x:v>
      </x:c>
      <x:c r="M141" s="302">
        <x:v>1.7999999999999998</x:v>
      </x:c>
      <x:c r="N141" s="301" t="s">
        <x:v>969</x:v>
      </x:c>
      <x:c r="O141" s="301" t="s">
        <x:v>975</x:v>
      </x:c>
      <x:c r="P141" s="2" t="s">
        <x:v>885</x:v>
      </x:c>
      <x:c r="Q141" s="2" t="s">
        <x:v>309</x:v>
      </x:c>
    </x:row>
    <x:row r="142" ht="45">
      <x:c r="A142" s="301" t="s">
        <x:v>976</x:v>
      </x:c>
      <x:c r="B142" s="301" t="s">
        <x:v>874</x:v>
      </x:c>
      <x:c r="C142" s="301" t="s">
        <x:v>965</x:v>
      </x:c>
      <x:c r="D142" s="301" t="s">
        <x:v>328</x:v>
      </x:c>
      <x:c r="E142" s="301" t="s">
        <x:v>977</x:v>
      </x:c>
      <x:c r="F142" s="343">
        <x:v>12</x:v>
      </x:c>
      <x:c r="G142" s="301" t="s">
        <x:v>417</x:v>
      </x:c>
      <x:c r="H142" s="301">
        <x:v>25</x:v>
      </x:c>
      <x:c r="I142" s="301" t="s">
        <x:v>881</x:v>
      </x:c>
      <x:c r="J142" s="301" t="s">
        <x:v>882</x:v>
      </x:c>
      <x:c r="K142" s="302">
        <x:v>10</x:v>
      </x:c>
      <x:c r="L142" s="302">
        <x:v>1.2</x:v>
      </x:c>
      <x:c r="M142" s="302">
        <x:v>1.7999999999999998</x:v>
      </x:c>
      <x:c r="N142" s="301" t="s">
        <x:v>969</x:v>
      </x:c>
      <x:c r="O142" s="301" t="s">
        <x:v>982</x:v>
      </x:c>
      <x:c r="P142" s="2" t="s">
        <x:v>885</x:v>
      </x:c>
      <x:c r="Q142" s="2" t="s">
        <x:v>309</x:v>
      </x:c>
    </x:row>
    <x:row r="143" ht="45">
      <x:c r="A143" s="301" t="s">
        <x:v>984</x:v>
      </x:c>
      <x:c r="B143" s="301" t="s">
        <x:v>874</x:v>
      </x:c>
      <x:c r="C143" s="301" t="s">
        <x:v>965</x:v>
      </x:c>
      <x:c r="D143" s="301" t="s">
        <x:v>328</x:v>
      </x:c>
      <x:c r="E143" s="301" t="s">
        <x:v>985</x:v>
      </x:c>
      <x:c r="F143" s="343">
        <x:v>8</x:v>
      </x:c>
      <x:c r="G143" s="301" t="s">
        <x:v>417</x:v>
      </x:c>
      <x:c r="H143" s="301">
        <x:v>26</x:v>
      </x:c>
      <x:c r="I143" s="301" t="s">
        <x:v>881</x:v>
      </x:c>
      <x:c r="J143" s="301" t="s">
        <x:v>882</x:v>
      </x:c>
      <x:c r="K143" s="302">
        <x:v>10</x:v>
      </x:c>
      <x:c r="L143" s="302">
        <x:v>0.8</x:v>
      </x:c>
      <x:c r="M143" s="302">
        <x:v>1.2000000000000002</x:v>
      </x:c>
      <x:c r="N143" s="301" t="s">
        <x:v>969</x:v>
      </x:c>
      <x:c r="O143" s="301" t="s">
        <x:v>989</x:v>
      </x:c>
      <x:c r="P143" s="2" t="s">
        <x:v>885</x:v>
      </x:c>
      <x:c r="Q143" s="2" t="s">
        <x:v>309</x:v>
      </x:c>
    </x:row>
    <x:row r="144" ht="45">
      <x:c r="A144" s="301" t="s">
        <x:v>990</x:v>
      </x:c>
      <x:c r="B144" s="301" t="s">
        <x:v>874</x:v>
      </x:c>
      <x:c r="C144" s="301" t="s">
        <x:v>965</x:v>
      </x:c>
      <x:c r="D144" s="301" t="s">
        <x:v>328</x:v>
      </x:c>
      <x:c r="E144" s="301" t="s">
        <x:v>991</x:v>
      </x:c>
      <x:c r="F144" s="343">
        <x:v>8</x:v>
      </x:c>
      <x:c r="G144" s="301" t="s">
        <x:v>417</x:v>
      </x:c>
      <x:c r="H144" s="301">
        <x:v>27</x:v>
      </x:c>
      <x:c r="I144" s="301" t="s">
        <x:v>881</x:v>
      </x:c>
      <x:c r="J144" s="301" t="s">
        <x:v>882</x:v>
      </x:c>
      <x:c r="K144" s="302">
        <x:v>10</x:v>
      </x:c>
      <x:c r="L144" s="302">
        <x:v>0.8</x:v>
      </x:c>
      <x:c r="M144" s="302">
        <x:v>1.2000000000000002</x:v>
      </x:c>
      <x:c r="N144" s="301" t="s">
        <x:v>969</x:v>
      </x:c>
      <x:c r="O144" s="301" t="s">
        <x:v>994</x:v>
      </x:c>
      <x:c r="P144" s="2" t="s">
        <x:v>885</x:v>
      </x:c>
      <x:c r="Q144" s="2" t="s">
        <x:v>309</x:v>
      </x:c>
    </x:row>
    <x:row r="145" ht="45">
      <x:c r="A145" s="301" t="s">
        <x:v>995</x:v>
      </x:c>
      <x:c r="B145" s="301" t="s">
        <x:v>874</x:v>
      </x:c>
      <x:c r="C145" s="301" t="s">
        <x:v>965</x:v>
      </x:c>
      <x:c r="D145" s="301" t="s">
        <x:v>328</x:v>
      </x:c>
      <x:c r="E145" s="301" t="s">
        <x:v>996</x:v>
      </x:c>
      <x:c r="F145" s="343">
        <x:v>8</x:v>
      </x:c>
      <x:c r="G145" s="301" t="s">
        <x:v>417</x:v>
      </x:c>
      <x:c r="H145" s="301">
        <x:v>28</x:v>
      </x:c>
      <x:c r="I145" s="301" t="s">
        <x:v>881</x:v>
      </x:c>
      <x:c r="J145" s="301" t="s">
        <x:v>882</x:v>
      </x:c>
      <x:c r="K145" s="302">
        <x:v>10</x:v>
      </x:c>
      <x:c r="L145" s="302">
        <x:v>0.8</x:v>
      </x:c>
      <x:c r="M145" s="302">
        <x:v>1.2000000000000002</x:v>
      </x:c>
      <x:c r="N145" s="301" t="s">
        <x:v>969</x:v>
      </x:c>
      <x:c r="O145" s="301" t="s">
        <x:v>990</x:v>
      </x:c>
      <x:c r="P145" s="2" t="s">
        <x:v>885</x:v>
      </x:c>
      <x:c r="Q145" s="2" t="s">
        <x:v>309</x:v>
      </x:c>
    </x:row>
    <x:row r="146" ht="45">
      <x:c r="A146" s="301" t="s">
        <x:v>1000</x:v>
      </x:c>
      <x:c r="B146" s="301" t="s">
        <x:v>874</x:v>
      </x:c>
      <x:c r="C146" s="301" t="s">
        <x:v>965</x:v>
      </x:c>
      <x:c r="D146" s="301" t="s">
        <x:v>328</x:v>
      </x:c>
      <x:c r="E146" s="301" t="s">
        <x:v>1001</x:v>
      </x:c>
      <x:c r="F146" s="343">
        <x:v>8</x:v>
      </x:c>
      <x:c r="G146" s="301" t="s">
        <x:v>417</x:v>
      </x:c>
      <x:c r="H146" s="301">
        <x:v>29</x:v>
      </x:c>
      <x:c r="I146" s="301" t="s">
        <x:v>881</x:v>
      </x:c>
      <x:c r="J146" s="301" t="s">
        <x:v>882</x:v>
      </x:c>
      <x:c r="K146" s="302">
        <x:v>10</x:v>
      </x:c>
      <x:c r="L146" s="302">
        <x:v>0.8</x:v>
      </x:c>
      <x:c r="M146" s="302">
        <x:v>1.2000000000000002</x:v>
      </x:c>
      <x:c r="N146" s="301" t="s">
        <x:v>969</x:v>
      </x:c>
      <x:c r="O146" s="301" t="s">
        <x:v>995</x:v>
      </x:c>
      <x:c r="P146" s="2" t="s">
        <x:v>885</x:v>
      </x:c>
      <x:c r="Q146" s="2" t="s">
        <x:v>309</x:v>
      </x:c>
    </x:row>
    <x:row r="147" ht="45">
      <x:c r="A147" s="301" t="s">
        <x:v>1004</x:v>
      </x:c>
      <x:c r="B147" s="301" t="s">
        <x:v>874</x:v>
      </x:c>
      <x:c r="C147" s="301" t="s">
        <x:v>955</x:v>
      </x:c>
      <x:c r="D147" s="301" t="s">
        <x:v>328</x:v>
      </x:c>
      <x:c r="E147" s="301" t="s">
        <x:v>1005</x:v>
      </x:c>
      <x:c r="F147" s="343">
        <x:v>10</x:v>
      </x:c>
      <x:c r="G147" s="301" t="s">
        <x:v>417</x:v>
      </x:c>
      <x:c r="H147" s="301">
        <x:v>34</x:v>
      </x:c>
      <x:c r="I147" s="301" t="s">
        <x:v>881</x:v>
      </x:c>
      <x:c r="J147" s="301" t="s">
        <x:v>882</x:v>
      </x:c>
      <x:c r="K147" s="302">
        <x:v>10</x:v>
      </x:c>
      <x:c r="L147" s="302">
        <x:v>1</x:v>
      </x:c>
      <x:c r="M147" s="302">
        <x:v>1.5</x:v>
      </x:c>
      <x:c r="N147" s="301" t="s">
        <x:v>963</x:v>
      </x:c>
      <x:c r="O147" s="301" t="s">
        <x:v>1011</x:v>
      </x:c>
      <x:c r="P147" s="2" t="s">
        <x:v>885</x:v>
      </x:c>
      <x:c r="Q147" s="2" t="s">
        <x:v>309</x:v>
      </x:c>
    </x:row>
    <x:row r="148" ht="45">
      <x:c r="A148" s="301" t="s">
        <x:v>1016</x:v>
      </x:c>
      <x:c r="B148" s="301" t="s">
        <x:v>874</x:v>
      </x:c>
      <x:c r="C148" s="301" t="s">
        <x:v>955</x:v>
      </x:c>
      <x:c r="D148" s="301" t="s">
        <x:v>328</x:v>
      </x:c>
      <x:c r="E148" s="301" t="s">
        <x:v>1017</x:v>
      </x:c>
      <x:c r="F148" s="343">
        <x:v>12</x:v>
      </x:c>
      <x:c r="G148" s="301" t="s">
        <x:v>417</x:v>
      </x:c>
      <x:c r="H148" s="301">
        <x:v>33</x:v>
      </x:c>
      <x:c r="I148" s="301" t="s">
        <x:v>881</x:v>
      </x:c>
      <x:c r="J148" s="301" t="s">
        <x:v>882</x:v>
      </x:c>
      <x:c r="K148" s="302">
        <x:v>10</x:v>
      </x:c>
      <x:c r="L148" s="302">
        <x:v>1.2</x:v>
      </x:c>
      <x:c r="M148" s="302">
        <x:v>1.7999999999999998</x:v>
      </x:c>
      <x:c r="N148" s="301" t="s">
        <x:v>963</x:v>
      </x:c>
      <x:c r="O148" s="301" t="s">
        <x:v>1024</x:v>
      </x:c>
      <x:c r="P148" s="2" t="s">
        <x:v>885</x:v>
      </x:c>
      <x:c r="Q148" s="2" t="s">
        <x:v>309</x:v>
      </x:c>
    </x:row>
    <x:row r="149" ht="45">
      <x:c r="A149" s="301" t="s">
        <x:v>1025</x:v>
      </x:c>
      <x:c r="B149" s="301" t="s">
        <x:v>874</x:v>
      </x:c>
      <x:c r="C149" s="301" t="s">
        <x:v>955</x:v>
      </x:c>
      <x:c r="D149" s="301" t="s">
        <x:v>328</x:v>
      </x:c>
      <x:c r="E149" s="301" t="s">
        <x:v>1026</x:v>
      </x:c>
      <x:c r="F149" s="343">
        <x:v>8</x:v>
      </x:c>
      <x:c r="G149" s="301" t="s">
        <x:v>303</x:v>
      </x:c>
      <x:c r="H149" s="301">
        <x:v>26</x:v>
      </x:c>
      <x:c r="I149" s="301" t="s">
        <x:v>1035</x:v>
      </x:c>
      <x:c r="J149" s="301" t="s">
        <x:v>314</x:v>
      </x:c>
      <x:c r="K149" s="302">
        <x:v>9</x:v>
      </x:c>
      <x:c r="L149" s="302">
        <x:v>0.88888888888888884</x:v>
      </x:c>
      <x:c r="M149" s="302">
        <x:v>1.3333333333333333</x:v>
      </x:c>
      <x:c r="N149" s="301" t="s">
        <x:v>963</x:v>
      </x:c>
      <x:c r="O149" s="301" t="s">
        <x:v>1036</x:v>
      </x:c>
      <x:c r="P149" s="2" t="s">
        <x:v>1037</x:v>
      </x:c>
      <x:c r="Q149" s="2" t="s">
        <x:v>309</x:v>
      </x:c>
    </x:row>
    <x:row r="150" ht="45">
      <x:c r="A150" s="301" t="s">
        <x:v>1038</x:v>
      </x:c>
      <x:c r="B150" s="301" t="s">
        <x:v>874</x:v>
      </x:c>
      <x:c r="C150" s="301" t="s">
        <x:v>955</x:v>
      </x:c>
      <x:c r="D150" s="301" t="s">
        <x:v>328</x:v>
      </x:c>
      <x:c r="E150" s="301" t="s">
        <x:v>1039</x:v>
      </x:c>
      <x:c r="F150" s="343">
        <x:v>6</x:v>
      </x:c>
      <x:c r="G150" s="301" t="s">
        <x:v>303</x:v>
      </x:c>
      <x:c r="H150" s="301">
        <x:v>27</x:v>
      </x:c>
      <x:c r="I150" s="301" t="s">
        <x:v>1035</x:v>
      </x:c>
      <x:c r="J150" s="301" t="s">
        <x:v>314</x:v>
      </x:c>
      <x:c r="K150" s="302">
        <x:v>9</x:v>
      </x:c>
      <x:c r="L150" s="302">
        <x:v>0.66666666666666663</x:v>
      </x:c>
      <x:c r="M150" s="302">
        <x:v>1</x:v>
      </x:c>
      <x:c r="N150" s="301" t="s">
        <x:v>963</x:v>
      </x:c>
      <x:c r="O150" s="301" t="s">
        <x:v>1042</x:v>
      </x:c>
      <x:c r="P150" s="2" t="s">
        <x:v>1037</x:v>
      </x:c>
      <x:c r="Q150" s="2" t="s">
        <x:v>309</x:v>
      </x:c>
    </x:row>
    <x:row r="151" ht="45">
      <x:c r="A151" s="301" t="s">
        <x:v>1043</x:v>
      </x:c>
      <x:c r="B151" s="301" t="s">
        <x:v>874</x:v>
      </x:c>
      <x:c r="C151" s="301" t="s">
        <x:v>955</x:v>
      </x:c>
      <x:c r="D151" s="301" t="s">
        <x:v>328</x:v>
      </x:c>
      <x:c r="E151" s="301" t="s">
        <x:v>1044</x:v>
      </x:c>
      <x:c r="F151" s="343">
        <x:v>12</x:v>
      </x:c>
      <x:c r="G151" s="301" t="s">
        <x:v>336</x:v>
      </x:c>
      <x:c r="H151" s="301">
        <x:v>48</x:v>
      </x:c>
      <x:c r="I151" s="301" t="s">
        <x:v>1051</x:v>
      </x:c>
      <x:c r="J151" s="301" t="s">
        <x:v>504</x:v>
      </x:c>
      <x:c r="K151" s="302">
        <x:v>5</x:v>
      </x:c>
      <x:c r="L151" s="302">
        <x:v>2.4</x:v>
      </x:c>
      <x:c r="M151" s="302">
        <x:v>4.08</x:v>
      </x:c>
      <x:c r="N151" s="301" t="s">
        <x:v>963</x:v>
      </x:c>
      <x:c r="O151" s="301" t="s">
        <x:v>1052</x:v>
      </x:c>
      <x:c r="P151" s="2" t="s">
        <x:v>1053</x:v>
      </x:c>
      <x:c r="Q151" s="2" t="s">
        <x:v>1054</x:v>
      </x:c>
    </x:row>
    <x:row r="152" ht="45">
      <x:c r="A152" s="301" t="s">
        <x:v>1055</x:v>
      </x:c>
      <x:c r="B152" s="301" t="s">
        <x:v>1056</x:v>
      </x:c>
      <x:c r="C152" s="301" t="s">
        <x:v>1057</x:v>
      </x:c>
      <x:c r="D152" s="301" t="s">
        <x:v>328</x:v>
      </x:c>
      <x:c r="E152" s="301" t="s">
        <x:v>1058</x:v>
      </x:c>
      <x:c r="F152" s="343">
        <x:v>12</x:v>
      </x:c>
      <x:c r="G152" s="301" t="s">
        <x:v>336</x:v>
      </x:c>
      <x:c r="H152" s="301">
        <x:v>49</x:v>
      </x:c>
      <x:c r="I152" s="301" t="s">
        <x:v>1069</x:v>
      </x:c>
      <x:c r="J152" s="301" t="s">
        <x:v>1070</x:v>
      </x:c>
      <x:c r="K152" s="302">
        <x:v>3</x:v>
      </x:c>
      <x:c r="L152" s="302">
        <x:v>4</x:v>
      </x:c>
      <x:c r="M152" s="302">
        <x:v>7.2</x:v>
      </x:c>
      <x:c r="N152" s="301" t="s">
        <x:v>1071</x:v>
      </x:c>
      <x:c r="O152" s="301" t="s">
        <x:v>1072</x:v>
      </x:c>
      <x:c r="P152" s="2" t="s">
        <x:v>1073</x:v>
      </x:c>
      <x:c r="Q152" s="2" t="s">
        <x:v>309</x:v>
      </x:c>
    </x:row>
    <x:row r="153" ht="45">
      <x:c r="A153" s="301" t="s">
        <x:v>1074</x:v>
      </x:c>
      <x:c r="B153" s="301" t="s">
        <x:v>1056</x:v>
      </x:c>
      <x:c r="C153" s="301" t="s">
        <x:v>1057</x:v>
      </x:c>
      <x:c r="D153" s="301" t="s">
        <x:v>328</x:v>
      </x:c>
      <x:c r="E153" s="301" t="s">
        <x:v>1075</x:v>
      </x:c>
      <x:c r="F153" s="343">
        <x:v>12</x:v>
      </x:c>
      <x:c r="G153" s="301" t="s">
        <x:v>336</x:v>
      </x:c>
      <x:c r="H153" s="301">
        <x:v>50</x:v>
      </x:c>
      <x:c r="I153" s="301" t="s">
        <x:v>1069</x:v>
      </x:c>
      <x:c r="J153" s="301" t="s">
        <x:v>1070</x:v>
      </x:c>
      <x:c r="K153" s="302">
        <x:v>3</x:v>
      </x:c>
      <x:c r="L153" s="302">
        <x:v>4</x:v>
      </x:c>
      <x:c r="M153" s="302">
        <x:v>7.2</x:v>
      </x:c>
      <x:c r="N153" s="301" t="s">
        <x:v>1071</x:v>
      </x:c>
      <x:c r="O153" s="301" t="s">
        <x:v>1072</x:v>
      </x:c>
      <x:c r="P153" s="2" t="s">
        <x:v>1073</x:v>
      </x:c>
      <x:c r="Q153" s="2" t="s">
        <x:v>309</x:v>
      </x:c>
    </x:row>
    <x:row r="154" ht="45">
      <x:c r="A154" s="301" t="s">
        <x:v>1078</x:v>
      </x:c>
      <x:c r="B154" s="301" t="s">
        <x:v>1056</x:v>
      </x:c>
      <x:c r="C154" s="301" t="s">
        <x:v>1057</x:v>
      </x:c>
      <x:c r="D154" s="301" t="s">
        <x:v>328</x:v>
      </x:c>
      <x:c r="E154" s="301" t="s">
        <x:v>1079</x:v>
      </x:c>
      <x:c r="F154" s="343">
        <x:v>12</x:v>
      </x:c>
      <x:c r="G154" s="301" t="s">
        <x:v>336</x:v>
      </x:c>
      <x:c r="H154" s="301">
        <x:v>51</x:v>
      </x:c>
      <x:c r="I154" s="301" t="s">
        <x:v>1069</x:v>
      </x:c>
      <x:c r="J154" s="301" t="s">
        <x:v>1070</x:v>
      </x:c>
      <x:c r="K154" s="302">
        <x:v>3</x:v>
      </x:c>
      <x:c r="L154" s="302">
        <x:v>4</x:v>
      </x:c>
      <x:c r="M154" s="302">
        <x:v>7.2</x:v>
      </x:c>
      <x:c r="N154" s="301" t="s">
        <x:v>1071</x:v>
      </x:c>
      <x:c r="O154" s="301" t="s">
        <x:v>1072</x:v>
      </x:c>
      <x:c r="P154" s="2" t="s">
        <x:v>1073</x:v>
      </x:c>
      <x:c r="Q154" s="2" t="s">
        <x:v>309</x:v>
      </x:c>
    </x:row>
    <x:row r="155" ht="45">
      <x:c r="A155" s="301" t="s">
        <x:v>1083</x:v>
      </x:c>
      <x:c r="B155" s="301" t="s">
        <x:v>1056</x:v>
      </x:c>
      <x:c r="C155" s="301" t="s">
        <x:v>1057</x:v>
      </x:c>
      <x:c r="D155" s="301" t="s">
        <x:v>328</x:v>
      </x:c>
      <x:c r="E155" s="301" t="s">
        <x:v>1084</x:v>
      </x:c>
      <x:c r="F155" s="343">
        <x:v>12</x:v>
      </x:c>
      <x:c r="G155" s="301" t="s">
        <x:v>336</x:v>
      </x:c>
      <x:c r="H155" s="301">
        <x:v>52</x:v>
      </x:c>
      <x:c r="I155" s="301" t="s">
        <x:v>1069</x:v>
      </x:c>
      <x:c r="J155" s="301" t="s">
        <x:v>1070</x:v>
      </x:c>
      <x:c r="K155" s="302">
        <x:v>3</x:v>
      </x:c>
      <x:c r="L155" s="302">
        <x:v>4</x:v>
      </x:c>
      <x:c r="M155" s="302">
        <x:v>7.2</x:v>
      </x:c>
      <x:c r="N155" s="301" t="s">
        <x:v>1071</x:v>
      </x:c>
      <x:c r="O155" s="301" t="s">
        <x:v>1072</x:v>
      </x:c>
      <x:c r="P155" s="2" t="s">
        <x:v>1073</x:v>
      </x:c>
      <x:c r="Q155" s="2" t="s">
        <x:v>309</x:v>
      </x:c>
    </x:row>
    <x:row r="156" ht="45">
      <x:c r="A156" s="301" t="s">
        <x:v>1088</x:v>
      </x:c>
      <x:c r="B156" s="301" t="s">
        <x:v>1056</x:v>
      </x:c>
      <x:c r="C156" s="301" t="s">
        <x:v>1057</x:v>
      </x:c>
      <x:c r="D156" s="301" t="s">
        <x:v>328</x:v>
      </x:c>
      <x:c r="E156" s="301" t="s">
        <x:v>1089</x:v>
      </x:c>
      <x:c r="F156" s="343">
        <x:v>12</x:v>
      </x:c>
      <x:c r="G156" s="301" t="s">
        <x:v>417</x:v>
      </x:c>
      <x:c r="H156" s="301">
        <x:v>38</x:v>
      </x:c>
      <x:c r="I156" s="301" t="s">
        <x:v>1095</x:v>
      </x:c>
      <x:c r="J156" s="301" t="s">
        <x:v>1096</x:v>
      </x:c>
      <x:c r="K156" s="302">
        <x:v>5</x:v>
      </x:c>
      <x:c r="L156" s="302">
        <x:v>2.4</x:v>
      </x:c>
      <x:c r="M156" s="302">
        <x:v>4.32</x:v>
      </x:c>
      <x:c r="N156" s="301" t="s">
        <x:v>1071</x:v>
      </x:c>
      <x:c r="O156" s="301" t="s">
        <x:v>1097</x:v>
      </x:c>
      <x:c r="P156" s="2" t="s">
        <x:v>1098</x:v>
      </x:c>
      <x:c r="Q156" s="2" t="s">
        <x:v>309</x:v>
      </x:c>
    </x:row>
    <x:row r="157" ht="45">
      <x:c r="A157" s="301" t="s">
        <x:v>1099</x:v>
      </x:c>
      <x:c r="B157" s="301" t="s">
        <x:v>1056</x:v>
      </x:c>
      <x:c r="C157" s="301" t="s">
        <x:v>1057</x:v>
      </x:c>
      <x:c r="D157" s="301" t="s">
        <x:v>328</x:v>
      </x:c>
      <x:c r="E157" s="301" t="s">
        <x:v>1100</x:v>
      </x:c>
      <x:c r="F157" s="343">
        <x:v>12</x:v>
      </x:c>
      <x:c r="G157" s="301" t="s">
        <x:v>303</x:v>
      </x:c>
      <x:c r="H157" s="301">
        <x:v>28</x:v>
      </x:c>
      <x:c r="I157" s="301" t="s">
        <x:v>1104</x:v>
      </x:c>
      <x:c r="J157" s="301" t="s">
        <x:v>1070</x:v>
      </x:c>
      <x:c r="K157" s="302">
        <x:v>3</x:v>
      </x:c>
      <x:c r="L157" s="302">
        <x:v>4</x:v>
      </x:c>
      <x:c r="M157" s="302">
        <x:v>7.2</x:v>
      </x:c>
      <x:c r="N157" s="301" t="s">
        <x:v>1071</x:v>
      </x:c>
      <x:c r="O157" s="301" t="s">
        <x:v>1072</x:v>
      </x:c>
      <x:c r="P157" s="2" t="s">
        <x:v>1105</x:v>
      </x:c>
      <x:c r="Q157" s="2" t="s">
        <x:v>309</x:v>
      </x:c>
    </x:row>
    <x:row r="158" ht="45">
      <x:c r="A158" s="301" t="s">
        <x:v>1106</x:v>
      </x:c>
      <x:c r="B158" s="301" t="s">
        <x:v>1056</x:v>
      </x:c>
      <x:c r="C158" s="301" t="s">
        <x:v>1057</x:v>
      </x:c>
      <x:c r="D158" s="301" t="s">
        <x:v>328</x:v>
      </x:c>
      <x:c r="E158" s="301" t="s">
        <x:v>1107</x:v>
      </x:c>
      <x:c r="F158" s="343">
        <x:v>12</x:v>
      </x:c>
      <x:c r="G158" s="301" t="s">
        <x:v>417</x:v>
      </x:c>
      <x:c r="H158" s="301">
        <x:v>39</x:v>
      </x:c>
      <x:c r="I158" s="301" t="s">
        <x:v>1095</x:v>
      </x:c>
      <x:c r="J158" s="301" t="s">
        <x:v>1096</x:v>
      </x:c>
      <x:c r="K158" s="302">
        <x:v>5</x:v>
      </x:c>
      <x:c r="L158" s="302">
        <x:v>2.4</x:v>
      </x:c>
      <x:c r="M158" s="302">
        <x:v>4.32</x:v>
      </x:c>
      <x:c r="N158" s="301" t="s">
        <x:v>1071</x:v>
      </x:c>
      <x:c r="O158" s="301" t="s">
        <x:v>1116</x:v>
      </x:c>
      <x:c r="P158" s="2" t="s">
        <x:v>1098</x:v>
      </x:c>
      <x:c r="Q158" s="2" t="s">
        <x:v>309</x:v>
      </x:c>
    </x:row>
    <x:row r="159" ht="45">
      <x:c r="A159" s="301" t="s">
        <x:v>1117</x:v>
      </x:c>
      <x:c r="B159" s="301" t="s">
        <x:v>1056</x:v>
      </x:c>
      <x:c r="C159" s="301" t="s">
        <x:v>1057</x:v>
      </x:c>
      <x:c r="D159" s="301" t="s">
        <x:v>328</x:v>
      </x:c>
      <x:c r="E159" s="301" t="s">
        <x:v>1118</x:v>
      </x:c>
      <x:c r="F159" s="343">
        <x:v>12</x:v>
      </x:c>
      <x:c r="G159" s="301" t="s">
        <x:v>417</x:v>
      </x:c>
      <x:c r="H159" s="301">
        <x:v>40</x:v>
      </x:c>
      <x:c r="I159" s="301" t="s">
        <x:v>1095</x:v>
      </x:c>
      <x:c r="J159" s="301" t="s">
        <x:v>1096</x:v>
      </x:c>
      <x:c r="K159" s="302">
        <x:v>5</x:v>
      </x:c>
      <x:c r="L159" s="302">
        <x:v>2.4</x:v>
      </x:c>
      <x:c r="M159" s="302">
        <x:v>4.32</x:v>
      </x:c>
      <x:c r="N159" s="301" t="s">
        <x:v>1071</x:v>
      </x:c>
      <x:c r="O159" s="301" t="s">
        <x:v>1116</x:v>
      </x:c>
      <x:c r="P159" s="2" t="s">
        <x:v>1098</x:v>
      </x:c>
      <x:c r="Q159" s="2" t="s">
        <x:v>309</x:v>
      </x:c>
    </x:row>
    <x:row r="160" ht="45">
      <x:c r="A160" s="301" t="s">
        <x:v>1121</x:v>
      </x:c>
      <x:c r="B160" s="301" t="s">
        <x:v>1056</x:v>
      </x:c>
      <x:c r="C160" s="301" t="s">
        <x:v>1122</x:v>
      </x:c>
      <x:c r="D160" s="301" t="s">
        <x:v>328</x:v>
      </x:c>
      <x:c r="E160" s="301" t="s">
        <x:v>1123</x:v>
      </x:c>
      <x:c r="F160" s="343">
        <x:v>12</x:v>
      </x:c>
      <x:c r="G160" s="301" t="s">
        <x:v>417</x:v>
      </x:c>
      <x:c r="H160" s="301">
        <x:v>41</x:v>
      </x:c>
      <x:c r="I160" s="301" t="s">
        <x:v>1095</x:v>
      </x:c>
      <x:c r="J160" s="301" t="s">
        <x:v>1096</x:v>
      </x:c>
      <x:c r="K160" s="302">
        <x:v>5</x:v>
      </x:c>
      <x:c r="L160" s="302">
        <x:v>2.4</x:v>
      </x:c>
      <x:c r="M160" s="302">
        <x:v>4.32</x:v>
      </x:c>
      <x:c r="N160" s="301" t="s">
        <x:v>1071</x:v>
      </x:c>
      <x:c r="O160" s="301" t="s">
        <x:v>1097</x:v>
      </x:c>
      <x:c r="P160" s="2" t="s">
        <x:v>1098</x:v>
      </x:c>
      <x:c r="Q160" s="2" t="s">
        <x:v>309</x:v>
      </x:c>
    </x:row>
    <x:row r="161" ht="45">
      <x:c r="A161" s="301" t="s">
        <x:v>1129</x:v>
      </x:c>
      <x:c r="B161" s="301" t="s">
        <x:v>1056</x:v>
      </x:c>
      <x:c r="C161" s="301" t="s">
        <x:v>1122</x:v>
      </x:c>
      <x:c r="D161" s="301" t="s">
        <x:v>328</x:v>
      </x:c>
      <x:c r="E161" s="301" t="s">
        <x:v>1130</x:v>
      </x:c>
      <x:c r="F161" s="343">
        <x:v>12</x:v>
      </x:c>
      <x:c r="G161" s="301" t="s">
        <x:v>336</x:v>
      </x:c>
      <x:c r="H161" s="301">
        <x:v>53</x:v>
      </x:c>
      <x:c r="I161" s="301" t="s">
        <x:v>1069</x:v>
      </x:c>
      <x:c r="J161" s="301" t="s">
        <x:v>1070</x:v>
      </x:c>
      <x:c r="K161" s="302">
        <x:v>3</x:v>
      </x:c>
      <x:c r="L161" s="302">
        <x:v>4</x:v>
      </x:c>
      <x:c r="M161" s="302">
        <x:v>7.2</x:v>
      </x:c>
      <x:c r="N161" s="301" t="s">
        <x:v>1071</x:v>
      </x:c>
      <x:c r="O161" s="301" t="s">
        <x:v>1072</x:v>
      </x:c>
      <x:c r="P161" s="2" t="s">
        <x:v>1073</x:v>
      </x:c>
      <x:c r="Q161" s="2" t="s">
        <x:v>309</x:v>
      </x:c>
    </x:row>
    <x:row r="162" ht="45">
      <x:c r="A162" s="301" t="s">
        <x:v>1134</x:v>
      </x:c>
      <x:c r="B162" s="301" t="s">
        <x:v>1056</x:v>
      </x:c>
      <x:c r="C162" s="301" t="s">
        <x:v>1122</x:v>
      </x:c>
      <x:c r="D162" s="301" t="s">
        <x:v>328</x:v>
      </x:c>
      <x:c r="E162" s="301" t="s">
        <x:v>1135</x:v>
      </x:c>
      <x:c r="F162" s="343">
        <x:v>12</x:v>
      </x:c>
      <x:c r="G162" s="301" t="s">
        <x:v>336</x:v>
      </x:c>
      <x:c r="H162" s="301">
        <x:v>54</x:v>
      </x:c>
      <x:c r="I162" s="301" t="s">
        <x:v>1069</x:v>
      </x:c>
      <x:c r="J162" s="301" t="s">
        <x:v>1070</x:v>
      </x:c>
      <x:c r="K162" s="302">
        <x:v>3</x:v>
      </x:c>
      <x:c r="L162" s="302">
        <x:v>4</x:v>
      </x:c>
      <x:c r="M162" s="302">
        <x:v>7.2</x:v>
      </x:c>
      <x:c r="N162" s="301" t="s">
        <x:v>1071</x:v>
      </x:c>
      <x:c r="O162" s="301" t="s">
        <x:v>1072</x:v>
      </x:c>
      <x:c r="P162" s="2" t="s">
        <x:v>1073</x:v>
      </x:c>
      <x:c r="Q162" s="2" t="s">
        <x:v>309</x:v>
      </x:c>
    </x:row>
    <x:row r="163" ht="45">
      <x:c r="A163" s="301" t="s">
        <x:v>1138</x:v>
      </x:c>
      <x:c r="B163" s="301" t="s">
        <x:v>1056</x:v>
      </x:c>
      <x:c r="C163" s="301" t="s">
        <x:v>1122</x:v>
      </x:c>
      <x:c r="D163" s="301" t="s">
        <x:v>328</x:v>
      </x:c>
      <x:c r="E163" s="301" t="s">
        <x:v>1139</x:v>
      </x:c>
      <x:c r="F163" s="343">
        <x:v>12</x:v>
      </x:c>
      <x:c r="G163" s="301" t="s">
        <x:v>336</x:v>
      </x:c>
      <x:c r="H163" s="301">
        <x:v>55</x:v>
      </x:c>
      <x:c r="I163" s="301" t="s">
        <x:v>1069</x:v>
      </x:c>
      <x:c r="J163" s="301" t="s">
        <x:v>1070</x:v>
      </x:c>
      <x:c r="K163" s="302">
        <x:v>3</x:v>
      </x:c>
      <x:c r="L163" s="302">
        <x:v>4</x:v>
      </x:c>
      <x:c r="M163" s="302">
        <x:v>7.2</x:v>
      </x:c>
      <x:c r="N163" s="301" t="s">
        <x:v>1071</x:v>
      </x:c>
      <x:c r="O163" s="301" t="s">
        <x:v>1072</x:v>
      </x:c>
      <x:c r="P163" s="2" t="s">
        <x:v>1073</x:v>
      </x:c>
      <x:c r="Q163" s="2" t="s">
        <x:v>309</x:v>
      </x:c>
    </x:row>
    <x:row r="164" ht="45">
      <x:c r="A164" s="301" t="s">
        <x:v>1142</x:v>
      </x:c>
      <x:c r="B164" s="301" t="s">
        <x:v>1056</x:v>
      </x:c>
      <x:c r="C164" s="301" t="s">
        <x:v>1122</x:v>
      </x:c>
      <x:c r="D164" s="301" t="s">
        <x:v>328</x:v>
      </x:c>
      <x:c r="E164" s="301" t="s">
        <x:v>1143</x:v>
      </x:c>
      <x:c r="F164" s="343">
        <x:v>12</x:v>
      </x:c>
      <x:c r="G164" s="301" t="s">
        <x:v>336</x:v>
      </x:c>
      <x:c r="H164" s="301">
        <x:v>56</x:v>
      </x:c>
      <x:c r="I164" s="301" t="s">
        <x:v>1069</x:v>
      </x:c>
      <x:c r="J164" s="301" t="s">
        <x:v>1070</x:v>
      </x:c>
      <x:c r="K164" s="302">
        <x:v>3</x:v>
      </x:c>
      <x:c r="L164" s="302">
        <x:v>4</x:v>
      </x:c>
      <x:c r="M164" s="302">
        <x:v>7.2</x:v>
      </x:c>
      <x:c r="N164" s="301" t="s">
        <x:v>1071</x:v>
      </x:c>
      <x:c r="O164" s="301" t="s">
        <x:v>1072</x:v>
      </x:c>
      <x:c r="P164" s="2" t="s">
        <x:v>1073</x:v>
      </x:c>
      <x:c r="Q164" s="2" t="s">
        <x:v>309</x:v>
      </x:c>
    </x:row>
    <x:row r="165" ht="45">
      <x:c r="A165" s="301" t="s">
        <x:v>1146</x:v>
      </x:c>
      <x:c r="B165" s="301" t="s">
        <x:v>1056</x:v>
      </x:c>
      <x:c r="C165" s="301" t="s">
        <x:v>1122</x:v>
      </x:c>
      <x:c r="D165" s="301" t="s">
        <x:v>328</x:v>
      </x:c>
      <x:c r="E165" s="301" t="s">
        <x:v>1147</x:v>
      </x:c>
      <x:c r="F165" s="343">
        <x:v>12</x:v>
      </x:c>
      <x:c r="G165" s="301" t="s">
        <x:v>336</x:v>
      </x:c>
      <x:c r="H165" s="301">
        <x:v>57</x:v>
      </x:c>
      <x:c r="I165" s="301" t="s">
        <x:v>1069</x:v>
      </x:c>
      <x:c r="J165" s="301" t="s">
        <x:v>1070</x:v>
      </x:c>
      <x:c r="K165" s="302">
        <x:v>3</x:v>
      </x:c>
      <x:c r="L165" s="302">
        <x:v>4</x:v>
      </x:c>
      <x:c r="M165" s="302">
        <x:v>7.2</x:v>
      </x:c>
      <x:c r="N165" s="301" t="s">
        <x:v>1071</x:v>
      </x:c>
      <x:c r="O165" s="301" t="s">
        <x:v>1072</x:v>
      </x:c>
      <x:c r="P165" s="2" t="s">
        <x:v>1073</x:v>
      </x:c>
      <x:c r="Q165" s="2" t="s">
        <x:v>309</x:v>
      </x:c>
    </x:row>
    <x:row r="166" ht="45">
      <x:c r="A166" s="301" t="s">
        <x:v>1150</x:v>
      </x:c>
      <x:c r="B166" s="301" t="s">
        <x:v>1056</x:v>
      </x:c>
      <x:c r="C166" s="301" t="s">
        <x:v>1122</x:v>
      </x:c>
      <x:c r="D166" s="301" t="s">
        <x:v>328</x:v>
      </x:c>
      <x:c r="E166" s="301" t="s">
        <x:v>1151</x:v>
      </x:c>
      <x:c r="F166" s="343">
        <x:v>12</x:v>
      </x:c>
      <x:c r="G166" s="301" t="s">
        <x:v>336</x:v>
      </x:c>
      <x:c r="H166" s="301">
        <x:v>58</x:v>
      </x:c>
      <x:c r="I166" s="301" t="s">
        <x:v>1069</x:v>
      </x:c>
      <x:c r="J166" s="301" t="s">
        <x:v>1070</x:v>
      </x:c>
      <x:c r="K166" s="302">
        <x:v>3</x:v>
      </x:c>
      <x:c r="L166" s="302">
        <x:v>4</x:v>
      </x:c>
      <x:c r="M166" s="302">
        <x:v>7.2</x:v>
      </x:c>
      <x:c r="N166" s="301" t="s">
        <x:v>1071</x:v>
      </x:c>
      <x:c r="O166" s="301" t="s">
        <x:v>1072</x:v>
      </x:c>
      <x:c r="P166" s="2" t="s">
        <x:v>1073</x:v>
      </x:c>
      <x:c r="Q166" s="2" t="s">
        <x:v>309</x:v>
      </x:c>
    </x:row>
    <x:row r="167" ht="45">
      <x:c r="A167" s="301" t="s">
        <x:v>1155</x:v>
      </x:c>
      <x:c r="B167" s="301" t="s">
        <x:v>1056</x:v>
      </x:c>
      <x:c r="C167" s="301" t="s">
        <x:v>1122</x:v>
      </x:c>
      <x:c r="D167" s="301" t="s">
        <x:v>328</x:v>
      </x:c>
      <x:c r="E167" s="301" t="s">
        <x:v>1156</x:v>
      </x:c>
      <x:c r="F167" s="343">
        <x:v>12</x:v>
      </x:c>
      <x:c r="G167" s="301" t="s">
        <x:v>303</x:v>
      </x:c>
      <x:c r="H167" s="301">
        <x:v>29</x:v>
      </x:c>
      <x:c r="I167" s="301" t="s">
        <x:v>1104</x:v>
      </x:c>
      <x:c r="J167" s="301" t="s">
        <x:v>1070</x:v>
      </x:c>
      <x:c r="K167" s="302">
        <x:v>3</x:v>
      </x:c>
      <x:c r="L167" s="302">
        <x:v>4</x:v>
      </x:c>
      <x:c r="M167" s="302">
        <x:v>7.2</x:v>
      </x:c>
      <x:c r="N167" s="301" t="s">
        <x:v>1071</x:v>
      </x:c>
      <x:c r="O167" s="301" t="s">
        <x:v>1072</x:v>
      </x:c>
      <x:c r="P167" s="2" t="s">
        <x:v>1105</x:v>
      </x:c>
      <x:c r="Q167" s="2" t="s">
        <x:v>309</x:v>
      </x:c>
    </x:row>
    <x:row r="168" ht="45">
      <x:c r="A168" s="301" t="s">
        <x:v>1159</x:v>
      </x:c>
      <x:c r="B168" s="301" t="s">
        <x:v>1056</x:v>
      </x:c>
      <x:c r="C168" s="301" t="s">
        <x:v>1122</x:v>
      </x:c>
      <x:c r="D168" s="301" t="s">
        <x:v>328</x:v>
      </x:c>
      <x:c r="E168" s="301" t="s">
        <x:v>1160</x:v>
      </x:c>
      <x:c r="F168" s="343">
        <x:v>12</x:v>
      </x:c>
      <x:c r="G168" s="301" t="s">
        <x:v>303</x:v>
      </x:c>
      <x:c r="H168" s="301">
        <x:v>30</x:v>
      </x:c>
      <x:c r="I168" s="301" t="s">
        <x:v>1104</x:v>
      </x:c>
      <x:c r="J168" s="301" t="s">
        <x:v>1070</x:v>
      </x:c>
      <x:c r="K168" s="302">
        <x:v>3</x:v>
      </x:c>
      <x:c r="L168" s="302">
        <x:v>4</x:v>
      </x:c>
      <x:c r="M168" s="302">
        <x:v>7.2</x:v>
      </x:c>
      <x:c r="N168" s="301" t="s">
        <x:v>1071</x:v>
      </x:c>
      <x:c r="O168" s="301" t="s">
        <x:v>1072</x:v>
      </x:c>
      <x:c r="P168" s="2" t="s">
        <x:v>1105</x:v>
      </x:c>
      <x:c r="Q168" s="2" t="s">
        <x:v>309</x:v>
      </x:c>
    </x:row>
    <x:row r="169" ht="30">
      <x:c r="A169" s="301" t="s">
        <x:v>1163</x:v>
      </x:c>
      <x:c r="B169" s="301" t="s">
        <x:v>874</x:v>
      </x:c>
      <x:c r="C169" s="301" t="s">
        <x:v>1164</x:v>
      </x:c>
      <x:c r="D169" s="301" t="s">
        <x:v>49</x:v>
      </x:c>
      <x:c r="E169" s="301" t="s">
        <x:v>1165</x:v>
      </x:c>
      <x:c r="F169" s="343">
        <x:v>12</x:v>
      </x:c>
      <x:c r="G169" s="301" t="s">
        <x:v>51</x:v>
      </x:c>
      <x:c r="H169" s="301">
        <x:v>0</x:v>
      </x:c>
      <x:c r="I169" s="301" t="s">
        <x:v>62</x:v>
      </x:c>
      <x:c r="J169" s="301" t="s">
        <x:v>61</x:v>
      </x:c>
      <x:c r="K169" s="302">
        <x:v>0</x:v>
      </x:c>
      <x:c r="L169" s="302">
        <x:v>0</x:v>
      </x:c>
      <x:c r="M169" s="302">
        <x:v>0</x:v>
      </x:c>
      <x:c r="N169" s="301" t="s">
        <x:v>51</x:v>
      </x:c>
      <x:c r="O169" s="301" t="s">
        <x:v>63</x:v>
      </x:c>
      <x:c r="P169" s="2" t="s">
        <x:v>64</x:v>
      </x:c>
      <x:c r="Q169" s="2" t="s">
        <x:v>65</x:v>
      </x:c>
    </x:row>
    <x:row r="170" ht="30">
      <x:c r="A170" s="301" t="s">
        <x:v>1171</x:v>
      </x:c>
      <x:c r="B170" s="301" t="s">
        <x:v>874</x:v>
      </x:c>
      <x:c r="C170" s="301" t="s">
        <x:v>1164</x:v>
      </x:c>
      <x:c r="D170" s="301" t="s">
        <x:v>49</x:v>
      </x:c>
      <x:c r="E170" s="301" t="s">
        <x:v>1172</x:v>
      </x:c>
      <x:c r="F170" s="343">
        <x:v>10</x:v>
      </x:c>
      <x:c r="G170" s="301" t="s">
        <x:v>51</x:v>
      </x:c>
      <x:c r="H170" s="301">
        <x:v>0</x:v>
      </x:c>
      <x:c r="I170" s="301" t="s">
        <x:v>62</x:v>
      </x:c>
      <x:c r="J170" s="301" t="s">
        <x:v>61</x:v>
      </x:c>
      <x:c r="K170" s="302">
        <x:v>0</x:v>
      </x:c>
      <x:c r="L170" s="302">
        <x:v>0</x:v>
      </x:c>
      <x:c r="M170" s="302">
        <x:v>0</x:v>
      </x:c>
      <x:c r="N170" s="301" t="s">
        <x:v>51</x:v>
      </x:c>
      <x:c r="O170" s="301" t="s">
        <x:v>63</x:v>
      </x:c>
      <x:c r="P170" s="2" t="s">
        <x:v>64</x:v>
      </x:c>
      <x:c r="Q170" s="2" t="s">
        <x:v>65</x:v>
      </x:c>
    </x:row>
    <x:row r="171" ht="30">
      <x:c r="A171" s="301" t="s">
        <x:v>1177</x:v>
      </x:c>
      <x:c r="B171" s="301" t="s">
        <x:v>874</x:v>
      </x:c>
      <x:c r="C171" s="301" t="s">
        <x:v>1164</x:v>
      </x:c>
      <x:c r="D171" s="301" t="s">
        <x:v>49</x:v>
      </x:c>
      <x:c r="E171" s="301" t="s">
        <x:v>1178</x:v>
      </x:c>
      <x:c r="F171" s="343">
        <x:v>10</x:v>
      </x:c>
      <x:c r="G171" s="301" t="s">
        <x:v>51</x:v>
      </x:c>
      <x:c r="H171" s="301">
        <x:v>0</x:v>
      </x:c>
      <x:c r="I171" s="301" t="s">
        <x:v>62</x:v>
      </x:c>
      <x:c r="J171" s="301" t="s">
        <x:v>61</x:v>
      </x:c>
      <x:c r="K171" s="302">
        <x:v>0</x:v>
      </x:c>
      <x:c r="L171" s="302">
        <x:v>0</x:v>
      </x:c>
      <x:c r="M171" s="302">
        <x:v>0</x:v>
      </x:c>
      <x:c r="N171" s="301" t="s">
        <x:v>51</x:v>
      </x:c>
      <x:c r="O171" s="301" t="s">
        <x:v>63</x:v>
      </x:c>
      <x:c r="P171" s="2" t="s">
        <x:v>64</x:v>
      </x:c>
      <x:c r="Q171" s="2" t="s">
        <x:v>65</x:v>
      </x:c>
    </x:row>
    <x:row r="172" ht="30">
      <x:c r="A172" s="301" t="s">
        <x:v>1182</x:v>
      </x:c>
      <x:c r="B172" s="301" t="s">
        <x:v>874</x:v>
      </x:c>
      <x:c r="C172" s="301" t="s">
        <x:v>1164</x:v>
      </x:c>
      <x:c r="D172" s="301" t="s">
        <x:v>49</x:v>
      </x:c>
      <x:c r="E172" s="301" t="s">
        <x:v>1183</x:v>
      </x:c>
      <x:c r="F172" s="343">
        <x:v>10</x:v>
      </x:c>
      <x:c r="G172" s="301" t="s">
        <x:v>51</x:v>
      </x:c>
      <x:c r="H172" s="301">
        <x:v>0</x:v>
      </x:c>
      <x:c r="I172" s="301" t="s">
        <x:v>62</x:v>
      </x:c>
      <x:c r="J172" s="301" t="s">
        <x:v>61</x:v>
      </x:c>
      <x:c r="K172" s="302">
        <x:v>0</x:v>
      </x:c>
      <x:c r="L172" s="302">
        <x:v>0</x:v>
      </x:c>
      <x:c r="M172" s="302">
        <x:v>0</x:v>
      </x:c>
      <x:c r="N172" s="301" t="s">
        <x:v>51</x:v>
      </x:c>
      <x:c r="O172" s="301" t="s">
        <x:v>63</x:v>
      </x:c>
      <x:c r="P172" s="2" t="s">
        <x:v>64</x:v>
      </x:c>
      <x:c r="Q172" s="2" t="s">
        <x:v>65</x:v>
      </x:c>
    </x:row>
    <x:row r="173" ht="30">
      <x:c r="A173" s="301" t="s">
        <x:v>1188</x:v>
      </x:c>
      <x:c r="B173" s="301" t="s">
        <x:v>874</x:v>
      </x:c>
      <x:c r="C173" s="301" t="s">
        <x:v>1164</x:v>
      </x:c>
      <x:c r="D173" s="301" t="s">
        <x:v>49</x:v>
      </x:c>
      <x:c r="E173" s="301" t="s">
        <x:v>1189</x:v>
      </x:c>
      <x:c r="F173" s="343">
        <x:v>12</x:v>
      </x:c>
      <x:c r="G173" s="301" t="s">
        <x:v>51</x:v>
      </x:c>
      <x:c r="H173" s="301">
        <x:v>0</x:v>
      </x:c>
      <x:c r="I173" s="301" t="s">
        <x:v>62</x:v>
      </x:c>
      <x:c r="J173" s="301" t="s">
        <x:v>61</x:v>
      </x:c>
      <x:c r="K173" s="302">
        <x:v>0</x:v>
      </x:c>
      <x:c r="L173" s="302">
        <x:v>0</x:v>
      </x:c>
      <x:c r="M173" s="302">
        <x:v>0</x:v>
      </x:c>
      <x:c r="N173" s="301" t="s">
        <x:v>51</x:v>
      </x:c>
      <x:c r="O173" s="301" t="s">
        <x:v>63</x:v>
      </x:c>
      <x:c r="P173" s="2" t="s">
        <x:v>64</x:v>
      </x:c>
      <x:c r="Q173" s="2" t="s">
        <x:v>65</x:v>
      </x:c>
    </x:row>
    <x:row r="174" ht="30">
      <x:c r="A174" s="301" t="s">
        <x:v>1194</x:v>
      </x:c>
      <x:c r="B174" s="301" t="s">
        <x:v>874</x:v>
      </x:c>
      <x:c r="C174" s="301" t="s">
        <x:v>1164</x:v>
      </x:c>
      <x:c r="D174" s="301" t="s">
        <x:v>49</x:v>
      </x:c>
      <x:c r="E174" s="301" t="s">
        <x:v>1195</x:v>
      </x:c>
      <x:c r="F174" s="343">
        <x:v>12</x:v>
      </x:c>
      <x:c r="G174" s="301" t="s">
        <x:v>51</x:v>
      </x:c>
      <x:c r="H174" s="301">
        <x:v>0</x:v>
      </x:c>
      <x:c r="I174" s="301" t="s">
        <x:v>62</x:v>
      </x:c>
      <x:c r="J174" s="301" t="s">
        <x:v>61</x:v>
      </x:c>
      <x:c r="K174" s="302">
        <x:v>0</x:v>
      </x:c>
      <x:c r="L174" s="302">
        <x:v>0</x:v>
      </x:c>
      <x:c r="M174" s="302">
        <x:v>0</x:v>
      </x:c>
      <x:c r="N174" s="301" t="s">
        <x:v>51</x:v>
      </x:c>
      <x:c r="O174" s="301" t="s">
        <x:v>63</x:v>
      </x:c>
      <x:c r="P174" s="2" t="s">
        <x:v>64</x:v>
      </x:c>
      <x:c r="Q174" s="2" t="s">
        <x:v>65</x:v>
      </x:c>
    </x:row>
    <x:row r="175" ht="30">
      <x:c r="A175" s="301" t="s">
        <x:v>1200</x:v>
      </x:c>
      <x:c r="B175" s="301" t="s">
        <x:v>874</x:v>
      </x:c>
      <x:c r="C175" s="301" t="s">
        <x:v>1164</x:v>
      </x:c>
      <x:c r="D175" s="301" t="s">
        <x:v>49</x:v>
      </x:c>
      <x:c r="E175" s="301" t="s">
        <x:v>1201</x:v>
      </x:c>
      <x:c r="F175" s="343">
        <x:v>10</x:v>
      </x:c>
      <x:c r="G175" s="301" t="s">
        <x:v>51</x:v>
      </x:c>
      <x:c r="H175" s="301">
        <x:v>0</x:v>
      </x:c>
      <x:c r="I175" s="301" t="s">
        <x:v>62</x:v>
      </x:c>
      <x:c r="J175" s="301" t="s">
        <x:v>61</x:v>
      </x:c>
      <x:c r="K175" s="302">
        <x:v>0</x:v>
      </x:c>
      <x:c r="L175" s="302">
        <x:v>0</x:v>
      </x:c>
      <x:c r="M175" s="302">
        <x:v>0</x:v>
      </x:c>
      <x:c r="N175" s="301" t="s">
        <x:v>51</x:v>
      </x:c>
      <x:c r="O175" s="301" t="s">
        <x:v>63</x:v>
      </x:c>
      <x:c r="P175" s="2" t="s">
        <x:v>64</x:v>
      </x:c>
      <x:c r="Q175" s="2" t="s">
        <x:v>65</x:v>
      </x:c>
    </x:row>
    <x:row r="176" ht="30">
      <x:c r="A176" s="301" t="s">
        <x:v>1206</x:v>
      </x:c>
      <x:c r="B176" s="301" t="s">
        <x:v>874</x:v>
      </x:c>
      <x:c r="C176" s="301" t="s">
        <x:v>943</x:v>
      </x:c>
      <x:c r="D176" s="301" t="s">
        <x:v>49</x:v>
      </x:c>
      <x:c r="E176" s="301" t="s">
        <x:v>1207</x:v>
      </x:c>
      <x:c r="F176" s="343">
        <x:v>12</x:v>
      </x:c>
      <x:c r="G176" s="301" t="s">
        <x:v>51</x:v>
      </x:c>
      <x:c r="H176" s="301">
        <x:v>0</x:v>
      </x:c>
      <x:c r="I176" s="301" t="s">
        <x:v>62</x:v>
      </x:c>
      <x:c r="J176" s="301" t="s">
        <x:v>61</x:v>
      </x:c>
      <x:c r="K176" s="302">
        <x:v>0</x:v>
      </x:c>
      <x:c r="L176" s="302">
        <x:v>0</x:v>
      </x:c>
      <x:c r="M176" s="302">
        <x:v>0</x:v>
      </x:c>
      <x:c r="N176" s="301" t="s">
        <x:v>51</x:v>
      </x:c>
      <x:c r="O176" s="301" t="s">
        <x:v>63</x:v>
      </x:c>
      <x:c r="P176" s="2" t="s">
        <x:v>64</x:v>
      </x:c>
      <x:c r="Q176" s="2" t="s">
        <x:v>65</x:v>
      </x:c>
    </x:row>
    <x:row r="177" ht="30">
      <x:c r="A177" s="301" t="s">
        <x:v>1215</x:v>
      </x:c>
      <x:c r="B177" s="301" t="s">
        <x:v>874</x:v>
      </x:c>
      <x:c r="C177" s="301" t="s">
        <x:v>943</x:v>
      </x:c>
      <x:c r="D177" s="301" t="s">
        <x:v>49</x:v>
      </x:c>
      <x:c r="E177" s="301" t="s">
        <x:v>1216</x:v>
      </x:c>
      <x:c r="F177" s="343">
        <x:v>12</x:v>
      </x:c>
      <x:c r="G177" s="301" t="s">
        <x:v>51</x:v>
      </x:c>
      <x:c r="H177" s="301">
        <x:v>0</x:v>
      </x:c>
      <x:c r="I177" s="301" t="s">
        <x:v>62</x:v>
      </x:c>
      <x:c r="J177" s="301" t="s">
        <x:v>61</x:v>
      </x:c>
      <x:c r="K177" s="302">
        <x:v>0</x:v>
      </x:c>
      <x:c r="L177" s="302">
        <x:v>0</x:v>
      </x:c>
      <x:c r="M177" s="302">
        <x:v>0</x:v>
      </x:c>
      <x:c r="N177" s="301" t="s">
        <x:v>51</x:v>
      </x:c>
      <x:c r="O177" s="301" t="s">
        <x:v>63</x:v>
      </x:c>
      <x:c r="P177" s="2" t="s">
        <x:v>64</x:v>
      </x:c>
      <x:c r="Q177" s="2" t="s">
        <x:v>65</x:v>
      </x:c>
    </x:row>
    <x:row r="178" ht="30">
      <x:c r="A178" s="301" t="s">
        <x:v>1221</x:v>
      </x:c>
      <x:c r="B178" s="301" t="s">
        <x:v>874</x:v>
      </x:c>
      <x:c r="C178" s="301" t="s">
        <x:v>943</x:v>
      </x:c>
      <x:c r="D178" s="301" t="s">
        <x:v>49</x:v>
      </x:c>
      <x:c r="E178" s="301" t="s">
        <x:v>1222</x:v>
      </x:c>
      <x:c r="F178" s="343">
        <x:v>10</x:v>
      </x:c>
      <x:c r="G178" s="301" t="s">
        <x:v>51</x:v>
      </x:c>
      <x:c r="H178" s="301">
        <x:v>0</x:v>
      </x:c>
      <x:c r="I178" s="301" t="s">
        <x:v>62</x:v>
      </x:c>
      <x:c r="J178" s="301" t="s">
        <x:v>61</x:v>
      </x:c>
      <x:c r="K178" s="302">
        <x:v>0</x:v>
      </x:c>
      <x:c r="L178" s="302">
        <x:v>0</x:v>
      </x:c>
      <x:c r="M178" s="302">
        <x:v>0</x:v>
      </x:c>
      <x:c r="N178" s="301" t="s">
        <x:v>51</x:v>
      </x:c>
      <x:c r="O178" s="301" t="s">
        <x:v>63</x:v>
      </x:c>
      <x:c r="P178" s="2" t="s">
        <x:v>64</x:v>
      </x:c>
      <x:c r="Q178" s="2" t="s">
        <x:v>65</x:v>
      </x:c>
    </x:row>
    <x:row r="179" ht="30">
      <x:c r="A179" s="301" t="s">
        <x:v>1230</x:v>
      </x:c>
      <x:c r="B179" s="301" t="s">
        <x:v>874</x:v>
      </x:c>
      <x:c r="C179" s="301" t="s">
        <x:v>943</x:v>
      </x:c>
      <x:c r="D179" s="301" t="s">
        <x:v>49</x:v>
      </x:c>
      <x:c r="E179" s="301" t="s">
        <x:v>1231</x:v>
      </x:c>
      <x:c r="F179" s="343">
        <x:v>8</x:v>
      </x:c>
      <x:c r="G179" s="301" t="s">
        <x:v>51</x:v>
      </x:c>
      <x:c r="H179" s="301">
        <x:v>0</x:v>
      </x:c>
      <x:c r="I179" s="301" t="s">
        <x:v>62</x:v>
      </x:c>
      <x:c r="J179" s="301" t="s">
        <x:v>61</x:v>
      </x:c>
      <x:c r="K179" s="302">
        <x:v>0</x:v>
      </x:c>
      <x:c r="L179" s="302">
        <x:v>0</x:v>
      </x:c>
      <x:c r="M179" s="302">
        <x:v>0</x:v>
      </x:c>
      <x:c r="N179" s="301" t="s">
        <x:v>51</x:v>
      </x:c>
      <x:c r="O179" s="301" t="s">
        <x:v>63</x:v>
      </x:c>
      <x:c r="P179" s="2" t="s">
        <x:v>64</x:v>
      </x:c>
      <x:c r="Q179" s="2" t="s">
        <x:v>65</x:v>
      </x:c>
    </x:row>
    <x:row r="180" ht="30">
      <x:c r="A180" s="301" t="s">
        <x:v>1235</x:v>
      </x:c>
      <x:c r="B180" s="301" t="s">
        <x:v>874</x:v>
      </x:c>
      <x:c r="C180" s="301" t="s">
        <x:v>943</x:v>
      </x:c>
      <x:c r="D180" s="301" t="s">
        <x:v>49</x:v>
      </x:c>
      <x:c r="E180" s="301" t="s">
        <x:v>1236</x:v>
      </x:c>
      <x:c r="F180" s="343">
        <x:v>10</x:v>
      </x:c>
      <x:c r="G180" s="301" t="s">
        <x:v>51</x:v>
      </x:c>
      <x:c r="H180" s="301">
        <x:v>0</x:v>
      </x:c>
      <x:c r="I180" s="301" t="s">
        <x:v>62</x:v>
      </x:c>
      <x:c r="J180" s="301" t="s">
        <x:v>61</x:v>
      </x:c>
      <x:c r="K180" s="302">
        <x:v>0</x:v>
      </x:c>
      <x:c r="L180" s="302">
        <x:v>0</x:v>
      </x:c>
      <x:c r="M180" s="302">
        <x:v>0</x:v>
      </x:c>
      <x:c r="N180" s="301" t="s">
        <x:v>51</x:v>
      </x:c>
      <x:c r="O180" s="301" t="s">
        <x:v>63</x:v>
      </x:c>
      <x:c r="P180" s="2" t="s">
        <x:v>64</x:v>
      </x:c>
      <x:c r="Q180" s="2" t="s">
        <x:v>65</x:v>
      </x:c>
    </x:row>
    <x:row r="181" ht="30">
      <x:c r="A181" s="301" t="s">
        <x:v>1241</x:v>
      </x:c>
      <x:c r="B181" s="301" t="s">
        <x:v>874</x:v>
      </x:c>
      <x:c r="C181" s="301" t="s">
        <x:v>943</x:v>
      </x:c>
      <x:c r="D181" s="301" t="s">
        <x:v>49</x:v>
      </x:c>
      <x:c r="E181" s="301" t="s">
        <x:v>1242</x:v>
      </x:c>
      <x:c r="F181" s="343">
        <x:v>12</x:v>
      </x:c>
      <x:c r="G181" s="301" t="s">
        <x:v>51</x:v>
      </x:c>
      <x:c r="H181" s="301">
        <x:v>0</x:v>
      </x:c>
      <x:c r="I181" s="301" t="s">
        <x:v>62</x:v>
      </x:c>
      <x:c r="J181" s="301" t="s">
        <x:v>61</x:v>
      </x:c>
      <x:c r="K181" s="302">
        <x:v>0</x:v>
      </x:c>
      <x:c r="L181" s="302">
        <x:v>0</x:v>
      </x:c>
      <x:c r="M181" s="302">
        <x:v>0</x:v>
      </x:c>
      <x:c r="N181" s="301" t="s">
        <x:v>51</x:v>
      </x:c>
      <x:c r="O181" s="301" t="s">
        <x:v>63</x:v>
      </x:c>
      <x:c r="P181" s="2" t="s">
        <x:v>64</x:v>
      </x:c>
      <x:c r="Q181" s="2" t="s">
        <x:v>65</x:v>
      </x:c>
    </x:row>
    <x:row r="182" ht="30">
      <x:c r="A182" s="301" t="s">
        <x:v>1247</x:v>
      </x:c>
      <x:c r="B182" s="301" t="s">
        <x:v>874</x:v>
      </x:c>
      <x:c r="C182" s="301" t="s">
        <x:v>943</x:v>
      </x:c>
      <x:c r="D182" s="301" t="s">
        <x:v>49</x:v>
      </x:c>
      <x:c r="E182" s="301" t="s">
        <x:v>1248</x:v>
      </x:c>
      <x:c r="F182" s="343">
        <x:v>12</x:v>
      </x:c>
      <x:c r="G182" s="301" t="s">
        <x:v>51</x:v>
      </x:c>
      <x:c r="H182" s="301">
        <x:v>0</x:v>
      </x:c>
      <x:c r="I182" s="301" t="s">
        <x:v>62</x:v>
      </x:c>
      <x:c r="J182" s="301" t="s">
        <x:v>61</x:v>
      </x:c>
      <x:c r="K182" s="302">
        <x:v>0</x:v>
      </x:c>
      <x:c r="L182" s="302">
        <x:v>0</x:v>
      </x:c>
      <x:c r="M182" s="302">
        <x:v>0</x:v>
      </x:c>
      <x:c r="N182" s="301" t="s">
        <x:v>51</x:v>
      </x:c>
      <x:c r="O182" s="301" t="s">
        <x:v>63</x:v>
      </x:c>
      <x:c r="P182" s="2" t="s">
        <x:v>64</x:v>
      </x:c>
      <x:c r="Q182" s="2" t="s">
        <x:v>65</x:v>
      </x:c>
    </x:row>
    <x:row r="183" ht="30">
      <x:c r="A183" s="301" t="s">
        <x:v>1253</x:v>
      </x:c>
      <x:c r="B183" s="301" t="s">
        <x:v>874</x:v>
      </x:c>
      <x:c r="C183" s="301" t="s">
        <x:v>1164</x:v>
      </x:c>
      <x:c r="D183" s="301" t="s">
        <x:v>49</x:v>
      </x:c>
      <x:c r="E183" s="301" t="s">
        <x:v>1254</x:v>
      </x:c>
      <x:c r="F183" s="343">
        <x:v>10</x:v>
      </x:c>
      <x:c r="G183" s="301" t="s">
        <x:v>51</x:v>
      </x:c>
      <x:c r="H183" s="301">
        <x:v>0</x:v>
      </x:c>
      <x:c r="I183" s="301" t="s">
        <x:v>62</x:v>
      </x:c>
      <x:c r="J183" s="301" t="s">
        <x:v>61</x:v>
      </x:c>
      <x:c r="K183" s="302">
        <x:v>0</x:v>
      </x:c>
      <x:c r="L183" s="302">
        <x:v>0</x:v>
      </x:c>
      <x:c r="M183" s="302">
        <x:v>0</x:v>
      </x:c>
      <x:c r="N183" s="301" t="s">
        <x:v>51</x:v>
      </x:c>
      <x:c r="O183" s="301" t="s">
        <x:v>63</x:v>
      </x:c>
      <x:c r="P183" s="2" t="s">
        <x:v>64</x:v>
      </x:c>
      <x:c r="Q183" s="2" t="s">
        <x:v>65</x:v>
      </x:c>
    </x:row>
    <x:row r="184" ht="45">
      <x:c r="A184" s="301" t="s">
        <x:v>1259</x:v>
      </x:c>
      <x:c r="B184" s="301" t="s">
        <x:v>874</x:v>
      </x:c>
      <x:c r="C184" s="301" t="s">
        <x:v>875</x:v>
      </x:c>
      <x:c r="D184" s="301" t="s">
        <x:v>328</x:v>
      </x:c>
      <x:c r="E184" s="301" t="s">
        <x:v>1260</x:v>
      </x:c>
      <x:c r="F184" s="343">
        <x:v>12</x:v>
      </x:c>
      <x:c r="G184" s="301" t="s">
        <x:v>417</x:v>
      </x:c>
      <x:c r="H184" s="301">
        <x:v>7</x:v>
      </x:c>
      <x:c r="I184" s="301" t="s">
        <x:v>881</x:v>
      </x:c>
      <x:c r="J184" s="301" t="s">
        <x:v>363</x:v>
      </x:c>
      <x:c r="K184" s="302">
        <x:v>10</x:v>
      </x:c>
      <x:c r="L184" s="302">
        <x:v>1.2</x:v>
      </x:c>
      <x:c r="M184" s="302">
        <x:v>1.7999999999999998</x:v>
      </x:c>
      <x:c r="N184" s="301" t="s">
        <x:v>883</x:v>
      </x:c>
      <x:c r="O184" s="301" t="s">
        <x:v>1267</x:v>
      </x:c>
      <x:c r="P184" s="2" t="s">
        <x:v>885</x:v>
      </x:c>
      <x:c r="Q184" s="2" t="s">
        <x:v>309</x:v>
      </x:c>
    </x:row>
    <x:row r="185" ht="45">
      <x:c r="A185" s="301" t="s">
        <x:v>1268</x:v>
      </x:c>
      <x:c r="B185" s="301" t="s">
        <x:v>874</x:v>
      </x:c>
      <x:c r="C185" s="301" t="s">
        <x:v>875</x:v>
      </x:c>
      <x:c r="D185" s="301" t="s">
        <x:v>328</x:v>
      </x:c>
      <x:c r="E185" s="301" t="s">
        <x:v>1269</x:v>
      </x:c>
      <x:c r="F185" s="343">
        <x:v>12</x:v>
      </x:c>
      <x:c r="G185" s="301" t="s">
        <x:v>417</x:v>
      </x:c>
      <x:c r="H185" s="301">
        <x:v>17</x:v>
      </x:c>
      <x:c r="I185" s="301" t="s">
        <x:v>881</x:v>
      </x:c>
      <x:c r="J185" s="301" t="s">
        <x:v>882</x:v>
      </x:c>
      <x:c r="K185" s="302">
        <x:v>10</x:v>
      </x:c>
      <x:c r="L185" s="302">
        <x:v>1.2</x:v>
      </x:c>
      <x:c r="M185" s="302">
        <x:v>1.7999999999999998</x:v>
      </x:c>
      <x:c r="N185" s="301" t="s">
        <x:v>883</x:v>
      </x:c>
      <x:c r="O185" s="301" t="s">
        <x:v>1273</x:v>
      </x:c>
      <x:c r="P185" s="2" t="s">
        <x:v>885</x:v>
      </x:c>
      <x:c r="Q185" s="2" t="s">
        <x:v>309</x:v>
      </x:c>
    </x:row>
    <x:row r="186" ht="45">
      <x:c r="A186" s="301" t="s">
        <x:v>1277</x:v>
      </x:c>
      <x:c r="B186" s="301" t="s">
        <x:v>874</x:v>
      </x:c>
      <x:c r="C186" s="301" t="s">
        <x:v>910</x:v>
      </x:c>
      <x:c r="D186" s="301" t="s">
        <x:v>328</x:v>
      </x:c>
      <x:c r="E186" s="301" t="s">
        <x:v>1278</x:v>
      </x:c>
      <x:c r="F186" s="343">
        <x:v>12</x:v>
      </x:c>
      <x:c r="G186" s="301" t="s">
        <x:v>417</x:v>
      </x:c>
      <x:c r="H186" s="301">
        <x:v>20</x:v>
      </x:c>
      <x:c r="I186" s="301" t="s">
        <x:v>881</x:v>
      </x:c>
      <x:c r="J186" s="301" t="s">
        <x:v>882</x:v>
      </x:c>
      <x:c r="K186" s="302">
        <x:v>10</x:v>
      </x:c>
      <x:c r="L186" s="302">
        <x:v>1.2</x:v>
      </x:c>
      <x:c r="M186" s="302">
        <x:v>1.7999999999999998</x:v>
      </x:c>
      <x:c r="N186" s="301" t="s">
        <x:v>941</x:v>
      </x:c>
      <x:c r="O186" s="301" t="s">
        <x:v>1285</x:v>
      </x:c>
      <x:c r="P186" s="2" t="s">
        <x:v>885</x:v>
      </x:c>
      <x:c r="Q186" s="2" t="s">
        <x:v>309</x:v>
      </x:c>
    </x:row>
    <x:row r="187" ht="45">
      <x:c r="A187" s="301" t="s">
        <x:v>1286</x:v>
      </x:c>
      <x:c r="B187" s="301" t="s">
        <x:v>874</x:v>
      </x:c>
      <x:c r="C187" s="301" t="s">
        <x:v>910</x:v>
      </x:c>
      <x:c r="D187" s="301" t="s">
        <x:v>328</x:v>
      </x:c>
      <x:c r="E187" s="301" t="s">
        <x:v>1287</x:v>
      </x:c>
      <x:c r="F187" s="343">
        <x:v>12</x:v>
      </x:c>
      <x:c r="G187" s="301" t="s">
        <x:v>417</x:v>
      </x:c>
      <x:c r="H187" s="301">
        <x:v>18</x:v>
      </x:c>
      <x:c r="I187" s="301" t="s">
        <x:v>881</x:v>
      </x:c>
      <x:c r="J187" s="301" t="s">
        <x:v>882</x:v>
      </x:c>
      <x:c r="K187" s="302">
        <x:v>10</x:v>
      </x:c>
      <x:c r="L187" s="302">
        <x:v>1.2</x:v>
      </x:c>
      <x:c r="M187" s="302">
        <x:v>1.7999999999999998</x:v>
      </x:c>
      <x:c r="N187" s="301" t="s">
        <x:v>883</x:v>
      </x:c>
      <x:c r="O187" s="301" t="s">
        <x:v>1294</x:v>
      </x:c>
      <x:c r="P187" s="2" t="s">
        <x:v>885</x:v>
      </x:c>
      <x:c r="Q187" s="2" t="s">
        <x:v>309</x:v>
      </x:c>
    </x:row>
    <x:row r="188" ht="45">
      <x:c r="A188" s="301" t="s">
        <x:v>1295</x:v>
      </x:c>
      <x:c r="B188" s="301" t="s">
        <x:v>874</x:v>
      </x:c>
      <x:c r="C188" s="301" t="s">
        <x:v>910</x:v>
      </x:c>
      <x:c r="D188" s="301" t="s">
        <x:v>328</x:v>
      </x:c>
      <x:c r="E188" s="301" t="s">
        <x:v>2754</x:v>
      </x:c>
      <x:c r="F188" s="343">
        <x:v>12</x:v>
      </x:c>
      <x:c r="G188" s="301" t="s">
        <x:v>417</x:v>
      </x:c>
      <x:c r="H188" s="301">
        <x:v>21</x:v>
      </x:c>
      <x:c r="I188" s="301" t="s">
        <x:v>881</x:v>
      </x:c>
      <x:c r="J188" s="301" t="s">
        <x:v>882</x:v>
      </x:c>
      <x:c r="K188" s="302">
        <x:v>10</x:v>
      </x:c>
      <x:c r="L188" s="302">
        <x:v>1.2</x:v>
      </x:c>
      <x:c r="M188" s="302">
        <x:v>1.7999999999999998</x:v>
      </x:c>
      <x:c r="N188" s="301" t="s">
        <x:v>941</x:v>
      </x:c>
      <x:c r="O188" s="301" t="s">
        <x:v>1302</x:v>
      </x:c>
      <x:c r="P188" s="2" t="s">
        <x:v>885</x:v>
      </x:c>
      <x:c r="Q188" s="2" t="s">
        <x:v>309</x:v>
      </x:c>
    </x:row>
    <x:row r="189" ht="45">
      <x:c r="A189" s="301" t="s">
        <x:v>1305</x:v>
      </x:c>
      <x:c r="B189" s="301" t="s">
        <x:v>874</x:v>
      </x:c>
      <x:c r="C189" s="301" t="s">
        <x:v>910</x:v>
      </x:c>
      <x:c r="D189" s="301" t="s">
        <x:v>328</x:v>
      </x:c>
      <x:c r="E189" s="301" t="s">
        <x:v>1306</x:v>
      </x:c>
      <x:c r="F189" s="343">
        <x:v>10</x:v>
      </x:c>
      <x:c r="G189" s="301" t="s">
        <x:v>417</x:v>
      </x:c>
      <x:c r="H189" s="301">
        <x:v>22</x:v>
      </x:c>
      <x:c r="I189" s="301" t="s">
        <x:v>881</x:v>
      </x:c>
      <x:c r="J189" s="301" t="s">
        <x:v>314</x:v>
      </x:c>
      <x:c r="K189" s="302">
        <x:v>9</x:v>
      </x:c>
      <x:c r="L189" s="302">
        <x:v>1.1111111111111112</x:v>
      </x:c>
      <x:c r="M189" s="302">
        <x:v>1.6666666666666667</x:v>
      </x:c>
      <x:c r="N189" s="301" t="s">
        <x:v>941</x:v>
      </x:c>
      <x:c r="O189" s="301" t="s">
        <x:v>1310</x:v>
      </x:c>
      <x:c r="P189" s="2" t="s">
        <x:v>885</x:v>
      </x:c>
      <x:c r="Q189" s="2" t="s">
        <x:v>309</x:v>
      </x:c>
    </x:row>
    <x:row r="190" ht="45">
      <x:c r="A190" s="301" t="s">
        <x:v>1312</x:v>
      </x:c>
      <x:c r="B190" s="301" t="s">
        <x:v>874</x:v>
      </x:c>
      <x:c r="C190" s="301" t="s">
        <x:v>965</x:v>
      </x:c>
      <x:c r="D190" s="301" t="s">
        <x:v>328</x:v>
      </x:c>
      <x:c r="E190" s="301" t="s">
        <x:v>1313</x:v>
      </x:c>
      <x:c r="F190" s="343">
        <x:v>12</x:v>
      </x:c>
      <x:c r="G190" s="301" t="s">
        <x:v>417</x:v>
      </x:c>
      <x:c r="H190" s="301">
        <x:v>30</x:v>
      </x:c>
      <x:c r="I190" s="301" t="s">
        <x:v>881</x:v>
      </x:c>
      <x:c r="J190" s="301" t="s">
        <x:v>314</x:v>
      </x:c>
      <x:c r="K190" s="302">
        <x:v>9</x:v>
      </x:c>
      <x:c r="L190" s="302">
        <x:v>1.3333333333333333</x:v>
      </x:c>
      <x:c r="M190" s="302">
        <x:v>2</x:v>
      </x:c>
      <x:c r="N190" s="301" t="s">
        <x:v>969</x:v>
      </x:c>
      <x:c r="O190" s="301" t="s">
        <x:v>1317</x:v>
      </x:c>
      <x:c r="P190" s="2" t="s">
        <x:v>885</x:v>
      </x:c>
      <x:c r="Q190" s="2" t="s">
        <x:v>309</x:v>
      </x:c>
    </x:row>
    <x:row r="191" ht="45">
      <x:c r="A191" s="301" t="s">
        <x:v>1318</x:v>
      </x:c>
      <x:c r="B191" s="301" t="s">
        <x:v>874</x:v>
      </x:c>
      <x:c r="C191" s="301" t="s">
        <x:v>965</x:v>
      </x:c>
      <x:c r="D191" s="301" t="s">
        <x:v>328</x:v>
      </x:c>
      <x:c r="E191" s="301" t="s">
        <x:v>1319</x:v>
      </x:c>
      <x:c r="F191" s="343">
        <x:v>12</x:v>
      </x:c>
      <x:c r="G191" s="301" t="s">
        <x:v>417</x:v>
      </x:c>
      <x:c r="H191" s="301">
        <x:v>31</x:v>
      </x:c>
      <x:c r="I191" s="301" t="s">
        <x:v>881</x:v>
      </x:c>
      <x:c r="J191" s="301" t="s">
        <x:v>314</x:v>
      </x:c>
      <x:c r="K191" s="302">
        <x:v>9</x:v>
      </x:c>
      <x:c r="L191" s="302">
        <x:v>1.3333333333333333</x:v>
      </x:c>
      <x:c r="M191" s="302">
        <x:v>2</x:v>
      </x:c>
      <x:c r="N191" s="301" t="s">
        <x:v>969</x:v>
      </x:c>
      <x:c r="O191" s="301" t="s">
        <x:v>1323</x:v>
      </x:c>
      <x:c r="P191" s="2" t="s">
        <x:v>885</x:v>
      </x:c>
      <x:c r="Q191" s="2" t="s">
        <x:v>309</x:v>
      </x:c>
    </x:row>
    <x:row r="192" ht="45">
      <x:c r="A192" s="301" t="s">
        <x:v>1324</x:v>
      </x:c>
      <x:c r="B192" s="301" t="s">
        <x:v>874</x:v>
      </x:c>
      <x:c r="C192" s="301" t="s">
        <x:v>965</x:v>
      </x:c>
      <x:c r="D192" s="301" t="s">
        <x:v>328</x:v>
      </x:c>
      <x:c r="E192" s="301" t="s">
        <x:v>1325</x:v>
      </x:c>
      <x:c r="F192" s="343">
        <x:v>12</x:v>
      </x:c>
      <x:c r="G192" s="301" t="s">
        <x:v>417</x:v>
      </x:c>
      <x:c r="H192" s="301">
        <x:v>32</x:v>
      </x:c>
      <x:c r="I192" s="301" t="s">
        <x:v>881</x:v>
      </x:c>
      <x:c r="J192" s="301" t="s">
        <x:v>882</x:v>
      </x:c>
      <x:c r="K192" s="302">
        <x:v>10</x:v>
      </x:c>
      <x:c r="L192" s="302">
        <x:v>1.2</x:v>
      </x:c>
      <x:c r="M192" s="302">
        <x:v>1.7999999999999998</x:v>
      </x:c>
      <x:c r="N192" s="301" t="s">
        <x:v>969</x:v>
      </x:c>
      <x:c r="O192" s="301" t="s">
        <x:v>1329</x:v>
      </x:c>
      <x:c r="P192" s="2" t="s">
        <x:v>885</x:v>
      </x:c>
      <x:c r="Q192" s="2" t="s">
        <x:v>309</x:v>
      </x:c>
    </x:row>
    <x:row r="193" ht="45">
      <x:c r="A193" s="301" t="s">
        <x:v>1330</x:v>
      </x:c>
      <x:c r="B193" s="301" t="s">
        <x:v>874</x:v>
      </x:c>
      <x:c r="C193" s="301" t="s">
        <x:v>955</x:v>
      </x:c>
      <x:c r="D193" s="301" t="s">
        <x:v>328</x:v>
      </x:c>
      <x:c r="E193" s="301" t="s">
        <x:v>1331</x:v>
      </x:c>
      <x:c r="F193" s="343">
        <x:v>10</x:v>
      </x:c>
      <x:c r="G193" s="301" t="s">
        <x:v>417</x:v>
      </x:c>
      <x:c r="H193" s="301">
        <x:v>37</x:v>
      </x:c>
      <x:c r="I193" s="301" t="s">
        <x:v>881</x:v>
      </x:c>
      <x:c r="J193" s="301" t="s">
        <x:v>504</x:v>
      </x:c>
      <x:c r="K193" s="302">
        <x:v>10</x:v>
      </x:c>
      <x:c r="L193" s="302">
        <x:v>1</x:v>
      </x:c>
      <x:c r="M193" s="302">
        <x:v>1.7</x:v>
      </x:c>
      <x:c r="N193" s="301" t="s">
        <x:v>963</x:v>
      </x:c>
      <x:c r="O193" s="301" t="s">
        <x:v>1337</x:v>
      </x:c>
      <x:c r="P193" s="2" t="s">
        <x:v>885</x:v>
      </x:c>
      <x:c r="Q193" s="2" t="s">
        <x:v>309</x:v>
      </x:c>
    </x:row>
    <x:row r="194" ht="45">
      <x:c r="A194" s="301" t="s">
        <x:v>1339</x:v>
      </x:c>
      <x:c r="B194" s="301" t="s">
        <x:v>874</x:v>
      </x:c>
      <x:c r="C194" s="301" t="s">
        <x:v>955</x:v>
      </x:c>
      <x:c r="D194" s="301" t="s">
        <x:v>328</x:v>
      </x:c>
      <x:c r="E194" s="301" t="s">
        <x:v>1340</x:v>
      </x:c>
      <x:c r="F194" s="343">
        <x:v>10</x:v>
      </x:c>
      <x:c r="G194" s="301" t="s">
        <x:v>417</x:v>
      </x:c>
      <x:c r="H194" s="301">
        <x:v>36</x:v>
      </x:c>
      <x:c r="I194" s="301" t="s">
        <x:v>881</x:v>
      </x:c>
      <x:c r="J194" s="301" t="s">
        <x:v>882</x:v>
      </x:c>
      <x:c r="K194" s="302">
        <x:v>10</x:v>
      </x:c>
      <x:c r="L194" s="302">
        <x:v>1</x:v>
      </x:c>
      <x:c r="M194" s="302">
        <x:v>1.5</x:v>
      </x:c>
      <x:c r="N194" s="301" t="s">
        <x:v>963</x:v>
      </x:c>
      <x:c r="O194" s="301" t="s">
        <x:v>1345</x:v>
      </x:c>
      <x:c r="P194" s="2" t="s">
        <x:v>885</x:v>
      </x:c>
      <x:c r="Q194" s="2" t="s">
        <x:v>309</x:v>
      </x:c>
    </x:row>
    <x:row r="195" ht="45">
      <x:c r="A195" s="301" t="s">
        <x:v>1347</x:v>
      </x:c>
      <x:c r="B195" s="301" t="s">
        <x:v>546</x:v>
      </x:c>
      <x:c r="C195" s="301" t="s">
        <x:v>805</x:v>
      </x:c>
      <x:c r="D195" s="301" t="s">
        <x:v>328</x:v>
      </x:c>
      <x:c r="E195" s="301" t="s">
        <x:v>1348</x:v>
      </x:c>
      <x:c r="F195" s="343">
        <x:v>6</x:v>
      </x:c>
      <x:c r="G195" s="301" t="s">
        <x:v>336</x:v>
      </x:c>
      <x:c r="H195" s="301">
        <x:v>47</x:v>
      </x:c>
      <x:c r="I195" s="301" t="s">
        <x:v>556</x:v>
      </x:c>
      <x:c r="J195" s="301" t="s">
        <x:v>363</x:v>
      </x:c>
      <x:c r="K195" s="302">
        <x:v>10</x:v>
      </x:c>
      <x:c r="L195" s="302">
        <x:v>0.6</x:v>
      </x:c>
      <x:c r="M195" s="302">
        <x:v>0.89999999999999991</x:v>
      </x:c>
      <x:c r="N195" s="301" t="s">
        <x:v>810</x:v>
      </x:c>
      <x:c r="O195" s="301" t="s">
        <x:v>1356</x:v>
      </x:c>
      <x:c r="P195" s="2" t="s">
        <x:v>559</x:v>
      </x:c>
      <x:c r="Q195" s="2" t="s">
        <x:v>309</x:v>
      </x:c>
    </x:row>
    <x:row r="196" ht="45">
      <x:c r="A196" s="301" t="s">
        <x:v>1357</x:v>
      </x:c>
      <x:c r="B196" s="301" t="s">
        <x:v>874</x:v>
      </x:c>
      <x:c r="C196" s="301" t="s">
        <x:v>875</x:v>
      </x:c>
      <x:c r="D196" s="301" t="s">
        <x:v>328</x:v>
      </x:c>
      <x:c r="E196" s="301" t="s">
        <x:v>2755</x:v>
      </x:c>
      <x:c r="F196" s="343">
        <x:v>10</x:v>
      </x:c>
      <x:c r="G196" s="301" t="s">
        <x:v>417</x:v>
      </x:c>
      <x:c r="H196" s="301">
        <x:v>8</x:v>
      </x:c>
      <x:c r="I196" s="301" t="s">
        <x:v>881</x:v>
      </x:c>
      <x:c r="J196" s="301" t="s">
        <x:v>363</x:v>
      </x:c>
      <x:c r="K196" s="302">
        <x:v>10</x:v>
      </x:c>
      <x:c r="L196" s="302">
        <x:v>1</x:v>
      </x:c>
      <x:c r="M196" s="302">
        <x:v>1.5</x:v>
      </x:c>
      <x:c r="N196" s="301" t="s">
        <x:v>883</x:v>
      </x:c>
      <x:c r="O196" s="301" t="s">
        <x:v>1364</x:v>
      </x:c>
      <x:c r="P196" s="2" t="s">
        <x:v>885</x:v>
      </x:c>
      <x:c r="Q196" s="2" t="s">
        <x:v>309</x:v>
      </x:c>
    </x:row>
    <x:row r="197" ht="45">
      <x:c r="A197" s="301" t="s">
        <x:v>1369</x:v>
      </x:c>
      <x:c r="B197" s="301" t="s">
        <x:v>546</x:v>
      </x:c>
      <x:c r="C197" s="301" t="s">
        <x:v>631</x:v>
      </x:c>
      <x:c r="D197" s="301" t="s">
        <x:v>328</x:v>
      </x:c>
      <x:c r="E197" s="301" t="s">
        <x:v>1370</x:v>
      </x:c>
      <x:c r="F197" s="343">
        <x:v>8</x:v>
      </x:c>
      <x:c r="G197" s="301" t="s">
        <x:v>303</x:v>
      </x:c>
      <x:c r="H197" s="301">
        <x:v>17</x:v>
      </x:c>
      <x:c r="I197" s="301" t="s">
        <x:v>663</x:v>
      </x:c>
      <x:c r="J197" s="301" t="s">
        <x:v>314</x:v>
      </x:c>
      <x:c r="K197" s="302">
        <x:v>9</x:v>
      </x:c>
      <x:c r="L197" s="302">
        <x:v>0.88888888888888884</x:v>
      </x:c>
      <x:c r="M197" s="302">
        <x:v>1.3333333333333333</x:v>
      </x:c>
      <x:c r="N197" s="301" t="s">
        <x:v>639</x:v>
      </x:c>
      <x:c r="O197" s="301" t="s">
        <x:v>1379</x:v>
      </x:c>
      <x:c r="P197" s="2" t="s">
        <x:v>665</x:v>
      </x:c>
      <x:c r="Q197" s="2" t="s">
        <x:v>309</x:v>
      </x:c>
    </x:row>
    <x:row r="198" ht="45">
      <x:c r="A198" s="301" t="s">
        <x:v>1380</x:v>
      </x:c>
      <x:c r="B198" s="301" t="s">
        <x:v>546</x:v>
      </x:c>
      <x:c r="C198" s="301" t="s">
        <x:v>805</x:v>
      </x:c>
      <x:c r="D198" s="301" t="s">
        <x:v>328</x:v>
      </x:c>
      <x:c r="E198" s="301" t="s">
        <x:v>1381</x:v>
      </x:c>
      <x:c r="F198" s="343">
        <x:v>10</x:v>
      </x:c>
      <x:c r="G198" s="301" t="s">
        <x:v>303</x:v>
      </x:c>
      <x:c r="H198" s="301">
        <x:v>22</x:v>
      </x:c>
      <x:c r="I198" s="301" t="s">
        <x:v>663</x:v>
      </x:c>
      <x:c r="J198" s="301" t="s">
        <x:v>1389</x:v>
      </x:c>
      <x:c r="K198" s="302">
        <x:v>7</x:v>
      </x:c>
      <x:c r="L198" s="302">
        <x:v>1.4285714285714286</x:v>
      </x:c>
      <x:c r="M198" s="302">
        <x:v>2.285714285714286</x:v>
      </x:c>
      <x:c r="N198" s="301" t="s">
        <x:v>810</x:v>
      </x:c>
      <x:c r="O198" s="301" t="s">
        <x:v>1390</x:v>
      </x:c>
      <x:c r="P198" s="2" t="s">
        <x:v>665</x:v>
      </x:c>
      <x:c r="Q198" s="2" t="s">
        <x:v>309</x:v>
      </x:c>
    </x:row>
    <x:row r="199" ht="45">
      <x:c r="A199" s="301" t="s">
        <x:v>1391</x:v>
      </x:c>
      <x:c r="B199" s="301" t="s">
        <x:v>546</x:v>
      </x:c>
      <x:c r="C199" s="301" t="s">
        <x:v>805</x:v>
      </x:c>
      <x:c r="D199" s="301" t="s">
        <x:v>328</x:v>
      </x:c>
      <x:c r="E199" s="301" t="s">
        <x:v>1392</x:v>
      </x:c>
      <x:c r="F199" s="343">
        <x:v>12</x:v>
      </x:c>
      <x:c r="G199" s="301" t="s">
        <x:v>303</x:v>
      </x:c>
      <x:c r="H199" s="301">
        <x:v>21</x:v>
      </x:c>
      <x:c r="I199" s="301" t="s">
        <x:v>663</x:v>
      </x:c>
      <x:c r="J199" s="301" t="s">
        <x:v>1389</x:v>
      </x:c>
      <x:c r="K199" s="302">
        <x:v>7</x:v>
      </x:c>
      <x:c r="L199" s="302">
        <x:v>1.7142857142857142</x:v>
      </x:c>
      <x:c r="M199" s="302">
        <x:v>2.7428571428571429</x:v>
      </x:c>
      <x:c r="N199" s="301" t="s">
        <x:v>810</x:v>
      </x:c>
      <x:c r="O199" s="301" t="s">
        <x:v>1401</x:v>
      </x:c>
      <x:c r="P199" s="2" t="s">
        <x:v>665</x:v>
      </x:c>
      <x:c r="Q199" s="2" t="s">
        <x:v>309</x:v>
      </x:c>
    </x:row>
    <x:row r="200" ht="45">
      <x:c r="A200" s="301" t="s">
        <x:v>1402</x:v>
      </x:c>
      <x:c r="B200" s="301" t="s">
        <x:v>546</x:v>
      </x:c>
      <x:c r="C200" s="301" t="s">
        <x:v>805</x:v>
      </x:c>
      <x:c r="D200" s="301" t="s">
        <x:v>328</x:v>
      </x:c>
      <x:c r="E200" s="301" t="s">
        <x:v>2756</x:v>
      </x:c>
      <x:c r="F200" s="343">
        <x:v>12</x:v>
      </x:c>
      <x:c r="G200" s="301" t="s">
        <x:v>303</x:v>
      </x:c>
      <x:c r="H200" s="301">
        <x:v>24</x:v>
      </x:c>
      <x:c r="I200" s="301" t="s">
        <x:v>663</x:v>
      </x:c>
      <x:c r="J200" s="301" t="s">
        <x:v>1389</x:v>
      </x:c>
      <x:c r="K200" s="302">
        <x:v>7</x:v>
      </x:c>
      <x:c r="L200" s="302">
        <x:v>1.7142857142857142</x:v>
      </x:c>
      <x:c r="M200" s="302">
        <x:v>2.7428571428571429</x:v>
      </x:c>
      <x:c r="N200" s="301" t="s">
        <x:v>810</x:v>
      </x:c>
      <x:c r="O200" s="301" t="s">
        <x:v>1410</x:v>
      </x:c>
      <x:c r="P200" s="2" t="s">
        <x:v>665</x:v>
      </x:c>
      <x:c r="Q200" s="2" t="s">
        <x:v>309</x:v>
      </x:c>
    </x:row>
    <x:row r="201" ht="45">
      <x:c r="A201" s="301" t="s">
        <x:v>1411</x:v>
      </x:c>
      <x:c r="B201" s="301" t="s">
        <x:v>546</x:v>
      </x:c>
      <x:c r="C201" s="301" t="s">
        <x:v>805</x:v>
      </x:c>
      <x:c r="D201" s="301" t="s">
        <x:v>328</x:v>
      </x:c>
      <x:c r="E201" s="301" t="s">
        <x:v>1412</x:v>
      </x:c>
      <x:c r="F201" s="343">
        <x:v>10</x:v>
      </x:c>
      <x:c r="G201" s="301" t="s">
        <x:v>303</x:v>
      </x:c>
      <x:c r="H201" s="301">
        <x:v>23</x:v>
      </x:c>
      <x:c r="I201" s="301" t="s">
        <x:v>663</x:v>
      </x:c>
      <x:c r="J201" s="301" t="s">
        <x:v>1389</x:v>
      </x:c>
      <x:c r="K201" s="302">
        <x:v>7</x:v>
      </x:c>
      <x:c r="L201" s="302">
        <x:v>1.4285714285714286</x:v>
      </x:c>
      <x:c r="M201" s="302">
        <x:v>2.285714285714286</x:v>
      </x:c>
      <x:c r="N201" s="301" t="s">
        <x:v>810</x:v>
      </x:c>
      <x:c r="O201" s="301" t="s">
        <x:v>1418</x:v>
      </x:c>
      <x:c r="P201" s="2" t="s">
        <x:v>665</x:v>
      </x:c>
      <x:c r="Q201" s="2" t="s">
        <x:v>309</x:v>
      </x:c>
    </x:row>
    <x:row r="202">
      <x:c r="A202" s="301" t="str">
        <x:v>T-201</x:v>
      </x:c>
      <x:c r="B202" s="301" t="str">
        <x:v>M2a</x:v>
      </x:c>
      <x:c r="C202" s="301" t="str">
        <x:v>M2a-P0</x:v>
      </x:c>
      <x:c r="D202" s="301" t="str">
        <x:v>Not Started</x:v>
      </x:c>
      <x:c r="E202" s="301" t="str">
        <x:v>Freeze the successful M1 presentation baseline and transfer programme authority to M2</x:v>
      </x:c>
      <x:c r="F202" s="301" t="n">
        <x:v>4</x:v>
      </x:c>
      <x:c r="G202" s="301" t="str">
        <x:v>Worker 1</x:v>
      </x:c>
      <x:c r="H202" s="301" t="n">
        <x:v>59</x:v>
      </x:c>
      <x:c r="I202" s="301" t="str">
        <x:v>Programme cutover / release</x:v>
      </x:c>
      <x:c r="J202" s="301" t="str">
        <x:v>Release / governance</x:v>
      </x:c>
      <x:c r="K202" s="301" t="n">
        <x:v>4</x:v>
      </x:c>
      <x:c r="L202" s="301" t="n">
        <x:v>1</x:v>
      </x:c>
      <x:c r="M202" s="301" t="n">
        <x:v>1.5</x:v>
      </x:c>
      <x:c r="N202" s="301" t="str">
        <x:v>R0-W1-01</x:v>
      </x:c>
      <x:c r="O202" s="301" t="str">
        <x:v>Start immediately. No later M2 mutating work begins on the shared tree before this close.</x:v>
      </x:c>
    </x:row>
    <x:row r="203">
      <x:c r="A203" s="301" t="str">
        <x:v>T-202</x:v>
      </x:c>
      <x:c r="B203" s="301" t="str">
        <x:v>M2a</x:v>
      </x:c>
      <x:c r="C203" s="301" t="str">
        <x:v>M2a-P0</x:v>
      </x:c>
      <x:c r="D203" s="301" t="str">
        <x:v>Not Started</x:v>
      </x:c>
      <x:c r="E203" s="301" t="str">
        <x:v>Persisted page/widget definition replay gate</x:v>
      </x:c>
      <x:c r="F203" s="301" t="n">
        <x:v>10</x:v>
      </x:c>
      <x:c r="G203" s="301" t="str">
        <x:v>Worker 2</x:v>
      </x:c>
      <x:c r="H203" s="301" t="n">
        <x:v>31</x:v>
      </x:c>
      <x:c r="I203" s="301" t="str">
        <x:v>BI Release Truth</x:v>
      </x:c>
      <x:c r="J203" s="301" t="str">
        <x:v>E2E / integration gate</x:v>
      </x:c>
      <x:c r="K203" s="301" t="n">
        <x:v>4</x:v>
      </x:c>
      <x:c r="L203" s="301" t="n">
        <x:v>2.5</x:v>
      </x:c>
      <x:c r="M203" s="301" t="n">
        <x:v>4</x:v>
      </x:c>
      <x:c r="N203" s="301" t="str">
        <x:v>R0-W2-01</x:v>
      </x:c>
      <x:c r="O203" s="301" t="str">
        <x:v>T-201 committed/frozen baseline.</x:v>
      </x:c>
    </x:row>
    <x:row r="204">
      <x:c r="A204" s="301" t="str">
        <x:v>T-203</x:v>
      </x:c>
      <x:c r="B204" s="301" t="str">
        <x:v>M2a</x:v>
      </x:c>
      <x:c r="C204" s="301" t="str">
        <x:v>M2a-P0</x:v>
      </x:c>
      <x:c r="D204" s="301" t="str">
        <x:v>Not Started</x:v>
      </x:c>
      <x:c r="E204" s="301" t="str">
        <x:v>Customer-route network, console and widget-state invariant</x:v>
      </x:c>
      <x:c r="F204" s="301" t="n">
        <x:v>10</x:v>
      </x:c>
      <x:c r="G204" s="301" t="str">
        <x:v>Worker 2</x:v>
      </x:c>
      <x:c r="H204" s="301" t="n">
        <x:v>32</x:v>
      </x:c>
      <x:c r="I204" s="301" t="str">
        <x:v>BI Release Truth</x:v>
      </x:c>
      <x:c r="J204" s="301" t="str">
        <x:v>Playwright / session</x:v>
      </x:c>
      <x:c r="K204" s="301" t="n">
        <x:v>4</x:v>
      </x:c>
      <x:c r="L204" s="301" t="n">
        <x:v>2.5</x:v>
      </x:c>
      <x:c r="M204" s="301" t="n">
        <x:v>4</x:v>
      </x:c>
      <x:c r="N204" s="301" t="str">
        <x:v>R0-W2-02</x:v>
      </x:c>
      <x:c r="O204" s="301" t="str">
        <x:v>T-201; may run in parallel with T-202 on non-overlapping test files.</x:v>
      </x:c>
    </x:row>
    <x:row r="205">
      <x:c r="A205" s="301" t="str">
        <x:v>T-204</x:v>
      </x:c>
      <x:c r="B205" s="301" t="str">
        <x:v>M2a</x:v>
      </x:c>
      <x:c r="C205" s="301" t="str">
        <x:v>M2a-P0</x:v>
      </x:c>
      <x:c r="D205" s="301" t="str">
        <x:v>Not Started</x:v>
      </x:c>
      <x:c r="E205" s="301" t="str">
        <x:v>Associative cross-filter state-machine certification</x:v>
      </x:c>
      <x:c r="F205" s="301" t="n">
        <x:v>10</x:v>
      </x:c>
      <x:c r="G205" s="301" t="str">
        <x:v>Worker 2</x:v>
      </x:c>
      <x:c r="H205" s="301" t="n">
        <x:v>33</x:v>
      </x:c>
      <x:c r="I205" s="301" t="str">
        <x:v>BI Release Truth</x:v>
      </x:c>
      <x:c r="J205" s="301" t="str">
        <x:v>Frontend behavioural E2E</x:v>
      </x:c>
      <x:c r="K205" s="301" t="n">
        <x:v>4</x:v>
      </x:c>
      <x:c r="L205" s="301" t="n">
        <x:v>2.5</x:v>
      </x:c>
      <x:c r="M205" s="301" t="n">
        <x:v>4.25</x:v>
      </x:c>
      <x:c r="N205" s="301" t="str">
        <x:v>R0-W2-03</x:v>
      </x:c>
      <x:c r="O205" s="301" t="str">
        <x:v>T-201; resolve current associative ownership first.</x:v>
      </x:c>
    </x:row>
    <x:row r="206">
      <x:c r="A206" s="301" t="str">
        <x:v>T-205</x:v>
      </x:c>
      <x:c r="B206" s="301" t="str">
        <x:v>M2a</x:v>
      </x:c>
      <x:c r="C206" s="301" t="str">
        <x:v>M2a-P0</x:v>
      </x:c>
      <x:c r="D206" s="301" t="str">
        <x:v>Not Started</x:v>
      </x:c>
      <x:c r="E206" s="301" t="str">
        <x:v>Frontend global suite termination and machine-readable gate</x:v>
      </x:c>
      <x:c r="F206" s="301" t="n">
        <x:v>8</x:v>
      </x:c>
      <x:c r="G206" s="301" t="str">
        <x:v>Worker 2</x:v>
      </x:c>
      <x:c r="H206" s="301" t="n">
        <x:v>34</x:v>
      </x:c>
      <x:c r="I206" s="301" t="str">
        <x:v>BI Release Truth</x:v>
      </x:c>
      <x:c r="J206" s="301" t="str">
        <x:v>Frontend test infrastructure</x:v>
      </x:c>
      <x:c r="K206" s="301" t="n">
        <x:v>4</x:v>
      </x:c>
      <x:c r="L206" s="301" t="n">
        <x:v>2</x:v>
      </x:c>
      <x:c r="M206" s="301" t="n">
        <x:v>3.2</x:v>
      </x:c>
      <x:c r="N206" s="301" t="str">
        <x:v>R0-W2-04</x:v>
      </x:c>
      <x:c r="O206" s="301" t="str">
        <x:v>T-201; independent of T-202/T-204 if test-runner files do not overlap.</x:v>
      </x:c>
    </x:row>
    <x:row r="207">
      <x:c r="A207" s="301" t="str">
        <x:v>T-206</x:v>
      </x:c>
      <x:c r="B207" s="301" t="str">
        <x:v>M2a</x:v>
      </x:c>
      <x:c r="C207" s="301" t="str">
        <x:v>M2a-P0</x:v>
      </x:c>
      <x:c r="D207" s="301" t="str">
        <x:v>Not Started</x:v>
      </x:c>
      <x:c r="E207" s="301" t="str">
        <x:v>Scope-aware genericity architecture gate</x:v>
      </x:c>
      <x:c r="F207" s="301" t="n">
        <x:v>8</x:v>
      </x:c>
      <x:c r="G207" s="301" t="str">
        <x:v>Worker 3</x:v>
      </x:c>
      <x:c r="H207" s="301" t="n">
        <x:v>42</x:v>
      </x:c>
      <x:c r="I207" s="301" t="str">
        <x:v>SAFE-NOW architecture tests</x:v>
      </x:c>
      <x:c r="J207" s="301" t="str">
        <x:v>Architecture/test</x:v>
      </x:c>
      <x:c r="K207" s="301" t="n">
        <x:v>6</x:v>
      </x:c>
      <x:c r="L207" s="301" t="n">
        <x:v>1.3333333333333333</x:v>
      </x:c>
      <x:c r="M207" s="301" t="n">
        <x:v>2</x:v>
      </x:c>
      <x:c r="N207" s="301" t="str">
        <x:v>R0-W3-01</x:v>
      </x:c>
      <x:c r="O207" s="301" t="str">
        <x:v>T-201. Isolated architecture test files only until each product owner consumes findings.</x:v>
      </x:c>
    </x:row>
    <x:row r="208">
      <x:c r="A208" s="301" t="str">
        <x:v>T-207</x:v>
      </x:c>
      <x:c r="B208" s="301" t="str">
        <x:v>M2a</x:v>
      </x:c>
      <x:c r="C208" s="301" t="str">
        <x:v>M2a-P0</x:v>
      </x:c>
      <x:c r="D208" s="301" t="str">
        <x:v>Not Started</x:v>
      </x:c>
      <x:c r="E208" s="301" t="str">
        <x:v>Connector capability truth: stop advertising unimplemented browse/read/subscription</x:v>
      </x:c>
      <x:c r="F208" s="301" t="n">
        <x:v>6</x:v>
      </x:c>
      <x:c r="G208" s="301" t="str">
        <x:v>Worker 1</x:v>
      </x:c>
      <x:c r="H208" s="301" t="n">
        <x:v>60</x:v>
      </x:c>
      <x:c r="I208" s="301" t="str">
        <x:v>Acquisition / connector truth</x:v>
      </x:c>
      <x:c r="J208" s="301" t="str">
        <x:v>Backend contract</x:v>
      </x:c>
      <x:c r="K208" s="301" t="n">
        <x:v>4</x:v>
      </x:c>
      <x:c r="L208" s="301" t="n">
        <x:v>1.5</x:v>
      </x:c>
      <x:c r="M208" s="301" t="n">
        <x:v>2.25</x:v>
      </x:c>
      <x:c r="N208" s="301" t="str">
        <x:v>R0-W1-02</x:v>
      </x:c>
      <x:c r="O208" s="301" t="str">
        <x:v>T-201. Does not implement production OPC; truth-corrects the current connector contract only.</x:v>
      </x:c>
    </x:row>
    <x:row r="209">
      <x:c r="A209" s="301" t="str">
        <x:v>T-208</x:v>
      </x:c>
      <x:c r="B209" s="301" t="str">
        <x:v>M2a</x:v>
      </x:c>
      <x:c r="C209" s="301" t="str">
        <x:v>M2a-P0</x:v>
      </x:c>
      <x:c r="D209" s="301" t="str">
        <x:v>Not Started</x:v>
      </x:c>
      <x:c r="E209" s="301" t="str">
        <x:v>Generic controlled validation fixture authority and continuous-process known-answer pack</x:v>
      </x:c>
      <x:c r="F209" s="301" t="n">
        <x:v>10</x:v>
      </x:c>
      <x:c r="G209" s="301" t="str">
        <x:v>Worker 3</x:v>
      </x:c>
      <x:c r="H209" s="301" t="n">
        <x:v>43</x:v>
      </x:c>
      <x:c r="I209" s="301" t="str">
        <x:v>SAFE-NOW fixtures / known answers</x:v>
      </x:c>
      <x:c r="J209" s="301" t="str">
        <x:v>Test fixture / kernel</x:v>
      </x:c>
      <x:c r="K209" s="301" t="n">
        <x:v>6</x:v>
      </x:c>
      <x:c r="L209" s="301" t="n">
        <x:v>1.6666666666666667</x:v>
      </x:c>
      <x:c r="M209" s="301" t="n">
        <x:v>2.5</x:v>
      </x:c>
      <x:c r="N209" s="301" t="str">
        <x:v>R0-W3-02</x:v>
      </x:c>
      <x:c r="O209" s="301" t="str">
        <x:v>T-201. May run in parallel with T-206; no production DB migration/DI.</x:v>
      </x:c>
    </x:row>
    <x:row r="210">
      <x:c r="A210" s="301" t="str">
        <x:v>T-209</x:v>
      </x:c>
      <x:c r="B210" s="301" t="str">
        <x:v>M2a</x:v>
      </x:c>
      <x:c r="C210" s="301" t="str">
        <x:v>M2a-P1X</x:v>
      </x:c>
      <x:c r="D210" s="301" t="str">
        <x:v>Not Started</x:v>
      </x:c>
      <x:c r="E210" s="301" t="str">
        <x:v>Analysis Subject and Grain contract + schema-independent resolution kernel</x:v>
      </x:c>
      <x:c r="F210" s="301" t="n">
        <x:v>6</x:v>
      </x:c>
      <x:c r="G210" s="301" t="str">
        <x:v>Worker 3</x:v>
      </x:c>
      <x:c r="H210" s="301"/>
      <x:c r="I210" s="301" t="str">
        <x:v>SAFE-NOW generic subject/grain</x:v>
      </x:c>
      <x:c r="J210" s="301" t="str">
        <x:v>Kernel/contract</x:v>
      </x:c>
      <x:c r="K210" s="301" t="n">
        <x:v>6</x:v>
      </x:c>
      <x:c r="L210" s="301" t="n">
        <x:v>1</x:v>
      </x:c>
      <x:c r="M210" s="301" t="n">
        <x:v>1.5</x:v>
      </x:c>
      <x:c r="N210" s="301" t="str">
        <x:v>R1-W3-00</x:v>
      </x:c>
      <x:c r="O210" s="301" t="str">
        <x:v>T-208 only; no production DB.</x:v>
      </x:c>
      <x:c r="P210" t="str">
        <x:v>New generic contract/kernel/tests only.</x:v>
      </x:c>
      <x:c r="Q210" t="str">
        <x:v>T-231 persists unchanged contract.</x:v>
      </x:c>
    </x:row>
    <x:row r="211">
      <x:c r="A211" s="301" t="str">
        <x:v>T-210</x:v>
      </x:c>
      <x:c r="B211" s="301" t="str">
        <x:v>M2a</x:v>
      </x:c>
      <x:c r="C211" s="301" t="str">
        <x:v>M2a-P1X</x:v>
      </x:c>
      <x:c r="D211" s="301" t="str">
        <x:v>Not Started</x:v>
      </x:c>
      <x:c r="E211" s="301" t="str">
        <x:v>Canonical signal and aggregation semantics authority</x:v>
      </x:c>
      <x:c r="F211" s="301" t="n">
        <x:v>12</x:v>
      </x:c>
      <x:c r="G211" s="301" t="str">
        <x:v>Worker 1</x:v>
      </x:c>
      <x:c r="H211" s="301" t="n">
        <x:v>62</x:v>
      </x:c>
      <x:c r="I211" s="301" t="str">
        <x:v>Canonical schema / definitions</x:v>
      </x:c>
      <x:c r="J211" s="301" t="str">
        <x:v>DB/schema authority</x:v>
      </x:c>
      <x:c r="K211" s="301" t="n">
        <x:v>4</x:v>
      </x:c>
      <x:c r="L211" s="301" t="n">
        <x:v>3</x:v>
      </x:c>
      <x:c r="M211" s="301" t="n">
        <x:v>5.1</x:v>
      </x:c>
      <x:c r="N211" s="301" t="str">
        <x:v>R1-W1-07</x:v>
      </x:c>
      <x:c r="O211" s="301" t="str">
        <x:v>T-209 + T-090. Complete before T-092 exposes measures and before T-211 integration.</x:v>
      </x:c>
    </x:row>
    <x:row r="212">
      <x:c r="A212" s="301" t="str">
        <x:v>T-211</x:v>
      </x:c>
      <x:c r="B212" s="301" t="str">
        <x:v>M2b</x:v>
      </x:c>
      <x:c r="C212" s="301" t="str">
        <x:v>M2b-P0C</x:v>
      </x:c>
      <x:c r="D212" s="301" t="str">
        <x:v>Not Started</x:v>
      </x:c>
      <x:c r="E212" s="301" t="str">
        <x:v>Aggregation semantics execution kernel with continuous known answers</x:v>
      </x:c>
      <x:c r="F212" s="301" t="n">
        <x:v>10</x:v>
      </x:c>
      <x:c r="G212" s="301" t="str">
        <x:v>Worker 3</x:v>
      </x:c>
      <x:c r="H212" s="301" t="n">
        <x:v>44</x:v>
      </x:c>
      <x:c r="I212" s="301" t="str">
        <x:v>SAFE-NOW analytics kernel</x:v>
      </x:c>
      <x:c r="J212" s="301" t="str">
        <x:v>Kernel isolated</x:v>
      </x:c>
      <x:c r="K212" s="301" t="n">
        <x:v>6</x:v>
      </x:c>
      <x:c r="L212" s="301" t="n">
        <x:v>1.6666666666666667</x:v>
      </x:c>
      <x:c r="M212" s="301" t="n">
        <x:v>2.5</x:v>
      </x:c>
      <x:c r="N212" s="301" t="str">
        <x:v>R1-W3-03</x:v>
      </x:c>
      <x:c r="O212" s="301" t="str">
        <x:v>T-208 fixture + T-210 frozen contract. No production DI/persistence until consumer hand-off.</x:v>
      </x:c>
    </x:row>
    <x:row r="213">
      <x:c r="A213" s="301" t="str">
        <x:v>T-212</x:v>
      </x:c>
      <x:c r="B213" s="301" t="str">
        <x:v>M2a</x:v>
      </x:c>
      <x:c r="C213" s="301" t="str">
        <x:v>M2a-P1X</x:v>
      </x:c>
      <x:c r="D213" s="301" t="str">
        <x:v>Not Started</x:v>
      </x:c>
      <x:c r="E213" s="301" t="str">
        <x:v>Integrate aggregation semantics into Layer-A widget/query execution</x:v>
      </x:c>
      <x:c r="F213" s="301" t="n">
        <x:v>10</x:v>
      </x:c>
      <x:c r="G213" s="301" t="str">
        <x:v>Worker 2</x:v>
      </x:c>
      <x:c r="H213" s="301" t="n">
        <x:v>35</x:v>
      </x:c>
      <x:c r="I213" s="301" t="str">
        <x:v>BI query integration</x:v>
      </x:c>
      <x:c r="J213" s="301" t="str">
        <x:v>Cross-layer integration</x:v>
      </x:c>
      <x:c r="K213" s="301" t="n">
        <x:v>3.5</x:v>
      </x:c>
      <x:c r="L213" s="301" t="n">
        <x:v>2.857142857142857</x:v>
      </x:c>
      <x:c r="M213" s="301" t="n">
        <x:v>5.142857142857143</x:v>
      </x:c>
      <x:c r="N213" s="301" t="str">
        <x:v>R1-W2-05</x:v>
      </x:c>
      <x:c r="O213" s="301" t="str">
        <x:v>T-202 + T-210 + T-211 + T-092 registry projection.</x:v>
      </x:c>
    </x:row>
    <x:row r="214">
      <x:c r="A214" s="301" t="str">
        <x:v>T-213</x:v>
      </x:c>
      <x:c r="B214" s="301" t="str">
        <x:v>M2a</x:v>
      </x:c>
      <x:c r="C214" s="301" t="str">
        <x:v>M2a-P1X</x:v>
      </x:c>
      <x:c r="D214" s="301" t="str">
        <x:v>Not Started</x:v>
      </x:c>
      <x:c r="E214" s="301" t="str">
        <x:v>Customer Data Intake and Capability Assessment authority</x:v>
      </x:c>
      <x:c r="F214" s="301" t="n">
        <x:v>8</x:v>
      </x:c>
      <x:c r="G214" s="301" t="str">
        <x:v>Worker 1</x:v>
      </x:c>
      <x:c r="H214" s="301" t="n">
        <x:v>63</x:v>
      </x:c>
      <x:c r="I214" s="301" t="str">
        <x:v>Canonical onboarding</x:v>
      </x:c>
      <x:c r="J214" s="301" t="str">
        <x:v>Backend / product workflow</x:v>
      </x:c>
      <x:c r="K214" s="301" t="n">
        <x:v>4</x:v>
      </x:c>
      <x:c r="L214" s="301" t="n">
        <x:v>2</x:v>
      </x:c>
      <x:c r="M214" s="301" t="n">
        <x:v>3.2</x:v>
      </x:c>
      <x:c r="N214" s="301" t="str">
        <x:v>R1-W1-08</x:v>
      </x:c>
      <x:c r="O214" s="301" t="str">
        <x:v>T-092 + T-209 + T-210. Can begin the moment customer structure is available.</x:v>
      </x:c>
    </x:row>
    <x:row r="215">
      <x:c r="A215" s="301" t="str">
        <x:v>T-214</x:v>
      </x:c>
      <x:c r="B215" s="301" t="str">
        <x:v>M2a</x:v>
      </x:c>
      <x:c r="C215" s="301" t="str">
        <x:v>M2a-P1X</x:v>
      </x:c>
      <x:c r="D215" s="301" t="str">
        <x:v>Not Started</x:v>
      </x:c>
      <x:c r="E215" s="301" t="str">
        <x:v>Performance Reference contract, precedence and scoring-semantics kernel</x:v>
      </x:c>
      <x:c r="F215" s="301" t="n">
        <x:v>6</x:v>
      </x:c>
      <x:c r="G215" s="301" t="str">
        <x:v>Worker 3</x:v>
      </x:c>
      <x:c r="H215" s="301"/>
      <x:c r="I215" s="301" t="str">
        <x:v>SAFE-NOW reference contract</x:v>
      </x:c>
      <x:c r="J215" s="301" t="str">
        <x:v>Kernel/contract</x:v>
      </x:c>
      <x:c r="K215" s="301" t="n">
        <x:v>6</x:v>
      </x:c>
      <x:c r="L215" s="301" t="n">
        <x:v>1</x:v>
      </x:c>
      <x:c r="M215" s="301" t="n">
        <x:v>1.5</x:v>
      </x:c>
      <x:c r="N215" s="301" t="str">
        <x:v>R1-W3-01</x:v>
      </x:c>
      <x:c r="O215" s="301" t="str">
        <x:v>T-209 contract.</x:v>
      </x:c>
      <x:c r="P215" t="str">
        <x:v>Reference contract/tests only.</x:v>
      </x:c>
      <x:c r="Q215" t="str">
        <x:v>T-232 persists; T-215 consumes.</x:v>
      </x:c>
    </x:row>
    <x:row r="216">
      <x:c r="A216" s="301" t="str">
        <x:v>T-215</x:v>
      </x:c>
      <x:c r="B216" s="301" t="str">
        <x:v>M2a</x:v>
      </x:c>
      <x:c r="C216" s="301" t="str">
        <x:v>M2a-P1X</x:v>
      </x:c>
      <x:c r="D216" s="301" t="str">
        <x:v>Not Started</x:v>
      </x:c>
      <x:c r="E216" s="301" t="str">
        <x:v>Reference gap, attainment and envelope measures in registry/BI</x:v>
      </x:c>
      <x:c r="F216" s="301" t="n">
        <x:v>10</x:v>
      </x:c>
      <x:c r="G216" s="301" t="str">
        <x:v>Worker 2</x:v>
      </x:c>
      <x:c r="H216" s="301" t="n">
        <x:v>36</x:v>
      </x:c>
      <x:c r="I216" s="301" t="str">
        <x:v>BI measure integration</x:v>
      </x:c>
      <x:c r="J216" s="301" t="str">
        <x:v>Frontend/backend integration</x:v>
      </x:c>
      <x:c r="K216" s="301" t="n">
        <x:v>4</x:v>
      </x:c>
      <x:c r="L216" s="301" t="n">
        <x:v>2.5</x:v>
      </x:c>
      <x:c r="M216" s="301" t="n">
        <x:v>4</x:v>
      </x:c>
      <x:c r="N216" s="301" t="str">
        <x:v>R1-W2-06</x:v>
      </x:c>
      <x:c r="O216" s="301" t="str">
        <x:v>T-092 + T-214.</x:v>
      </x:c>
    </x:row>
    <x:row r="217">
      <x:c r="A217" s="301" t="str">
        <x:v>T-216</x:v>
      </x:c>
      <x:c r="B217" s="301" t="str">
        <x:v>M2a</x:v>
      </x:c>
      <x:c r="C217" s="301" t="str">
        <x:v>M2a-P1X</x:v>
      </x:c>
      <x:c r="D217" s="301" t="str">
        <x:v>Not Started</x:v>
      </x:c>
      <x:c r="E217" s="301" t="str">
        <x:v>Source Time Authority contract and timestamp-semantics kernel</x:v>
      </x:c>
      <x:c r="F217" s="301" t="n">
        <x:v>5</x:v>
      </x:c>
      <x:c r="G217" s="301" t="str">
        <x:v>Worker 3</x:v>
      </x:c>
      <x:c r="H217" s="301"/>
      <x:c r="I217" s="301" t="str">
        <x:v>SAFE-NOW temporal contract</x:v>
      </x:c>
      <x:c r="J217" s="301" t="str">
        <x:v>Kernel/contract</x:v>
      </x:c>
      <x:c r="K217" s="301" t="n">
        <x:v>6</x:v>
      </x:c>
      <x:c r="L217" s="301" t="n">
        <x:v>0.8333333333</x:v>
      </x:c>
      <x:c r="M217" s="301" t="n">
        <x:v>1.25</x:v>
      </x:c>
      <x:c r="N217" s="301" t="str">
        <x:v>R1-W3-02</x:v>
      </x:c>
      <x:c r="O217" s="301" t="str">
        <x:v>T-208 fixture.</x:v>
      </x:c>
      <x:c r="P217" t="str">
        <x:v>Temporal contract/tests only.</x:v>
      </x:c>
      <x:c r="Q217" t="str">
        <x:v>T-233 persists; T-217 consumes contract immediately.</x:v>
      </x:c>
    </x:row>
    <x:row r="218">
      <x:c r="A218" s="301" t="str">
        <x:v>T-217</x:v>
      </x:c>
      <x:c r="B218" s="301" t="str">
        <x:v>M2b</x:v>
      </x:c>
      <x:c r="C218" s="301" t="str">
        <x:v>M2b-P0C</x:v>
      </x:c>
      <x:c r="D218" s="301" t="str">
        <x:v>Not Started</x:v>
      </x:c>
      <x:c r="E218" s="301" t="str">
        <x:v>Temporal evidence alignment kernel</x:v>
      </x:c>
      <x:c r="F218" s="301" t="n">
        <x:v>10</x:v>
      </x:c>
      <x:c r="G218" s="301" t="str">
        <x:v>Worker 3</x:v>
      </x:c>
      <x:c r="H218" s="301" t="n">
        <x:v>45</x:v>
      </x:c>
      <x:c r="I218" s="301" t="str">
        <x:v>SAFE-NOW reconciliation kernel</x:v>
      </x:c>
      <x:c r="J218" s="301" t="str">
        <x:v>Kernel isolated</x:v>
      </x:c>
      <x:c r="K218" s="301" t="n">
        <x:v>6</x:v>
      </x:c>
      <x:c r="L218" s="301" t="n">
        <x:v>1.6666666666666667</x:v>
      </x:c>
      <x:c r="M218" s="301" t="n">
        <x:v>2.5</x:v>
      </x:c>
      <x:c r="N218" s="301" t="str">
        <x:v>R1-W3-04</x:v>
      </x:c>
      <x:c r="O218" s="301" t="str">
        <x:v>T-208 fixture + T-216 frozen contract.</x:v>
      </x:c>
    </x:row>
    <x:row r="219">
      <x:c r="A219" s="301" t="str">
        <x:v>T-218</x:v>
      </x:c>
      <x:c r="B219" s="301" t="str">
        <x:v>M2b</x:v>
      </x:c>
      <x:c r="C219" s="301" t="str">
        <x:v>M2b-P0C</x:v>
      </x:c>
      <x:c r="D219" s="301" t="str">
        <x:v>Not Started</x:v>
      </x:c>
      <x:c r="E219" s="301" t="str">
        <x:v>Fact Evidence Authority resolution kernel</x:v>
      </x:c>
      <x:c r="F219" s="301" t="n">
        <x:v>8</x:v>
      </x:c>
      <x:c r="G219" s="301" t="str">
        <x:v>Worker 3</x:v>
      </x:c>
      <x:c r="H219" s="301" t="n">
        <x:v>46</x:v>
      </x:c>
      <x:c r="I219" s="301" t="str">
        <x:v>SAFE-NOW reconciliation kernel</x:v>
      </x:c>
      <x:c r="J219" s="301" t="str">
        <x:v>Kernel isolated</x:v>
      </x:c>
      <x:c r="K219" s="301" t="n">
        <x:v>6</x:v>
      </x:c>
      <x:c r="L219" s="301" t="n">
        <x:v>1.3333333333333333</x:v>
      </x:c>
      <x:c r="M219" s="301" t="n">
        <x:v>2</x:v>
      </x:c>
      <x:c r="N219" s="301" t="str">
        <x:v>R2-W3-05</x:v>
      </x:c>
      <x:c r="O219" s="301" t="str">
        <x:v>T-090 semantic definitions + T-208 fixture. Persistence waits for T-112/T-114; pure kernel may start earlier.</x:v>
      </x:c>
    </x:row>
    <x:row r="220">
      <x:c r="A220" s="301" t="str">
        <x:v>T-219</x:v>
      </x:c>
      <x:c r="B220" s="301" t="str">
        <x:v>M2b</x:v>
      </x:c>
      <x:c r="C220" s="301" t="str">
        <x:v>M2b-P0C</x:v>
      </x:c>
      <x:c r="D220" s="301" t="str">
        <x:v>Not Started</x:v>
      </x:c>
      <x:c r="E220" s="301" t="str">
        <x:v>Operational Evidence Reconciliation kernel and seven-state taxonomy</x:v>
      </x:c>
      <x:c r="F220" s="301" t="n">
        <x:v>12</x:v>
      </x:c>
      <x:c r="G220" s="301" t="str">
        <x:v>Worker 3</x:v>
      </x:c>
      <x:c r="H220" s="301" t="n">
        <x:v>47</x:v>
      </x:c>
      <x:c r="I220" s="301" t="str">
        <x:v>SAFE-NOW reconciliation kernel</x:v>
      </x:c>
      <x:c r="J220" s="301" t="str">
        <x:v>Kernel isolated</x:v>
      </x:c>
      <x:c r="K220" s="301" t="n">
        <x:v>6</x:v>
      </x:c>
      <x:c r="L220" s="301" t="n">
        <x:v>2</x:v>
      </x:c>
      <x:c r="M220" s="301" t="n">
        <x:v>3.2</x:v>
      </x:c>
      <x:c r="N220" s="301" t="str">
        <x:v>R2-W3-06</x:v>
      </x:c>
      <x:c r="O220" s="301" t="str">
        <x:v>T-217 + T-218.</x:v>
      </x:c>
    </x:row>
    <x:row r="221">
      <x:c r="A221" s="301" t="str">
        <x:v>T-220</x:v>
      </x:c>
      <x:c r="B221" s="301" t="str">
        <x:v>M2b</x:v>
      </x:c>
      <x:c r="C221" s="301" t="str">
        <x:v>M2b-P0C</x:v>
      </x:c>
      <x:c r="D221" s="301" t="str">
        <x:v>Not Started</x:v>
      </x:c>
      <x:c r="E221" s="301" t="str">
        <x:v>Causal Confidence Ladder and root-cause hypothesis evaluator</x:v>
      </x:c>
      <x:c r="F221" s="301" t="n">
        <x:v>8</x:v>
      </x:c>
      <x:c r="G221" s="301" t="str">
        <x:v>Worker 3</x:v>
      </x:c>
      <x:c r="H221" s="301" t="n">
        <x:v>48</x:v>
      </x:c>
      <x:c r="I221" s="301" t="str">
        <x:v>SAFE-NOW reconciliation kernel</x:v>
      </x:c>
      <x:c r="J221" s="301" t="str">
        <x:v>Kernel isolated</x:v>
      </x:c>
      <x:c r="K221" s="301" t="n">
        <x:v>6</x:v>
      </x:c>
      <x:c r="L221" s="301" t="n">
        <x:v>1.3333333333333333</x:v>
      </x:c>
      <x:c r="M221" s="301" t="n">
        <x:v>2</x:v>
      </x:c>
      <x:c r="N221" s="301" t="str">
        <x:v>R2-W3-07</x:v>
      </x:c>
      <x:c r="O221" s="301" t="str">
        <x:v>T-219 + existing claim-class rules.</x:v>
      </x:c>
    </x:row>
    <x:row r="222">
      <x:c r="A222" s="301" t="str">
        <x:v>T-221</x:v>
      </x:c>
      <x:c r="B222" s="301" t="str">
        <x:v>M2b</x:v>
      </x:c>
      <x:c r="C222" s="301" t="str">
        <x:v>M2b-P1</x:v>
      </x:c>
      <x:c r="D222" s="301" t="str">
        <x:v>Not Started</x:v>
      </x:c>
      <x:c r="E222" s="301" t="str">
        <x:v>Canonical reconciliation persistence, evidence handles and bindable source</x:v>
      </x:c>
      <x:c r="F222" s="301" t="n">
        <x:v>12</x:v>
      </x:c>
      <x:c r="G222" s="301" t="str">
        <x:v>Worker 3</x:v>
      </x:c>
      <x:c r="H222" s="301" t="n">
        <x:v>49</x:v>
      </x:c>
      <x:c r="I222" s="301" t="str">
        <x:v>Canonical intelligence persistence</x:v>
      </x:c>
      <x:c r="J222" s="301" t="str">
        <x:v>DB/integration</x:v>
      </x:c>
      <x:c r="K222" s="301" t="n">
        <x:v>4</x:v>
      </x:c>
      <x:c r="L222" s="301" t="n">
        <x:v>3</x:v>
      </x:c>
      <x:c r="M222" s="301" t="n">
        <x:v>5.4</x:v>
      </x:c>
      <x:c r="N222" s="301" t="str">
        <x:v>R2-W3-08</x:v>
      </x:c>
      <x:c r="O222" s="301" t="str">
        <x:v>T-112 + T-114 + T-090 + T-095/T-096 + T-219 + T-220. If security hand-off is not green, remain on pure-kernel evidence and do not create insecure tables.</x:v>
      </x:c>
    </x:row>
    <x:row r="223">
      <x:c r="A223" s="301" t="str">
        <x:v>T-222</x:v>
      </x:c>
      <x:c r="B223" s="301" t="str">
        <x:v>M2b</x:v>
      </x:c>
      <x:c r="C223" s="301" t="str">
        <x:v>M2b-P0C</x:v>
      </x:c>
      <x:c r="D223" s="301" t="str">
        <x:v>Not Started</x:v>
      </x:c>
      <x:c r="E223" s="301" t="str">
        <x:v>D1/D4 reconciliation evidence surface and reference overlay</x:v>
      </x:c>
      <x:c r="F223" s="301" t="n">
        <x:v>10</x:v>
      </x:c>
      <x:c r="G223" s="301" t="str">
        <x:v>Worker 2</x:v>
      </x:c>
      <x:c r="H223" s="301" t="n">
        <x:v>37</x:v>
      </x:c>
      <x:c r="I223" s="301" t="str">
        <x:v>BI intelligence surface</x:v>
      </x:c>
      <x:c r="J223" s="301" t="str">
        <x:v>Frontend integration</x:v>
      </x:c>
      <x:c r="K223" s="301" t="n">
        <x:v>4</x:v>
      </x:c>
      <x:c r="L223" s="301" t="n">
        <x:v>2.5</x:v>
      </x:c>
      <x:c r="M223" s="301" t="n">
        <x:v>4.25</x:v>
      </x:c>
      <x:c r="N223" s="301" t="str">
        <x:v>R2-W2-07</x:v>
      </x:c>
      <x:c r="O223" s="301" t="str">
        <x:v>T-219/T-220 + T-215 + T-203/T-204; existing governed result seam, no T-221 wait.</x:v>
      </x:c>
    </x:row>
    <x:row r="224">
      <x:c r="A224" s="301" t="str">
        <x:v>T-223</x:v>
      </x:c>
      <x:c r="B224" s="301" t="str">
        <x:v>M2b</x:v>
      </x:c>
      <x:c r="C224" s="301" t="str">
        <x:v>M2b-P0C</x:v>
      </x:c>
      <x:c r="D224" s="301" t="str">
        <x:v>Not Started</x:v>
      </x:c>
      <x:c r="E224" s="301" t="str">
        <x:v>Grounded Assistant tool for reconciliation and Performance Reference explanation</x:v>
      </x:c>
      <x:c r="F224" s="301" t="n">
        <x:v>10</x:v>
      </x:c>
      <x:c r="G224" s="301" t="str">
        <x:v>Worker 3</x:v>
      </x:c>
      <x:c r="H224" s="301" t="n">
        <x:v>50</x:v>
      </x:c>
      <x:c r="I224" s="301" t="str">
        <x:v>Assistant governed tool</x:v>
      </x:c>
      <x:c r="J224" s="301" t="str">
        <x:v>Assistant integration</x:v>
      </x:c>
      <x:c r="K224" s="301" t="n">
        <x:v>4</x:v>
      </x:c>
      <x:c r="L224" s="301" t="n">
        <x:v>2.5</x:v>
      </x:c>
      <x:c r="M224" s="301" t="n">
        <x:v>4.25</x:v>
      </x:c>
      <x:c r="N224" s="301" t="str">
        <x:v>R2-W3-09</x:v>
      </x:c>
      <x:c r="O224" s="301" t="str">
        <x:v>T-179/T-180/T-181 + T-214 + T-219/T-220; no T-221 wait.</x:v>
      </x:c>
    </x:row>
    <x:row r="225">
      <x:c r="A225" s="301" t="str">
        <x:v>T-224</x:v>
      </x:c>
      <x:c r="B225" s="301" t="str">
        <x:v>M3</x:v>
      </x:c>
      <x:c r="C225" s="301" t="str">
        <x:v>M3-P0</x:v>
      </x:c>
      <x:c r="D225" s="301" t="str">
        <x:v>Not Started</x:v>
      </x:c>
      <x:c r="E225" s="301" t="str">
        <x:v>Production OPC UA edge runtime: endpoint security, certificates and session lifecycle</x:v>
      </x:c>
      <x:c r="F225" s="301" t="n">
        <x:v>12</x:v>
      </x:c>
      <x:c r="G225" s="301" t="str">
        <x:v>Worker 1</x:v>
      </x:c>
      <x:c r="H225" s="301" t="n">
        <x:v>66</x:v>
      </x:c>
      <x:c r="I225" s="301" t="str">
        <x:v>Pilot OT edge</x:v>
      </x:c>
      <x:c r="J225" s="301" t="str">
        <x:v>External/site + backend</x:v>
      </x:c>
      <x:c r="K225" s="301" t="n">
        <x:v>3</x:v>
      </x:c>
      <x:c r="L225" s="301" t="n">
        <x:v>4</x:v>
      </x:c>
      <x:c r="M225" s="301" t="n">
        <x:v>7.2</x:v>
      </x:c>
      <x:c r="N225" s="301" t="str">
        <x:v>PILOT-W1-01</x:v>
      </x:c>
      <x:c r="O225" s="301" t="str">
        <x:v>After 30-Sep demo unless customer OT access arrives earlier; T-207 connector truth must be green.</x:v>
      </x:c>
    </x:row>
    <x:row r="226">
      <x:c r="A226" s="301" t="str">
        <x:v>T-225</x:v>
      </x:c>
      <x:c r="B226" s="301" t="str">
        <x:v>M3</x:v>
      </x:c>
      <x:c r="C226" s="301" t="str">
        <x:v>M3-P0</x:v>
      </x:c>
      <x:c r="D226" s="301" t="str">
        <x:v>Not Started</x:v>
      </x:c>
      <x:c r="E226" s="301" t="str">
        <x:v>Production OPC UA edge runtime: browse, tag registration, subscription and monitored items</x:v>
      </x:c>
      <x:c r="F226" s="301" t="n">
        <x:v>12</x:v>
      </x:c>
      <x:c r="G226" s="301" t="str">
        <x:v>Worker 1</x:v>
      </x:c>
      <x:c r="H226" s="301" t="n">
        <x:v>67</x:v>
      </x:c>
      <x:c r="I226" s="301" t="str">
        <x:v>Pilot OT edge</x:v>
      </x:c>
      <x:c r="J226" s="301" t="str">
        <x:v>External/site + backend</x:v>
      </x:c>
      <x:c r="K226" s="301" t="n">
        <x:v>3</x:v>
      </x:c>
      <x:c r="L226" s="301" t="n">
        <x:v>4</x:v>
      </x:c>
      <x:c r="M226" s="301" t="n">
        <x:v>7.2</x:v>
      </x:c>
      <x:c r="N226" s="301" t="str">
        <x:v>PILOT-W1-02</x:v>
      </x:c>
      <x:c r="O226" s="301" t="str">
        <x:v>T-224.</x:v>
      </x:c>
    </x:row>
    <x:row r="227">
      <x:c r="A227" s="301" t="str">
        <x:v>T-226</x:v>
      </x:c>
      <x:c r="B227" s="301" t="str">
        <x:v>M3</x:v>
      </x:c>
      <x:c r="C227" s="301" t="str">
        <x:v>M3-P0</x:v>
      </x:c>
      <x:c r="D227" s="301" t="str">
        <x:v>Not Started</x:v>
      </x:c>
      <x:c r="E227" s="301" t="str">
        <x:v>Production OPC UA edge runtime: quality/timestamps, recovery and spool-to-canonical proof</x:v>
      </x:c>
      <x:c r="F227" s="301" t="n">
        <x:v>12</x:v>
      </x:c>
      <x:c r="G227" s="301" t="str">
        <x:v>Worker 1</x:v>
      </x:c>
      <x:c r="H227" s="301" t="n">
        <x:v>68</x:v>
      </x:c>
      <x:c r="I227" s="301" t="str">
        <x:v>Pilot OT edge</x:v>
      </x:c>
      <x:c r="J227" s="301" t="str">
        <x:v>External/site + backend</x:v>
      </x:c>
      <x:c r="K227" s="301" t="n">
        <x:v>3</x:v>
      </x:c>
      <x:c r="L227" s="301" t="n">
        <x:v>4</x:v>
      </x:c>
      <x:c r="M227" s="301" t="n">
        <x:v>7.2</x:v>
      </x:c>
      <x:c r="N227" s="301" t="str">
        <x:v>PILOT-W1-03</x:v>
      </x:c>
      <x:c r="O227" s="301" t="str">
        <x:v>T-225 + T-216 Source Time Authority.</x:v>
      </x:c>
    </x:row>
    <x:row r="228">
      <x:c r="A228" s="301" t="str">
        <x:v>T-227</x:v>
      </x:c>
      <x:c r="B228" s="301" t="str">
        <x:v>M3</x:v>
      </x:c>
      <x:c r="C228" s="301" t="str">
        <x:v>M3-P0</x:v>
      </x:c>
      <x:c r="D228" s="301" t="str">
        <x:v>Not Started</x:v>
      </x:c>
      <x:c r="E228" s="301" t="str">
        <x:v>Pilot Success Contract and evidence scorecard</x:v>
      </x:c>
      <x:c r="F228" s="301" t="n">
        <x:v>6</x:v>
      </x:c>
      <x:c r="G228" s="301" t="str">
        <x:v>Worker 1</x:v>
      </x:c>
      <x:c r="H228" s="301" t="n">
        <x:v>69</x:v>
      </x:c>
      <x:c r="I228" s="301" t="str">
        <x:v>Pilot programme / evidence</x:v>
      </x:c>
      <x:c r="J228" s="301" t="str">
        <x:v>Documentation / governance</x:v>
      </x:c>
      <x:c r="K228" s="301" t="n">
        <x:v>4</x:v>
      </x:c>
      <x:c r="L228" s="301" t="n">
        <x:v>1.5</x:v>
      </x:c>
      <x:c r="M228" s="301" t="n">
        <x:v>2.25</x:v>
      </x:c>
      <x:c r="N228" s="301" t="str">
        <x:v>PILOT-W1-00</x:v>
      </x:c>
      <x:c r="O228" s="301" t="str">
        <x:v>Prepare before installation; can start after customer data assessment T-213.</x:v>
      </x:c>
    </x:row>
    <x:row r="229">
      <x:c r="A229" s="301" t="str">
        <x:v>T-228</x:v>
      </x:c>
      <x:c r="B229" s="301" t="str">
        <x:v>M2b</x:v>
      </x:c>
      <x:c r="C229" s="301" t="str">
        <x:v>M2b-P0D</x:v>
      </x:c>
      <x:c r="D229" s="301" t="str">
        <x:v>Not Started</x:v>
      </x:c>
      <x:c r="E229" s="301" t="str">
        <x:v>Versioned InsightBoardPlan contract and deterministic validator</x:v>
      </x:c>
      <x:c r="F229" s="301" t="n">
        <x:v>10</x:v>
      </x:c>
      <x:c r="G229" s="301" t="str">
        <x:v>Worker 3</x:v>
      </x:c>
      <x:c r="H229" s="301" t="n">
        <x:v>51</x:v>
      </x:c>
      <x:c r="I229" s="301" t="str">
        <x:v>Assistant advanced</x:v>
      </x:c>
      <x:c r="J229" s="301" t="str">
        <x:v>Kernel/contract</x:v>
      </x:c>
      <x:c r="K229" s="301" t="n">
        <x:v>5</x:v>
      </x:c>
      <x:c r="L229" s="301" t="n">
        <x:v>2</x:v>
      </x:c>
      <x:c r="M229" s="301" t="n">
        <x:v>3.2</x:v>
      </x:c>
      <x:c r="N229" s="301" t="str">
        <x:v>POSTSEP-W3-01</x:v>
      </x:c>
      <x:c r="O229" s="301" t="str">
        <x:v>After September customer RC; T-090/T-092 + T-134 + T-179..181.</x:v>
      </x:c>
    </x:row>
    <x:row r="230">
      <x:c r="A230" s="301" t="str">
        <x:v>T-229</x:v>
      </x:c>
      <x:c r="B230" s="301" t="str">
        <x:v>M2b</x:v>
      </x:c>
      <x:c r="C230" s="301" t="str">
        <x:v>M2b-P0D</x:v>
      </x:c>
      <x:c r="D230" s="301" t="str">
        <x:v>Not Started</x:v>
      </x:c>
      <x:c r="E230" s="301" t="str">
        <x:v>Governed Assistant plan-to-widget Investigation Board composition</x:v>
      </x:c>
      <x:c r="F230" s="301" t="n">
        <x:v>12</x:v>
      </x:c>
      <x:c r="G230" s="301" t="str">
        <x:v>Worker 3</x:v>
      </x:c>
      <x:c r="H230" s="301" t="n">
        <x:v>52</x:v>
      </x:c>
      <x:c r="I230" s="301" t="str">
        <x:v>Assistant advanced</x:v>
      </x:c>
      <x:c r="J230" s="301" t="str">
        <x:v>Cross-layer integration</x:v>
      </x:c>
      <x:c r="K230" s="301" t="n">
        <x:v>3.5</x:v>
      </x:c>
      <x:c r="L230" s="301" t="n">
        <x:v>3.4285714285714284</x:v>
      </x:c>
      <x:c r="M230" s="301" t="n">
        <x:v>6.171428571428571</x:v>
      </x:c>
      <x:c r="N230" s="301" t="str">
        <x:v>POSTSEP-W3-02</x:v>
      </x:c>
      <x:c r="O230" s="301" t="str">
        <x:v>T-228 + T-134 + stable Page Builder contract; coordinate UI consumption with Worker 2.</x:v>
      </x:c>
    </x:row>
    <x:row r="231">
      <x:c r="A231" s="301" t="str">
        <x:v>T-230</x:v>
      </x:c>
      <x:c r="B231" s="301" t="str">
        <x:v>M2b</x:v>
      </x:c>
      <x:c r="C231" s="301" t="str">
        <x:v>M2b-P0D</x:v>
      </x:c>
      <x:c r="D231" s="301" t="str">
        <x:v>Not Started</x:v>
      </x:c>
      <x:c r="E231" s="301" t="str">
        <x:v>Persisted Investigation Board version, replay and Save-as-Page handoff</x:v>
      </x:c>
      <x:c r="F231" s="301" t="n">
        <x:v>12</x:v>
      </x:c>
      <x:c r="G231" s="301" t="str">
        <x:v>Worker 3</x:v>
      </x:c>
      <x:c r="H231" s="301" t="n">
        <x:v>53</x:v>
      </x:c>
      <x:c r="I231" s="301" t="str">
        <x:v>Assistant advanced</x:v>
      </x:c>
      <x:c r="J231" s="301" t="str">
        <x:v>Persistence/integration</x:v>
      </x:c>
      <x:c r="K231" s="301" t="n">
        <x:v>4</x:v>
      </x:c>
      <x:c r="L231" s="301" t="n">
        <x:v>3</x:v>
      </x:c>
      <x:c r="M231" s="301" t="n">
        <x:v>5.1</x:v>
      </x:c>
      <x:c r="N231" s="301" t="str">
        <x:v>POSTSEP-W3-03</x:v>
      </x:c>
      <x:c r="O231" s="301" t="str">
        <x:v>T-229 + canonical definition/evidence persistence + T-112/T-114.</x:v>
      </x:c>
    </x:row>
    <x:row r="232">
      <x:c r="A232" t="str">
        <x:v>T-231</x:v>
      </x:c>
      <x:c r="B232" t="str">
        <x:v>M2a</x:v>
      </x:c>
      <x:c r="C232" t="str">
        <x:v>M2a-P1X</x:v>
      </x:c>
      <x:c r="D232" t="str">
        <x:v>Not Started</x:v>
      </x:c>
      <x:c r="E232" t="str">
        <x:v>Persist Analysis Subject and Grain authority in canonical definition store</x:v>
      </x:c>
      <x:c r="F232" t="n">
        <x:v>6</x:v>
      </x:c>
      <x:c r="G232" t="str">
        <x:v>Worker 1</x:v>
      </x:c>
      <x:c r="H232"/>
      <x:c r="I232" t="str">
        <x:v>Canonical schema / definitions</x:v>
      </x:c>
      <x:c r="J232" t="str">
        <x:v>DB/schema authority</x:v>
      </x:c>
      <x:c r="K232" t="n">
        <x:v>4</x:v>
      </x:c>
      <x:c r="L232" t="n">
        <x:v>1.5</x:v>
      </x:c>
      <x:c r="M232" t="n">
        <x:v>2.55</x:v>
      </x:c>
      <x:c r="N232" t="str">
        <x:v>R1-W1-06B</x:v>
      </x:c>
      <x:c r="O232" t="str">
        <x:v>T-090 + T-209.</x:v>
      </x:c>
      <x:c r="P232" t="str">
        <x:v>analysis_subjects/grain definitions + API/migrations.</x:v>
      </x:c>
      <x:c r="Q232" t="str">
        <x:v>T-092/T-128/T-139/T-213 consume committed persistence.</x:v>
      </x:c>
    </x:row>
    <x:row r="233">
      <x:c r="A233" t="str">
        <x:v>T-232</x:v>
      </x:c>
      <x:c r="B233" t="str">
        <x:v>M2a</x:v>
      </x:c>
      <x:c r="C233" t="str">
        <x:v>M2a-P1X</x:v>
      </x:c>
      <x:c r="D233" t="str">
        <x:v>Not Started</x:v>
      </x:c>
      <x:c r="E233" t="str">
        <x:v>Persist Performance Reference authority and projections</x:v>
      </x:c>
      <x:c r="F233" t="n">
        <x:v>6</x:v>
      </x:c>
      <x:c r="G233" t="str">
        <x:v>Worker 1</x:v>
      </x:c>
      <x:c r="H233"/>
      <x:c r="I233" t="str">
        <x:v>Canonical reference persistence</x:v>
      </x:c>
      <x:c r="J233" t="str">
        <x:v>DB/schema authority</x:v>
      </x:c>
      <x:c r="K233" t="n">
        <x:v>4</x:v>
      </x:c>
      <x:c r="L233" t="n">
        <x:v>1.5</x:v>
      </x:c>
      <x:c r="M233" t="n">
        <x:v>2.55</x:v>
      </x:c>
      <x:c r="N233" t="str">
        <x:v>R1-W1-09B</x:v>
      </x:c>
      <x:c r="O233" t="str">
        <x:v>T-090 + T-231 + T-214.</x:v>
      </x:c>
      <x:c r="P233" t="str">
        <x:v>performance reference tables/projections/API.</x:v>
      </x:c>
      <x:c r="Q233" t="str">
        <x:v>T-215 consumes persistence.</x:v>
      </x:c>
    </x:row>
    <x:row r="234">
      <x:c r="A234" t="str">
        <x:v>T-233</x:v>
      </x:c>
      <x:c r="B234" t="str">
        <x:v>M2a</x:v>
      </x:c>
      <x:c r="C234" t="str">
        <x:v>M2a-P1X</x:v>
      </x:c>
      <x:c r="D234" t="str">
        <x:v>Not Started</x:v>
      </x:c>
      <x:c r="E234" t="str">
        <x:v>Persist Source Time Authority and observation timestamp provenance</x:v>
      </x:c>
      <x:c r="F234" t="n">
        <x:v>5</x:v>
      </x:c>
      <x:c r="G234" t="str">
        <x:v>Worker 1</x:v>
      </x:c>
      <x:c r="H234"/>
      <x:c r="I234" t="str">
        <x:v>Canonical temporal authority</x:v>
      </x:c>
      <x:c r="J234" t="str">
        <x:v>DB/schema authority</x:v>
      </x:c>
      <x:c r="K234" t="n">
        <x:v>4</x:v>
      </x:c>
      <x:c r="L234" t="n">
        <x:v>1.25</x:v>
      </x:c>
      <x:c r="M234" t="n">
        <x:v>2.125</x:v>
      </x:c>
      <x:c r="N234" t="str">
        <x:v>R1-W1-10B</x:v>
      </x:c>
      <x:c r="O234" t="str">
        <x:v>T-087 + T-090 + T-216.</x:v>
      </x:c>
      <x:c r="P234" t="str">
        <x:v>source time authority/observation timestamp provenance/API.</x:v>
      </x:c>
      <x:c r="Q234" t="str">
        <x:v>T-221/T-226 consume persistence; T-217 does not wait.</x:v>
      </x:c>
    </x:row>
    <x:row r="235">
      <x:c r="A235" t="str">
        <x:v>T-234</x:v>
      </x:c>
      <x:c r="B235" t="str">
        <x:v>M2a</x:v>
      </x:c>
      <x:c r="C235" t="str">
        <x:v>M2a-P1X</x:v>
      </x:c>
      <x:c r="D235" t="str">
        <x:v>Not Started</x:v>
      </x:c>
      <x:c r="E235" t="str">
        <x:v>Operational Transition and Stabilisation contract/kernel</x:v>
      </x:c>
      <x:c r="F235" t="n">
        <x:v>8</x:v>
      </x:c>
      <x:c r="G235" t="str">
        <x:v>Worker 3</x:v>
      </x:c>
      <x:c r="H235"/>
      <x:c r="I235" t="str">
        <x:v>SAFE-NOW process-regime kernel</x:v>
      </x:c>
      <x:c r="J235" t="str">
        <x:v>Kernel/contract</x:v>
      </x:c>
      <x:c r="K235" t="n">
        <x:v>6</x:v>
      </x:c>
      <x:c r="L235" t="n">
        <x:v>1.3333333333333333</x:v>
      </x:c>
      <x:c r="M235" t="n">
        <x:v>2</x:v>
      </x:c>
      <x:c r="N235" t="str">
        <x:v>R0-W3-03</x:v>
      </x:c>
      <x:c r="O235" t="str">
        <x:v>T-208 + T-209; may run in parallel with W1 canonical chain.</x:v>
      </x:c>
      <x:c r="P235" t="str">
        <x:v>New generic transition/stabilisation contract/tests only.</x:v>
      </x:c>
      <x:c r="Q235" t="str">
        <x:v>T-235 persists unchanged contract; T-236 consumes it without redefining semantics.</x:v>
      </x:c>
      <x:c r="R235"/>
      <x:c r="S235"/>
      <x:c r="T235"/>
      <x:c r="U235"/>
    </x:row>
    <x:row r="236">
      <x:c r="A236" t="str">
        <x:v>T-235</x:v>
      </x:c>
      <x:c r="B236" t="str">
        <x:v>M2a</x:v>
      </x:c>
      <x:c r="C236" t="str">
        <x:v>M2a-P1X</x:v>
      </x:c>
      <x:c r="D236" t="str">
        <x:v>Not Started</x:v>
      </x:c>
      <x:c r="E236" t="str">
        <x:v>Persist transition/stabilisation authority and regime context</x:v>
      </x:c>
      <x:c r="F236" t="n">
        <x:v>8</x:v>
      </x:c>
      <x:c r="G236" t="str">
        <x:v>Worker 1</x:v>
      </x:c>
      <x:c r="H236"/>
      <x:c r="I236" t="str">
        <x:v>Canonical process-regime authority</x:v>
      </x:c>
      <x:c r="J236" t="str">
        <x:v>DB/schema authority</x:v>
      </x:c>
      <x:c r="K236" t="n">
        <x:v>4</x:v>
      </x:c>
      <x:c r="L236" t="n">
        <x:v>2</x:v>
      </x:c>
      <x:c r="M236" t="n">
        <x:v>3.4</x:v>
      </x:c>
      <x:c r="N236" t="str">
        <x:v>R1-W1-11</x:v>
      </x:c>
      <x:c r="O236" t="str">
        <x:v>T-090 + T-231 + committed T-234 contract.</x:v>
      </x:c>
      <x:c r="P236" t="str">
        <x:v>process transition tables/API/migrations.</x:v>
      </x:c>
      <x:c r="Q236" t="str">
        <x:v>T-237/customer onboarding consume committed persistence; do not redesign contract.</x:v>
      </x:c>
      <x:c r="R236"/>
      <x:c r="S236"/>
      <x:c r="T236"/>
      <x:c r="U236"/>
    </x:row>
    <x:row r="237">
      <x:c r="A237" t="str">
        <x:v>T-236</x:v>
      </x:c>
      <x:c r="B237" t="str">
        <x:v>M2b</x:v>
      </x:c>
      <x:c r="C237" t="str">
        <x:v>M2b-P0C</x:v>
      </x:c>
      <x:c r="D237" t="str">
        <x:v>Not Started</x:v>
      </x:c>
      <x:c r="E237" t="str">
        <x:v>Transition-aware aggregation, statistics and reconciliation guard</x:v>
      </x:c>
      <x:c r="F237" t="n">
        <x:v>10</x:v>
      </x:c>
      <x:c r="G237" t="str">
        <x:v>Worker 3</x:v>
      </x:c>
      <x:c r="H237"/>
      <x:c r="I237" t="str">
        <x:v>SAFE-NOW regime-aware analytics</x:v>
      </x:c>
      <x:c r="J237" t="str">
        <x:v>Kernel/integration</x:v>
      </x:c>
      <x:c r="K237" t="n">
        <x:v>6</x:v>
      </x:c>
      <x:c r="L237" t="n">
        <x:v>1.6666666666666667</x:v>
      </x:c>
      <x:c r="M237" t="n">
        <x:v>2.666666666666667</x:v>
      </x:c>
      <x:c r="N237" t="str">
        <x:v>R1-W3-05</x:v>
      </x:c>
      <x:c r="O237" t="str">
        <x:v>T-210 + T-217 + T-234; T-235 persistence is not required for fixture proof.</x:v>
      </x:c>
      <x:c r="P237" t="str">
        <x:v>Analytics/reconciliation kernels only.</x:v>
      </x:c>
      <x:c r="Q237" t="str">
        <x:v>T-219 consumes the guard; consumers must not bypass RG01.</x:v>
      </x:c>
      <x:c r="R237"/>
      <x:c r="S237"/>
      <x:c r="T237"/>
      <x:c r="U237"/>
    </x:row>
    <x:row r="238">
      <x:c r="A238" t="str">
        <x:v>T-237</x:v>
      </x:c>
      <x:c r="B238" t="str">
        <x:v>M2a</x:v>
      </x:c>
      <x:c r="C238" t="str">
        <x:v>M2a-P1X</x:v>
      </x:c>
      <x:c r="D238" t="str">
        <x:v>Not Started</x:v>
      </x:c>
      <x:c r="E238" t="str">
        <x:v>Operational Period Driver Decomposition exact API and evidence tool</x:v>
      </x:c>
      <x:c r="F238" t="n">
        <x:v>10</x:v>
      </x:c>
      <x:c r="G238" t="str">
        <x:v>Worker 2</x:v>
      </x:c>
      <x:c r="H238"/>
      <x:c r="I238" t="str">
        <x:v>BI exact analytics / customer surface</x:v>
      </x:c>
      <x:c r="J238" t="str">
        <x:v>Backend/API integration</x:v>
      </x:c>
      <x:c r="K238" t="n">
        <x:v>4</x:v>
      </x:c>
      <x:c r="L238" t="n">
        <x:v>2.5</x:v>
      </x:c>
      <x:c r="M238" t="n">
        <x:v>4.25</x:v>
      </x:c>
      <x:c r="N238" t="str">
        <x:v>R2-W2-08</x:v>
      </x:c>
      <x:c r="O238" t="str">
        <x:v>T-092 + T-235; can run in parallel with T-222 on separate files.</x:v>
      </x:c>
      <x:c r="P238" t="str">
        <x:v>Layer-A period comparison API/evidence only.</x:v>
      </x:c>
      <x:c r="Q238" t="str">
        <x:v>T-138/T-164 may consume the stable contract; neither may duplicate calculations.</x:v>
      </x:c>
      <x:c r="R238"/>
      <x:c r="S238"/>
      <x:c r="T238"/>
      <x:c r="U238"/>
    </x:row>
    <x:row r="239">
      <x:c r="A239" t="str">
        <x:v>T-238</x:v>
      </x:c>
      <x:c r="B239" t="str">
        <x:v>M2b</x:v>
      </x:c>
      <x:c r="C239" t="str">
        <x:v>M2b-P1</x:v>
      </x:c>
      <x:c r="D239" t="str">
        <x:v>Not Started</x:v>
      </x:c>
      <x:c r="E239" t="str">
        <x:v>Multi-objective Objective Set and Pareto practice kernel</x:v>
      </x:c>
      <x:c r="F239" t="n">
        <x:v>12</x:v>
      </x:c>
      <x:c r="G239" t="str">
        <x:v>Worker 3</x:v>
      </x:c>
      <x:c r="H239"/>
      <x:c r="I239" t="str">
        <x:v>SAFE-NOW practice intelligence</x:v>
      </x:c>
      <x:c r="J239" t="str">
        <x:v>Kernel/contract</x:v>
      </x:c>
      <x:c r="K239" t="n">
        <x:v>6</x:v>
      </x:c>
      <x:c r="L239" t="n">
        <x:v>2</x:v>
      </x:c>
      <x:c r="M239" t="n">
        <x:v>3.2</x:v>
      </x:c>
      <x:c r="N239" t="str">
        <x:v>POSTSEP-W3-04</x:v>
      </x:c>
      <x:c r="O239" t="str">
        <x:v>May start after T-214 contract; does not block September demo.</x:v>
      </x:c>
      <x:c r="P239" t="str">
        <x:v>New objective/Pareto kernel/tests only.</x:v>
      </x:c>
      <x:c r="Q239" t="str">
        <x:v>T-239 persists objective authority; T-240 integrates practice family.</x:v>
      </x:c>
      <x:c r="R239"/>
      <x:c r="S239"/>
      <x:c r="T239"/>
      <x:c r="U239"/>
    </x:row>
    <x:row r="240">
      <x:c r="A240" t="str">
        <x:v>T-239</x:v>
      </x:c>
      <x:c r="B240" t="str">
        <x:v>M2a</x:v>
      </x:c>
      <x:c r="C240" t="str">
        <x:v>M2a-P1X</x:v>
      </x:c>
      <x:c r="D240" t="str">
        <x:v>Not Started</x:v>
      </x:c>
      <x:c r="E240" t="str">
        <x:v>Persist Objective Set and preference authority</x:v>
      </x:c>
      <x:c r="F240" t="n">
        <x:v>8</x:v>
      </x:c>
      <x:c r="G240" t="str">
        <x:v>Worker 1</x:v>
      </x:c>
      <x:c r="H240"/>
      <x:c r="I240" t="str">
        <x:v>Canonical objective authority</x:v>
      </x:c>
      <x:c r="J240" t="str">
        <x:v>DB/schema authority</x:v>
      </x:c>
      <x:c r="K240" t="n">
        <x:v>4</x:v>
      </x:c>
      <x:c r="L240" t="n">
        <x:v>2</x:v>
      </x:c>
      <x:c r="M240" t="n">
        <x:v>3.4</x:v>
      </x:c>
      <x:c r="N240" t="str">
        <x:v>POSTSEP-W1-01</x:v>
      </x:c>
      <x:c r="O240" t="str">
        <x:v>After T-090 + frozen T-214/T-238 contracts.</x:v>
      </x:c>
      <x:c r="P240" t="str">
        <x:v>objective-set tables/API/migrations.</x:v>
      </x:c>
      <x:c r="Q240" t="str">
        <x:v>T-240 consumes committed persistence.</x:v>
      </x:c>
      <x:c r="R240"/>
      <x:c r="S240"/>
      <x:c r="T240"/>
      <x:c r="U240"/>
    </x:row>
    <x:row r="241">
      <x:c r="A241" t="str">
        <x:v>T-240</x:v>
      </x:c>
      <x:c r="B241" t="str">
        <x:v>M2b</x:v>
      </x:c>
      <x:c r="C241" t="str">
        <x:v>M2b-P1</x:v>
      </x:c>
      <x:c r="D241" t="str">
        <x:v>Not Started</x:v>
      </x:c>
      <x:c r="E241" t="str">
        <x:v>Composite practice results, trade-off explanation and Assistant tool integration</x:v>
      </x:c>
      <x:c r="F241" t="n">
        <x:v>12</x:v>
      </x:c>
      <x:c r="G241" t="str">
        <x:v>Worker 3</x:v>
      </x:c>
      <x:c r="H241"/>
      <x:c r="I241" t="str">
        <x:v>Canonical practice intelligence</x:v>
      </x:c>
      <x:c r="J241" t="str">
        <x:v>AI/ML production integration</x:v>
      </x:c>
      <x:c r="K241" t="n">
        <x:v>4</x:v>
      </x:c>
      <x:c r="L241" t="n">
        <x:v>3</x:v>
      </x:c>
      <x:c r="M241" t="n">
        <x:v>5.1</x:v>
      </x:c>
      <x:c r="N241" t="str">
        <x:v>POSTSEP-W3-05</x:v>
      </x:c>
      <x:c r="O241" t="str">
        <x:v>After practice core + objective persistence.</x:v>
      </x:c>
      <x:c r="P241" t="str">
        <x:v>Practice intelligence/Assistant tool only.</x:v>
      </x:c>
      <x:c r="Q241" t="str">
        <x:v>T-138 may expose this tool after completion; no Assistant redesign.</x:v>
      </x:c>
      <x:c r="R241"/>
      <x:c r="S241"/>
      <x:c r="T241"/>
      <x:c r="U241"/>
    </x:row>
  </x:sheetData>
  <x:conditionalFormatting sqref="G2:G201">
    <x:cfRule type="expression" dxfId="10" priority="1">
      <x:formula>G2="Worker 1"</x:formula>
    </x:cfRule>
    <x:cfRule type="expression" dxfId="9" priority="2">
      <x:formula>G2="Worker 2"</x:formula>
    </x:cfRule>
    <x:cfRule type="expression" dxfId="8" priority="3">
      <x:formula>G2="Worker 3"</x:formula>
    </x:cfRule>
    <x:cfRule type="expression" dxfId="7" priority="4">
      <x:formula>G2="CLOSED"</x:formula>
    </x:cfRule>
  </x:conditionalFormatting>
  <x:conditionalFormatting sqref="M2:M201">
    <x:cfRule type="dataBar" priority="5">
      <x:dataBar>
        <x:cfvo type="min"/>
        <x:cfvo type="max"/>
        <x:color rgb="FF4BACC6"/>
      </x:dataBar>
    </x:cfRule>
    <x:cfRule type="dataBar" priority="6">
      <x:dataBar>
        <x:cfvo type="min"/>
        <x:cfvo type="max"/>
        <x:color rgb="FF4BACC6"/>
      </x:dataBar>
      <x:extLst>
        <x:ext xmlns:x14="http://schemas.microsoft.com/office/spreadsheetml/2009/9/main" uri="{B025F937-C7B1-47D3-B67F-A62EFF666E3E}">
          <x14:id>{3D272739-1DA0-5558-0BC3-AA0EADE00DFE}</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6" id="{3D272739-1DA0-5558-0BC3-AA0EADE00DFE}">
            <x14:dataBar>
              <x14:cfvo type="min"/>
              <x14:cfvo type="max"/>
              <x14:fillColor rgb="FF4BACC6"/>
              <x14:negativeFillColor auto="1"/>
              <x14:axisColor auto="1"/>
            </x14:dataBar>
          </x14:cfRule>
          <xm:sqref>M2:M201</xm:sqref>
        </x14:conditionalFormatting>
      </x14:conditionalFormattings>
    </x:ext>
  </x:extLst>
</x:worksheet>
</file>

<file path=xl/worksheets/sheet17.xml><?xml version="1.0" encoding="utf-8"?>
<x:worksheet xmlns:x="http://schemas.openxmlformats.org/spreadsheetml/2006/main">
  <x:sheetFormatPr defaultRowHeight="15"/>
  <x:cols>
    <x:col min="1" max="1" width="8" hidden="0" customWidth="1"/>
    <x:col min="2" max="3" width="10" customWidth="1"/>
    <x:col min="4" max="4" width="14" hidden="0" customWidth="1"/>
    <x:col min="5" max="5" width="58" hidden="0" customWidth="1"/>
    <x:col min="6" max="6" width="14" hidden="0" customWidth="1"/>
    <x:col min="7" max="8" width="10" customWidth="1"/>
    <x:col min="9" max="9" width="22" hidden="0" customWidth="1"/>
    <x:col min="10" max="12" width="48" customWidth="1"/>
    <x:col min="2" max="2" width="12" hidden="0" customWidth="1"/>
    <x:col min="3" max="3" width="10" hidden="0" customWidth="1"/>
    <x:col min="7" max="7" width="12" hidden="0" customWidth="1"/>
    <x:col min="8" max="8" width="12" hidden="0" customWidth="1"/>
    <x:col min="10" max="10" width="72" hidden="0" customWidth="1"/>
  </x:cols>
  <x:sheetData>
    <x:row r="1" ht="19.5">
      <x:c r="A1" s="401" t="str">
        <x:v>PPIQ v2.13 AI Agent Queues — Generic Customer / September Pilot Rebaseline</x:v>
      </x:c>
      <x:c r="B1" s="401"/>
      <x:c r="C1" s="401"/>
      <x:c r="D1" s="401"/>
      <x:c r="E1" s="401"/>
      <x:c r="F1" s="401"/>
      <x:c r="G1" s="401"/>
      <x:c r="H1" s="401"/>
      <x:c r="I1" s="401"/>
      <x:c r="J1" s="401"/>
      <x:c r="K1" s="138"/>
      <x:c r="L1" s="138"/>
    </x:row>
    <x:row r="2">
      <x:c r="A2" s="301" t="str">
        <x:v>Authority</x:v>
      </x:c>
      <x:c r="B2" s="301" t="str">
        <x:v>Backlog sheet + AI Agent Calendar. Old M1 queue is retired/frozen. Queue entries below are the active v2.11 cutover plan.</x:v>
      </x:c>
      <x:c r="C2" s="301"/>
      <x:c r="D2" s="301"/>
      <x:c r="E2" s="301"/>
      <x:c r="F2" s="301"/>
      <x:c r="G2" s="301"/>
      <x:c r="H2" s="301"/>
      <x:c r="I2" s="301"/>
      <x:c r="J2" s="301"/>
    </x:row>
    <x:row r="3" ht="17.25">
      <x:c r="A3" s="444"/>
      <x:c r="B3" s="444"/>
      <x:c r="C3" s="444"/>
      <x:c r="D3" s="444"/>
      <x:c r="E3" s="444"/>
      <x:c r="F3" s="444"/>
      <x:c r="G3" s="444"/>
      <x:c r="H3" s="444"/>
      <x:c r="I3" s="444"/>
      <x:c r="J3" s="444"/>
      <x:c r="K3" s="139"/>
      <x:c r="L3" s="139"/>
    </x:row>
    <x:row r="4" ht="30">
      <x:c r="A4" s="406" t="str">
        <x:v>Worker 1 — Canonical / Data / OT Queue</x:v>
      </x:c>
      <x:c r="B4" s="406"/>
      <x:c r="C4" s="406"/>
      <x:c r="D4" s="406"/>
      <x:c r="E4" s="406"/>
      <x:c r="F4" s="406"/>
      <x:c r="G4" s="406"/>
      <x:c r="H4" s="406"/>
      <x:c r="I4" s="406"/>
      <x:c r="J4" s="406"/>
      <x:c r="K4" s="113" t="s">
        <x:v>2757</x:v>
      </x:c>
      <x:c r="L4" s="113" t="s">
        <x:v>2758</x:v>
      </x:c>
    </x:row>
    <x:row r="5" ht="60">
      <x:c r="A5" s="434" t="str">
        <x:v>Seq</x:v>
      </x:c>
      <x:c r="B5" s="434" t="str">
        <x:v>Task</x:v>
      </x:c>
      <x:c r="C5" s="434" t="str">
        <x:v>Milestone</x:v>
      </x:c>
      <x:c r="D5" s="434" t="str">
        <x:v>Phase</x:v>
      </x:c>
      <x:c r="E5" s="434" t="str">
        <x:v>Task Name</x:v>
      </x:c>
      <x:c r="F5" s="435" t="str">
        <x:v>Traditional h</x:v>
      </x:c>
      <x:c r="G5" s="435" t="str">
        <x:v>P50 h</x:v>
      </x:c>
      <x:c r="H5" s="435" t="str">
        <x:v>P80 h</x:v>
      </x:c>
      <x:c r="I5" s="434" t="str">
        <x:v>Wave</x:v>
      </x:c>
      <x:c r="J5" s="434" t="str">
        <x:v>Start Gate</x:v>
      </x:c>
      <x:c r="K5" s="2" t="s">
        <x:v>338</x:v>
      </x:c>
      <x:c r="L5" s="2" t="s">
        <x:v>365</x:v>
      </x:c>
    </x:row>
    <x:row r="6" ht="60">
      <x:c r="A6" s="301" t="n">
        <x:v>1</x:v>
      </x:c>
      <x:c r="B6" s="301" t="str">
        <x:v>T-201</x:v>
      </x:c>
      <x:c r="C6" s="301" t="str">
        <x:v>M2a</x:v>
      </x:c>
      <x:c r="D6" s="301" t="str">
        <x:v>M2a-P0</x:v>
      </x:c>
      <x:c r="E6" s="301" t="str">
        <x:v>Freeze the successful M1 presentation baseline and transfer programme authority to M2</x:v>
      </x:c>
      <x:c r="F6" s="302" t="n">
        <x:v>4</x:v>
      </x:c>
      <x:c r="G6" s="302" t="n">
        <x:v>1</x:v>
      </x:c>
      <x:c r="H6" s="302" t="n">
        <x:v>1.5</x:v>
      </x:c>
      <x:c r="I6" s="301" t="str">
        <x:v>R0-W1-01</x:v>
      </x:c>
      <x:c r="J6" s="301" t="str">
        <x:v>Start immediately. No later M2 mutating work begins on the shared tree before this close.</x:v>
      </x:c>
      <x:c r="K6" s="2" t="s">
        <x:v>338</x:v>
      </x:c>
      <x:c r="L6" s="2" t="s">
        <x:v>365</x:v>
      </x:c>
    </x:row>
    <x:row r="7" ht="60">
      <x:c r="A7" s="301" t="n">
        <x:v>2</x:v>
      </x:c>
      <x:c r="B7" s="301" t="str">
        <x:v>T-207</x:v>
      </x:c>
      <x:c r="C7" s="301" t="str">
        <x:v>M2a</x:v>
      </x:c>
      <x:c r="D7" s="301" t="str">
        <x:v>M2a-P0</x:v>
      </x:c>
      <x:c r="E7" s="301" t="str">
        <x:v>Connector capability truth: stop advertising unimplemented browse/read/subscription</x:v>
      </x:c>
      <x:c r="F7" s="302" t="n">
        <x:v>6</x:v>
      </x:c>
      <x:c r="G7" s="302" t="n">
        <x:v>1.5</x:v>
      </x:c>
      <x:c r="H7" s="302" t="n">
        <x:v>2.25</x:v>
      </x:c>
      <x:c r="I7" s="301" t="str">
        <x:v>R0-W1-02</x:v>
      </x:c>
      <x:c r="J7" s="301" t="str">
        <x:v>T-201. Does not implement production OPC; truth-corrects the current connector contract only.</x:v>
      </x:c>
      <x:c r="K7" s="2" t="s">
        <x:v>338</x:v>
      </x:c>
      <x:c r="L7" s="2" t="s">
        <x:v>309</x:v>
      </x:c>
    </x:row>
    <x:row r="8" ht="60">
      <x:c r="A8" s="301" t="n">
        <x:v>3</x:v>
      </x:c>
      <x:c r="B8" s="301" t="str">
        <x:v>T-086</x:v>
      </x:c>
      <x:c r="C8" s="301" t="str">
        <x:v>M2a</x:v>
      </x:c>
      <x:c r="D8" s="301" t="str">
        <x:v>M2a-P1</x:v>
      </x:c>
      <x:c r="E8" s="301" t="str">
        <x:v>Freeze the legacy Fleet v2 controlled regression oracle</x:v>
      </x:c>
      <x:c r="F8" s="302" t="n">
        <x:v>8</x:v>
      </x:c>
      <x:c r="G8" s="302" t="n">
        <x:v>1.6</x:v>
      </x:c>
      <x:c r="H8" s="302" t="n">
        <x:v>2.72</x:v>
      </x:c>
      <x:c r="I8" s="301" t="str">
        <x:v>M2A-0 — source fixtures</x:v>
      </x:c>
      <x:c r="J8" s="301" t="str">
        <x:v>WAIT for Presentation RC freeze/tag + clean index/worktree. Then: M2a dependency order</x:v>
      </x:c>
      <x:c r="K8" s="2" t="s">
        <x:v>338</x:v>
      </x:c>
      <x:c r="L8" s="2" t="s">
        <x:v>2739</x:v>
      </x:c>
    </x:row>
    <x:row r="9" ht="60">
      <x:c r="A9" s="301" t="n">
        <x:v>4</x:v>
      </x:c>
      <x:c r="B9" s="301" t="str">
        <x:v>T-088</x:v>
      </x:c>
      <x:c r="C9" s="301" t="str">
        <x:v>M2a</x:v>
      </x:c>
      <x:c r="D9" s="301" t="str">
        <x:v>M2a-P1</x:v>
      </x:c>
      <x:c r="E9" s="301" t="str">
        <x:v>Canonical migration order and legacy script archival</x:v>
      </x:c>
      <x:c r="F9" s="302" t="n">
        <x:v>12</x:v>
      </x:c>
      <x:c r="G9" s="302" t="n">
        <x:v>1.5</x:v>
      </x:c>
      <x:c r="H9" s="302" t="n">
        <x:v>2.325</x:v>
      </x:c>
      <x:c r="I9" s="301" t="str">
        <x:v>M2A-1 — schema/definition authority</x:v>
      </x:c>
      <x:c r="J9" s="301" t="str">
        <x:v>WAIT for Presentation RC freeze/tag + clean index/worktree. Then: T-086 frozen M2 reference dataset; define canonical migration order before T-...</x:v>
      </x:c>
      <x:c r="K9" s="2" t="s">
        <x:v>338</x:v>
      </x:c>
      <x:c r="L9" s="2" t="s">
        <x:v>309</x:v>
      </x:c>
    </x:row>
    <x:row r="10" ht="60">
      <x:c r="A10" s="301" t="n">
        <x:v>5</x:v>
      </x:c>
      <x:c r="B10" s="301" t="str">
        <x:v>T-087</x:v>
      </x:c>
      <x:c r="C10" s="301" t="str">
        <x:v>M2a</x:v>
      </x:c>
      <x:c r="D10" s="301" t="str">
        <x:v>M2a-P1</x:v>
      </x:c>
      <x:c r="E10" s="301" t="str">
        <x:v>Physical three-schema migration</x:v>
      </x:c>
      <x:c r="F10" s="302" t="n">
        <x:v>12</x:v>
      </x:c>
      <x:c r="G10" s="302" t="n">
        <x:v>1.5</x:v>
      </x:c>
      <x:c r="H10" s="302" t="n">
        <x:v>2.325</x:v>
      </x:c>
      <x:c r="I10" s="301" t="str">
        <x:v>M2A-1 — schema/definition authority</x:v>
      </x:c>
      <x:c r="J10" s="301" t="str">
        <x:v>WAIT for Presentation RC freeze/tag + clean index/worktree. Then: T-086 + T-088 canonical migration order/runner/truth gate established FIRST.</x:v>
      </x:c>
      <x:c r="K10" s="2" t="s">
        <x:v>338</x:v>
      </x:c>
      <x:c r="L10" s="2" t="s">
        <x:v>309</x:v>
      </x:c>
    </x:row>
    <x:row r="11" ht="60">
      <x:c r="A11" s="301" t="n">
        <x:v>6</x:v>
      </x:c>
      <x:c r="B11" s="301" t="str">
        <x:v>T-089</x:v>
      </x:c>
      <x:c r="C11" s="301" t="str">
        <x:v>M2a</x:v>
      </x:c>
      <x:c r="D11" s="301" t="str">
        <x:v>M2a-P1</x:v>
      </x:c>
      <x:c r="E11" s="301" t="str">
        <x:v>definition_store, definition_versions and definition_dependencies</x:v>
      </x:c>
      <x:c r="F11" s="302" t="n">
        <x:v>12</x:v>
      </x:c>
      <x:c r="G11" s="302" t="n">
        <x:v>1.5</x:v>
      </x:c>
      <x:c r="H11" s="302" t="n">
        <x:v>2.325</x:v>
      </x:c>
      <x:c r="I11" s="301" t="str">
        <x:v>M2A-1 — schema/definition authority</x:v>
      </x:c>
      <x:c r="J11" s="301" t="str">
        <x:v>WAIT for Presentation RC freeze/tag + clean index/worktree. Then: T-087 + T-088 canonical three-schema/migration authority green.</x:v>
      </x:c>
      <x:c r="K11" s="2" t="s">
        <x:v>338</x:v>
      </x:c>
      <x:c r="L11" s="2" t="s">
        <x:v>309</x:v>
      </x:c>
    </x:row>
    <x:row r="12" ht="60">
      <x:c r="A12" s="301" t="n">
        <x:v>7</x:v>
      </x:c>
      <x:c r="B12" s="301" t="str">
        <x:v>T-090</x:v>
      </x:c>
      <x:c r="C12" s="301" t="str">
        <x:v>M2a</x:v>
      </x:c>
      <x:c r="D12" s="301" t="str">
        <x:v>M2a-P1</x:v>
      </x:c>
      <x:c r="E12" s="301" t="str">
        <x:v>Move all five definition kinds onto the store</x:v>
      </x:c>
      <x:c r="F12" s="302" t="n">
        <x:v>12</x:v>
      </x:c>
      <x:c r="G12" s="302" t="n">
        <x:v>1.2</x:v>
      </x:c>
      <x:c r="H12" s="302" t="n">
        <x:v>1.7999999999999998</x:v>
      </x:c>
      <x:c r="I12" s="301" t="str">
        <x:v>M2A-1 — schema/definition authority</x:v>
      </x:c>
      <x:c r="J12" s="301" t="str">
        <x:v>WAIT for Presentation RC freeze/tag + clean index/worktree. Then: T-089 complete; replace compatibility persistence behind unchanged IDefinitio...</x:v>
      </x:c>
      <x:c r="K12" s="2" t="s">
        <x:v>338</x:v>
      </x:c>
      <x:c r="L12" s="2" t="s">
        <x:v>309</x:v>
      </x:c>
    </x:row>
    <x:row r="13" ht="60">
      <x:c r="A13" s="301" t="n">
        <x:v>8</x:v>
      </x:c>
      <x:c r="B13" s="301" t="str">
        <x:v>T-210</x:v>
      </x:c>
      <x:c r="C13" s="301" t="str">
        <x:v>M2a</x:v>
      </x:c>
      <x:c r="D13" s="301" t="str">
        <x:v>M2a-P1X</x:v>
      </x:c>
      <x:c r="E13" s="301" t="str">
        <x:v>Canonical signal and aggregation semantics authority</x:v>
      </x:c>
      <x:c r="F13" s="302" t="n">
        <x:v>12</x:v>
      </x:c>
      <x:c r="G13" s="302" t="n">
        <x:v>3</x:v>
      </x:c>
      <x:c r="H13" s="302" t="n">
        <x:v>5.1</x:v>
      </x:c>
      <x:c r="I13" s="301" t="str">
        <x:v>R1-W1-07</x:v>
      </x:c>
      <x:c r="J13" s="301" t="str">
        <x:v>T-090 + committed T-209 contract.</x:v>
      </x:c>
      <x:c r="K13" s="2" t="str">
        <x:v>Own canonical parameter/KPI semantic persistence.</x:v>
      </x:c>
      <x:c r="L13" s="2" t="str">
        <x:v>Commit before T-092/T-211/T-212.</x:v>
      </x:c>
    </x:row>
    <x:row r="14" ht="45">
      <x:c r="A14" s="301" t="n">
        <x:v>9</x:v>
      </x:c>
      <x:c r="B14" s="301" t="str">
        <x:v>T-231</x:v>
      </x:c>
      <x:c r="C14" s="301" t="str">
        <x:v>M2a</x:v>
      </x:c>
      <x:c r="D14" s="301" t="str">
        <x:v>M2a-P1X</x:v>
      </x:c>
      <x:c r="E14" s="301" t="str">
        <x:v>Persist Analysis Subject and Grain authority</x:v>
      </x:c>
      <x:c r="F14" s="302" t="n">
        <x:v>6</x:v>
      </x:c>
      <x:c r="G14" s="302" t="n">
        <x:v>1.5</x:v>
      </x:c>
      <x:c r="H14" s="302" t="n">
        <x:v>2.55</x:v>
      </x:c>
      <x:c r="I14" s="301" t="str">
        <x:v>R1-W1-06B</x:v>
      </x:c>
      <x:c r="J14" s="301" t="str">
        <x:v>T-090 + T-209.</x:v>
      </x:c>
      <x:c r="K14" s="2" t="str">
        <x:v>Own analysis_subject/grain DB/API.</x:v>
      </x:c>
      <x:c r="L14" s="2" t="str">
        <x:v>Commit before T-092/T-128/T-139/T-213.</x:v>
      </x:c>
    </x:row>
    <x:row r="15" ht="45">
      <x:c r="A15" s="301" t="n">
        <x:v>10</x:v>
      </x:c>
      <x:c r="B15" s="301" t="str">
        <x:v>T-092</x:v>
      </x:c>
      <x:c r="C15" s="301" t="str">
        <x:v>M2a</x:v>
      </x:c>
      <x:c r="D15" s="301" t="str">
        <x:v>M2a-P1</x:v>
      </x:c>
      <x:c r="E15" s="301" t="str">
        <x:v>Registry authority: dimensions and measures as rows</x:v>
      </x:c>
      <x:c r="F15" s="302" t="n">
        <x:v>12</x:v>
      </x:c>
      <x:c r="G15" s="302" t="n">
        <x:v>1.2</x:v>
      </x:c>
      <x:c r="H15" s="302" t="n">
        <x:v>1.8</x:v>
      </x:c>
      <x:c r="I15" s="301" t="str">
        <x:v>M2A-1</x:v>
      </x:c>
      <x:c r="J15" s="301" t="str">
        <x:v>T-089 + T-090 + T-210 + T-231.</x:v>
      </x:c>
      <x:c r="K15" s="2" t="str">
        <x:v>Own registry projection.</x:v>
      </x:c>
      <x:c r="L15" s="2" t="str">
        <x:v>Same binary customer-dimension gate.</x:v>
      </x:c>
    </x:row>
    <x:row r="16" ht="45">
      <x:c r="A16" s="301" t="n">
        <x:v>11</x:v>
      </x:c>
      <x:c r="B16" s="301" t="str">
        <x:v>T-232</x:v>
      </x:c>
      <x:c r="C16" s="301" t="str">
        <x:v>M2a</x:v>
      </x:c>
      <x:c r="D16" s="301" t="str">
        <x:v>M2a-P1X</x:v>
      </x:c>
      <x:c r="E16" s="301" t="str">
        <x:v>Persist Performance Reference authority and projections</x:v>
      </x:c>
      <x:c r="F16" s="302" t="n">
        <x:v>6</x:v>
      </x:c>
      <x:c r="G16" s="302" t="n">
        <x:v>1.5</x:v>
      </x:c>
      <x:c r="H16" s="302" t="n">
        <x:v>2.55</x:v>
      </x:c>
      <x:c r="I16" s="301" t="str">
        <x:v>R1-W1-09B</x:v>
      </x:c>
      <x:c r="J16" s="301" t="str">
        <x:v>T-090 + T-231 + T-214 contract.</x:v>
      </x:c>
      <x:c r="K16" s="2" t="str">
        <x:v>Own reference DB/API.</x:v>
      </x:c>
      <x:c r="L16" s="2" t="str">
        <x:v>Commit before T-215.</x:v>
      </x:c>
    </x:row>
    <x:row r="17" ht="60">
      <x:c r="A17" s="301" t="n">
        <x:v>12</x:v>
      </x:c>
      <x:c r="B17" s="301" t="str">
        <x:v>T-233</x:v>
      </x:c>
      <x:c r="C17" s="301" t="str">
        <x:v>M2a</x:v>
      </x:c>
      <x:c r="D17" s="301" t="str">
        <x:v>M2a-P1X</x:v>
      </x:c>
      <x:c r="E17" s="301" t="str">
        <x:v>Persist Source Time Authority and timestamp provenance</x:v>
      </x:c>
      <x:c r="F17" s="302" t="n">
        <x:v>5</x:v>
      </x:c>
      <x:c r="G17" s="302" t="n">
        <x:v>1.25</x:v>
      </x:c>
      <x:c r="H17" s="302" t="n">
        <x:v>2.125</x:v>
      </x:c>
      <x:c r="I17" s="301" t="str">
        <x:v>R1-W1-10B</x:v>
      </x:c>
      <x:c r="J17" s="301" t="str">
        <x:v>T-087 + T-090 + T-216 contract.</x:v>
      </x:c>
      <x:c r="K17" s="2" t="str">
        <x:v>Own temporal DB/API.</x:v>
      </x:c>
      <x:c r="L17" s="2" t="str">
        <x:v>Commit before T-221/T-226; T-217 does not wait.</x:v>
      </x:c>
    </x:row>
    <x:row r="18" ht="60">
      <x:c r="A18" s="301" t="n">
        <x:v>13</x:v>
      </x:c>
      <x:c r="B18" s="301" t="str">
        <x:v>T-213</x:v>
      </x:c>
      <x:c r="C18" s="301" t="str">
        <x:v>M2a</x:v>
      </x:c>
      <x:c r="D18" s="301" t="str">
        <x:v>M2a-P1X</x:v>
      </x:c>
      <x:c r="E18" s="301" t="str">
        <x:v>Customer Data Intake and Capability Assessment authority</x:v>
      </x:c>
      <x:c r="F18" s="302" t="n">
        <x:v>8</x:v>
      </x:c>
      <x:c r="G18" s="302" t="n">
        <x:v>2</x:v>
      </x:c>
      <x:c r="H18" s="302" t="n">
        <x:v>3.2</x:v>
      </x:c>
      <x:c r="I18" s="301" t="str">
        <x:v>R1-W1-08</x:v>
      </x:c>
      <x:c r="J18" s="301" t="str">
        <x:v>T-092 + T-231 + T-210; start when customer structure arrives.</x:v>
      </x:c>
      <x:c r="K18" s="2" t="str">
        <x:v>Own canonical intake/report integration.</x:v>
      </x:c>
      <x:c r="L18" s="2" t="str">
        <x:v>Deliver 48–72h assessment.</x:v>
      </x:c>
    </x:row>
    <x:row r="19" ht="45">
      <x:c r="A19" s="301" t="n">
        <x:v>14</x:v>
      </x:c>
      <x:c r="B19" s="301" t="str">
        <x:v>T-224</x:v>
      </x:c>
      <x:c r="C19" s="301" t="str">
        <x:v>M3</x:v>
      </x:c>
      <x:c r="D19" s="301" t="str">
        <x:v>M3-P0</x:v>
      </x:c>
      <x:c r="E19" s="301" t="str">
        <x:v>Production OPC UA edge runtime: endpoint security, certificates and session lifecycle</x:v>
      </x:c>
      <x:c r="F19" s="302" t="n">
        <x:v>12</x:v>
      </x:c>
      <x:c r="G19" s="302" t="n">
        <x:v>4</x:v>
      </x:c>
      <x:c r="H19" s="302" t="n">
        <x:v>7.2</x:v>
      </x:c>
      <x:c r="I19" s="301" t="str">
        <x:v>PILOT-W1-01</x:v>
      </x:c>
      <x:c r="J19" s="301" t="str">
        <x:v>Post-30-Sep unless customer OT access earlier; T-207 green.</x:v>
      </x:c>
      <x:c r="K19" s="2" t="str">
        <x:v>Own OT edge runtime.</x:v>
      </x:c>
      <x:c r="L19" s="2" t="str">
        <x:v>Pilot gate.</x:v>
      </x:c>
    </x:row>
    <x:row r="20" ht="60">
      <x:c r="A20" s="301" t="n">
        <x:v>15</x:v>
      </x:c>
      <x:c r="B20" s="301" t="str">
        <x:v>T-225</x:v>
      </x:c>
      <x:c r="C20" s="301" t="str">
        <x:v>M3</x:v>
      </x:c>
      <x:c r="D20" s="301" t="str">
        <x:v>M3-P0</x:v>
      </x:c>
      <x:c r="E20" s="301" t="str">
        <x:v>Production OPC UA edge runtime: browse, registration, subscription and monitored items</x:v>
      </x:c>
      <x:c r="F20" s="302" t="n">
        <x:v>12</x:v>
      </x:c>
      <x:c r="G20" s="302" t="n">
        <x:v>4</x:v>
      </x:c>
      <x:c r="H20" s="302" t="n">
        <x:v>7.2</x:v>
      </x:c>
      <x:c r="I20" s="301" t="str">
        <x:v>PILOT-W1-02</x:v>
      </x:c>
      <x:c r="J20" s="301" t="str">
        <x:v>T-224.</x:v>
      </x:c>
      <x:c r="K20" s="2" t="str">
        <x:v>Own OT edge runtime.</x:v>
      </x:c>
      <x:c r="L20" s="2" t="str">
        <x:v>Pilot gate.</x:v>
      </x:c>
    </x:row>
    <x:row r="21" ht="45">
      <x:c r="A21" s="301" t="n">
        <x:v>16</x:v>
      </x:c>
      <x:c r="B21" s="301" t="str">
        <x:v>T-226</x:v>
      </x:c>
      <x:c r="C21" s="301" t="str">
        <x:v>M3</x:v>
      </x:c>
      <x:c r="D21" s="301" t="str">
        <x:v>M3-P0</x:v>
      </x:c>
      <x:c r="E21" s="301" t="str">
        <x:v>Production OPC UA edge runtime: quality/timestamps, recovery and spool-to-canonical proof</x:v>
      </x:c>
      <x:c r="F21" s="302" t="n">
        <x:v>12</x:v>
      </x:c>
      <x:c r="G21" s="302" t="n">
        <x:v>4</x:v>
      </x:c>
      <x:c r="H21" s="302" t="n">
        <x:v>7.2</x:v>
      </x:c>
      <x:c r="I21" s="301" t="str">
        <x:v>PILOT-W1-03</x:v>
      </x:c>
      <x:c r="J21" s="301" t="str">
        <x:v>T-225 + T-216 Source Time Authority.</x:v>
      </x:c>
      <x:c r="K21" s="2" t="s">
        <x:v>559</x:v>
      </x:c>
      <x:c r="L21" s="2" t="s">
        <x:v>309</x:v>
      </x:c>
    </x:row>
    <x:row r="22" ht="45">
      <x:c r="A22" s="301" t="n">
        <x:v>17</x:v>
      </x:c>
      <x:c r="B22" s="301" t="str">
        <x:v>T-227</x:v>
      </x:c>
      <x:c r="C22" s="301" t="str">
        <x:v>M3</x:v>
      </x:c>
      <x:c r="D22" s="301" t="str">
        <x:v>M3-P0</x:v>
      </x:c>
      <x:c r="E22" s="301" t="str">
        <x:v>Pilot Success Contract and evidence scorecard</x:v>
      </x:c>
      <x:c r="F22" s="302" t="n">
        <x:v>6</x:v>
      </x:c>
      <x:c r="G22" s="302" t="n">
        <x:v>1.5</x:v>
      </x:c>
      <x:c r="H22" s="302" t="n">
        <x:v>2.25</x:v>
      </x:c>
      <x:c r="I22" s="301" t="str">
        <x:v>PILOT-W1-00</x:v>
      </x:c>
      <x:c r="J22" s="301" t="str">
        <x:v>Prepare before installation; can start after customer data assessment T-213.</x:v>
      </x:c>
      <x:c r="K22" s="2" t="s">
        <x:v>559</x:v>
      </x:c>
      <x:c r="L22" s="2" t="s">
        <x:v>309</x:v>
      </x:c>
    </x:row>
    <x:row r="23" ht="45">
      <x:c r="A23" s="301" t="n">
        <x:v>18</x:v>
      </x:c>
      <x:c r="B23" s="301" t="str">
        <x:v>T-235</x:v>
      </x:c>
      <x:c r="C23" s="301" t="str">
        <x:v>M2a</x:v>
      </x:c>
      <x:c r="D23" s="301" t="str">
        <x:v>M2a-P1X</x:v>
      </x:c>
      <x:c r="E23" s="301" t="str">
        <x:v>Persist transition/stabilisation authority and regime context</x:v>
      </x:c>
      <x:c r="F23" s="302" t="n">
        <x:v>8</x:v>
      </x:c>
      <x:c r="G23" s="302" t="n">
        <x:v>2</x:v>
      </x:c>
      <x:c r="H23" s="302" t="n">
        <x:v>3.4</x:v>
      </x:c>
      <x:c r="I23" s="301" t="str">
        <x:v>R1-W1-11</x:v>
      </x:c>
      <x:c r="J23" s="301" t="str">
        <x:v>T-090 + T-231 + T-234.</x:v>
      </x:c>
      <x:c r="K23" s="2" t="str">
        <x:v>Own canonical process-regime persistence.</x:v>
      </x:c>
      <x:c r="L23" s="2" t="str">
        <x:v>Commit before customer steady-state analytics use canonical regime context.</x:v>
      </x:c>
    </x:row>
    <x:row r="24" ht="45">
      <x:c r="A24" s="301" t="n">
        <x:v>19</x:v>
      </x:c>
      <x:c r="B24" s="301" t="str">
        <x:v>T-239</x:v>
      </x:c>
      <x:c r="C24" s="301" t="str">
        <x:v>M2a</x:v>
      </x:c>
      <x:c r="D24" s="301" t="str">
        <x:v>M2a-P1X</x:v>
      </x:c>
      <x:c r="E24" s="301" t="str">
        <x:v>Persist Objective Set and preference authority</x:v>
      </x:c>
      <x:c r="F24" s="302" t="n">
        <x:v>8</x:v>
      </x:c>
      <x:c r="G24" s="302" t="n">
        <x:v>2</x:v>
      </x:c>
      <x:c r="H24" s="302" t="n">
        <x:v>3.4</x:v>
      </x:c>
      <x:c r="I24" s="301" t="str">
        <x:v>POSTSEP-W1-01</x:v>
      </x:c>
      <x:c r="J24" s="301" t="str">
        <x:v>T-090 + T-214 + T-238.</x:v>
      </x:c>
      <x:c r="K24" s="2" t="str">
        <x:v>Own objective-set persistence.</x:v>
      </x:c>
      <x:c r="L24" s="2" t="str">
        <x:v>Post-Sep; T-240 consumes committed persistence.</x:v>
      </x:c>
    </x:row>
    <x:row r="25" ht="45">
      <x:c r="A25" s="362" t="str">
        <x:v>Worker 2 — BI Release Truth / Customer Surface Queue</x:v>
      </x:c>
      <x:c r="B25" s="362"/>
      <x:c r="C25" s="362"/>
      <x:c r="D25" s="362"/>
      <x:c r="E25" s="362"/>
      <x:c r="F25" s="441"/>
      <x:c r="G25" s="441"/>
      <x:c r="H25" s="441"/>
      <x:c r="I25" s="362"/>
      <x:c r="J25" s="362"/>
      <x:c r="K25" s="2" t="s">
        <x:v>559</x:v>
      </x:c>
      <x:c r="L25" s="2" t="s">
        <x:v>309</x:v>
      </x:c>
    </x:row>
    <x:row r="26" ht="45">
      <x:c r="A26" s="434" t="str">
        <x:v>Seq</x:v>
      </x:c>
      <x:c r="B26" s="434" t="str">
        <x:v>Task</x:v>
      </x:c>
      <x:c r="C26" s="434" t="str">
        <x:v>Milestone</x:v>
      </x:c>
      <x:c r="D26" s="434" t="str">
        <x:v>Phase</x:v>
      </x:c>
      <x:c r="E26" s="434" t="str">
        <x:v>Task Name</x:v>
      </x:c>
      <x:c r="F26" s="435" t="str">
        <x:v>Traditional h</x:v>
      </x:c>
      <x:c r="G26" s="435" t="str">
        <x:v>P50 h</x:v>
      </x:c>
      <x:c r="H26" s="435" t="str">
        <x:v>P80 h</x:v>
      </x:c>
      <x:c r="I26" s="434" t="str">
        <x:v>Wave</x:v>
      </x:c>
      <x:c r="J26" s="434" t="str">
        <x:v>Start Gate</x:v>
      </x:c>
      <x:c r="K26" s="2" t="s">
        <x:v>559</x:v>
      </x:c>
      <x:c r="L26" s="2" t="s">
        <x:v>309</x:v>
      </x:c>
    </x:row>
    <x:row r="27" ht="45">
      <x:c r="A27" s="301" t="n">
        <x:v>1</x:v>
      </x:c>
      <x:c r="B27" s="301" t="str">
        <x:v>T-202</x:v>
      </x:c>
      <x:c r="C27" s="301" t="str">
        <x:v>M2a</x:v>
      </x:c>
      <x:c r="D27" s="301" t="str">
        <x:v>M2a-P0</x:v>
      </x:c>
      <x:c r="E27" s="301" t="str">
        <x:v>Persisted page/widget definition replay gate</x:v>
      </x:c>
      <x:c r="F27" s="302" t="n">
        <x:v>10</x:v>
      </x:c>
      <x:c r="G27" s="302" t="n">
        <x:v>2.5</x:v>
      </x:c>
      <x:c r="H27" s="302" t="n">
        <x:v>4</x:v>
      </x:c>
      <x:c r="I27" s="301" t="str">
        <x:v>R0-W2-01</x:v>
      </x:c>
      <x:c r="J27" s="301" t="str">
        <x:v>T-201 committed/frozen baseline.</x:v>
      </x:c>
      <x:c r="K27" s="2" t="s">
        <x:v>559</x:v>
      </x:c>
      <x:c r="L27" s="2" t="s">
        <x:v>309</x:v>
      </x:c>
    </x:row>
    <x:row r="28" ht="45">
      <x:c r="A28" s="301" t="n">
        <x:v>2</x:v>
      </x:c>
      <x:c r="B28" s="301" t="str">
        <x:v>T-203</x:v>
      </x:c>
      <x:c r="C28" s="301" t="str">
        <x:v>M2a</x:v>
      </x:c>
      <x:c r="D28" s="301" t="str">
        <x:v>M2a-P0</x:v>
      </x:c>
      <x:c r="E28" s="301" t="str">
        <x:v>Customer-route network, console and widget-state invariant</x:v>
      </x:c>
      <x:c r="F28" s="302" t="n">
        <x:v>10</x:v>
      </x:c>
      <x:c r="G28" s="302" t="n">
        <x:v>2.5</x:v>
      </x:c>
      <x:c r="H28" s="302" t="n">
        <x:v>4</x:v>
      </x:c>
      <x:c r="I28" s="301" t="str">
        <x:v>R0-W2-02</x:v>
      </x:c>
      <x:c r="J28" s="301" t="str">
        <x:v>T-201; may run in parallel with T-202 on non-overlapping test files.</x:v>
      </x:c>
      <x:c r="K28" s="2" t="s">
        <x:v>559</x:v>
      </x:c>
      <x:c r="L28" s="2" t="s">
        <x:v>309</x:v>
      </x:c>
    </x:row>
    <x:row r="29" ht="60">
      <x:c r="A29" s="301" t="n">
        <x:v>3</x:v>
      </x:c>
      <x:c r="B29" s="301" t="str">
        <x:v>T-204</x:v>
      </x:c>
      <x:c r="C29" s="301" t="str">
        <x:v>M2a</x:v>
      </x:c>
      <x:c r="D29" s="301" t="str">
        <x:v>M2a-P0</x:v>
      </x:c>
      <x:c r="E29" s="301" t="str">
        <x:v>Associative cross-filter state-machine certification</x:v>
      </x:c>
      <x:c r="F29" s="302" t="n">
        <x:v>10</x:v>
      </x:c>
      <x:c r="G29" s="302" t="n">
        <x:v>2.5</x:v>
      </x:c>
      <x:c r="H29" s="302" t="n">
        <x:v>4.25</x:v>
      </x:c>
      <x:c r="I29" s="301" t="str">
        <x:v>R0-W2-03</x:v>
      </x:c>
      <x:c r="J29" s="301" t="str">
        <x:v>T-201; resolve current associative ownership first.</x:v>
      </x:c>
      <x:c r="K29" s="2" t="s">
        <x:v>559</x:v>
      </x:c>
      <x:c r="L29" s="2" t="s">
        <x:v>309</x:v>
      </x:c>
    </x:row>
    <x:row r="30" ht="45">
      <x:c r="A30" s="301" t="n">
        <x:v>4</x:v>
      </x:c>
      <x:c r="B30" s="301" t="str">
        <x:v>T-205</x:v>
      </x:c>
      <x:c r="C30" s="301" t="str">
        <x:v>M2a</x:v>
      </x:c>
      <x:c r="D30" s="301" t="str">
        <x:v>M2a-P0</x:v>
      </x:c>
      <x:c r="E30" s="301" t="str">
        <x:v>Frontend global suite termination and machine-readable gate</x:v>
      </x:c>
      <x:c r="F30" s="302" t="n">
        <x:v>8</x:v>
      </x:c>
      <x:c r="G30" s="302" t="n">
        <x:v>2</x:v>
      </x:c>
      <x:c r="H30" s="302" t="n">
        <x:v>3.2</x:v>
      </x:c>
      <x:c r="I30" s="301" t="str">
        <x:v>R0-W2-04</x:v>
      </x:c>
      <x:c r="J30" s="301" t="str">
        <x:v>T-201; independent of T-202/T-204 if test-runner files do not overlap.</x:v>
      </x:c>
      <x:c r="K30" s="2" t="s">
        <x:v>559</x:v>
      </x:c>
      <x:c r="L30" s="2" t="s">
        <x:v>309</x:v>
      </x:c>
    </x:row>
    <x:row r="31" ht="60">
      <x:c r="A31" s="301" t="n">
        <x:v>5</x:v>
      </x:c>
      <x:c r="B31" s="301" t="str">
        <x:v>T-212</x:v>
      </x:c>
      <x:c r="C31" s="301" t="str">
        <x:v>M2a</x:v>
      </x:c>
      <x:c r="D31" s="301" t="str">
        <x:v>M2a-P1X</x:v>
      </x:c>
      <x:c r="E31" s="301" t="str">
        <x:v>Integrate aggregation semantics into Layer-A widget/query execution</x:v>
      </x:c>
      <x:c r="F31" s="302" t="n">
        <x:v>10</x:v>
      </x:c>
      <x:c r="G31" s="302" t="n">
        <x:v>2.857142857142857</x:v>
      </x:c>
      <x:c r="H31" s="302" t="n">
        <x:v>5.142857142857143</x:v>
      </x:c>
      <x:c r="I31" s="301" t="str">
        <x:v>R1-W2-05</x:v>
      </x:c>
      <x:c r="J31" s="301" t="str">
        <x:v>T-202 + T-210 + T-211 + T-092 registry projection.</x:v>
      </x:c>
      <x:c r="K31" s="2" t="s">
        <x:v>559</x:v>
      </x:c>
      <x:c r="L31" s="2" t="s">
        <x:v>309</x:v>
      </x:c>
    </x:row>
    <x:row r="32" ht="45">
      <x:c r="A32" s="301" t="n">
        <x:v>6</x:v>
      </x:c>
      <x:c r="B32" s="301" t="str">
        <x:v>T-215</x:v>
      </x:c>
      <x:c r="C32" s="301" t="str">
        <x:v>M2a</x:v>
      </x:c>
      <x:c r="D32" s="301" t="str">
        <x:v>M2a-P1X</x:v>
      </x:c>
      <x:c r="E32" s="301" t="str">
        <x:v>Reference gap, attainment and envelope measures in registry/BI</x:v>
      </x:c>
      <x:c r="F32" s="302" t="n">
        <x:v>10</x:v>
      </x:c>
      <x:c r="G32" s="302" t="n">
        <x:v>2.5</x:v>
      </x:c>
      <x:c r="H32" s="302" t="n">
        <x:v>4</x:v>
      </x:c>
      <x:c r="I32" s="301" t="str">
        <x:v>R1-W2-06</x:v>
      </x:c>
      <x:c r="J32" s="301" t="str">
        <x:v>T-092 + T-214.</x:v>
      </x:c>
      <x:c r="K32" s="2" t="s">
        <x:v>559</x:v>
      </x:c>
      <x:c r="L32" s="2" t="s">
        <x:v>718</x:v>
      </x:c>
    </x:row>
    <x:row r="33" ht="60">
      <x:c r="A33" s="301" t="n">
        <x:v>7</x:v>
      </x:c>
      <x:c r="B33" s="301" t="str">
        <x:v>T-222</x:v>
      </x:c>
      <x:c r="C33" s="301" t="str">
        <x:v>M2b</x:v>
      </x:c>
      <x:c r="D33" s="301" t="str">
        <x:v>M2b-P0C</x:v>
      </x:c>
      <x:c r="E33" s="301" t="str">
        <x:v>D1/D4 reconciliation evidence surface and reference overlay</x:v>
      </x:c>
      <x:c r="F33" s="302" t="n">
        <x:v>10</x:v>
      </x:c>
      <x:c r="G33" s="302" t="n">
        <x:v>2.5</x:v>
      </x:c>
      <x:c r="H33" s="302" t="n">
        <x:v>4.25</x:v>
      </x:c>
      <x:c r="I33" s="301" t="str">
        <x:v>R2-W2-07</x:v>
      </x:c>
      <x:c r="J33" s="301" t="str">
        <x:v>T-219/T-220 + T-215 + T-203/T-204 gates; no T-221 persistence wait.</x:v>
      </x:c>
      <x:c r="K33" s="2" t="s">
        <x:v>559</x:v>
      </x:c>
      <x:c r="L33" s="2" t="s">
        <x:v>718</x:v>
      </x:c>
    </x:row>
    <x:row r="34" ht="45">
      <x:c r="A34" s="301" t="n">
        <x:v>8</x:v>
      </x:c>
      <x:c r="B34" s="301" t="str">
        <x:v>T-237</x:v>
      </x:c>
      <x:c r="C34" s="301" t="str">
        <x:v>M2a</x:v>
      </x:c>
      <x:c r="D34" s="301" t="str">
        <x:v>M2a-P1X</x:v>
      </x:c>
      <x:c r="E34" s="301" t="str">
        <x:v>Operational Period Driver Decomposition exact API/evidence</x:v>
      </x:c>
      <x:c r="F34" s="302" t="n">
        <x:v>10</x:v>
      </x:c>
      <x:c r="G34" s="302" t="n">
        <x:v>2.5</x:v>
      </x:c>
      <x:c r="H34" s="302" t="n">
        <x:v>4.25</x:v>
      </x:c>
      <x:c r="I34" s="301" t="str">
        <x:v>R2-W2-08</x:v>
      </x:c>
      <x:c r="J34" s="301" t="str">
        <x:v>T-092 + T-235.</x:v>
      </x:c>
      <x:c r="K34" s="2" t="str">
        <x:v>Own Layer-A exact period comparison.</x:v>
      </x:c>
      <x:c r="L34" s="2" t="str">
        <x:v>Optional Sep value story; T-164 later consumes quantities.</x:v>
      </x:c>
    </x:row>
    <x:row r="35" ht="45">
      <x:c r="A35" s="301"/>
      <x:c r="B35" s="301"/>
      <x:c r="C35" s="301"/>
      <x:c r="D35" s="301"/>
      <x:c r="E35" s="301"/>
      <x:c r="F35" s="302"/>
      <x:c r="G35" s="302"/>
      <x:c r="H35" s="302"/>
      <x:c r="I35" s="301"/>
      <x:c r="J35" s="301"/>
      <x:c r="K35" s="2" t="s">
        <x:v>559</x:v>
      </x:c>
      <x:c r="L35" s="2" t="s">
        <x:v>309</x:v>
      </x:c>
    </x:row>
    <x:row r="36" ht="45">
      <x:c r="A36" s="362" t="str">
        <x:v>Worker 3 — Generic Kernels / Intelligence Queue</x:v>
      </x:c>
      <x:c r="B36" s="362"/>
      <x:c r="C36" s="362"/>
      <x:c r="D36" s="362"/>
      <x:c r="E36" s="362"/>
      <x:c r="F36" s="441"/>
      <x:c r="G36" s="441"/>
      <x:c r="H36" s="441"/>
      <x:c r="I36" s="362"/>
      <x:c r="J36" s="362"/>
      <x:c r="K36" s="2" t="s">
        <x:v>559</x:v>
      </x:c>
      <x:c r="L36" s="2" t="s">
        <x:v>309</x:v>
      </x:c>
    </x:row>
    <x:row r="37" ht="45">
      <x:c r="A37" s="434" t="str">
        <x:v>Seq</x:v>
      </x:c>
      <x:c r="B37" s="434" t="str">
        <x:v>Task</x:v>
      </x:c>
      <x:c r="C37" s="434" t="str">
        <x:v>Milestone</x:v>
      </x:c>
      <x:c r="D37" s="434" t="str">
        <x:v>Phase</x:v>
      </x:c>
      <x:c r="E37" s="434" t="str">
        <x:v>Task Name</x:v>
      </x:c>
      <x:c r="F37" s="435" t="str">
        <x:v>Traditional h</x:v>
      </x:c>
      <x:c r="G37" s="435" t="str">
        <x:v>P50 h</x:v>
      </x:c>
      <x:c r="H37" s="435" t="str">
        <x:v>P80 h</x:v>
      </x:c>
      <x:c r="I37" s="434" t="str">
        <x:v>Wave</x:v>
      </x:c>
      <x:c r="J37" s="434" t="str">
        <x:v>Start Gate</x:v>
      </x:c>
      <x:c r="K37" s="2" t="s">
        <x:v>559</x:v>
      </x:c>
      <x:c r="L37" s="2" t="s">
        <x:v>309</x:v>
      </x:c>
    </x:row>
    <x:row r="38" ht="45">
      <x:c r="A38" s="301" t="n">
        <x:v>1</x:v>
      </x:c>
      <x:c r="B38" s="301" t="str">
        <x:v>T-206</x:v>
      </x:c>
      <x:c r="C38" s="301" t="str">
        <x:v>M2a</x:v>
      </x:c>
      <x:c r="D38" s="301" t="str">
        <x:v>M2a-P0</x:v>
      </x:c>
      <x:c r="E38" s="301" t="str">
        <x:v>Scope-aware genericity architecture gate</x:v>
      </x:c>
      <x:c r="F38" s="302" t="n">
        <x:v>8</x:v>
      </x:c>
      <x:c r="G38" s="302" t="n">
        <x:v>1.3333333333</x:v>
      </x:c>
      <x:c r="H38" s="302" t="n">
        <x:v>2</x:v>
      </x:c>
      <x:c r="I38" s="301" t="str">
        <x:v>R0-W3-01</x:v>
      </x:c>
      <x:c r="J38" s="301" t="str">
        <x:v>T-201; isolated architecture tests.</x:v>
      </x:c>
      <x:c r="K38" s="2" t="str">
        <x:v>Own genericity tests only.</x:v>
      </x:c>
      <x:c r="L38" s="2" t="str">
        <x:v>Commit findings to product owners.</x:v>
      </x:c>
    </x:row>
    <x:row r="39" ht="45">
      <x:c r="A39" s="301" t="n">
        <x:v>2</x:v>
      </x:c>
      <x:c r="B39" s="301" t="str">
        <x:v>T-208</x:v>
      </x:c>
      <x:c r="C39" s="301" t="str">
        <x:v>M2a</x:v>
      </x:c>
      <x:c r="D39" s="301" t="str">
        <x:v>M2a-P0</x:v>
      </x:c>
      <x:c r="E39" s="301" t="str">
        <x:v>Generic controlled validation fixture authority</x:v>
      </x:c>
      <x:c r="F39" s="302" t="n">
        <x:v>10</x:v>
      </x:c>
      <x:c r="G39" s="302" t="n">
        <x:v>1.6666666667</x:v>
      </x:c>
      <x:c r="H39" s="302" t="n">
        <x:v>2.5</x:v>
      </x:c>
      <x:c r="I39" s="301" t="str">
        <x:v>R0-W3-02</x:v>
      </x:c>
      <x:c r="J39" s="301" t="str">
        <x:v>T-201; no production DB.</x:v>
      </x:c>
      <x:c r="K39" s="2" t="str">
        <x:v>Own fixture/test assets.</x:v>
      </x:c>
      <x:c r="L39" s="2" t="str">
        <x:v>Consumed by semantic/time/reconciliation kernels.</x:v>
      </x:c>
    </x:row>
    <x:row r="40" ht="45">
      <x:c r="A40" s="301" t="n">
        <x:v>3</x:v>
      </x:c>
      <x:c r="B40" s="301" t="str">
        <x:v>T-209</x:v>
      </x:c>
      <x:c r="C40" s="301" t="str">
        <x:v>M2a</x:v>
      </x:c>
      <x:c r="D40" s="301" t="str">
        <x:v>M2a-P1X</x:v>
      </x:c>
      <x:c r="E40" s="301" t="str">
        <x:v>Analysis Subject and Grain contract/kernel</x:v>
      </x:c>
      <x:c r="F40" s="302" t="n">
        <x:v>6</x:v>
      </x:c>
      <x:c r="G40" s="302" t="n">
        <x:v>1</x:v>
      </x:c>
      <x:c r="H40" s="302" t="n">
        <x:v>1.5</x:v>
      </x:c>
      <x:c r="I40" s="301" t="str">
        <x:v>R1-W3-00</x:v>
      </x:c>
      <x:c r="J40" s="301" t="str">
        <x:v>T-208.</x:v>
      </x:c>
      <x:c r="K40" s="2" t="str">
        <x:v>Own contract/kernel only.</x:v>
      </x:c>
      <x:c r="L40" s="2" t="str">
        <x:v>T-231 persists unchanged contract.</x:v>
      </x:c>
    </x:row>
    <x:row r="41" ht="45">
      <x:c r="A41" s="301" t="n">
        <x:v>4</x:v>
      </x:c>
      <x:c r="B41" s="301" t="str">
        <x:v>T-214</x:v>
      </x:c>
      <x:c r="C41" s="301" t="str">
        <x:v>M2a</x:v>
      </x:c>
      <x:c r="D41" s="301" t="str">
        <x:v>M2a-P1X</x:v>
      </x:c>
      <x:c r="E41" s="301" t="str">
        <x:v>Performance Reference contract/resolution kernel</x:v>
      </x:c>
      <x:c r="F41" s="302" t="n">
        <x:v>6</x:v>
      </x:c>
      <x:c r="G41" s="302" t="n">
        <x:v>1</x:v>
      </x:c>
      <x:c r="H41" s="302" t="n">
        <x:v>1.5</x:v>
      </x:c>
      <x:c r="I41" s="301" t="str">
        <x:v>R1-W3-01</x:v>
      </x:c>
      <x:c r="J41" s="301" t="str">
        <x:v>T-209.</x:v>
      </x:c>
      <x:c r="K41" s="2" t="str">
        <x:v>Own reference semantics only.</x:v>
      </x:c>
      <x:c r="L41" s="2" t="str">
        <x:v>T-232 persists; T-215 consumes.</x:v>
      </x:c>
    </x:row>
    <x:row r="42" ht="45">
      <x:c r="A42" s="301" t="n">
        <x:v>5</x:v>
      </x:c>
      <x:c r="B42" s="301" t="str">
        <x:v>T-216</x:v>
      </x:c>
      <x:c r="C42" s="301" t="str">
        <x:v>M2a</x:v>
      </x:c>
      <x:c r="D42" s="301" t="str">
        <x:v>M2a-P1X</x:v>
      </x:c>
      <x:c r="E42" s="301" t="str">
        <x:v>Source Time Authority contract/kernel</x:v>
      </x:c>
      <x:c r="F42" s="302" t="n">
        <x:v>5</x:v>
      </x:c>
      <x:c r="G42" s="302" t="n">
        <x:v>0.8333333333</x:v>
      </x:c>
      <x:c r="H42" s="302" t="n">
        <x:v>1.25</x:v>
      </x:c>
      <x:c r="I42" s="301" t="str">
        <x:v>R1-W3-02</x:v>
      </x:c>
      <x:c r="J42" s="301" t="str">
        <x:v>T-208.</x:v>
      </x:c>
      <x:c r="K42" s="2" t="str">
        <x:v>Own time semantics only.</x:v>
      </x:c>
      <x:c r="L42" s="2" t="str">
        <x:v>T-233 persists; T-217 consumes immediately.</x:v>
      </x:c>
    </x:row>
    <x:row r="43" ht="45">
      <x:c r="A43" s="301" t="n">
        <x:v>6</x:v>
      </x:c>
      <x:c r="B43" s="301" t="str">
        <x:v>T-211</x:v>
      </x:c>
      <x:c r="C43" s="301" t="str">
        <x:v>M2b</x:v>
      </x:c>
      <x:c r="D43" s="301" t="str">
        <x:v>M2b-P0C</x:v>
      </x:c>
      <x:c r="E43" s="301" t="str">
        <x:v>Aggregation semantics execution kernel</x:v>
      </x:c>
      <x:c r="F43" s="302" t="n">
        <x:v>10</x:v>
      </x:c>
      <x:c r="G43" s="302" t="n">
        <x:v>1.6666666667</x:v>
      </x:c>
      <x:c r="H43" s="302" t="n">
        <x:v>2.5</x:v>
      </x:c>
      <x:c r="I43" s="301" t="str">
        <x:v>R1-W3-03</x:v>
      </x:c>
      <x:c r="J43" s="301" t="str">
        <x:v>T-208 + T-210 contract.</x:v>
      </x:c>
      <x:c r="K43" s="2" t="str">
        <x:v>Own analytics kernel/tests.</x:v>
      </x:c>
      <x:c r="L43" s="2" t="str">
        <x:v>T-212 integrates.</x:v>
      </x:c>
    </x:row>
    <x:row r="44" ht="45">
      <x:c r="A44" s="301" t="n">
        <x:v>7</x:v>
      </x:c>
      <x:c r="B44" s="301" t="str">
        <x:v>T-217</x:v>
      </x:c>
      <x:c r="C44" s="301" t="str">
        <x:v>M2b</x:v>
      </x:c>
      <x:c r="D44" s="301" t="str">
        <x:v>M2b-P0C</x:v>
      </x:c>
      <x:c r="E44" s="301" t="str">
        <x:v>Temporal evidence alignment kernel</x:v>
      </x:c>
      <x:c r="F44" s="302" t="n">
        <x:v>10</x:v>
      </x:c>
      <x:c r="G44" s="302" t="n">
        <x:v>1.6666666667</x:v>
      </x:c>
      <x:c r="H44" s="302" t="n">
        <x:v>2.5</x:v>
      </x:c>
      <x:c r="I44" s="301" t="str">
        <x:v>R1-W3-04</x:v>
      </x:c>
      <x:c r="J44" s="301" t="str">
        <x:v>T-208 + T-216 contract.</x:v>
      </x:c>
      <x:c r="K44" s="2" t="str">
        <x:v>Own temporal kernel.</x:v>
      </x:c>
      <x:c r="L44" s="2" t="str">
        <x:v>T-219 consumes.</x:v>
      </x:c>
    </x:row>
    <x:row r="45" ht="45">
      <x:c r="A45" s="301" t="n">
        <x:v>8</x:v>
      </x:c>
      <x:c r="B45" s="301" t="str">
        <x:v>T-218</x:v>
      </x:c>
      <x:c r="C45" s="301" t="str">
        <x:v>M2b</x:v>
      </x:c>
      <x:c r="D45" s="301" t="str">
        <x:v>M2b-P0C</x:v>
      </x:c>
      <x:c r="E45" s="301" t="str">
        <x:v>Fact Evidence Authority resolution kernel</x:v>
      </x:c>
      <x:c r="F45" s="302" t="n">
        <x:v>8</x:v>
      </x:c>
      <x:c r="G45" s="302" t="n">
        <x:v>1.3333333333</x:v>
      </x:c>
      <x:c r="H45" s="302" t="n">
        <x:v>2</x:v>
      </x:c>
      <x:c r="I45" s="301" t="str">
        <x:v>R2-W3-05</x:v>
      </x:c>
      <x:c r="J45" s="301" t="str">
        <x:v>T-208.</x:v>
      </x:c>
      <x:c r="K45" s="2" t="str">
        <x:v>Own evidence-authority kernel.</x:v>
      </x:c>
      <x:c r="L45" s="2" t="str">
        <x:v>T-219 consumes.</x:v>
      </x:c>
    </x:row>
    <x:row r="46" ht="45">
      <x:c r="A46" s="301" t="n">
        <x:v>9</x:v>
      </x:c>
      <x:c r="B46" s="301" t="str">
        <x:v>T-219</x:v>
      </x:c>
      <x:c r="C46" s="301" t="str">
        <x:v>M2b</x:v>
      </x:c>
      <x:c r="D46" s="301" t="str">
        <x:v>M2b-P0C</x:v>
      </x:c>
      <x:c r="E46" s="301" t="str">
        <x:v>Operational Evidence Reconciliation kernel</x:v>
      </x:c>
      <x:c r="F46" s="302" t="n">
        <x:v>12</x:v>
      </x:c>
      <x:c r="G46" s="302" t="n">
        <x:v>2</x:v>
      </x:c>
      <x:c r="H46" s="302" t="n">
        <x:v>3.2</x:v>
      </x:c>
      <x:c r="I46" s="301" t="str">
        <x:v>R2-W3-06</x:v>
      </x:c>
      <x:c r="J46" s="301" t="str">
        <x:v>T-217 + T-218 + T-236 regime guard.</x:v>
      </x:c>
      <x:c r="K46" s="2" t="str">
        <x:v>Own reconciliation kernel.</x:v>
      </x:c>
      <x:c r="L46" s="2" t="str">
        <x:v>T-220/T-222/T-223 consume; no customer-history reconciliation bypasses RG01.</x:v>
      </x:c>
    </x:row>
    <x:row r="47" ht="45">
      <x:c r="A47" s="301" t="n">
        <x:v>10</x:v>
      </x:c>
      <x:c r="B47" s="301" t="str">
        <x:v>T-220</x:v>
      </x:c>
      <x:c r="C47" s="301" t="str">
        <x:v>M2b</x:v>
      </x:c>
      <x:c r="D47" s="301" t="str">
        <x:v>M2b-P0C</x:v>
      </x:c>
      <x:c r="E47" s="301" t="str">
        <x:v>Causal Confidence Ladder evaluator</x:v>
      </x:c>
      <x:c r="F47" s="302" t="n">
        <x:v>8</x:v>
      </x:c>
      <x:c r="G47" s="302" t="n">
        <x:v>1.3333333333</x:v>
      </x:c>
      <x:c r="H47" s="302" t="n">
        <x:v>2</x:v>
      </x:c>
      <x:c r="I47" s="301" t="str">
        <x:v>R2-W3-07</x:v>
      </x:c>
      <x:c r="J47" s="301" t="str">
        <x:v>T-219.</x:v>
      </x:c>
      <x:c r="K47" s="2" t="str">
        <x:v>Own claim-governance kernel.</x:v>
      </x:c>
      <x:c r="L47" s="2" t="str">
        <x:v>T-221/T-223 consume.</x:v>
      </x:c>
    </x:row>
    <x:row r="48" ht="45">
      <x:c r="A48" s="301" t="n">
        <x:v>11</x:v>
      </x:c>
      <x:c r="B48" s="301" t="str">
        <x:v>T-223</x:v>
      </x:c>
      <x:c r="C48" s="301" t="str">
        <x:v>M2b</x:v>
      </x:c>
      <x:c r="D48" s="301" t="str">
        <x:v>M2b-P0C</x:v>
      </x:c>
      <x:c r="E48" s="301" t="str">
        <x:v>Grounded Assistant reconciliation/reference tool</x:v>
      </x:c>
      <x:c r="F48" s="302" t="n">
        <x:v>10</x:v>
      </x:c>
      <x:c r="G48" s="302" t="n">
        <x:v>2.5</x:v>
      </x:c>
      <x:c r="H48" s="302" t="n">
        <x:v>4.25</x:v>
      </x:c>
      <x:c r="I48" s="301" t="str">
        <x:v>R2-W3-09</x:v>
      </x:c>
      <x:c r="J48" s="301" t="str">
        <x:v>T-179/T-180/T-181 + T-214 + T-219/T-220; consumes transition/stabilisation evidence through T-219/T-236.</x:v>
      </x:c>
      <x:c r="K48" s="2" t="str">
        <x:v>Own Assistant tool/verifier only.</x:v>
      </x:c>
      <x:c r="L48" s="2" t="str">
        <x:v>September consumer of governed reconciliation result seam; no Insight Composer dependency.</x:v>
      </x:c>
    </x:row>
    <x:row r="49" ht="45">
      <x:c r="A49" s="301" t="n">
        <x:v>12</x:v>
      </x:c>
      <x:c r="B49" s="301" t="str">
        <x:v>T-221</x:v>
      </x:c>
      <x:c r="C49" s="301" t="str">
        <x:v>M2b</x:v>
      </x:c>
      <x:c r="D49" s="301" t="str">
        <x:v>M2b-P1</x:v>
      </x:c>
      <x:c r="E49" s="301" t="str">
        <x:v>Canonical reconciliation persistence/evidence source</x:v>
      </x:c>
      <x:c r="F49" s="302" t="n">
        <x:v>12</x:v>
      </x:c>
      <x:c r="G49" s="302" t="n">
        <x:v>3</x:v>
      </x:c>
      <x:c r="H49" s="302" t="n">
        <x:v>5.4</x:v>
      </x:c>
      <x:c r="I49" s="301" t="str">
        <x:v>POSTSEP-W3-00</x:v>
      </x:c>
      <x:c r="J49" s="301" t="str">
        <x:v>Post-30-Sep canonical convergence; T-112/T-114/T-090/T-095/T-096/T-219/T-220/T-233.</x:v>
      </x:c>
      <x:c r="K49" s="2" t="str">
        <x:v>Own reconciliation persistence after security/canonical hand-off.</x:v>
      </x:c>
      <x:c r="L49" s="2" t="str">
        <x:v>Replaces backing persistence behind existing governed result contract; no UI/Assistant redesign.</x:v>
      </x:c>
    </x:row>
    <x:row r="50" ht="45">
      <x:c r="A50" s="301" t="n">
        <x:v>13</x:v>
      </x:c>
      <x:c r="B50" s="301" t="str">
        <x:v>T-228</x:v>
      </x:c>
      <x:c r="C50" s="301" t="str">
        <x:v>M2b</x:v>
      </x:c>
      <x:c r="D50" s="301" t="str">
        <x:v>M2b-P0D</x:v>
      </x:c>
      <x:c r="E50" s="301" t="str">
        <x:v>Versioned InsightBoardPlan contract/validator</x:v>
      </x:c>
      <x:c r="F50" s="302" t="n">
        <x:v>10</x:v>
      </x:c>
      <x:c r="G50" s="302" t="n">
        <x:v>2</x:v>
      </x:c>
      <x:c r="H50" s="302" t="n">
        <x:v>3.2</x:v>
      </x:c>
      <x:c r="I50" s="301" t="str">
        <x:v>POSTSEP-W3-01</x:v>
      </x:c>
      <x:c r="J50" s="301" t="str">
        <x:v>After 30-Sep RC.</x:v>
      </x:c>
      <x:c r="K50" s="2" t="str">
        <x:v>Deferred advanced Assistant.</x:v>
      </x:c>
      <x:c r="L50" s="2" t="str">
        <x:v>Post-September.</x:v>
      </x:c>
    </x:row>
    <x:row r="51" ht="45">
      <x:c r="A51" s="301" t="n">
        <x:v>14</x:v>
      </x:c>
      <x:c r="B51" s="301" t="str">
        <x:v>T-229</x:v>
      </x:c>
      <x:c r="C51" s="301" t="str">
        <x:v>M2b</x:v>
      </x:c>
      <x:c r="D51" s="301" t="str">
        <x:v>M2b-P0D</x:v>
      </x:c>
      <x:c r="E51" s="301" t="str">
        <x:v>Governed plan-to-widget Investigation Board</x:v>
      </x:c>
      <x:c r="F51" s="302" t="n">
        <x:v>12</x:v>
      </x:c>
      <x:c r="G51" s="302" t="n">
        <x:v>3.4285714286</x:v>
      </x:c>
      <x:c r="H51" s="302" t="n">
        <x:v>6.1714285714</x:v>
      </x:c>
      <x:c r="I51" s="301" t="str">
        <x:v>POSTSEP-W3-02</x:v>
      </x:c>
      <x:c r="J51" s="301" t="str">
        <x:v>T-228 + T-134.</x:v>
      </x:c>
      <x:c r="K51" s="2" t="str">
        <x:v>Deferred advanced Assistant.</x:v>
      </x:c>
      <x:c r="L51" s="2" t="str">
        <x:v>Post-September.</x:v>
      </x:c>
    </x:row>
    <x:row r="52" ht="30">
      <x:c r="A52" s="301" t="n">
        <x:v>15</x:v>
      </x:c>
      <x:c r="B52" s="301" t="str">
        <x:v>T-230</x:v>
      </x:c>
      <x:c r="C52" s="301" t="str">
        <x:v>M2b</x:v>
      </x:c>
      <x:c r="D52" s="301" t="str">
        <x:v>M2b-P0D</x:v>
      </x:c>
      <x:c r="E52" s="301" t="str">
        <x:v>Persisted Investigation Board replay/Save-as-Page</x:v>
      </x:c>
      <x:c r="F52" s="302" t="n">
        <x:v>12</x:v>
      </x:c>
      <x:c r="G52" s="302" t="n">
        <x:v>3</x:v>
      </x:c>
      <x:c r="H52" s="302" t="n">
        <x:v>5.1</x:v>
      </x:c>
      <x:c r="I52" s="301" t="str">
        <x:v>POSTSEP-W3-03</x:v>
      </x:c>
      <x:c r="J52" s="301" t="str">
        <x:v>T-229 + T-112/T-114.</x:v>
      </x:c>
      <x:c r="K52" s="2" t="str">
        <x:v>Deferred advanced Assistant.</x:v>
      </x:c>
      <x:c r="L52" s="2" t="str">
        <x:v>Post-September.</x:v>
      </x:c>
    </x:row>
    <x:row r="53" ht="45">
      <x:c r="A53" s="2" t="n">
        <x:v>16</x:v>
      </x:c>
      <x:c r="B53" s="2" t="str">
        <x:v>T-234</x:v>
      </x:c>
      <x:c r="C53" s="2" t="str">
        <x:v>M2a</x:v>
      </x:c>
      <x:c r="D53" s="2" t="str">
        <x:v>M2a-P1X</x:v>
      </x:c>
      <x:c r="E53" s="2" t="str">
        <x:v>Operational Transition and Stabilisation contract/kernel</x:v>
      </x:c>
      <x:c r="F53" s="111" t="n">
        <x:v>8</x:v>
      </x:c>
      <x:c r="G53" s="111" t="n">
        <x:v>1.3333333333</x:v>
      </x:c>
      <x:c r="H53" s="111" t="n">
        <x:v>2</x:v>
      </x:c>
      <x:c r="I53" s="2" t="str">
        <x:v>R0-W3-03</x:v>
      </x:c>
      <x:c r="J53" s="2" t="str">
        <x:v>T-208 + T-209.</x:v>
      </x:c>
      <x:c r="K53" s="2" t="str">
        <x:v>Own regime contract/kernel.</x:v>
      </x:c>
      <x:c r="L53" s="2" t="str">
        <x:v>T-235 persists; T-236 consumes.</x:v>
      </x:c>
    </x:row>
    <x:row r="54" ht="45">
      <x:c r="A54" s="2" t="n">
        <x:v>17</x:v>
      </x:c>
      <x:c r="B54" s="2" t="str">
        <x:v>T-236</x:v>
      </x:c>
      <x:c r="C54" s="2" t="str">
        <x:v>M2b</x:v>
      </x:c>
      <x:c r="D54" s="2" t="str">
        <x:v>M2b-P0C</x:v>
      </x:c>
      <x:c r="E54" s="2" t="str">
        <x:v>Transition-aware aggregation/statistics/reconciliation guard</x:v>
      </x:c>
      <x:c r="F54" s="111" t="n">
        <x:v>10</x:v>
      </x:c>
      <x:c r="G54" s="111" t="n">
        <x:v>1.6666666667</x:v>
      </x:c>
      <x:c r="H54" s="111" t="n">
        <x:v>2.6666666667</x:v>
      </x:c>
      <x:c r="I54" s="2" t="str">
        <x:v>R1-W3-05</x:v>
      </x:c>
      <x:c r="J54" s="2" t="str">
        <x:v>T-217 + T-234; no W1 persistence wait.</x:v>
      </x:c>
      <x:c r="K54" s="2" t="str">
        <x:v>Own regime-aware analytics guard.</x:v>
      </x:c>
      <x:c r="L54" s="2" t="str">
        <x:v>Must precede T-219; T-212 later binds the same guard into production Layer-A aggregation.</x:v>
      </x:c>
    </x:row>
    <x:row r="55" ht="45">
      <x:c r="A55" s="2" t="n">
        <x:v>18</x:v>
      </x:c>
      <x:c r="B55" s="2" t="str">
        <x:v>T-238</x:v>
      </x:c>
      <x:c r="C55" s="2" t="str">
        <x:v>M2b</x:v>
      </x:c>
      <x:c r="D55" s="2" t="str">
        <x:v>M2b-P1</x:v>
      </x:c>
      <x:c r="E55" s="2" t="str">
        <x:v>Multi-objective Objective Set and Pareto practice kernel</x:v>
      </x:c>
      <x:c r="F55" s="111" t="n">
        <x:v>12</x:v>
      </x:c>
      <x:c r="G55" s="111" t="n">
        <x:v>2</x:v>
      </x:c>
      <x:c r="H55" s="111" t="n">
        <x:v>3.2</x:v>
      </x:c>
      <x:c r="I55" s="2" t="str">
        <x:v>POSTSEP-W3-04</x:v>
      </x:c>
      <x:c r="J55" s="2" t="str">
        <x:v>T-208 + T-214; only after September-critical work.</x:v>
      </x:c>
      <x:c r="K55" s="2" t="str">
        <x:v>Own Pareto/objective kernel.</x:v>
      </x:c>
      <x:c r="L55" s="2" t="str">
        <x:v>Post-Sep unless spare capacity.</x:v>
      </x:c>
    </x:row>
    <x:row r="56" ht="45">
      <x:c r="A56" s="2" t="n">
        <x:v>19</x:v>
      </x:c>
      <x:c r="B56" s="2" t="str">
        <x:v>T-240</x:v>
      </x:c>
      <x:c r="C56" s="2" t="str">
        <x:v>M2b</x:v>
      </x:c>
      <x:c r="D56" s="2" t="str">
        <x:v>M2b-P1</x:v>
      </x:c>
      <x:c r="E56" s="2" t="str">
        <x:v>Composite practice results + Assistant trade-off tool</x:v>
      </x:c>
      <x:c r="F56" s="111" t="n">
        <x:v>12</x:v>
      </x:c>
      <x:c r="G56" s="111" t="n">
        <x:v>3</x:v>
      </x:c>
      <x:c r="H56" s="111" t="n">
        <x:v>5.1</x:v>
      </x:c>
      <x:c r="I56" s="2" t="str">
        <x:v>POSTSEP-W3-05</x:v>
      </x:c>
      <x:c r="J56" s="2" t="str">
        <x:v>T-131/T-132/T-133 + T-238 + T-239.</x:v>
      </x:c>
      <x:c r="K56" s="2" t="str">
        <x:v>Own practice/Assistant integration.</x:v>
      </x:c>
      <x:c r="L56" s="2" t="str">
        <x:v>Post-Sep; no hidden scalarisation.</x:v>
      </x:c>
    </x:row>
    <x:row r="57" ht="45">
      <x:c r="A57" s="2"/>
      <x:c r="B57" s="2"/>
      <x:c r="C57" s="2"/>
      <x:c r="D57" s="2"/>
      <x:c r="E57" s="2"/>
      <x:c r="F57" s="111"/>
      <x:c r="G57" s="111"/>
      <x:c r="H57" s="111"/>
      <x:c r="I57" s="2"/>
      <x:c r="J57" s="2"/>
      <x:c r="K57" s="2" t="s">
        <x:v>1073</x:v>
      </x:c>
      <x:c r="L57" s="2" t="s">
        <x:v>309</x:v>
      </x:c>
    </x:row>
    <x:row r="58" ht="45">
      <x:c r="A58" s="2"/>
      <x:c r="B58" s="2"/>
      <x:c r="C58" s="2"/>
      <x:c r="D58" s="2"/>
      <x:c r="E58" s="2"/>
      <x:c r="F58" s="111"/>
      <x:c r="G58" s="111"/>
      <x:c r="H58" s="111"/>
      <x:c r="I58" s="2"/>
      <x:c r="J58" s="2"/>
      <x:c r="K58" s="2" t="s">
        <x:v>1073</x:v>
      </x:c>
      <x:c r="L58" s="2" t="s">
        <x:v>309</x:v>
      </x:c>
    </x:row>
    <x:row r="59" ht="45">
      <x:c r="A59" s="2"/>
      <x:c r="B59" s="2"/>
      <x:c r="C59" s="2"/>
      <x:c r="D59" s="2"/>
      <x:c r="E59" s="2"/>
      <x:c r="F59" s="111"/>
      <x:c r="G59" s="111"/>
      <x:c r="H59" s="111"/>
      <x:c r="I59" s="2"/>
      <x:c r="J59" s="2"/>
      <x:c r="K59" s="2" t="s">
        <x:v>1073</x:v>
      </x:c>
      <x:c r="L59" s="2" t="s">
        <x:v>309</x:v>
      </x:c>
    </x:row>
    <x:row r="60" ht="45">
      <x:c r="A60" s="2"/>
      <x:c r="B60" s="2"/>
      <x:c r="C60" s="2"/>
      <x:c r="D60" s="2"/>
      <x:c r="E60" s="2"/>
      <x:c r="F60" s="111"/>
      <x:c r="G60" s="111"/>
      <x:c r="H60" s="111"/>
      <x:c r="I60" s="2"/>
      <x:c r="J60" s="2"/>
      <x:c r="K60" s="2" t="s">
        <x:v>1073</x:v>
      </x:c>
      <x:c r="L60" s="2" t="s">
        <x:v>309</x:v>
      </x:c>
    </x:row>
    <x:row r="61" ht="45">
      <x:c r="A61" s="2"/>
      <x:c r="B61" s="2"/>
      <x:c r="C61" s="2"/>
      <x:c r="D61" s="2"/>
      <x:c r="E61" s="2"/>
      <x:c r="F61" s="111"/>
      <x:c r="G61" s="111"/>
      <x:c r="H61" s="111"/>
      <x:c r="I61" s="2"/>
      <x:c r="J61" s="2"/>
      <x:c r="K61" s="2" t="s">
        <x:v>1073</x:v>
      </x:c>
      <x:c r="L61" s="2" t="s">
        <x:v>309</x:v>
      </x:c>
    </x:row>
    <x:row r="62" ht="45">
      <x:c r="A62" s="2"/>
      <x:c r="B62" s="2"/>
      <x:c r="C62" s="2"/>
      <x:c r="D62" s="2"/>
      <x:c r="E62" s="2"/>
      <x:c r="F62" s="111"/>
      <x:c r="G62" s="111"/>
      <x:c r="H62" s="111"/>
      <x:c r="I62" s="2"/>
      <x:c r="J62" s="2"/>
      <x:c r="K62" s="2" t="s">
        <x:v>1073</x:v>
      </x:c>
      <x:c r="L62" s="2" t="s">
        <x:v>309</x:v>
      </x:c>
    </x:row>
    <x:row r="65" ht="17.25">
      <x:c r="A65" s="140"/>
      <x:c r="B65" s="140"/>
      <x:c r="C65" s="140"/>
      <x:c r="D65" s="140"/>
      <x:c r="E65" s="140"/>
      <x:c r="F65" s="140"/>
      <x:c r="G65" s="140"/>
      <x:c r="H65" s="140"/>
      <x:c r="I65" s="140"/>
      <x:c r="J65" s="140"/>
      <x:c r="K65" s="140"/>
      <x:c r="L65" s="140"/>
    </x:row>
    <x:row r="66" ht="30">
      <x:c r="A66" s="113"/>
      <x:c r="B66" s="113"/>
      <x:c r="C66" s="113"/>
      <x:c r="D66" s="113"/>
      <x:c r="E66" s="113"/>
      <x:c r="F66" s="113"/>
      <x:c r="G66" s="113"/>
      <x:c r="H66" s="113"/>
      <x:c r="I66" s="113"/>
      <x:c r="J66" s="113"/>
      <x:c r="K66" s="113" t="s">
        <x:v>2757</x:v>
      </x:c>
      <x:c r="L66" s="113" t="s">
        <x:v>2758</x:v>
      </x:c>
    </x:row>
    <x:row r="67" ht="45">
      <x:c r="A67" s="2"/>
      <x:c r="B67" s="2"/>
      <x:c r="C67" s="2"/>
      <x:c r="D67" s="2"/>
      <x:c r="E67" s="2"/>
      <x:c r="F67" s="111"/>
      <x:c r="G67" s="111"/>
      <x:c r="H67" s="111"/>
      <x:c r="I67" s="2"/>
      <x:c r="J67" s="2"/>
      <x:c r="K67" s="2" t="s">
        <x:v>308</x:v>
      </x:c>
      <x:c r="L67" s="2" t="s">
        <x:v>309</x:v>
      </x:c>
    </x:row>
    <x:row r="68" ht="45">
      <x:c r="A68" s="2"/>
      <x:c r="B68" s="2"/>
      <x:c r="C68" s="2"/>
      <x:c r="D68" s="2"/>
      <x:c r="E68" s="2"/>
      <x:c r="F68" s="111"/>
      <x:c r="G68" s="111"/>
      <x:c r="H68" s="111"/>
      <x:c r="I68" s="2"/>
      <x:c r="J68" s="2"/>
      <x:c r="K68" s="2" t="s">
        <x:v>308</x:v>
      </x:c>
      <x:c r="L68" s="2" t="s">
        <x:v>309</x:v>
      </x:c>
    </x:row>
    <x:row r="69" ht="45">
      <x:c r="A69" s="2"/>
      <x:c r="B69" s="2"/>
      <x:c r="C69" s="2"/>
      <x:c r="D69" s="2"/>
      <x:c r="E69" s="2"/>
      <x:c r="F69" s="111"/>
      <x:c r="G69" s="111"/>
      <x:c r="H69" s="111"/>
      <x:c r="I69" s="2"/>
      <x:c r="J69" s="2"/>
      <x:c r="K69" s="2" t="s">
        <x:v>308</x:v>
      </x:c>
      <x:c r="L69" s="2" t="s">
        <x:v>309</x:v>
      </x:c>
    </x:row>
    <x:row r="70" ht="45">
      <x:c r="A70" s="2"/>
      <x:c r="B70" s="2"/>
      <x:c r="C70" s="2"/>
      <x:c r="D70" s="2"/>
      <x:c r="E70" s="2"/>
      <x:c r="F70" s="111"/>
      <x:c r="G70" s="111"/>
      <x:c r="H70" s="111"/>
      <x:c r="I70" s="2"/>
      <x:c r="J70" s="2"/>
      <x:c r="K70" s="2" t="s">
        <x:v>308</x:v>
      </x:c>
      <x:c r="L70" s="2" t="s">
        <x:v>309</x:v>
      </x:c>
    </x:row>
    <x:row r="71" ht="45">
      <x:c r="A71" s="2"/>
      <x:c r="B71" s="2"/>
      <x:c r="C71" s="2"/>
      <x:c r="D71" s="2"/>
      <x:c r="E71" s="2"/>
      <x:c r="F71" s="111"/>
      <x:c r="G71" s="111"/>
      <x:c r="H71" s="111"/>
      <x:c r="I71" s="2"/>
      <x:c r="J71" s="2"/>
      <x:c r="K71" s="2" t="s">
        <x:v>308</x:v>
      </x:c>
      <x:c r="L71" s="2" t="s">
        <x:v>309</x:v>
      </x:c>
    </x:row>
    <x:row r="72" ht="45">
      <x:c r="A72" s="2"/>
      <x:c r="B72" s="2"/>
      <x:c r="C72" s="2"/>
      <x:c r="D72" s="2"/>
      <x:c r="E72" s="2"/>
      <x:c r="F72" s="111"/>
      <x:c r="G72" s="111"/>
      <x:c r="H72" s="111"/>
      <x:c r="I72" s="2"/>
      <x:c r="J72" s="2"/>
      <x:c r="K72" s="2" t="s">
        <x:v>308</x:v>
      </x:c>
      <x:c r="L72" s="2" t="s">
        <x:v>309</x:v>
      </x:c>
    </x:row>
    <x:row r="73" ht="45">
      <x:c r="A73" s="2"/>
      <x:c r="B73" s="2"/>
      <x:c r="C73" s="2"/>
      <x:c r="D73" s="2"/>
      <x:c r="E73" s="2"/>
      <x:c r="F73" s="111"/>
      <x:c r="G73" s="111"/>
      <x:c r="H73" s="111"/>
      <x:c r="I73" s="2"/>
      <x:c r="J73" s="2"/>
      <x:c r="K73" s="2" t="s">
        <x:v>308</x:v>
      </x:c>
      <x:c r="L73" s="2" t="s">
        <x:v>309</x:v>
      </x:c>
    </x:row>
    <x:row r="74" ht="45">
      <x:c r="A74" s="2"/>
      <x:c r="B74" s="2"/>
      <x:c r="C74" s="2"/>
      <x:c r="D74" s="2"/>
      <x:c r="E74" s="2"/>
      <x:c r="F74" s="111"/>
      <x:c r="G74" s="111"/>
      <x:c r="H74" s="111"/>
      <x:c r="I74" s="2"/>
      <x:c r="J74" s="2"/>
      <x:c r="K74" s="2" t="s">
        <x:v>308</x:v>
      </x:c>
      <x:c r="L74" s="2" t="s">
        <x:v>309</x:v>
      </x:c>
    </x:row>
    <x:row r="75" ht="45">
      <x:c r="A75" s="2"/>
      <x:c r="B75" s="2"/>
      <x:c r="C75" s="2"/>
      <x:c r="D75" s="2"/>
      <x:c r="E75" s="2"/>
      <x:c r="F75" s="111"/>
      <x:c r="G75" s="111"/>
      <x:c r="H75" s="111"/>
      <x:c r="I75" s="2"/>
      <x:c r="J75" s="2"/>
      <x:c r="K75" s="2" t="s">
        <x:v>308</x:v>
      </x:c>
      <x:c r="L75" s="2" t="s">
        <x:v>2742</x:v>
      </x:c>
    </x:row>
    <x:row r="76" ht="45">
      <x:c r="A76" s="2"/>
      <x:c r="B76" s="2"/>
      <x:c r="C76" s="2"/>
      <x:c r="D76" s="2"/>
      <x:c r="E76" s="2"/>
      <x:c r="F76" s="111"/>
      <x:c r="G76" s="111"/>
      <x:c r="H76" s="111"/>
      <x:c r="I76" s="2"/>
      <x:c r="J76" s="2"/>
      <x:c r="K76" s="2" t="s">
        <x:v>308</x:v>
      </x:c>
      <x:c r="L76" s="2" t="s">
        <x:v>309</x:v>
      </x:c>
    </x:row>
    <x:row r="77" ht="45">
      <x:c r="A77" s="2"/>
      <x:c r="B77" s="2"/>
      <x:c r="C77" s="2"/>
      <x:c r="D77" s="2"/>
      <x:c r="E77" s="2"/>
      <x:c r="F77" s="111"/>
      <x:c r="G77" s="111"/>
      <x:c r="H77" s="111"/>
      <x:c r="I77" s="2"/>
      <x:c r="J77" s="2"/>
      <x:c r="K77" s="2" t="s">
        <x:v>308</x:v>
      </x:c>
      <x:c r="L77" s="2" t="s">
        <x:v>309</x:v>
      </x:c>
    </x:row>
    <x:row r="78" ht="45">
      <x:c r="A78" s="2"/>
      <x:c r="B78" s="2"/>
      <x:c r="C78" s="2"/>
      <x:c r="D78" s="2"/>
      <x:c r="E78" s="2"/>
      <x:c r="F78" s="111"/>
      <x:c r="G78" s="111"/>
      <x:c r="H78" s="111"/>
      <x:c r="I78" s="2"/>
      <x:c r="J78" s="2"/>
      <x:c r="K78" s="2" t="s">
        <x:v>308</x:v>
      </x:c>
      <x:c r="L78" s="2" t="s">
        <x:v>309</x:v>
      </x:c>
    </x:row>
    <x:row r="79" ht="45">
      <x:c r="A79" s="2"/>
      <x:c r="B79" s="2"/>
      <x:c r="C79" s="2"/>
      <x:c r="D79" s="2"/>
      <x:c r="E79" s="2"/>
      <x:c r="F79" s="111"/>
      <x:c r="G79" s="111"/>
      <x:c r="H79" s="111"/>
      <x:c r="I79" s="2"/>
      <x:c r="J79" s="2"/>
      <x:c r="K79" s="2" t="s">
        <x:v>308</x:v>
      </x:c>
      <x:c r="L79" s="2" t="s">
        <x:v>309</x:v>
      </x:c>
    </x:row>
    <x:row r="80" ht="45">
      <x:c r="A80" s="2"/>
      <x:c r="B80" s="2"/>
      <x:c r="C80" s="2"/>
      <x:c r="D80" s="2"/>
      <x:c r="E80" s="2"/>
      <x:c r="F80" s="111"/>
      <x:c r="G80" s="111"/>
      <x:c r="H80" s="111"/>
      <x:c r="I80" s="2"/>
      <x:c r="J80" s="2"/>
      <x:c r="K80" s="2" t="s">
        <x:v>308</x:v>
      </x:c>
      <x:c r="L80" s="2" t="s">
        <x:v>309</x:v>
      </x:c>
    </x:row>
    <x:row r="81" ht="45">
      <x:c r="A81" s="2"/>
      <x:c r="B81" s="2"/>
      <x:c r="C81" s="2"/>
      <x:c r="D81" s="2"/>
      <x:c r="E81" s="2"/>
      <x:c r="F81" s="111"/>
      <x:c r="G81" s="111"/>
      <x:c r="H81" s="111"/>
      <x:c r="I81" s="2"/>
      <x:c r="J81" s="2"/>
      <x:c r="K81" s="2" t="s">
        <x:v>308</x:v>
      </x:c>
      <x:c r="L81" s="2" t="s">
        <x:v>309</x:v>
      </x:c>
    </x:row>
    <x:row r="82" ht="45">
      <x:c r="A82" s="2"/>
      <x:c r="B82" s="2"/>
      <x:c r="C82" s="2"/>
      <x:c r="D82" s="2"/>
      <x:c r="E82" s="2"/>
      <x:c r="F82" s="111"/>
      <x:c r="G82" s="111"/>
      <x:c r="H82" s="111"/>
      <x:c r="I82" s="2"/>
      <x:c r="J82" s="2"/>
      <x:c r="K82" s="2" t="s">
        <x:v>308</x:v>
      </x:c>
      <x:c r="L82" s="2" t="s">
        <x:v>309</x:v>
      </x:c>
    </x:row>
    <x:row r="83" ht="45">
      <x:c r="A83" s="2"/>
      <x:c r="B83" s="2"/>
      <x:c r="C83" s="2"/>
      <x:c r="D83" s="2"/>
      <x:c r="E83" s="2"/>
      <x:c r="F83" s="111"/>
      <x:c r="G83" s="111"/>
      <x:c r="H83" s="111"/>
      <x:c r="I83" s="2"/>
      <x:c r="J83" s="2"/>
      <x:c r="K83" s="2" t="s">
        <x:v>665</x:v>
      </x:c>
      <x:c r="L83" s="2" t="s">
        <x:v>309</x:v>
      </x:c>
    </x:row>
    <x:row r="84" ht="45">
      <x:c r="A84" s="2"/>
      <x:c r="B84" s="2"/>
      <x:c r="C84" s="2"/>
      <x:c r="D84" s="2"/>
      <x:c r="E84" s="2"/>
      <x:c r="F84" s="111"/>
      <x:c r="G84" s="111"/>
      <x:c r="H84" s="111"/>
      <x:c r="I84" s="2"/>
      <x:c r="J84" s="2"/>
      <x:c r="K84" s="2" t="s">
        <x:v>665</x:v>
      </x:c>
      <x:c r="L84" s="2" t="s">
        <x:v>309</x:v>
      </x:c>
    </x:row>
    <x:row r="85" ht="60">
      <x:c r="A85" s="2"/>
      <x:c r="B85" s="2"/>
      <x:c r="C85" s="2"/>
      <x:c r="D85" s="2"/>
      <x:c r="E85" s="2"/>
      <x:c r="F85" s="111"/>
      <x:c r="G85" s="111"/>
      <x:c r="H85" s="111"/>
      <x:c r="I85" s="2"/>
      <x:c r="J85" s="2"/>
      <x:c r="K85" s="2" t="s">
        <x:v>665</x:v>
      </x:c>
      <x:c r="L85" s="2" t="s">
        <x:v>309</x:v>
      </x:c>
    </x:row>
    <x:row r="86" ht="45">
      <x:c r="A86" s="2"/>
      <x:c r="B86" s="2"/>
      <x:c r="C86" s="2"/>
      <x:c r="D86" s="2"/>
      <x:c r="E86" s="2"/>
      <x:c r="F86" s="111"/>
      <x:c r="G86" s="111"/>
      <x:c r="H86" s="111"/>
      <x:c r="I86" s="2"/>
      <x:c r="J86" s="2"/>
      <x:c r="K86" s="2" t="s">
        <x:v>665</x:v>
      </x:c>
      <x:c r="L86" s="2" t="s">
        <x:v>309</x:v>
      </x:c>
    </x:row>
    <x:row r="87" ht="45">
      <x:c r="A87" s="2"/>
      <x:c r="B87" s="2"/>
      <x:c r="C87" s="2"/>
      <x:c r="D87" s="2"/>
      <x:c r="E87" s="2"/>
      <x:c r="F87" s="111"/>
      <x:c r="G87" s="111"/>
      <x:c r="H87" s="111"/>
      <x:c r="I87" s="2"/>
      <x:c r="J87" s="2"/>
      <x:c r="K87" s="2" t="s">
        <x:v>665</x:v>
      </x:c>
      <x:c r="L87" s="2" t="s">
        <x:v>309</x:v>
      </x:c>
    </x:row>
    <x:row r="88" ht="45">
      <x:c r="A88" s="2"/>
      <x:c r="B88" s="2"/>
      <x:c r="C88" s="2"/>
      <x:c r="D88" s="2"/>
      <x:c r="E88" s="2"/>
      <x:c r="F88" s="111"/>
      <x:c r="G88" s="111"/>
      <x:c r="H88" s="111"/>
      <x:c r="I88" s="2"/>
      <x:c r="J88" s="2"/>
      <x:c r="K88" s="2" t="s">
        <x:v>665</x:v>
      </x:c>
      <x:c r="L88" s="2" t="s">
        <x:v>309</x:v>
      </x:c>
    </x:row>
    <x:row r="89" ht="45">
      <x:c r="A89" s="2"/>
      <x:c r="B89" s="2"/>
      <x:c r="C89" s="2"/>
      <x:c r="D89" s="2"/>
      <x:c r="E89" s="2"/>
      <x:c r="F89" s="111"/>
      <x:c r="G89" s="111"/>
      <x:c r="H89" s="111"/>
      <x:c r="I89" s="2"/>
      <x:c r="J89" s="2"/>
      <x:c r="K89" s="2" t="s">
        <x:v>665</x:v>
      </x:c>
      <x:c r="L89" s="2" t="s">
        <x:v>309</x:v>
      </x:c>
    </x:row>
    <x:row r="90" ht="45">
      <x:c r="A90" s="2"/>
      <x:c r="B90" s="2"/>
      <x:c r="C90" s="2"/>
      <x:c r="D90" s="2"/>
      <x:c r="E90" s="2"/>
      <x:c r="F90" s="111"/>
      <x:c r="G90" s="111"/>
      <x:c r="H90" s="111"/>
      <x:c r="I90" s="2"/>
      <x:c r="J90" s="2"/>
      <x:c r="K90" s="2" t="s">
        <x:v>665</x:v>
      </x:c>
      <x:c r="L90" s="2" t="s">
        <x:v>309</x:v>
      </x:c>
    </x:row>
    <x:row r="91" ht="60">
      <x:c r="A91" s="2"/>
      <x:c r="B91" s="2"/>
      <x:c r="C91" s="2"/>
      <x:c r="D91" s="2"/>
      <x:c r="E91" s="2"/>
      <x:c r="F91" s="111"/>
      <x:c r="G91" s="111"/>
      <x:c r="H91" s="111"/>
      <x:c r="I91" s="2"/>
      <x:c r="J91" s="2"/>
      <x:c r="K91" s="2" t="s">
        <x:v>665</x:v>
      </x:c>
      <x:c r="L91" s="2" t="s">
        <x:v>872</x:v>
      </x:c>
    </x:row>
    <x:row r="92" ht="45">
      <x:c r="A92" s="2"/>
      <x:c r="B92" s="2"/>
      <x:c r="C92" s="2"/>
      <x:c r="D92" s="2"/>
      <x:c r="E92" s="2"/>
      <x:c r="F92" s="111"/>
      <x:c r="G92" s="111"/>
      <x:c r="H92" s="111"/>
      <x:c r="I92" s="2"/>
      <x:c r="J92" s="2"/>
      <x:c r="K92" s="2" t="s">
        <x:v>1037</x:v>
      </x:c>
      <x:c r="L92" s="2" t="s">
        <x:v>309</x:v>
      </x:c>
    </x:row>
    <x:row r="93" ht="45">
      <x:c r="A93" s="2"/>
      <x:c r="B93" s="2"/>
      <x:c r="C93" s="2"/>
      <x:c r="D93" s="2"/>
      <x:c r="E93" s="2"/>
      <x:c r="F93" s="111"/>
      <x:c r="G93" s="111"/>
      <x:c r="H93" s="111"/>
      <x:c r="I93" s="2"/>
      <x:c r="J93" s="2"/>
      <x:c r="K93" s="2" t="s">
        <x:v>1037</x:v>
      </x:c>
      <x:c r="L93" s="2" t="s">
        <x:v>309</x:v>
      </x:c>
    </x:row>
    <x:row r="94" ht="45">
      <x:c r="A94" s="2"/>
      <x:c r="B94" s="2"/>
      <x:c r="C94" s="2"/>
      <x:c r="D94" s="2"/>
      <x:c r="E94" s="2"/>
      <x:c r="F94" s="111"/>
      <x:c r="G94" s="111"/>
      <x:c r="H94" s="111"/>
      <x:c r="I94" s="2"/>
      <x:c r="J94" s="2"/>
      <x:c r="K94" s="2" t="s">
        <x:v>1105</x:v>
      </x:c>
      <x:c r="L94" s="2" t="s">
        <x:v>309</x:v>
      </x:c>
    </x:row>
    <x:row r="95" ht="45">
      <x:c r="A95" s="2"/>
      <x:c r="B95" s="2"/>
      <x:c r="C95" s="2"/>
      <x:c r="D95" s="2"/>
      <x:c r="E95" s="2"/>
      <x:c r="F95" s="111"/>
      <x:c r="G95" s="111"/>
      <x:c r="H95" s="111"/>
      <x:c r="I95" s="2"/>
      <x:c r="J95" s="2"/>
      <x:c r="K95" s="2" t="s">
        <x:v>1105</x:v>
      </x:c>
      <x:c r="L95" s="2" t="s">
        <x:v>309</x:v>
      </x:c>
    </x:row>
    <x:row r="96" ht="45">
      <x:c r="A96" s="2"/>
      <x:c r="B96" s="2"/>
      <x:c r="C96" s="2"/>
      <x:c r="D96" s="2"/>
      <x:c r="E96" s="2"/>
      <x:c r="F96" s="111"/>
      <x:c r="G96" s="111"/>
      <x:c r="H96" s="111"/>
      <x:c r="I96" s="2"/>
      <x:c r="J96" s="2"/>
      <x:c r="K96" s="2" t="s">
        <x:v>1105</x:v>
      </x:c>
      <x:c r="L96" s="2" t="s">
        <x:v>309</x:v>
      </x:c>
    </x:row>
    <x:row r="99" ht="17.25">
      <x:c r="A99" s="141"/>
      <x:c r="B99" s="141"/>
      <x:c r="C99" s="141"/>
      <x:c r="D99" s="141"/>
      <x:c r="E99" s="141"/>
      <x:c r="F99" s="141"/>
      <x:c r="G99" s="141"/>
      <x:c r="H99" s="141"/>
      <x:c r="I99" s="141"/>
      <x:c r="J99" s="141"/>
      <x:c r="K99" s="141"/>
      <x:c r="L99" s="141"/>
    </x:row>
    <x:row r="100" ht="30">
      <x:c r="A100" s="113"/>
      <x:c r="B100" s="113"/>
      <x:c r="C100" s="113"/>
      <x:c r="D100" s="113"/>
      <x:c r="E100" s="113"/>
      <x:c r="F100" s="113"/>
      <x:c r="G100" s="113"/>
      <x:c r="H100" s="113"/>
      <x:c r="I100" s="113"/>
      <x:c r="J100" s="113"/>
      <x:c r="K100" s="113" t="s">
        <x:v>2757</x:v>
      </x:c>
      <x:c r="L100" s="113" t="s">
        <x:v>2758</x:v>
      </x:c>
    </x:row>
    <x:row r="101" ht="45">
      <x:c r="A101" s="2"/>
      <x:c r="B101" s="2"/>
      <x:c r="C101" s="2"/>
      <x:c r="D101" s="2"/>
      <x:c r="E101" s="2"/>
      <x:c r="F101" s="111"/>
      <x:c r="G101" s="111"/>
      <x:c r="H101" s="111"/>
      <x:c r="I101" s="2"/>
      <x:c r="J101" s="2"/>
      <x:c r="K101" s="2" t="s">
        <x:v>420</x:v>
      </x:c>
      <x:c r="L101" s="2" t="s">
        <x:v>421</x:v>
      </x:c>
    </x:row>
    <x:row r="102" ht="45">
      <x:c r="A102" s="2"/>
      <x:c r="B102" s="2"/>
      <x:c r="C102" s="2"/>
      <x:c r="D102" s="2"/>
      <x:c r="E102" s="2"/>
      <x:c r="F102" s="111"/>
      <x:c r="G102" s="111"/>
      <x:c r="H102" s="111"/>
      <x:c r="I102" s="2"/>
      <x:c r="J102" s="2"/>
      <x:c r="K102" s="2" t="s">
        <x:v>420</x:v>
      </x:c>
      <x:c r="L102" s="2" t="s">
        <x:v>444</x:v>
      </x:c>
    </x:row>
    <x:row r="103" ht="45">
      <x:c r="A103" s="2"/>
      <x:c r="B103" s="2"/>
      <x:c r="C103" s="2"/>
      <x:c r="D103" s="2"/>
      <x:c r="E103" s="2"/>
      <x:c r="F103" s="111"/>
      <x:c r="G103" s="111"/>
      <x:c r="H103" s="111"/>
      <x:c r="I103" s="2"/>
      <x:c r="J103" s="2"/>
      <x:c r="K103" s="2" t="s">
        <x:v>420</x:v>
      </x:c>
      <x:c r="L103" s="2" t="s">
        <x:v>2744</x:v>
      </x:c>
    </x:row>
    <x:row r="104" ht="45">
      <x:c r="A104" s="2"/>
      <x:c r="B104" s="2"/>
      <x:c r="C104" s="2"/>
      <x:c r="D104" s="2"/>
      <x:c r="E104" s="2"/>
      <x:c r="F104" s="111"/>
      <x:c r="G104" s="111"/>
      <x:c r="H104" s="111"/>
      <x:c r="I104" s="2"/>
      <x:c r="J104" s="2"/>
      <x:c r="K104" s="2" t="s">
        <x:v>729</x:v>
      </x:c>
      <x:c r="L104" s="2" t="s">
        <x:v>309</x:v>
      </x:c>
    </x:row>
    <x:row r="105" ht="45">
      <x:c r="A105" s="2"/>
      <x:c r="B105" s="2"/>
      <x:c r="C105" s="2"/>
      <x:c r="D105" s="2"/>
      <x:c r="E105" s="2"/>
      <x:c r="F105" s="111"/>
      <x:c r="G105" s="111"/>
      <x:c r="H105" s="111"/>
      <x:c r="I105" s="2"/>
      <x:c r="J105" s="2"/>
      <x:c r="K105" s="2" t="s">
        <x:v>729</x:v>
      </x:c>
      <x:c r="L105" s="2" t="s">
        <x:v>309</x:v>
      </x:c>
    </x:row>
    <x:row r="106" ht="45">
      <x:c r="A106" s="2"/>
      <x:c r="B106" s="2"/>
      <x:c r="C106" s="2"/>
      <x:c r="D106" s="2"/>
      <x:c r="E106" s="2"/>
      <x:c r="F106" s="111"/>
      <x:c r="G106" s="111"/>
      <x:c r="H106" s="111"/>
      <x:c r="I106" s="2"/>
      <x:c r="J106" s="2"/>
      <x:c r="K106" s="2" t="s">
        <x:v>729</x:v>
      </x:c>
      <x:c r="L106" s="2" t="s">
        <x:v>309</x:v>
      </x:c>
    </x:row>
    <x:row r="107" ht="45">
      <x:c r="A107" s="2"/>
      <x:c r="B107" s="2"/>
      <x:c r="C107" s="2"/>
      <x:c r="D107" s="2"/>
      <x:c r="E107" s="2"/>
      <x:c r="F107" s="111"/>
      <x:c r="G107" s="111"/>
      <x:c r="H107" s="111"/>
      <x:c r="I107" s="2"/>
      <x:c r="J107" s="2"/>
      <x:c r="K107" s="2" t="s">
        <x:v>885</x:v>
      </x:c>
      <x:c r="L107" s="2" t="s">
        <x:v>309</x:v>
      </x:c>
    </x:row>
    <x:row r="108" ht="45">
      <x:c r="A108" s="2"/>
      <x:c r="B108" s="2"/>
      <x:c r="C108" s="2"/>
      <x:c r="D108" s="2"/>
      <x:c r="E108" s="2"/>
      <x:c r="F108" s="111"/>
      <x:c r="G108" s="111"/>
      <x:c r="H108" s="111"/>
      <x:c r="I108" s="2"/>
      <x:c r="J108" s="2"/>
      <x:c r="K108" s="2" t="s">
        <x:v>885</x:v>
      </x:c>
      <x:c r="L108" s="2" t="s">
        <x:v>309</x:v>
      </x:c>
    </x:row>
    <x:row r="109" ht="45">
      <x:c r="A109" s="2"/>
      <x:c r="B109" s="2"/>
      <x:c r="C109" s="2"/>
      <x:c r="D109" s="2"/>
      <x:c r="E109" s="2"/>
      <x:c r="F109" s="111"/>
      <x:c r="G109" s="111"/>
      <x:c r="H109" s="111"/>
      <x:c r="I109" s="2"/>
      <x:c r="J109" s="2"/>
      <x:c r="K109" s="2" t="s">
        <x:v>885</x:v>
      </x:c>
      <x:c r="L109" s="2" t="s">
        <x:v>309</x:v>
      </x:c>
    </x:row>
    <x:row r="110" ht="45">
      <x:c r="A110" s="2"/>
      <x:c r="B110" s="2"/>
      <x:c r="C110" s="2"/>
      <x:c r="D110" s="2"/>
      <x:c r="E110" s="2"/>
      <x:c r="F110" s="111"/>
      <x:c r="G110" s="111"/>
      <x:c r="H110" s="111"/>
      <x:c r="I110" s="2"/>
      <x:c r="J110" s="2"/>
      <x:c r="K110" s="2" t="s">
        <x:v>885</x:v>
      </x:c>
      <x:c r="L110" s="2" t="s">
        <x:v>309</x:v>
      </x:c>
    </x:row>
    <x:row r="111" ht="45">
      <x:c r="A111" s="2"/>
      <x:c r="B111" s="2"/>
      <x:c r="C111" s="2"/>
      <x:c r="D111" s="2"/>
      <x:c r="E111" s="2"/>
      <x:c r="F111" s="111"/>
      <x:c r="G111" s="111"/>
      <x:c r="H111" s="111"/>
      <x:c r="I111" s="2"/>
      <x:c r="J111" s="2"/>
      <x:c r="K111" s="2" t="s">
        <x:v>885</x:v>
      </x:c>
      <x:c r="L111" s="2" t="s">
        <x:v>309</x:v>
      </x:c>
    </x:row>
    <x:row r="112" ht="45">
      <x:c r="A112" s="2"/>
      <x:c r="B112" s="2"/>
      <x:c r="C112" s="2"/>
      <x:c r="D112" s="2"/>
      <x:c r="E112" s="2"/>
      <x:c r="F112" s="111"/>
      <x:c r="G112" s="111"/>
      <x:c r="H112" s="111"/>
      <x:c r="I112" s="2"/>
      <x:c r="J112" s="2"/>
      <x:c r="K112" s="2" t="s">
        <x:v>885</x:v>
      </x:c>
      <x:c r="L112" s="2" t="s">
        <x:v>309</x:v>
      </x:c>
    </x:row>
    <x:row r="113" ht="45">
      <x:c r="A113" s="2"/>
      <x:c r="B113" s="2"/>
      <x:c r="C113" s="2"/>
      <x:c r="D113" s="2"/>
      <x:c r="E113" s="2"/>
      <x:c r="F113" s="111"/>
      <x:c r="G113" s="111"/>
      <x:c r="H113" s="111"/>
      <x:c r="I113" s="2"/>
      <x:c r="J113" s="2"/>
      <x:c r="K113" s="2" t="s">
        <x:v>885</x:v>
      </x:c>
      <x:c r="L113" s="2" t="s">
        <x:v>309</x:v>
      </x:c>
    </x:row>
    <x:row r="114" ht="45">
      <x:c r="A114" s="2"/>
      <x:c r="B114" s="2"/>
      <x:c r="C114" s="2"/>
      <x:c r="D114" s="2"/>
      <x:c r="E114" s="2"/>
      <x:c r="F114" s="111"/>
      <x:c r="G114" s="111"/>
      <x:c r="H114" s="111"/>
      <x:c r="I114" s="2"/>
      <x:c r="J114" s="2"/>
      <x:c r="K114" s="2" t="s">
        <x:v>885</x:v>
      </x:c>
      <x:c r="L114" s="2" t="s">
        <x:v>309</x:v>
      </x:c>
    </x:row>
    <x:row r="115" ht="45">
      <x:c r="A115" s="2"/>
      <x:c r="B115" s="2"/>
      <x:c r="C115" s="2"/>
      <x:c r="D115" s="2"/>
      <x:c r="E115" s="2"/>
      <x:c r="F115" s="111"/>
      <x:c r="G115" s="111"/>
      <x:c r="H115" s="111"/>
      <x:c r="I115" s="2"/>
      <x:c r="J115" s="2"/>
      <x:c r="K115" s="2" t="s">
        <x:v>885</x:v>
      </x:c>
      <x:c r="L115" s="2" t="s">
        <x:v>309</x:v>
      </x:c>
    </x:row>
    <x:row r="116" ht="45">
      <x:c r="A116" s="2"/>
      <x:c r="B116" s="2"/>
      <x:c r="C116" s="2"/>
      <x:c r="D116" s="2"/>
      <x:c r="E116" s="2"/>
      <x:c r="F116" s="111"/>
      <x:c r="G116" s="111"/>
      <x:c r="H116" s="111"/>
      <x:c r="I116" s="2"/>
      <x:c r="J116" s="2"/>
      <x:c r="K116" s="2" t="s">
        <x:v>885</x:v>
      </x:c>
      <x:c r="L116" s="2" t="s">
        <x:v>309</x:v>
      </x:c>
    </x:row>
    <x:row r="117" ht="45">
      <x:c r="A117" s="2"/>
      <x:c r="B117" s="2"/>
      <x:c r="C117" s="2"/>
      <x:c r="D117" s="2"/>
      <x:c r="E117" s="2"/>
      <x:c r="F117" s="111"/>
      <x:c r="G117" s="111"/>
      <x:c r="H117" s="111"/>
      <x:c r="I117" s="2"/>
      <x:c r="J117" s="2"/>
      <x:c r="K117" s="2" t="s">
        <x:v>885</x:v>
      </x:c>
      <x:c r="L117" s="2" t="s">
        <x:v>309</x:v>
      </x:c>
    </x:row>
    <x:row r="118" ht="45">
      <x:c r="A118" s="2"/>
      <x:c r="B118" s="2"/>
      <x:c r="C118" s="2"/>
      <x:c r="D118" s="2"/>
      <x:c r="E118" s="2"/>
      <x:c r="F118" s="111"/>
      <x:c r="G118" s="111"/>
      <x:c r="H118" s="111"/>
      <x:c r="I118" s="2"/>
      <x:c r="J118" s="2"/>
      <x:c r="K118" s="2" t="s">
        <x:v>885</x:v>
      </x:c>
      <x:c r="L118" s="2" t="s">
        <x:v>309</x:v>
      </x:c>
    </x:row>
    <x:row r="119" ht="45">
      <x:c r="A119" s="2"/>
      <x:c r="B119" s="2"/>
      <x:c r="C119" s="2"/>
      <x:c r="D119" s="2"/>
      <x:c r="E119" s="2"/>
      <x:c r="F119" s="111"/>
      <x:c r="G119" s="111"/>
      <x:c r="H119" s="111"/>
      <x:c r="I119" s="2"/>
      <x:c r="J119" s="2"/>
      <x:c r="K119" s="2" t="s">
        <x:v>885</x:v>
      </x:c>
      <x:c r="L119" s="2" t="s">
        <x:v>309</x:v>
      </x:c>
    </x:row>
    <x:row r="120" ht="45">
      <x:c r="A120" s="2"/>
      <x:c r="B120" s="2"/>
      <x:c r="C120" s="2"/>
      <x:c r="D120" s="2"/>
      <x:c r="E120" s="2"/>
      <x:c r="F120" s="111"/>
      <x:c r="G120" s="111"/>
      <x:c r="H120" s="111"/>
      <x:c r="I120" s="2"/>
      <x:c r="J120" s="2"/>
      <x:c r="K120" s="2" t="s">
        <x:v>885</x:v>
      </x:c>
      <x:c r="L120" s="2" t="s">
        <x:v>309</x:v>
      </x:c>
    </x:row>
    <x:row r="121" ht="45">
      <x:c r="A121" s="2"/>
      <x:c r="B121" s="2"/>
      <x:c r="C121" s="2"/>
      <x:c r="D121" s="2"/>
      <x:c r="E121" s="2"/>
      <x:c r="F121" s="111"/>
      <x:c r="G121" s="111"/>
      <x:c r="H121" s="111"/>
      <x:c r="I121" s="2"/>
      <x:c r="J121" s="2"/>
      <x:c r="K121" s="2" t="s">
        <x:v>885</x:v>
      </x:c>
      <x:c r="L121" s="2" t="s">
        <x:v>309</x:v>
      </x:c>
    </x:row>
    <x:row r="122" ht="45">
      <x:c r="A122" s="2"/>
      <x:c r="B122" s="2"/>
      <x:c r="C122" s="2"/>
      <x:c r="D122" s="2"/>
      <x:c r="E122" s="2"/>
      <x:c r="F122" s="111"/>
      <x:c r="G122" s="111"/>
      <x:c r="H122" s="111"/>
      <x:c r="I122" s="2"/>
      <x:c r="J122" s="2"/>
      <x:c r="K122" s="2" t="s">
        <x:v>885</x:v>
      </x:c>
      <x:c r="L122" s="2" t="s">
        <x:v>309</x:v>
      </x:c>
    </x:row>
    <x:row r="123" ht="45">
      <x:c r="A123" s="2"/>
      <x:c r="B123" s="2"/>
      <x:c r="C123" s="2"/>
      <x:c r="D123" s="2"/>
      <x:c r="E123" s="2"/>
      <x:c r="F123" s="111"/>
      <x:c r="G123" s="111"/>
      <x:c r="H123" s="111"/>
      <x:c r="I123" s="2"/>
      <x:c r="J123" s="2"/>
      <x:c r="K123" s="2" t="s">
        <x:v>885</x:v>
      </x:c>
      <x:c r="L123" s="2" t="s">
        <x:v>309</x:v>
      </x:c>
    </x:row>
    <x:row r="124" ht="45">
      <x:c r="A124" s="2"/>
      <x:c r="B124" s="2"/>
      <x:c r="C124" s="2"/>
      <x:c r="D124" s="2"/>
      <x:c r="E124" s="2"/>
      <x:c r="F124" s="111"/>
      <x:c r="G124" s="111"/>
      <x:c r="H124" s="111"/>
      <x:c r="I124" s="2"/>
      <x:c r="J124" s="2"/>
      <x:c r="K124" s="2" t="s">
        <x:v>885</x:v>
      </x:c>
      <x:c r="L124" s="2" t="s">
        <x:v>309</x:v>
      </x:c>
    </x:row>
    <x:row r="125" ht="45">
      <x:c r="A125" s="2"/>
      <x:c r="B125" s="2"/>
      <x:c r="C125" s="2"/>
      <x:c r="D125" s="2"/>
      <x:c r="E125" s="2"/>
      <x:c r="F125" s="111"/>
      <x:c r="G125" s="111"/>
      <x:c r="H125" s="111"/>
      <x:c r="I125" s="2"/>
      <x:c r="J125" s="2"/>
      <x:c r="K125" s="2" t="s">
        <x:v>885</x:v>
      </x:c>
      <x:c r="L125" s="2" t="s">
        <x:v>309</x:v>
      </x:c>
    </x:row>
    <x:row r="126" ht="45">
      <x:c r="A126" s="2"/>
      <x:c r="B126" s="2"/>
      <x:c r="C126" s="2"/>
      <x:c r="D126" s="2"/>
      <x:c r="E126" s="2"/>
      <x:c r="F126" s="111"/>
      <x:c r="G126" s="111"/>
      <x:c r="H126" s="111"/>
      <x:c r="I126" s="2"/>
      <x:c r="J126" s="2"/>
      <x:c r="K126" s="2" t="s">
        <x:v>885</x:v>
      </x:c>
      <x:c r="L126" s="2" t="s">
        <x:v>309</x:v>
      </x:c>
    </x:row>
    <x:row r="127" ht="45">
      <x:c r="A127" s="2"/>
      <x:c r="B127" s="2"/>
      <x:c r="C127" s="2"/>
      <x:c r="D127" s="2"/>
      <x:c r="E127" s="2"/>
      <x:c r="F127" s="111"/>
      <x:c r="G127" s="111"/>
      <x:c r="H127" s="111"/>
      <x:c r="I127" s="2"/>
      <x:c r="J127" s="2"/>
      <x:c r="K127" s="2" t="s">
        <x:v>885</x:v>
      </x:c>
      <x:c r="L127" s="2" t="s">
        <x:v>309</x:v>
      </x:c>
    </x:row>
    <x:row r="128" ht="45">
      <x:c r="A128" s="2"/>
      <x:c r="B128" s="2"/>
      <x:c r="C128" s="2"/>
      <x:c r="D128" s="2"/>
      <x:c r="E128" s="2"/>
      <x:c r="F128" s="111"/>
      <x:c r="G128" s="111"/>
      <x:c r="H128" s="111"/>
      <x:c r="I128" s="2"/>
      <x:c r="J128" s="2"/>
      <x:c r="K128" s="2" t="s">
        <x:v>885</x:v>
      </x:c>
      <x:c r="L128" s="2" t="s">
        <x:v>309</x:v>
      </x:c>
    </x:row>
    <x:row r="129" ht="45">
      <x:c r="A129" s="2"/>
      <x:c r="B129" s="2"/>
      <x:c r="C129" s="2"/>
      <x:c r="D129" s="2"/>
      <x:c r="E129" s="2"/>
      <x:c r="F129" s="111"/>
      <x:c r="G129" s="111"/>
      <x:c r="H129" s="111"/>
      <x:c r="I129" s="2"/>
      <x:c r="J129" s="2"/>
      <x:c r="K129" s="2" t="s">
        <x:v>885</x:v>
      </x:c>
      <x:c r="L129" s="2" t="s">
        <x:v>309</x:v>
      </x:c>
    </x:row>
    <x:row r="130" ht="45">
      <x:c r="A130" s="2"/>
      <x:c r="B130" s="2"/>
      <x:c r="C130" s="2"/>
      <x:c r="D130" s="2"/>
      <x:c r="E130" s="2"/>
      <x:c r="F130" s="111"/>
      <x:c r="G130" s="111"/>
      <x:c r="H130" s="111"/>
      <x:c r="I130" s="2"/>
      <x:c r="J130" s="2"/>
      <x:c r="K130" s="2" t="s">
        <x:v>885</x:v>
      </x:c>
      <x:c r="L130" s="2" t="s">
        <x:v>309</x:v>
      </x:c>
    </x:row>
    <x:row r="131" ht="45">
      <x:c r="A131" s="2"/>
      <x:c r="B131" s="2"/>
      <x:c r="C131" s="2"/>
      <x:c r="D131" s="2"/>
      <x:c r="E131" s="2"/>
      <x:c r="F131" s="111"/>
      <x:c r="G131" s="111"/>
      <x:c r="H131" s="111"/>
      <x:c r="I131" s="2"/>
      <x:c r="J131" s="2"/>
      <x:c r="K131" s="2" t="s">
        <x:v>885</x:v>
      </x:c>
      <x:c r="L131" s="2" t="s">
        <x:v>309</x:v>
      </x:c>
    </x:row>
    <x:row r="132" ht="45">
      <x:c r="A132" s="2"/>
      <x:c r="B132" s="2"/>
      <x:c r="C132" s="2"/>
      <x:c r="D132" s="2"/>
      <x:c r="E132" s="2"/>
      <x:c r="F132" s="111"/>
      <x:c r="G132" s="111"/>
      <x:c r="H132" s="111"/>
      <x:c r="I132" s="2"/>
      <x:c r="J132" s="2"/>
      <x:c r="K132" s="2" t="s">
        <x:v>885</x:v>
      </x:c>
      <x:c r="L132" s="2" t="s">
        <x:v>309</x:v>
      </x:c>
    </x:row>
    <x:row r="133" ht="45">
      <x:c r="A133" s="2"/>
      <x:c r="B133" s="2"/>
      <x:c r="C133" s="2"/>
      <x:c r="D133" s="2"/>
      <x:c r="E133" s="2"/>
      <x:c r="F133" s="111"/>
      <x:c r="G133" s="111"/>
      <x:c r="H133" s="111"/>
      <x:c r="I133" s="2"/>
      <x:c r="J133" s="2"/>
      <x:c r="K133" s="2" t="s">
        <x:v>885</x:v>
      </x:c>
      <x:c r="L133" s="2" t="s">
        <x:v>309</x:v>
      </x:c>
    </x:row>
    <x:row r="134" ht="45">
      <x:c r="A134" s="2"/>
      <x:c r="B134" s="2"/>
      <x:c r="C134" s="2"/>
      <x:c r="D134" s="2"/>
      <x:c r="E134" s="2"/>
      <x:c r="F134" s="111"/>
      <x:c r="G134" s="111"/>
      <x:c r="H134" s="111"/>
      <x:c r="I134" s="2"/>
      <x:c r="J134" s="2"/>
      <x:c r="K134" s="2" t="s">
        <x:v>885</x:v>
      </x:c>
      <x:c r="L134" s="2" t="s">
        <x:v>309</x:v>
      </x:c>
    </x:row>
    <x:row r="135" ht="45">
      <x:c r="A135" s="2"/>
      <x:c r="B135" s="2"/>
      <x:c r="C135" s="2"/>
      <x:c r="D135" s="2"/>
      <x:c r="E135" s="2"/>
      <x:c r="F135" s="111"/>
      <x:c r="G135" s="111"/>
      <x:c r="H135" s="111"/>
      <x:c r="I135" s="2"/>
      <x:c r="J135" s="2"/>
      <x:c r="K135" s="2" t="s">
        <x:v>885</x:v>
      </x:c>
      <x:c r="L135" s="2" t="s">
        <x:v>309</x:v>
      </x:c>
    </x:row>
    <x:row r="136" ht="45">
      <x:c r="A136" s="2"/>
      <x:c r="B136" s="2"/>
      <x:c r="C136" s="2"/>
      <x:c r="D136" s="2"/>
      <x:c r="E136" s="2"/>
      <x:c r="F136" s="111"/>
      <x:c r="G136" s="111"/>
      <x:c r="H136" s="111"/>
      <x:c r="I136" s="2"/>
      <x:c r="J136" s="2"/>
      <x:c r="K136" s="2" t="s">
        <x:v>885</x:v>
      </x:c>
      <x:c r="L136" s="2" t="s">
        <x:v>309</x:v>
      </x:c>
    </x:row>
    <x:row r="137" ht="45">
      <x:c r="A137" s="2"/>
      <x:c r="B137" s="2"/>
      <x:c r="C137" s="2"/>
      <x:c r="D137" s="2"/>
      <x:c r="E137" s="2"/>
      <x:c r="F137" s="111"/>
      <x:c r="G137" s="111"/>
      <x:c r="H137" s="111"/>
      <x:c r="I137" s="2"/>
      <x:c r="J137" s="2"/>
      <x:c r="K137" s="2" t="s">
        <x:v>885</x:v>
      </x:c>
      <x:c r="L137" s="2" t="s">
        <x:v>309</x:v>
      </x:c>
    </x:row>
    <x:row r="138" ht="45">
      <x:c r="A138" s="2"/>
      <x:c r="B138" s="2"/>
      <x:c r="C138" s="2"/>
      <x:c r="D138" s="2"/>
      <x:c r="E138" s="2"/>
      <x:c r="F138" s="111"/>
      <x:c r="G138" s="111"/>
      <x:c r="H138" s="111"/>
      <x:c r="I138" s="2"/>
      <x:c r="J138" s="2"/>
      <x:c r="K138" s="2" t="s">
        <x:v>1098</x:v>
      </x:c>
      <x:c r="L138" s="2" t="s">
        <x:v>309</x:v>
      </x:c>
    </x:row>
    <x:row r="139" ht="45">
      <x:c r="A139" s="2"/>
      <x:c r="B139" s="2"/>
      <x:c r="C139" s="2"/>
      <x:c r="D139" s="2"/>
      <x:c r="E139" s="2"/>
      <x:c r="F139" s="111"/>
      <x:c r="G139" s="111"/>
      <x:c r="H139" s="111"/>
      <x:c r="I139" s="2"/>
      <x:c r="J139" s="2"/>
      <x:c r="K139" s="2" t="s">
        <x:v>1098</x:v>
      </x:c>
      <x:c r="L139" s="2" t="s">
        <x:v>309</x:v>
      </x:c>
    </x:row>
    <x:row r="140" ht="45">
      <x:c r="A140" s="2"/>
      <x:c r="B140" s="2"/>
      <x:c r="C140" s="2"/>
      <x:c r="D140" s="2"/>
      <x:c r="E140" s="2"/>
      <x:c r="F140" s="111"/>
      <x:c r="G140" s="111"/>
      <x:c r="H140" s="111"/>
      <x:c r="I140" s="2"/>
      <x:c r="J140" s="2"/>
      <x:c r="K140" s="2" t="s">
        <x:v>1098</x:v>
      </x:c>
      <x:c r="L140" s="2" t="s">
        <x:v>309</x:v>
      </x:c>
    </x:row>
    <x:row r="141" ht="45">
      <x:c r="A141" s="2"/>
      <x:c r="B141" s="2"/>
      <x:c r="C141" s="2"/>
      <x:c r="D141" s="2"/>
      <x:c r="E141" s="2"/>
      <x:c r="F141" s="111"/>
      <x:c r="G141" s="111"/>
      <x:c r="H141" s="111"/>
      <x:c r="I141" s="2"/>
      <x:c r="J141" s="2"/>
      <x:c r="K141" s="2" t="s">
        <x:v>1098</x:v>
      </x:c>
      <x:c r="L141" s="2" t="s">
        <x:v>309</x:v>
      </x:c>
    </x:row>
  </x:sheetData>
  <x:mergeCells>
    <x:mergeCell ref="A1:L1"/>
    <x:mergeCell ref="A3:L3"/>
    <x:mergeCell ref="A65:L65"/>
    <x:mergeCell ref="A99:L99"/>
    <x:mergeCell ref="A4:J4"/>
    <x:mergeCell ref="A25:J25"/>
    <x:mergeCell ref="A36:J36"/>
  </x:mergeCells>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5" width="34" customWidth="1"/>
    <x:col min="6" max="6" width="30" hidden="0" customWidth="1"/>
    <x:col min="7" max="7" width="16" hidden="0" customWidth="1"/>
    <x:col min="8" max="8" width="55" hidden="0" customWidth="1"/>
    <x:col min="2" max="2" width="48" hidden="0" customWidth="1"/>
    <x:col min="3" max="3" width="48" hidden="0" customWidth="1"/>
    <x:col min="4" max="4" width="48" hidden="0" customWidth="1"/>
    <x:col min="5" max="5" width="58" hidden="0" customWidth="1"/>
    <x:col min="9" max="9" width="55" hidden="0" customWidth="1"/>
  </x:cols>
  <x:sheetData>
    <x:row r="1" ht="19.5">
      <x:c r="A1" s="401" t="str">
        <x:v>PPIQ Three-Agent Calendar — v2.13 Generic Customer / Pilot Rebaseline</x:v>
      </x:c>
      <x:c r="B1" s="401"/>
      <x:c r="C1" s="401"/>
      <x:c r="D1" s="401"/>
      <x:c r="E1" s="401"/>
      <x:c r="F1" s="401"/>
      <x:c r="G1" s="401"/>
      <x:c r="H1" s="401"/>
      <x:c r="I1" s="402"/>
    </x:row>
    <x:row r="2">
      <x:c r="A2" s="301"/>
      <x:c r="B2" s="301"/>
      <x:c r="C2" s="301"/>
      <x:c r="D2" s="301"/>
      <x:c r="E2" s="301"/>
      <x:c r="F2" s="301"/>
      <x:c r="G2" s="301"/>
      <x:c r="H2" s="301"/>
      <x:c r="I2" s="301"/>
    </x:row>
    <x:row r="3">
      <x:c r="A3" s="406" t="str">
        <x:v>Window</x:v>
      </x:c>
      <x:c r="B3" s="406" t="str">
        <x:v>Worker 1</x:v>
      </x:c>
      <x:c r="C3" s="406" t="str">
        <x:v>Worker 2</x:v>
      </x:c>
      <x:c r="D3" s="406" t="str">
        <x:v>Worker 3</x:v>
      </x:c>
      <x:c r="E3" s="406" t="str">
        <x:v>Required hand-off / release gate</x:v>
      </x:c>
      <x:c r="F3" s="406" t="str">
        <x:v>Target exit</x:v>
      </x:c>
      <x:c r="G3" s="406" t="str">
        <x:v>Risk</x:v>
      </x:c>
      <x:c r="H3" s="406" t="str">
        <x:v>Management rule</x:v>
      </x:c>
      <x:c r="I3" s="362"/>
    </x:row>
    <x:row r="4" ht="30">
      <x:c r="A4" s="301" t="str">
        <x:v>22–24 Aug</x:v>
      </x:c>
      <x:c r="B4" s="301" t="str">
        <x:v>T-201 freeze M1 baseline; T-207 connector truth</x:v>
      </x:c>
      <x:c r="C4" s="301" t="str">
        <x:v>T-202 persisted replay; T-203 session invariant</x:v>
      </x:c>
      <x:c r="D4" s="301" t="str">
        <x:v>T-206 genericity gate; T-208 generic fixtures</x:v>
      </x:c>
      <x:c r="E4" s="301" t="str">
        <x:v>One clean/frozen shared baseline before mutating M2 work</x:v>
      </x:c>
      <x:c r="F4" s="301" t="str">
        <x:v>M2 cutover started</x:v>
      </x:c>
      <x:c r="G4" s="301" t="str">
        <x:v>High</x:v>
      </x:c>
      <x:c r="H4" s="301" t="str">
        <x:v>No M1 presentation feature work. Exact-file ownership only.</x:v>
      </x:c>
      <x:c r="I4" s="301"/>
    </x:row>
    <x:row r="5" ht="30">
      <x:c r="A5" s="301" t="str">
        <x:v>24–31 Aug</x:v>
      </x:c>
      <x:c r="B5" s="301" t="str">
        <x:v>T-086 → T-088 → T-087; start T-089</x:v>
      </x:c>
      <x:c r="C5" s="301" t="str">
        <x:v>T-204 cross-filter; T-205 suite termination; close generic BI defects</x:v>
      </x:c>
      <x:c r="D5" s="301" t="str">
        <x:v>Finish T-208; T-234 transition/stabilisation contract; prepare isolated aggregation/reference/time kernels</x:v>
      </x:c>
      <x:c r="E5" s="301" t="str">
        <x:v>Release Truth green enough that new foreign data cannot hide basic product failures</x:v>
      </x:c>
      <x:c r="F5" s="301" t="str">
        <x:v>Product Truth + migration authority</x:v>
      </x:c>
      <x:c r="G5" s="301" t="str">
        <x:v>High</x:v>
      </x:c>
      <x:c r="H5" s="301" t="str">
        <x:v>A browser-found defect must become an automated regression before closure.</x:v>
      </x:c>
      <x:c r="I5" s="301"/>
    </x:row>
    <x:row r="6" ht="30">
      <x:c r="A6" s="301" t="str">
        <x:v>1–5 Sep</x:v>
      </x:c>
      <x:c r="B6" s="301" t="str">
        <x:v>T-089 → T-090; T-210; start T-231 persistence</x:v>
      </x:c>
      <x:c r="C6" s="301" t="str">
        <x:v>Consume committed contracts; prepare T-212/T-215 only after producers</x:v>
      </x:c>
      <x:c r="D6" s="301" t="str">
        <x:v>T-209 subject/grain + T-214 reference + T-216 time + T-234 regime contracts SAFE-NOW; begin T-238 Pareto kernel only if it does not displace September-critical work</x:v>
      </x:c>
      <x:c r="E6" s="301" t="str">
        <x:v>Contracts run in parallel with W1 canonical chain. Persistence T-231/T-232/T-233 binds them later; no design rework.</x:v>
      </x:c>
      <x:c r="F6" s="301" t="str">
        <x:v>Foreign-data semantic authority</x:v>
      </x:c>
      <x:c r="G6" s="301" t="str">
        <x:v>High</x:v>
      </x:c>
      <x:c r="H6" s="301" t="str">
        <x:v>No universal CoilId/MaterialId/industry noun as product identity.</x:v>
      </x:c>
      <x:c r="I6" s="301"/>
    </x:row>
    <x:row r="7" ht="30">
      <x:c r="A7" s="301" t="str">
        <x:v>2 Sep CUSTOMER INPUT</x:v>
      </x:c>
      <x:c r="B7" s="301" t="str">
        <x:v>Run T-213 48–72h Customer Data Architecture &amp; Capability Assessment when structure arrives</x:v>
      </x:c>
      <x:c r="C7" s="301" t="str">
        <x:v>Support mapping/intake UI, no customer-specific code</x:v>
      </x:c>
      <x:c r="D7" s="301" t="str">
        <x:v>Run eligibility/reconciliation probes on customer-shaped synthetic sample</x:v>
      </x:c>
      <x:c r="E7" s="301" t="str">
        <x:v>Assessment now includes same-window manual/machine history, transition/stabilisation semantics, sequence boundaries and multi-objective requirements.</x:v>
      </x:c>
      <x:c r="F7" s="301" t="str">
        <x:v>Customer assessment delivered</x:v>
      </x:c>
      <x:c r="G7" s="301" t="str">
        <x:v>High</x:v>
      </x:c>
      <x:c r="H7" s="301" t="str">
        <x:v>Schema alone cannot justify model/root-cause claims; request same-window history.</x:v>
      </x:c>
      <x:c r="I7" s="301"/>
    </x:row>
    <x:row r="8" ht="30">
      <x:c r="A8" s="301" t="str">
        <x:v>5–12 Sep</x:v>
      </x:c>
      <x:c r="B8" s="301" t="str">
        <x:v>T-231 → T-092 → T-232/T-233; persist T-235 transition authority if T-087 checkpoint is green</x:v>
      </x:c>
      <x:c r="C8" s="301" t="str">
        <x:v>T-212 aggregation BI; T-215 reference measures; prepare T-237 exact period driver decomposition after T-092/T-235</x:v>
      </x:c>
      <x:c r="D8" s="301" t="str">
        <x:v>T-211/T-217/T-218 + T-234 → T-236 SAFE-NOW regime guard → T-219/T-220. T-236 does not wait for W1 persistence; T-212 later binds it into Layer-A widgets.</x:v>
      </x:c>
      <x:c r="E8" s="301" t="str">
        <x:v>HARD CHECKPOINT: T-087 green by 5-Sep. If not, activate declared compatibility-read fallback; canonical surfaces/references shown configured, not executed.</x:v>
      </x:c>
      <x:c r="F8" s="301" t="str">
        <x:v>Canonical onboarding path viable</x:v>
      </x:c>
      <x:c r="G8" s="301" t="str">
        <x:v>Yellow-High</x:v>
      </x:c>
      <x:c r="H8" s="301" t="str">
        <x:v>If canonical path slips materially, use a declared temporary compatibility adapter for demo only; no hidden authority.</x:v>
      </x:c>
      <x:c r="I8" s="301"/>
    </x:row>
    <x:row r="9" ht="30">
      <x:c r="A9" s="301" t="str">
        <x:v>12–20 Sep</x:v>
      </x:c>
      <x:c r="B9" s="301" t="str">
        <x:v>Canonical persistence support only if ready; T-221 is not required for 30-Sep.</x:v>
      </x:c>
      <x:c r="C9" s="301" t="str">
        <x:v>T-222 reconciliation/reference surface; T-237 CompareOperationalPeriods if canonical regime persistence is green</x:v>
      </x:c>
      <x:c r="D9" s="301" t="str">
        <x:v>Finish T-236/T-219/T-220; T-223 grounded Assistant. Multi-objective T-238 is post-Sep unless spare capacity.</x:v>
      </x:c>
      <x:c r="E9" s="301" t="str">
        <x:v>One end-to-end historical reconciliation case with evidence/confidence, without waiting for canonical reconciliation tables.</x:v>
      </x:c>
      <x:c r="F9" s="301" t="str">
        <x:v>Differentiator green</x:v>
      </x:c>
      <x:c r="G9" s="301" t="str">
        <x:v>Yellow</x:v>
      </x:c>
      <x:c r="H9" s="301" t="str">
        <x:v>No live OPC dependency; no T-221 persistence dependency; no Insight Composer dependency.</x:v>
      </x:c>
      <x:c r="I9" s="301"/>
    </x:row>
    <x:row r="10" ht="30">
      <x:c r="A10" s="301" t="str">
        <x:v>20–25 Sep</x:v>
      </x:c>
      <x:c r="B10" s="301" t="str">
        <x:v>Customer mapping/config support; trial prerequisites planning</x:v>
      </x:c>
      <x:c r="C10" s="301" t="str">
        <x:v>Customer-facing journey hardening; full session/network replay</x:v>
      </x:c>
      <x:c r="D10" s="301" t="str">
        <x:v>Assistant/evidence quality and refusal verification</x:v>
      </x:c>
      <x:c r="E10" s="301" t="str">
        <x:v>All customer-touch routes green on customer-shaped/real sample</x:v>
      </x:c>
      <x:c r="F10" s="301" t="str">
        <x:v>Demo feature freeze candidate</x:v>
      </x:c>
      <x:c r="G10" s="301" t="str">
        <x:v>Yellow</x:v>
      </x:c>
      <x:c r="H10" s="301" t="str">
        <x:v>Do not add a second differentiator.</x:v>
      </x:c>
      <x:c r="I10" s="301"/>
    </x:row>
    <x:row r="11" ht="30">
      <x:c r="A11" s="301" t="str">
        <x:v>26–29 Sep</x:v>
      </x:c>
      <x:c r="B11" s="301" t="str">
        <x:v>Integration support only</x:v>
      </x:c>
      <x:c r="C11" s="301" t="str">
        <x:v>Replay/session/visual/performance; two rehearsals</x:v>
      </x:c>
      <x:c r="D11" s="301" t="str">
        <x:v>Assistant/evidence support only</x:v>
      </x:c>
      <x:c r="E11" s="301" t="str">
        <x:v>No unexpected &gt;=400, cross-filter semantics green, references/reconciliation correct</x:v>
      </x:c>
      <x:c r="F11" s="301" t="str">
        <x:v>30-Sep RC frozen</x:v>
      </x:c>
      <x:c r="G11" s="301" t="str">
        <x:v>Green-Yellow</x:v>
      </x:c>
      <x:c r="H11" s="301" t="str">
        <x:v>NO feature work except proven release blocker.</x:v>
      </x:c>
      <x:c r="I11" s="301"/>
    </x:row>
    <x:row r="12" ht="30">
      <x:c r="A12" s="301" t="str">
        <x:v>30 Sep</x:v>
      </x:c>
      <x:c r="B12" s="301" t="str">
        <x:v>Customer meeting support</x:v>
      </x:c>
      <x:c r="C12" s="301" t="str">
        <x:v>Customer meeting support</x:v>
      </x:c>
      <x:c r="D12" s="301" t="str">
        <x:v>Customer meeting support</x:v>
      </x:c>
      <x:c r="E12" s="301" t="str">
        <x:v>Use their vocabulary/data; show reference + reconciliation + grounded Assistant; state live OPC trial gate honestly</x:v>
      </x:c>
      <x:c r="F12" s="301" t="str">
        <x:v>Second presentation</x:v>
      </x:c>
      <x:c r="G12" s="301" t="str">
        <x:v>—</x:v>
      </x:c>
      <x:c r="H12" s="301" t="str">
        <x:v>Do not claim production OPC/ML accuracy from unproven data.</x:v>
      </x:c>
      <x:c r="I12" s="301"/>
    </x:row>
    <x:row r="13" ht="45">
      <x:c r="A13" s="301" t="str">
        <x:v>Pilot start</x:v>
      </x:c>
      <x:c r="B13" s="301" t="str">
        <x:v>T-224 → T-225 → T-226 plus install/security/backup; T-227 scorecard</x:v>
      </x:c>
      <x:c r="C13" s="301" t="str">
        <x:v>Pilot UAT/monitoring/operability surfaces</x:v>
      </x:c>
      <x:c r="D13" s="301" t="str">
        <x:v>Reconciliation/ML calibration expansion</x:v>
      </x:c>
      <x:c r="E13" s="301" t="str">
        <x:v>Real read-only site OPC proof + Pilot Success Contract</x:v>
      </x:c>
      <x:c r="F13" s="301" t="str">
        <x:v>Two-month pilot</x:v>
      </x:c>
      <x:c r="G13" s="301" t="str">
        <x:v>Site-dependent</x:v>
      </x:c>
      <x:c r="H13" s="301" t="str">
        <x:v>Post-Sep M2: T-238 → T-239 → T-240 multi-objective practice; T-228 → T-229 → T-230 insight composition. Neither is a 30-Sep success dependency.</x:v>
      </x:c>
      <x:c r="I13" s="301"/>
    </x:row>
    <x:row r="14">
      <x:c r="A14" s="301" t="str">
        <x:v>Post-Sep intelligence</x:v>
      </x:c>
      <x:c r="B14" s="301" t="str">
        <x:v>Canonical M2 dependencies</x:v>
      </x:c>
      <x:c r="C14" s="301" t="str">
        <x:v>Consume producer contracts</x:v>
      </x:c>
      <x:c r="D14" s="301" t="str">
        <x:v>T-228 → T-229 → T-230 (M2b-P0D) InsightBoardPlan/composition/replay — deferred</x:v>
      </x:c>
      <x:c r="E14" s="301" t="str">
        <x:v>Governed, reproducible Assistant investigation boards</x:v>
      </x:c>
      <x:c r="F14" s="301" t="str">
        <x:v>Next M2 slice</x:v>
      </x:c>
      <x:c r="G14" s="301" t="str">
        <x:v>Normal</x:v>
      </x:c>
      <x:c r="H14" s="301" t="str">
        <x:v>LLM proposes bounded plan; deterministic authorities validate and existing BI engine executes.</x:v>
      </x:c>
      <x:c r="I14" s="301"/>
    </x:row>
  </x:sheetData>
  <x:mergeCells>
    <x:mergeCell ref="A1:H1"/>
  </x:mergeCells>
  <x:conditionalFormatting sqref="G4:G13">
    <x:cfRule type="expression" dxfId="6" priority="1">
      <x:formula>LEFT(G4,5)="Green"</x:formula>
    </x:cfRule>
    <x:cfRule type="expression" dxfId="5" priority="2">
      <x:formula>LEFT(G4,6)="Yellow"</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28" hidden="0" customWidth="1"/>
    <x:col min="2" max="2" width="22" hidden="0" customWidth="1"/>
    <x:col min="3" max="3" width="42" hidden="0" customWidth="1"/>
    <x:col min="4" max="4" width="55" hidden="0" customWidth="1"/>
    <x:col min="5" max="5" width="24" hidden="0" customWidth="1"/>
    <x:col min="6" max="6" width="55" hidden="0" customWidth="1"/>
    <x:col min="7" max="7" width="36" hidden="0" customWidth="1"/>
    <x:col min="8" max="8" width="28" hidden="0" customWidth="1"/>
  </x:cols>
  <x:sheetData>
    <x:row r="1">
      <x:c r="A1" s="402" t="str">
        <x:v>PPIQ v2.11.0 Change Log — 22 Aug 2026</x:v>
      </x:c>
      <x:c r="B1" s="402"/>
      <x:c r="C1" s="402"/>
      <x:c r="D1" s="402"/>
      <x:c r="E1" s="402"/>
      <x:c r="F1" s="402"/>
      <x:c r="G1" s="402"/>
      <x:c r="H1" s="402"/>
    </x:row>
    <x:row r="2">
      <x:c r="A2" s="301"/>
      <x:c r="B2" s="301"/>
      <x:c r="C2" s="301"/>
      <x:c r="D2" s="301"/>
      <x:c r="E2" s="301"/>
      <x:c r="F2" s="301"/>
      <x:c r="G2" s="301"/>
      <x:c r="H2" s="301"/>
    </x:row>
    <x:row r="3">
      <x:c r="A3" s="362" t="str">
        <x:v>Change</x:v>
      </x:c>
      <x:c r="B3" s="362" t="str">
        <x:v>Scope</x:v>
      </x:c>
      <x:c r="C3" s="362" t="str">
        <x:v>Old state</x:v>
      </x:c>
      <x:c r="D3" s="362" t="str">
        <x:v>v2.11 state</x:v>
      </x:c>
      <x:c r="E3" s="362" t="str">
        <x:v>Owner / tasks</x:v>
      </x:c>
      <x:c r="F3" s="362" t="str">
        <x:v>Reason</x:v>
      </x:c>
      <x:c r="G3" s="362" t="str">
        <x:v>September effect</x:v>
      </x:c>
      <x:c r="H3" s="362" t="str">
        <x:v>Design authority</x:v>
      </x:c>
    </x:row>
    <x:row r="4">
      <x:c r="A4" s="301" t="str">
        <x:v>Programme direction</x:v>
      </x:c>
      <x:c r="B4" s="301" t="str">
        <x:v>M1/M2</x:v>
      </x:c>
      <x:c r="C4" s="301" t="str">
        <x:v>Finish presentation backlog then M2</x:v>
      </x:c>
      <x:c r="D4" s="301" t="str">
        <x:v>Freeze M1; generic defects re-owned by M2a-P0</x:v>
      </x:c>
      <x:c r="E4" s="301" t="str">
        <x:v>T-201..T-208</x:v>
      </x:c>
      <x:c r="F4" s="301" t="str">
        <x:v>Customer presentation succeeded; presentation-only work no longer drives product value.</x:v>
      </x:c>
      <x:c r="G4" s="301" t="str">
        <x:v>Stops demo polish; moves capacity to customer-product truth.</x:v>
      </x:c>
      <x:c r="H4" s="301" t="str">
        <x:v>Master Design v4.7</x:v>
      </x:c>
    </x:row>
    <x:row r="5">
      <x:c r="A5" s="301" t="str">
        <x:v>Generic analytical identity</x:v>
      </x:c>
      <x:c r="B5" s="301" t="str">
        <x:v>Layer A/B</x:v>
      </x:c>
      <x:c r="C5" s="301" t="str">
        <x:v>Material/coil assumptions survive in some contracts</x:v>
      </x:c>
      <x:c r="D5" s="301" t="str">
        <x:v>AnalysisSubject + GrainDefinition; material unit only when semantically applicable</x:v>
      </x:c>
      <x:c r="E5" s="301" t="str">
        <x:v>T-209, T-094, T-128, T-139</x:v>
      </x:c>
      <x:c r="F5" s="301" t="str">
        <x:v>Same binary must support equipment/time/continuous subjects.</x:v>
      </x:c>
      <x:c r="G5" s="301" t="str">
        <x:v>Critical for oil/continuous data.</x:v>
      </x:c>
      <x:c r="H5" s="301" t="str">
        <x:v>Ch2/3 v4.7; Layer-B Rev8</x:v>
      </x:c>
    </x:row>
    <x:row r="6">
      <x:c r="A6" s="301" t="str">
        <x:v>Aggregation semantics</x:v>
      </x:c>
      <x:c r="B6" s="301" t="str">
        <x:v>BI/analytics</x:v>
      </x:c>
      <x:c r="C6" s="301" t="str">
        <x:v>Implicit/sample Average can appear without signal semantics</x:v>
      </x:c>
      <x:c r="D6" s="301" t="str">
        <x:v>No default Average; declared signal/aggregation/interpolation/quality/time policy or refusal</x:v>
      </x:c>
      <x:c r="E6" s="301" t="str">
        <x:v>T-210..T-212</x:v>
      </x:c>
      <x:c r="F6" s="301" t="str">
        <x:v>Prevents plausible wrong numbers on irregular/state/counter data.</x:v>
      </x:c>
      <x:c r="G6" s="301" t="str">
        <x:v>Critical before customer metrics.</x:v>
      </x:c>
      <x:c r="H6" s="301" t="str">
        <x:v>Ch3/4 v4.7</x:v>
      </x:c>
    </x:row>
    <x:row r="7">
      <x:c r="A7" s="301" t="str">
        <x:v>Registry authority</x:v>
      </x:c>
      <x:c r="B7" s="301" t="str">
        <x:v>Authoring</x:v>
      </x:c>
      <x:c r="C7" s="301" t="str">
        <x:v>Compiled customer dimensions/measures still reachable</x:v>
      </x:c>
      <x:c r="D7" s="301" t="str">
        <x:v>Registry rows/projections from canonical definitions; same-binary addition of customer dimensions</x:v>
      </x:c>
      <x:c r="E7" s="301" t="str">
        <x:v>T-092 + T-206</x:v>
      </x:c>
      <x:c r="F7" s="301" t="str">
        <x:v>Compiled customer vocabulary violates Rule 1.</x:v>
      </x:c>
      <x:c r="G7" s="301" t="str">
        <x:v>Critical for 2-Sep onboarding.</x:v>
      </x:c>
      <x:c r="H7" s="301" t="str">
        <x:v>Ch2/3 v4.7</x:v>
      </x:c>
    </x:row>
    <x:row r="8">
      <x:c r="A8" s="301" t="str">
        <x:v>Temporal authority</x:v>
      </x:c>
      <x:c r="B8" s="301" t="str">
        <x:v>Data/reconciliation</x:v>
      </x:c>
      <x:c r="C8" s="301" t="str">
        <x:v>Timestamp assumptions implicit</x:v>
      </x:c>
      <x:c r="D8" s="301" t="str">
        <x:v>Per-source timezone/clock/origin/skew/tolerance + deterministic alignment</x:v>
      </x:c>
      <x:c r="E8" s="301" t="str">
        <x:v>T-216/T-217</x:v>
      </x:c>
      <x:c r="F8" s="301" t="str">
        <x:v>Cross-source conflicts are invalid without clock alignment.</x:v>
      </x:c>
      <x:c r="G8" s="301" t="str">
        <x:v>Critical for reconciliation.</x:v>
      </x:c>
      <x:c r="H8" s="301" t="str">
        <x:v>Ch3/4 v4.7</x:v>
      </x:c>
    </x:row>
    <x:row r="9">
      <x:c r="A9" s="301" t="str">
        <x:v>Performance References</x:v>
      </x:c>
      <x:c r="B9" s="301" t="str">
        <x:v>Layer A/B</x:v>
      </x:c>
      <x:c r="C9" s="301" t="str">
        <x:v>Specs/best-practice exist but no unified reference/attainment authority</x:v>
      </x:c>
      <x:c r="D9" s="301" t="str">
        <x:v>Declared standards/targets/envelopes separated from learned baseline/best/peer; directionality/effective dating</x:v>
      </x:c>
      <x:c r="E9" s="301" t="str">
        <x:v>T-214/T-215</x:v>
      </x:c>
      <x:c r="F9" s="301" t="str">
        <x:v>Customer explicitly needs a governed '100%' target/reference.</x:v>
      </x:c>
      <x:c r="G9" s="301" t="str">
        <x:v>September supporting capability.</x:v>
      </x:c>
      <x:c r="H9" s="301" t="str">
        <x:v>Ch2/3/4 v4.7</x:v>
      </x:c>
    </x:row>
    <x:row r="10">
      <x:c r="A10" s="301" t="str">
        <x:v>Evidence Reconciliation</x:v>
      </x:c>
      <x:c r="B10" s="301" t="str">
        <x:v>Intelligence</x:v>
      </x:c>
      <x:c r="C10" s="301" t="str">
        <x:v>No canonical claim-vs-evidence product object</x:v>
      </x:c>
      <x:c r="D10" s="301" t="str">
        <x:v>Seven-state Operational Evidence Reconciliation + evidence authority + causal confidence</x:v>
      </x:c>
      <x:c r="E10" s="301" t="str">
        <x:v>T-218..T-223</x:v>
      </x:c>
      <x:c r="F10" s="301" t="str">
        <x:v>Customer explicitly asked to reconcile manual downtime with machine evidence.</x:v>
      </x:c>
      <x:c r="G10" s="301" t="str">
        <x:v>Primary September differentiator.</x:v>
      </x:c>
      <x:c r="H10" s="301" t="str">
        <x:v>Ch2/3/4 v4.7</x:v>
      </x:c>
    </x:row>
    <x:row r="11">
      <x:c r="A11" s="301" t="str">
        <x:v>OPC capability truth</x:v>
      </x:c>
      <x:c r="B11" s="301" t="str">
        <x:v>Acquisition</x:v>
      </x:c>
      <x:c r="C11" s="301" t="str">
        <x:v>Metadata may advertise browse/read unsupported by executable runtime</x:v>
      </x:c>
      <x:c r="D11" s="301" t="str">
        <x:v>Remove false claim now; production OPC-UA edge runtime/site proof moved to M3-P0</x:v>
      </x:c>
      <x:c r="E11" s="301" t="str">
        <x:v>T-207, T-224..226, T-153</x:v>
      </x:c>
      <x:c r="F11" s="301" t="str">
        <x:v>Honesty Contract; live plant access is externally constrained.</x:v>
      </x:c>
      <x:c r="G11" s="301" t="str">
        <x:v>Not a Sep dependency; pilot gate.</x:v>
      </x:c>
      <x:c r="H11" s="301" t="str">
        <x:v>Ch2/6 v4.7</x:v>
      </x:c>
    </x:row>
    <x:row r="12">
      <x:c r="A12" s="301" t="str">
        <x:v>Release Truth</x:v>
      </x:c>
      <x:c r="B12" s="301" t="str">
        <x:v>QA</x:v>
      </x:c>
      <x:c r="C12" s="301" t="str">
        <x:v>Artifact-scoped gates let page/API/interaction failures escape</x:v>
      </x:c>
      <x:c r="D12" s="301" t="str">
        <x:v>Persisted-definition replay + route/network invariant + cross-filter state machine + deterministic frontend suite</x:v>
      </x:c>
      <x:c r="E12" s="301" t="str">
        <x:v>T-202..T-205; T-150 final composition</x:v>
      </x:c>
      <x:c r="F12" s="301" t="str">
        <x:v>M1 found &gt;15 basic defects manually.</x:v>
      </x:c>
      <x:c r="G12" s="301" t="str">
        <x:v>First M2 work, before customer onboarding.</x:v>
      </x:c>
      <x:c r="H12" s="301" t="str">
        <x:v>Ch4/6 v4.7</x:v>
      </x:c>
    </x:row>
    <x:row r="13">
      <x:c r="A13" s="301" t="str">
        <x:v>Assistant composition</x:v>
      </x:c>
      <x:c r="B13" s="301" t="str">
        <x:v>Assistant</x:v>
      </x:c>
      <x:c r="C13" s="301" t="str">
        <x:v>Grounded planner/retrieval/verifier exist; no governed page-composition artifact</x:v>
      </x:c>
      <x:c r="D13" s="301" t="str">
        <x:v>Versioned InsightBoardPlan, deterministic validator, plan-to-widget composition and replay</x:v>
      </x:c>
      <x:c r="E13" s="301" t="str">
        <x:v>T-228..230</x:v>
      </x:c>
      <x:c r="F13" s="301" t="str">
        <x:v>Preserves ChatGPT-like exploration without giving LLM data authority.</x:v>
      </x:c>
      <x:c r="G13" s="301" t="str">
        <x:v>Post-September / trial stretch.</x:v>
      </x:c>
      <x:c r="H13" s="301" t="str">
        <x:v>Ch2/3/4 v4.7</x:v>
      </x:c>
    </x:row>
    <x:row r="14">
      <x:c r="A14" s="301" t="str">
        <x:v>Pilot success</x:v>
      </x:c>
      <x:c r="B14" s="301" t="str">
        <x:v>Commercial/operational</x:v>
      </x:c>
      <x:c r="C14" s="301" t="str">
        <x:v>Two free months could end in subjective decision</x:v>
      </x:c>
      <x:c r="D14" s="301" t="str">
        <x:v>Pilot Success Contract with technical/analytical/business/adoption scorecard</x:v>
      </x:c>
      <x:c r="E14" s="301" t="str">
        <x:v>T-227</x:v>
      </x:c>
      <x:c r="F14" s="301" t="str">
        <x:v>Converts free trial into measurable business experiment.</x:v>
      </x:c>
      <x:c r="G14" s="301" t="str">
        <x:v>Required before pilot starts.</x:v>
      </x:c>
      <x:c r="H14" s="301" t="str">
        <x:v>Ch1/6 v4.7</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28" hidden="0" customWidth="1"/>
    <x:col min="3" max="3" width="62" hidden="0" customWidth="1"/>
    <x:col min="4" max="4" width="28" hidden="0" customWidth="1"/>
    <x:col min="5" max="5" width="48" hidden="0" customWidth="1"/>
    <x:col min="6" max="6" width="28" hidden="0" customWidth="1"/>
    <x:col min="7" max="7" width="12" hidden="0" customWidth="1"/>
    <x:col min="8" max="8" width="12" hidden="0" customWidth="1"/>
    <x:col min="9" max="9" width="4" hidden="0" customWidth="1"/>
    <x:col min="10" max="10" width="16" hidden="0" customWidth="1"/>
    <x:col min="11" max="11" width="16" hidden="0" customWidth="1"/>
    <x:col min="12" max="12" width="16" hidden="0" customWidth="1"/>
    <x:col min="13" max="13" width="16" hidden="0" customWidth="1"/>
    <x:col min="14" max="14" width="16" hidden="0" customWidth="1"/>
  </x:cols>
  <x:sheetData>
    <x:row r="1">
      <x:c r="A1" s="424" t="str">
        <x:v>HISTORICAL — v2.11 Pilot Rebaseline (superseded by v2.12 Pilot Rebaseline sheet)</x:v>
      </x:c>
      <x:c r="B1" s="424"/>
      <x:c r="C1" s="424"/>
      <x:c r="D1" s="424"/>
      <x:c r="E1" s="424"/>
      <x:c r="F1" s="424"/>
      <x:c r="G1" s="424"/>
      <x:c r="H1" s="424"/>
      <x:c r="I1" s="424"/>
      <x:c r="J1" s="424"/>
      <x:c r="K1" s="424"/>
      <x:c r="L1" s="424"/>
      <x:c r="M1" s="424"/>
      <x:c r="N1" s="424"/>
    </x:row>
    <x:row r="3">
      <x:c r="A3" s="362" t="str">
        <x:v>PROGRAMME KPI</x:v>
      </x:c>
      <x:c r="B3" s="362" t="str">
        <x:v>v2.10.4</x:v>
      </x:c>
      <x:c r="C3" s="362" t="str">
        <x:v>v2.11.0</x:v>
      </x:c>
      <x:c r="D3" s="362" t="str">
        <x:v>Ruling</x:v>
      </x:c>
      <x:c r="F3" s="362" t="str">
        <x:v>NEW PHASE</x:v>
      </x:c>
      <x:c r="G3" s="362" t="str">
        <x:v>Tasks</x:v>
      </x:c>
      <x:c r="H3" s="362" t="str">
        <x:v>Hours</x:v>
      </x:c>
    </x:row>
    <x:row r="4">
      <x:c r="A4" s="301" t="str">
        <x:v>Tasks</x:v>
      </x:c>
      <x:c r="B4" s="301" t="n">
        <x:v>200</x:v>
      </x:c>
      <x:c r="C4" s="301" t="n">
        <x:v>230</x:v>
      </x:c>
      <x:c r="D4" s="301" t="str">
        <x:v>+30 explicit owners; no hidden feature families.</x:v>
      </x:c>
      <x:c r="F4" s="301" t="str">
        <x:v>M2a-P0 Product Truth</x:v>
      </x:c>
      <x:c r="G4" s="301" t="n">
        <x:v>8</x:v>
      </x:c>
      <x:c r="H4" s="301" t="n">
        <x:v>66</x:v>
      </x:c>
    </x:row>
    <x:row r="5">
      <x:c r="A5" s="301" t="str">
        <x:v>Programme hours</x:v>
      </x:c>
      <x:c r="B5" s="301" t="n">
        <x:v>1806</x:v>
      </x:c>
      <x:c r="C5" s="301" t="n">
        <x:v>2102</x:v>
      </x:c>
      <x:c r="D5" s="301" t="str">
        <x:v>Scope increases honestly; September scope narrows.</x:v>
      </x:c>
      <x:c r="F5" s="301" t="str">
        <x:v>M2a-P1X Generic semantics/intake/reference</x:v>
      </x:c>
      <x:c r="G5" s="301" t="n">
        <x:v>7</x:v>
      </x:c>
      <x:c r="H5" s="301" t="n">
        <x:v>74</x:v>
      </x:c>
    </x:row>
    <x:row r="6">
      <x:c r="A6" s="301" t="str">
        <x:v>M1 scheduled open h</x:v>
      </x:c>
      <x:c r="B6" s="301" t="n">
        <x:v>163</x:v>
      </x:c>
      <x:c r="C6" s="301" t="n">
        <x:v>0</x:v>
      </x:c>
      <x:c r="D6" s="301" t="str">
        <x:v>M1 presentation work frozen.</x:v>
      </x:c>
      <x:c r="F6" s="301" t="str">
        <x:v>M2b-P0C Reconciliation/investigation</x:v>
      </x:c>
      <x:c r="G6" s="301" t="n">
        <x:v>11</x:v>
      </x:c>
      <x:c r="H6" s="301" t="n">
        <x:v>114</x:v>
      </x:c>
    </x:row>
    <x:row r="7">
      <x:c r="A7" s="301" t="str">
        <x:v>M2a hours</x:v>
      </x:c>
      <x:c r="B7" s="301" t="n">
        <x:v>490</x:v>
      </x:c>
      <x:c r="C7" s="301" t="n">
        <x:v>630</x:v>
      </x:c>
      <x:c r="D7" s="301" t="str">
        <x:v>Adds Product Truth + generic subject/aggregation/time/reference/intake.</x:v>
      </x:c>
      <x:c r="F7" s="301" t="str">
        <x:v>M3-P0 Production OT/pilot</x:v>
      </x:c>
      <x:c r="G7" s="301" t="n">
        <x:v>4</x:v>
      </x:c>
      <x:c r="H7" s="301" t="n">
        <x:v>42</x:v>
      </x:c>
    </x:row>
    <x:row r="8">
      <x:c r="A8" s="301" t="str">
        <x:v>M2b hours</x:v>
      </x:c>
      <x:c r="B8" s="301" t="n">
        <x:v>538</x:v>
      </x:c>
      <x:c r="C8" s="301" t="n">
        <x:v>652</x:v>
      </x:c>
      <x:c r="D8" s="301" t="str">
        <x:v>Adds reconciliation + governed investigation composition.</x:v>
      </x:c>
    </x:row>
    <x:row r="9">
      <x:c r="A9" s="301" t="str">
        <x:v>M3 hours</x:v>
      </x:c>
      <x:c r="B9" s="301" t="n">
        <x:v>204</x:v>
      </x:c>
      <x:c r="C9" s="301" t="n">
        <x:v>246</x:v>
      </x:c>
      <x:c r="D9" s="301" t="str">
        <x:v>Adds real OPC-UA trial runtime + pilot scorecard.</x:v>
      </x:c>
    </x:row>
    <x:row r="12">
      <x:c r="A12" s="428" t="str">
        <x:v>SEPTEMBER CUSTOMER-DEMO CONTRACT</x:v>
      </x:c>
      <x:c r="B12" s="428"/>
      <x:c r="C12" s="428"/>
      <x:c r="D12" s="428"/>
      <x:c r="E12" s="428"/>
      <x:c r="F12" s="428"/>
      <x:c r="G12" s="428"/>
      <x:c r="H12" s="428"/>
      <x:c r="I12" s="428"/>
      <x:c r="J12" s="428"/>
      <x:c r="K12" s="428"/>
      <x:c r="L12" s="428"/>
      <x:c r="M12" s="428"/>
      <x:c r="N12" s="428"/>
    </x:row>
    <x:row r="13">
      <x:c r="A13" s="362" t="str">
        <x:v>Priority</x:v>
      </x:c>
      <x:c r="B13" s="362" t="str">
        <x:v>Capability</x:v>
      </x:c>
      <x:c r="C13" s="362" t="str">
        <x:v>What must be demonstrable</x:v>
      </x:c>
      <x:c r="D13" s="362" t="str">
        <x:v>Task owners</x:v>
      </x:c>
      <x:c r="E13" s="362" t="str">
        <x:v>Not required for 30 Sep</x:v>
      </x:c>
    </x:row>
    <x:row r="14">
      <x:c r="A14" s="301" t="str">
        <x:v>P0</x:v>
      </x:c>
      <x:c r="B14" s="301" t="str">
        <x:v>Product Truth</x:v>
      </x:c>
      <x:c r="C14" s="301" t="str">
        <x:v>All persisted widgets/routes execute; no unexpected API errors; cross-filter changes dependent widgets.</x:v>
      </x:c>
      <x:c r="D14" s="301" t="str">
        <x:v>T-202..205</x:v>
      </x:c>
      <x:c r="E14" s="301" t="str">
        <x:v>Full M2 completion</x:v>
      </x:c>
    </x:row>
    <x:row r="15">
      <x:c r="A15" s="301" t="str">
        <x:v>P0</x:v>
      </x:c>
      <x:c r="B15" s="301" t="str">
        <x:v>Genericity</x:v>
      </x:c>
      <x:c r="C15" s="301" t="str">
        <x:v>Customer dimensions/measures enter through definitions/registry using same binary; no coil/material/oil universal noun.</x:v>
      </x:c>
      <x:c r="D15" s="301" t="str">
        <x:v>T-206, T-209, T-092/T-094</x:v>
      </x:c>
      <x:c r="E15" s="301" t="str">
        <x:v>Customer-specific code</x:v>
      </x:c>
    </x:row>
    <x:row r="16">
      <x:c r="A16" s="301" t="str">
        <x:v>P0</x:v>
      </x:c>
      <x:c r="B16" s="301" t="str">
        <x:v>Aggregation truth</x:v>
      </x:c>
      <x:c r="C16" s="301" t="str">
        <x:v>Declared continuous/discrete signal semantics select correct aggregation or refuse.</x:v>
      </x:c>
      <x:c r="D16" s="301" t="str">
        <x:v>T-210..212</x:v>
      </x:c>
      <x:c r="E16" s="301" t="str">
        <x:v>All future aggregation kinds</x:v>
      </x:c>
    </x:row>
    <x:row r="17">
      <x:c r="A17" s="301" t="str">
        <x:v>P1</x:v>
      </x:c>
      <x:c r="B17" s="301" t="str">
        <x:v>Performance References</x:v>
      </x:c>
      <x:c r="C17" s="301" t="str">
        <x:v>Their top KPIs/parameters show actual vs declared target/envelope with correct directionality/effective date.</x:v>
      </x:c>
      <x:c r="D17" s="301" t="str">
        <x:v>T-214/T-215</x:v>
      </x:c>
      <x:c r="E17" s="301" t="str">
        <x:v>Peer/learned reference completion</x:v>
      </x:c>
    </x:row>
    <x:row r="18">
      <x:c r="A18" s="301" t="str">
        <x:v>P1</x:v>
      </x:c>
      <x:c r="B18" s="301" t="str">
        <x:v>Historical Reconciliation</x:v>
      </x:c>
      <x:c r="C18" s="301" t="str">
        <x:v>One manual downtime/operational record reconciled with same-period machine/business evidence and time alignment.</x:v>
      </x:c>
      <x:c r="D18" s="301" t="str">
        <x:v>T-216..223</x:v>
      </x:c>
      <x:c r="E18" s="301" t="str">
        <x:v>Live OPC dependency</x:v>
      </x:c>
    </x:row>
    <x:row r="19">
      <x:c r="A19" s="301" t="str">
        <x:v>P1</x:v>
      </x:c>
      <x:c r="B19" s="301" t="str">
        <x:v>Grounded Assistant</x:v>
      </x:c>
      <x:c r="C19" s="301" t="str">
        <x:v>Assistant explains the reconciliation and strongest supported hypothesis with evidence/confidence ladder.</x:v>
      </x:c>
      <x:c r="D19" s="301" t="str">
        <x:v>T-223</x:v>
      </x:c>
      <x:c r="E19" s="301" t="str">
        <x:v>Assistant-generated page</x:v>
      </x:c>
    </x:row>
    <x:row r="22">
      <x:c r="A22" s="428" t="str">
        <x:v>PILOT / POST-SEPTEMBER CONTRACT</x:v>
      </x:c>
      <x:c r="B22" s="428"/>
      <x:c r="C22" s="428"/>
      <x:c r="D22" s="428"/>
      <x:c r="E22" s="428"/>
      <x:c r="F22" s="428"/>
      <x:c r="G22" s="428"/>
      <x:c r="H22" s="428"/>
      <x:c r="I22" s="428"/>
      <x:c r="J22" s="428"/>
      <x:c r="K22" s="428"/>
      <x:c r="L22" s="428"/>
      <x:c r="M22" s="428"/>
      <x:c r="N22" s="428"/>
    </x:row>
    <x:row r="23">
      <x:c r="A23" s="362" t="str">
        <x:v>When</x:v>
      </x:c>
      <x:c r="B23" s="362" t="str">
        <x:v>Capability</x:v>
      </x:c>
      <x:c r="C23" s="362" t="str">
        <x:v>Task(s)</x:v>
      </x:c>
      <x:c r="D23" s="362" t="str">
        <x:v>Why later</x:v>
      </x:c>
      <x:c r="E23" s="362" t="str">
        <x:v>Acceptance</x:v>
      </x:c>
      <x:c r="F23" s="362" t="str">
        <x:v>Product law</x:v>
      </x:c>
    </x:row>
    <x:row r="24">
      <x:c r="A24" s="301" t="str">
        <x:v>Pilot</x:v>
      </x:c>
      <x:c r="B24" s="301" t="str">
        <x:v>Production OPC-UA edge runtime</x:v>
      </x:c>
      <x:c r="C24" s="301" t="str">
        <x:v>T-224→226 + T-153</x:v>
      </x:c>
      <x:c r="D24" s="301" t="str">
        <x:v>Requires real customer OT network/certificates/site proof</x:v>
      </x:c>
      <x:c r="E24" s="301" t="str">
        <x:v>Real browse/subscription/quality/timestamps/reconnect/spool-to-canonical under read-only boundary</x:v>
      </x:c>
      <x:c r="F24" s="301" t="str">
        <x:v>Core never writes to OT</x:v>
      </x:c>
    </x:row>
    <x:row r="25">
      <x:c r="A25" s="301" t="str">
        <x:v>Before pilot</x:v>
      </x:c>
      <x:c r="B25" s="301" t="str">
        <x:v>Pilot Success Contract</x:v>
      </x:c>
      <x:c r="C25" s="301" t="str">
        <x:v>T-227</x:v>
      </x:c>
      <x:c r="D25" s="301" t="str">
        <x:v>Must be agreed before free trial starts</x:v>
      </x:c>
      <x:c r="E25" s="301" t="str">
        <x:v>Technical + analytical + business + adoption KPIs accepted</x:v>
      </x:c>
      <x:c r="F25" s="301" t="str">
        <x:v>Trial is measurable experiment</x:v>
      </x:c>
    </x:row>
    <x:row r="26">
      <x:c r="A26" s="301" t="str">
        <x:v>Pilot</x:v>
      </x:c>
      <x:c r="B26" s="301" t="str">
        <x:v>Security/audit/install/backup</x:v>
      </x:c>
      <x:c r="C26" s="301" t="str">
        <x:v>Existing T-112/T-114/T-119/T-122/T-123/T-124/T-198</x:v>
      </x:c>
      <x:c r="D26" s="301" t="str">
        <x:v>Site operation, not demo polish</x:v>
      </x:c>
      <x:c r="E26" s="301" t="str">
        <x:v>RLS, roles, install/rollback, tested restore, audit</x:v>
      </x:c>
      <x:c r="F26" s="301" t="str">
        <x:v>No production claim from code completion</x:v>
      </x:c>
    </x:row>
    <x:row r="27">
      <x:c r="A27" s="301" t="str">
        <x:v>Post-Sep</x:v>
      </x:c>
      <x:c r="B27" s="301" t="str">
        <x:v>InsightBoardPlan</x:v>
      </x:c>
      <x:c r="C27" s="301" t="str">
        <x:v>T-228→230</x:v>
      </x:c>
      <x:c r="D27" s="301" t="str">
        <x:v>High composition-space scope; not needed to prove September differentiator</x:v>
      </x:c>
      <x:c r="E27" s="301" t="str">
        <x:v>Versioned/replayable governed board; LLM proposes, deterministic authorities validate</x:v>
      </x:c>
      <x:c r="F27" s="301" t="str">
        <x:v>LLM never emits plant truth</x:v>
      </x:c>
    </x:row>
    <x:row r="28">
      <x:c r="A28" s="301" t="str">
        <x:v>Ongoing</x:v>
      </x:c>
      <x:c r="B28" s="301" t="str">
        <x:v>Generic validation matrix</x:v>
      </x:c>
      <x:c r="C28" s="301" t="str">
        <x:v>T-208 + T-092 + Release Truth</x:v>
      </x:c>
      <x:c r="D28" s="301" t="str">
        <x:v>Expands after registry becomes authority</x:v>
      </x:c>
      <x:c r="E28" s="301" t="str">
        <x:v>Same binary across discrete/continuous/customer-shaped fixtures</x:v>
      </x:c>
      <x:c r="F28" s="301" t="str">
        <x:v>Dataset tests product; never defines it</x:v>
      </x:c>
    </x:row>
  </x:sheetData>
  <x:mergeCells>
    <x:mergeCell ref="A1:N1"/>
    <x:mergeCell ref="A12:N12"/>
    <x:mergeCell ref="A22:N22"/>
  </x:mergeCells>
  <x:pageMargins left="0.7" right="0.7" top="0.75" bottom="0.75" header="0.3" footer="0.3"/>
  <x:drawing xmlns:r="http://schemas.openxmlformats.org/officeDocument/2006/relationships" r:id="Rc6f0d472d4344270"/>
</x:worksheet>
</file>

<file path=xl/worksheets/sheet21.xml><?xml version="1.0" encoding="utf-8"?>
<x:worksheet xmlns:x="http://schemas.openxmlformats.org/spreadsheetml/2006/main">
  <x:sheetFormatPr defaultRowHeight="15"/>
  <x:cols>
    <x:col min="1" max="1" width="14" hidden="0" customWidth="1"/>
    <x:col min="2" max="2" width="48" hidden="0" customWidth="1"/>
    <x:col min="3" max="3" width="48" hidden="0" customWidth="1"/>
    <x:col min="4" max="4" width="24" hidden="0" customWidth="1"/>
    <x:col min="5" max="5" width="52" hidden="0" customWidth="1"/>
    <x:col min="6" max="6" width="45" hidden="0" customWidth="1"/>
  </x:cols>
  <x:sheetData>
    <x:row r="1">
      <x:c r="A1" s="402" t="str">
        <x:v>HISTORICAL — v2.11 Concept Rulings (superseded/clarified by v2.12 and Master Design v4.8)</x:v>
      </x:c>
      <x:c r="B1" s="402"/>
      <x:c r="C1" s="402"/>
      <x:c r="D1" s="402"/>
      <x:c r="E1" s="402"/>
      <x:c r="F1" s="402"/>
    </x:row>
    <x:row r="2">
      <x:c r="A2" s="301"/>
      <x:c r="B2" s="301"/>
      <x:c r="C2" s="301"/>
      <x:c r="D2" s="301"/>
      <x:c r="E2" s="301"/>
      <x:c r="F2" s="301"/>
    </x:row>
    <x:row r="3">
      <x:c r="A3" s="362" t="str">
        <x:v>ID</x:v>
      </x:c>
      <x:c r="B3" s="362" t="str">
        <x:v>Ruling</x:v>
      </x:c>
      <x:c r="C3" s="362" t="str">
        <x:v>What it forbids</x:v>
      </x:c>
      <x:c r="D3" s="362" t="str">
        <x:v>Owned by</x:v>
      </x:c>
      <x:c r="E3" s="362" t="str">
        <x:v>Acceptance</x:v>
      </x:c>
      <x:c r="F3" s="362" t="str">
        <x:v>Why</x:v>
      </x:c>
    </x:row>
    <x:row r="4">
      <x:c r="A4" s="301" t="str">
        <x:v>CR-11-01</x:v>
      </x:c>
      <x:c r="B4" s="301" t="str">
        <x:v>No dataset is product authority.</x:v>
      </x:c>
      <x:c r="C4" s="301" t="str">
        <x:v>Steel/Fleet vocabulary, oil vocabulary, or a customer's physical schema in generic runtime contracts.</x:v>
      </x:c>
      <x:c r="D4" s="301" t="str">
        <x:v>T-206/T-092/T-094</x:v>
      </x:c>
      <x:c r="E4" s="301" t="str">
        <x:v>Same binary across discrete, continuous and customer-shaped fixtures; only metadata/definitions/mappings differ.</x:v>
      </x:c>
      <x:c r="F4" s="301" t="str">
        <x:v>Genericity is configuration, not a code branch.</x:v>
      </x:c>
    </x:row>
    <x:row r="5">
      <x:c r="A5" s="301" t="str">
        <x:v>CR-11-02</x:v>
      </x:c>
      <x:c r="B5" s="301" t="str">
        <x:v>AnalysisSubject + declared GrainDefinition is the generic intelligence identity.</x:v>
      </x:c>
      <x:c r="C5" s="301" t="str">
        <x:v>Universal CoilId, MaterialId, TankId or material_unit_id as mandatory Layer-B/prediction identity.</x:v>
      </x:c>
      <x:c r="D5" s="301" t="str">
        <x:v>T-209; consumers T-128/T-139</x:v>
      </x:c>
      <x:c r="E5" s="301" t="str">
        <x:v>Discrete and non-material process-window/equipment subjects persist through same contract.</x:v>
      </x:c>
      <x:c r="F5" s="301" t="str">
        <x:v>Continuous plants do not always have discrete material objects.</x:v>
      </x:c>
    </x:row>
    <x:row r="6">
      <x:c r="A6" s="301" t="str">
        <x:v>CR-11-03</x:v>
      </x:c>
      <x:c r="B6" s="301" t="str">
        <x:v>No implicit aggregation.</x:v>
      </x:c>
      <x:c r="C6" s="301" t="str">
        <x:v>DEFAULT Average or selecting aggregation from storage type alone.</x:v>
      </x:c>
      <x:c r="D6" s="301" t="str">
        <x:v>T-210/T-211/T-212</x:v>
      </x:c>
      <x:c r="E6" s="301" t="str">
        <x:v>Known-answer irregular analog/state/counter fixtures pass; undeclared semantics refuse.</x:v>
      </x:c>
      <x:c r="F6" s="301" t="str">
        <x:v>Wrong plausible numbers are worse than visible refusal.</x:v>
      </x:c>
    </x:row>
    <x:row r="7">
      <x:c r="A7" s="301" t="str">
        <x:v>CR-11-04</x:v>
      </x:c>
      <x:c r="B7" s="301" t="str">
        <x:v>T-092 makes customer authoring data-driven.</x:v>
      </x:c>
      <x:c r="C7" s="301" t="str">
        <x:v>Adding a customer dimension by editing a C#/React registry array.</x:v>
      </x:c>
      <x:c r="D7" s="301" t="str">
        <x:v>T-092</x:v>
      </x:c>
      <x:c r="E7" s="301" t="str">
        <x:v>Customer-shaped dimension/measure added through definitions/rows and used without rebuild.</x:v>
      </x:c>
      <x:c r="F7" s="301" t="str">
        <x:v>First external genericity falsification.</x:v>
      </x:c>
    </x:row>
    <x:row r="8">
      <x:c r="A8" s="301" t="str">
        <x:v>CR-11-05</x:v>
      </x:c>
      <x:c r="B8" s="301" t="str">
        <x:v>Time is governed evidence.</x:v>
      </x:c>
      <x:c r="C8" s="301" t="str">
        <x:v>Assuming timestamps from independent sources are directly comparable.</x:v>
      </x:c>
      <x:c r="D8" s="301" t="str">
        <x:v>T-216/T-217</x:v>
      </x:c>
      <x:c r="E8" s="301" t="str">
        <x:v>Timezone/clock/origin/skew/tolerance recorded; excessive uncertainty prevents conflict classification.</x:v>
      </x:c>
      <x:c r="F8" s="301" t="str">
        <x:v>Reconciliation without clock alignment can create false accusations.</x:v>
      </x:c>
    </x:row>
    <x:row r="9">
      <x:c r="A9" s="301" t="str">
        <x:v>CR-11-06</x:v>
      </x:c>
      <x:c r="B9" s="301" t="str">
        <x:v>Evidence authority is fact-specific.</x:v>
      </x:c>
      <x:c r="C9" s="301" t="str">
        <x:v>Global PLC &gt; Manual &gt; MES priority.</x:v>
      </x:c>
      <x:c r="D9" s="301" t="str">
        <x:v>T-218</x:v>
      </x:c>
      <x:c r="E9" s="301" t="str">
        <x:v>Authority rule resolves by semantic fact and version; conflicting/absent authority refuses or marks uncertain.</x:v>
      </x:c>
      <x:c r="F9" s="301" t="str">
        <x:v>PLC knows machine state, not every business fact.</x:v>
      </x:c>
    </x:row>
    <x:row r="10">
      <x:c r="A10" s="301" t="str">
        <x:v>CR-11-07</x:v>
      </x:c>
      <x:c r="B10" s="301" t="str">
        <x:v>Operational Evidence Reconciliation is record-level, not person-level.</x:v>
      </x:c>
      <x:c r="C10" s="301" t="str">
        <x:v>Lie detection, fraud labels, operator blame or intent inference.</x:v>
      </x:c>
      <x:c r="D10" s="301" t="str">
        <x:v>T-219..T-223</x:v>
      </x:c>
      <x:c r="E10" s="301" t="str">
        <x:v>Seven-state reconciliation with evidence handles and no person culpability field.</x:v>
      </x:c>
      <x:c r="F10" s="301" t="str">
        <x:v>Product can prove discrepancy, not intent.</x:v>
      </x:c>
    </x:row>
    <x:row r="11">
      <x:c r="A11" s="301" t="str">
        <x:v>CR-11-08</x:v>
      </x:c>
      <x:c r="B11" s="301" t="str">
        <x:v>Root-cause language follows causal confidence.</x:v>
      </x:c>
      <x:c r="C11" s="301" t="str">
        <x:v>Calling association or temporal ordering a confirmed cause.</x:v>
      </x:c>
      <x:c r="D11" s="301" t="str">
        <x:v>T-220/T-223</x:v>
      </x:c>
      <x:c r="E11" s="301" t="str">
        <x:v>L0–L5 visible; below L5 wording is 'strongest supported root-cause hypothesis'.</x:v>
      </x:c>
      <x:c r="F11" s="301" t="str">
        <x:v>Preserves scientific and commercial credibility.</x:v>
      </x:c>
    </x:row>
    <x:row r="12">
      <x:c r="A12" s="301" t="str">
        <x:v>CR-11-09</x:v>
      </x:c>
      <x:c r="B12" s="301" t="str">
        <x:v>Performance Reference is not 'benchmark'.</x:v>
      </x:c>
      <x:c r="C12" s="301" t="str">
        <x:v>Collapsing declared standards, management targets, envelopes, learned best and peer cohorts into one ambiguous service.</x:v>
      </x:c>
      <x:c r="D12" s="301" t="str">
        <x:v>T-214/T-215</x:v>
      </x:c>
      <x:c r="E12" s="301" t="str">
        <x:v>Reference kind, directionality, scope, effective dating, authority and provenance are explicit.</x:v>
      </x:c>
      <x:c r="F12" s="301" t="str">
        <x:v>The codebase already uses benchmark for unrelated concepts.</x:v>
      </x:c>
    </x:row>
    <x:row r="13">
      <x:c r="A13" s="301" t="str">
        <x:v>CR-11-10</x:v>
      </x:c>
      <x:c r="B13" s="301" t="str">
        <x:v>Connector capability claims require executable evidence.</x:v>
      </x:c>
      <x:c r="C13" s="301" t="str">
        <x:v>Metadata claiming OPC browse/read/subscription without runtime.</x:v>
      </x:c>
      <x:c r="D13" s="301" t="str">
        <x:v>T-207; implementation T-224..226</x:v>
      </x:c>
      <x:c r="E13" s="301" t="str">
        <x:v>Unsupported flags absent until integration tests prove real runtime.</x:v>
      </x:c>
      <x:c r="F13" s="301" t="str">
        <x:v>Honesty Contract.</x:v>
      </x:c>
    </x:row>
    <x:row r="14">
      <x:c r="A14" s="301" t="str">
        <x:v>CR-11-11</x:v>
      </x:c>
      <x:c r="B14" s="301" t="str">
        <x:v>Release truth includes persisted customer state.</x:v>
      </x:c>
      <x:c r="C14" s="301" t="str">
        <x:v>Only code-unit tests while saved definitions/pages can be invalid.</x:v>
      </x:c>
      <x:c r="D14" s="301" t="str">
        <x:v>T-202..T-205; final composition T-150</x:v>
      </x:c>
      <x:c r="E14" s="301" t="str">
        <x:v>Every active definition replays; customer routes fail on unexpected HTTP/errors; cross-filter proves downstream re-query/data change.</x:v>
      </x:c>
      <x:c r="F14" s="301" t="str">
        <x:v>M1 manual walk exposed a structural QA gap.</x:v>
      </x:c>
    </x:row>
    <x:row r="15">
      <x:c r="A15" s="301" t="str">
        <x:v>CR-11-12</x:v>
      </x:c>
      <x:c r="B15" s="301" t="str">
        <x:v>September proves one differentiator well.</x:v>
      </x:c>
      <x:c r="C15" s="301" t="str">
        <x:v>Trying to finish M2, live OPC and Assistant board generation before the customer demo.</x:v>
      </x:c>
      <x:c r="D15" s="301" t="str">
        <x:v>Calendar + T-213..223</x:v>
      </x:c>
      <x:c r="E15" s="301" t="str">
        <x:v>References + one historical reconciliation + grounded Assistant; hard freeze 26–29 Sep.</x:v>
      </x:c>
      <x:c r="F15" s="301" t="str">
        <x:v>Capacity and external dependencies require focus.</x:v>
      </x:c>
    </x:row>
    <x:row r="16">
      <x:c r="A16" s="301" t="str">
        <x:v>CR-11-13</x:v>
      </x:c>
      <x:c r="B16" s="301" t="str">
        <x:v>Live OPC is a pilot/site-certification gate.</x:v>
      </x:c>
      <x:c r="C16" s="301" t="str">
        <x:v>Making 30-Sep demo dependent on customer OT firewall/certificates/access.</x:v>
      </x:c>
      <x:c r="D16" s="301" t="str">
        <x:v>T-224..227/T-153</x:v>
      </x:c>
      <x:c r="E16" s="301" t="str">
        <x:v>Real read-only site browse/subscription/quality/recovery during pilot.</x:v>
      </x:c>
      <x:c r="F16" s="301" t="str">
        <x:v>Historical reconciliation provides machine evidence without network dependence.</x:v>
      </x:c>
    </x:row>
    <x:row r="17">
      <x:c r="A17" s="301" t="str">
        <x:v>CR-11-14</x:v>
      </x:c>
      <x:c r="B17" s="301" t="str">
        <x:v>Assistant investigation boards are governed artifacts.</x:v>
      </x:c>
      <x:c r="C17" s="301" t="str">
        <x:v>LLM-generated SQL/React/raw plant truth.</x:v>
      </x:c>
      <x:c r="D17" s="301" t="str">
        <x:v>T-228..230</x:v>
      </x:c>
      <x:c r="E17" s="301" t="str">
        <x:v>Versioned plan + deterministic validation + existing BI executor + replayable evidence snapshot.</x:v>
      </x:c>
      <x:c r="F17" s="301" t="str">
        <x:v>ChatGPT-like flexibility without surrendering truth authority.</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2" hidden="0" customWidth="1"/>
    <x:col min="2" max="2" width="22" hidden="0" customWidth="1"/>
    <x:col min="3" max="3" width="42" hidden="0" customWidth="1"/>
    <x:col min="4" max="4" width="38" hidden="0" customWidth="1"/>
    <x:col min="5" max="5" width="22" hidden="0" customWidth="1"/>
    <x:col min="6" max="6" width="22" hidden="0" customWidth="1"/>
    <x:col min="7" max="7" width="22" hidden="0" customWidth="1"/>
    <x:col min="8" max="8" width="22" hidden="0" customWidth="1"/>
  </x:cols>
  <x:sheetData>
    <x:row r="1">
      <x:c r="A1" s="522" t="str">
        <x:v>Date</x:v>
      </x:c>
      <x:c r="B1" s="522" t="str">
        <x:v>Area</x:v>
      </x:c>
      <x:c r="C1" s="522" t="str">
        <x:v>Change</x:v>
      </x:c>
      <x:c r="D1" s="522" t="str">
        <x:v>Reason</x:v>
      </x:c>
      <x:c r="E1" s="522" t="str">
        <x:v>Affected Tasks/Docs</x:v>
      </x:c>
      <x:c r="F1" s="522" t="str">
        <x:v>Schedule Effect</x:v>
      </x:c>
      <x:c r="G1" s="522" t="str">
        <x:v>Authority</x:v>
      </x:c>
      <x:c r="H1" s="522" t="str">
        <x:v>Status</x:v>
      </x:c>
    </x:row>
    <x:row r="2">
      <x:c r="A2" s="301" t="str">
        <x:v>2026-08-22</x:v>
      </x:c>
      <x:c r="B2" s="301" t="str">
        <x:v>Documentation authority</x:v>
      </x:c>
      <x:c r="C2" s="301" t="str">
        <x:v>Consolidated current authority to six chapters + one backlog workbook</x:v>
      </x:c>
      <x:c r="D2" s="301" t="str">
        <x:v>Eliminate multiple sources of truth</x:v>
      </x:c>
      <x:c r="E2" s="301" t="str">
        <x:v>Ch1-Ch6; Backlog</x:v>
      </x:c>
      <x:c r="F2" s="301" t="str">
        <x:v>Reduces documentation ambiguity</x:v>
      </x:c>
      <x:c r="G2" s="301" t="str">
        <x:v>Master Design v4.8</x:v>
      </x:c>
      <x:c r="H2" s="301" t="str">
        <x:v>Applied</x:v>
      </x:c>
    </x:row>
    <x:row r="3">
      <x:c r="A3" s="301" t="str">
        <x:v>2026-08-22</x:v>
      </x:c>
      <x:c r="B3" s="301" t="str">
        <x:v>Critical path</x:v>
      </x:c>
      <x:c r="C3" s="301" t="str">
        <x:v>Split T-209 contract/kernel from persistence T-231</x:v>
      </x:c>
      <x:c r="D3" s="301" t="str">
        <x:v>SAFE-NOW contract work must not sit behind W1 canonical chain</x:v>
      </x:c>
      <x:c r="E3" s="301" t="str">
        <x:v>T-209,T-231,T-092,T-128,T-139</x:v>
      </x:c>
      <x:c r="F3" s="301" t="str">
        <x:v>Moves subject/grain contract work parallel to W1 chain</x:v>
      </x:c>
      <x:c r="G3" s="301" t="str">
        <x:v>v2.12 Tech-Lead ruling</x:v>
      </x:c>
      <x:c r="H3" s="301" t="str">
        <x:v>Applied</x:v>
      </x:c>
    </x:row>
    <x:row r="4">
      <x:c r="A4" s="301" t="str">
        <x:v>2026-08-22</x:v>
      </x:c>
      <x:c r="B4" s="301" t="str">
        <x:v>Critical path</x:v>
      </x:c>
      <x:c r="C4" s="301" t="str">
        <x:v>Split Performance Reference contract T-214 from persistence T-232</x:v>
      </x:c>
      <x:c r="D4" s="301" t="str">
        <x:v>Reduce sequential W1 bottleneck without duplicate authority</x:v>
      </x:c>
      <x:c r="E4" s="301" t="str">
        <x:v>T-214,T-232,T-215</x:v>
      </x:c>
      <x:c r="F4" s="301" t="str">
        <x:v>Reference semantics can be proven early; persistence stays W1</x:v>
      </x:c>
      <x:c r="G4" s="301" t="str">
        <x:v>v2.12 Tech-Lead ruling</x:v>
      </x:c>
      <x:c r="H4" s="301" t="str">
        <x:v>Applied</x:v>
      </x:c>
    </x:row>
    <x:row r="5">
      <x:c r="A5" s="301" t="str">
        <x:v>2026-08-22</x:v>
      </x:c>
      <x:c r="B5" s="301" t="str">
        <x:v>Critical path</x:v>
      </x:c>
      <x:c r="C5" s="301" t="str">
        <x:v>Split Source Time contract T-216 from persistence T-233</x:v>
      </x:c>
      <x:c r="D5" s="301" t="str">
        <x:v>Temporal/reconciliation kernels can run SAFE-NOW</x:v>
      </x:c>
      <x:c r="E5" s="301" t="str">
        <x:v>T-216,T-233,T-217,T-221,T-226</x:v>
      </x:c>
      <x:c r="F5" s="301" t="str">
        <x:v>Removes unnecessary DB gate from temporal kernel</x:v>
      </x:c>
      <x:c r="G5" s="301" t="str">
        <x:v>v2.12 Tech-Lead ruling</x:v>
      </x:c>
      <x:c r="H5" s="301" t="str">
        <x:v>Applied</x:v>
      </x:c>
    </x:row>
    <x:row r="6">
      <x:c r="A6" s="301" t="str">
        <x:v>2026-08-22</x:v>
      </x:c>
      <x:c r="B6" s="301" t="str">
        <x:v>Dependency graph</x:v>
      </x:c>
      <x:c r="C6" s="301" t="str">
        <x:v>Backlog column O is IDs-only Depends On; AP is IDs-only Must Precede</x:v>
      </x:c>
      <x:c r="D6" s="301" t="str">
        <x:v>Make dependency graph machine-readable</x:v>
      </x:c>
      <x:c r="E6" s="301" t="str">
        <x:v>All tasks; explicit fixes T-068,T-088,T-112,T-114,T-147,T-175,T-209</x:v>
      </x:c>
      <x:c r="F6" s="301" t="str">
        <x:v>Eliminates punctuation-based graph ambiguity</x:v>
      </x:c>
      <x:c r="G6" s="301" t="str">
        <x:v>v2.12 Backlog law</x:v>
      </x:c>
      <x:c r="H6" s="301" t="str">
        <x:v>Applied</x:v>
      </x:c>
    </x:row>
    <x:row r="7">
      <x:c r="A7" s="301" t="str">
        <x:v>2026-08-22</x:v>
      </x:c>
      <x:c r="B7" s="301" t="str">
        <x:v>Status truth</x:v>
      </x:c>
      <x:c r="C7" s="301" t="str">
        <x:v>T-067 corrected Done -&gt; Not Started</x:v>
      </x:c>
      <x:c r="D7" s="301" t="str">
        <x:v>No closure commit/evidence loaded</x:v>
      </x:c>
      <x:c r="E7" s="301" t="str">
        <x:v>T-067</x:v>
      </x:c>
      <x:c r="F7" s="301" t="str">
        <x:v>Prevents false planning on unsupported Done</x:v>
      </x:c>
      <x:c r="G7" s="301" t="str">
        <x:v>Evidence doctrine</x:v>
      </x:c>
      <x:c r="H7" s="301" t="str">
        <x:v>Applied</x:v>
      </x:c>
    </x:row>
    <x:row r="8">
      <x:c r="A8" s="301" t="str">
        <x:v>2026-08-22</x:v>
      </x:c>
      <x:c r="B8" s="301" t="str">
        <x:v>Phase governance</x:v>
      </x:c>
      <x:c r="C8" s="301" t="str">
        <x:v>Split M2b-P0C committed reconciliation from M2b-P0D deferred Insight Composition</x:v>
      </x:c>
      <x:c r="D8" s="301" t="str">
        <x:v>A phase cannot mix September commitment with deferred scope</x:v>
      </x:c>
      <x:c r="E8" s="301" t="str">
        <x:v>T-228..T-230</x:v>
      </x:c>
      <x:c r="F8" s="301" t="str">
        <x:v>Protects September completion/progress truth</x:v>
      </x:c>
      <x:c r="G8" s="301" t="str">
        <x:v>Pilot rebaseline</x:v>
      </x:c>
      <x:c r="H8" s="301" t="str">
        <x:v>Applied</x:v>
      </x:c>
    </x:row>
    <x:row r="9">
      <x:c r="A9" s="301" t="str">
        <x:v>2026-08-22</x:v>
      </x:c>
      <x:c r="B9" s="301" t="str">
        <x:v>Design correctness</x:v>
      </x:c>
      <x:c r="C9" s="301" t="str">
        <x:v>Added explicit aggregation equations + interval coverage contract</x:v>
      </x:c>
      <x:c r="D9" s="301" t="str">
        <x:v>Named semantics without algebra are ambiguous; low coverage must be visible</x:v>
      </x:c>
      <x:c r="E9" s="301" t="str">
        <x:v>Ch3 4.5.13a; Ch4 5.4.10</x:v>
      </x:c>
      <x:c r="F9" s="301" t="str">
        <x:v>Reduces wrong-but-plausible aggregate risk</x:v>
      </x:c>
      <x:c r="G9" s="301" t="str">
        <x:v>Master Design v4.8</x:v>
      </x:c>
      <x:c r="H9" s="301" t="str">
        <x:v>Applied</x:v>
      </x:c>
    </x:row>
    <x:row r="10">
      <x:c r="A10" t="str">
        <x:v>2026-08-22</x:v>
      </x:c>
      <x:c r="B10" t="str">
        <x:v>September critical path</x:v>
      </x:c>
      <x:c r="C10" t="str">
        <x:v>Removed T-221 canonical persistence from T-222/T-223 demo dependency; moved T-221 to M2b-P1</x:v>
      </x:c>
      <x:c r="D10" t="str">
        <x:v>Canonical dedicated tables are target design but not required to demonstrate reconciliation through the existing governed findings/evidence seam</x:v>
      </x:c>
      <x:c r="E10" t="str">
        <x:v>T-219..T-223; M2b-P0C/P1</x:v>
      </x:c>
      <x:c r="F10" t="str">
        <x:v>Drops customer-visible reconciliation path behind fewer W1/security dependencies without creating a demo-only store</x:v>
      </x:c>
      <x:c r="G10" t="str">
        <x:v>v2.12 Tech-Lead ruling</x:v>
      </x:c>
      <x:c r="H10" t="str">
        <x:v>Applied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28" hidden="0" customWidth="1"/>
    <x:col min="2" max="2" width="44" hidden="0" customWidth="1"/>
    <x:col min="3" max="3" width="60" hidden="0" customWidth="1"/>
    <x:col min="4" max="4" width="28" hidden="0" customWidth="1"/>
  </x:cols>
  <x:sheetData>
    <x:row r="1">
      <x:c r="A1" s="522" t="str">
        <x:v>Type</x:v>
      </x:c>
      <x:c r="B1" s="522" t="str">
        <x:v>Current Authority</x:v>
      </x:c>
      <x:c r="C1" s="522" t="str">
        <x:v>Rule</x:v>
      </x:c>
      <x:c r="D1" s="522" t="str">
        <x:v>Status</x:v>
      </x:c>
    </x:row>
    <x:row r="2">
      <x:c r="A2" s="301" t="str">
        <x:v>Design</x:v>
      </x:c>
      <x:c r="B2" s="301" t="str">
        <x:v>01 Chapter 1 — Marketing &amp; Sales (Master Design v4.9)</x:v>
      </x:c>
      <x:c r="C2" s="301" t="str">
        <x:v>Current product promise only</x:v>
      </x:c>
      <x:c r="D2" s="301" t="str">
        <x:v>CURRENT</x:v>
      </x:c>
    </x:row>
    <x:row r="3">
      <x:c r="A3" s="301" t="str">
        <x:v>Design</x:v>
      </x:c>
      <x:c r="B3" s="301" t="str">
        <x:v>02 Chapter 2 — Technical Overview (Master Design v4.9)</x:v>
      </x:c>
      <x:c r="C3" s="301" t="str">
        <x:v>Naming, constitution, architecture, integrated Layer-B constitution</x:v>
      </x:c>
      <x:c r="D3" s="301" t="str">
        <x:v>CURRENT</x:v>
      </x:c>
    </x:row>
    <x:row r="4">
      <x:c r="A4" s="301" t="str">
        <x:v>Design</x:v>
      </x:c>
      <x:c r="B4" s="301" t="str">
        <x:v>03 Chapter 3 — General Technical Function (Master Design v4.9)</x:v>
      </x:c>
      <x:c r="C4" s="301" t="str">
        <x:v>Exact API/schema/persistence contract</x:v>
      </x:c>
      <x:c r="D4" s="301" t="str">
        <x:v>CURRENT</x:v>
      </x:c>
    </x:row>
    <x:row r="5">
      <x:c r="A5" s="301" t="str">
        <x:v>Design</x:v>
      </x:c>
      <x:c r="B5" s="301" t="str">
        <x:v>04 Chapter 4 — Specific Technical Function (Master Design v4.9)</x:v>
      </x:c>
      <x:c r="C5" s="301" t="str">
        <x:v>Algorithms/engine/BI/AI/ML execution + integrated Layer-B detailed architecture</x:v>
      </x:c>
      <x:c r="D5" s="301" t="str">
        <x:v>CURRENT</x:v>
      </x:c>
    </x:row>
    <x:row r="6">
      <x:c r="A6" s="301" t="str">
        <x:v>Design</x:v>
      </x:c>
      <x:c r="B6" s="301" t="str">
        <x:v>05 Chapter 5 — Tutorial/User Journey (Master Design v4.9)</x:v>
      </x:c>
      <x:c r="C6" s="301" t="str">
        <x:v>Canonical operating journey</x:v>
      </x:c>
      <x:c r="D6" s="301" t="str">
        <x:v>CURRENT</x:v>
      </x:c>
    </x:row>
    <x:row r="7">
      <x:c r="A7" s="301" t="str">
        <x:v>Design</x:v>
      </x:c>
      <x:c r="B7" s="301" t="str">
        <x:v>06 Chapter 6 — Infrastructure/Admin (Master Design v4.9)</x:v>
      </x:c>
      <x:c r="C7" s="301" t="str">
        <x:v>Runtime/deployment/security/OT topology</x:v>
      </x:c>
      <x:c r="D7" s="301" t="str">
        <x:v>CURRENT</x:v>
      </x:c>
    </x:row>
    <x:row r="8">
      <x:c r="A8" s="301" t="str">
        <x:v>Execution</x:v>
      </x:c>
      <x:c r="B8" s="301" t="str">
        <x:v>PPIQ Backlog v2.13.0</x:v>
      </x:c>
      <x:c r="C8" s="301" t="str">
        <x:v>Only implementation/programme/schedule authority. Machine-readable scheduling uses Dependency Graph v2.13 and Backlog columns AP/AQ.</x:v>
      </x:c>
      <x:c r="D8" s="301" t="str">
        <x:v>CURRENT</x:v>
      </x:c>
    </x:row>
    <x:row r="9">
      <x:c r="A9" s="301" t="str">
        <x:v>Everything else</x:v>
      </x:c>
      <x:c r="B9" s="301" t="str">
        <x:v>Reviews, amendment packs, ledgers, mandates, prior revisions</x:v>
      </x:c>
      <x:c r="C9" s="301" t="str">
        <x:v>Archive/evidence/tooling only; cannot amend current truth</x:v>
      </x:c>
      <x:c r="D9" s="301" t="str">
        <x:v>NOT AUTHORITY</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28" hidden="0" customWidth="1"/>
    <x:col min="2" max="2" width="48" hidden="0" customWidth="1"/>
    <x:col min="3" max="3" width="14" hidden="0" customWidth="1"/>
    <x:col min="4" max="4" width="24" hidden="0" customWidth="1"/>
    <x:col min="5" max="5" width="42" hidden="0" customWidth="1"/>
    <x:col min="6" max="6" width="50" hidden="0" customWidth="1"/>
  </x:cols>
  <x:sheetData>
    <x:row r="1">
      <x:c r="A1" s="522" t="str">
        <x:v>Item</x:v>
      </x:c>
      <x:c r="B1" s="522" t="str">
        <x:v>Ruling</x:v>
      </x:c>
      <x:c r="C1" s="522" t="str">
        <x:v>September?</x:v>
      </x:c>
      <x:c r="D1" s="522" t="str">
        <x:v>Owner/Lane</x:v>
      </x:c>
      <x:c r="E1" s="522" t="str">
        <x:v>Dependency Truth</x:v>
      </x:c>
      <x:c r="F1" s="522" t="str">
        <x:v>Acceptance</x:v>
      </x:c>
    </x:row>
    <x:row r="2">
      <x:c r="A2" s="301" t="str">
        <x:v>Documentation authority</x:v>
      </x:c>
      <x:c r="B2" s="301" t="str">
        <x:v>Exactly 6 chapters + 1 backlog; satellites are archive/tooling</x:v>
      </x:c>
      <x:c r="C2" s="301" t="str">
        <x:v>Yes</x:v>
      </x:c>
      <x:c r="D2" s="301" t="str">
        <x:v>Tech Lead</x:v>
      </x:c>
      <x:c r="E2" s="301" t="str">
        <x:v>No second authority</x:v>
      </x:c>
      <x:c r="F2" s="301" t="str">
        <x:v>Current Authority sheet matches release package</x:v>
      </x:c>
    </x:row>
    <x:row r="3">
      <x:c r="A3" s="301" t="str">
        <x:v>T-209/T-231</x:v>
      </x:c>
      <x:c r="B3" s="301" t="str">
        <x:v>Subject/grain contract split from persistence</x:v>
      </x:c>
      <x:c r="C3" s="301" t="str">
        <x:v>Yes</x:v>
      </x:c>
      <x:c r="D3" s="301" t="str">
        <x:v>W3 SAFE-NOW / W1 DB</x:v>
      </x:c>
      <x:c r="E3" s="301" t="str">
        <x:v>Contract no DB; persistence after T-090</x:v>
      </x:c>
      <x:c r="F3" s="301" t="str">
        <x:v>Non-material and continuous subject works with same binary</x:v>
      </x:c>
    </x:row>
    <x:row r="4">
      <x:c r="A4" s="301" t="str">
        <x:v>T-214/T-232</x:v>
      </x:c>
      <x:c r="B4" s="301" t="str">
        <x:v>Reference contract split from persistence</x:v>
      </x:c>
      <x:c r="C4" s="301" t="str">
        <x:v>Yes</x:v>
      </x:c>
      <x:c r="D4" s="301" t="str">
        <x:v>W3 SAFE-NOW / W1 DB</x:v>
      </x:c>
      <x:c r="E4" s="301" t="str">
        <x:v>Kernel parallel; persistence before T-215</x:v>
      </x:c>
      <x:c r="F4" s="301" t="str">
        <x:v>Directionality/effective-date/RF01 known answers</x:v>
      </x:c>
    </x:row>
    <x:row r="5">
      <x:c r="A5" s="301" t="str">
        <x:v>T-216/T-233</x:v>
      </x:c>
      <x:c r="B5" s="301" t="str">
        <x:v>Time contract split from persistence</x:v>
      </x:c>
      <x:c r="C5" s="301" t="str">
        <x:v>Yes</x:v>
      </x:c>
      <x:c r="D5" s="301" t="str">
        <x:v>W3 SAFE-NOW / W1 DB</x:v>
      </x:c>
      <x:c r="E5" s="301" t="str">
        <x:v>T-217 consumes contract; T-221/T-226 consume persistence</x:v>
      </x:c>
      <x:c r="F5" s="301" t="str">
        <x:v>Skew/DST uncertainty never becomes conflict</x:v>
      </x:c>
    </x:row>
    <x:row r="6">
      <x:c r="A6" s="301" t="str">
        <x:v>M2b-P0C</x:v>
      </x:c>
      <x:c r="B6" s="301" t="str">
        <x:v>Reconciliation committed phase only</x:v>
      </x:c>
      <x:c r="C6" s="301" t="str">
        <x:v>Yes</x:v>
      </x:c>
      <x:c r="D6" s="301" t="str">
        <x:v>W2/W3</x:v>
      </x:c>
      <x:c r="E6" s="301" t="str">
        <x:v>T-211 + T-217..220 + T-222/T-223. T-221 canonical persistence is post-demo.</x:v>
      </x:c>
      <x:c r="F6" s="301" t="str">
        <x:v>One customer-shaped historical case end-to-end through existing governed result/evidence seam</x:v>
      </x:c>
    </x:row>
    <x:row r="7">
      <x:c r="A7" s="301" t="str">
        <x:v>M2b-P0D</x:v>
      </x:c>
      <x:c r="B7" s="301" t="str">
        <x:v>Insight Composer deferred phase</x:v>
      </x:c>
      <x:c r="C7" s="301" t="str">
        <x:v>No</x:v>
      </x:c>
      <x:c r="D7" s="301" t="str">
        <x:v>W3</x:v>
      </x:c>
      <x:c r="E7" s="301" t="str">
        <x:v>Post-30-Sep</x:v>
      </x:c>
      <x:c r="F7" s="301" t="str">
        <x:v>Does not affect September completion</x:v>
      </x:c>
    </x:row>
    <x:row r="8">
      <x:c r="A8" s="301" t="str">
        <x:v>OPC live runtime</x:v>
      </x:c>
      <x:c r="B8" s="301" t="str">
        <x:v>Trial gate</x:v>
      </x:c>
      <x:c r="C8" s="301" t="str">
        <x:v>No</x:v>
      </x:c>
      <x:c r="D8" s="301" t="str">
        <x:v>W1/OT</x:v>
      </x:c>
      <x:c r="E8" s="301" t="str">
        <x:v>T-224..226 after T-207 truth correction</x:v>
      </x:c>
      <x:c r="F8" s="301" t="str">
        <x:v>Real SDK/site evidence only; simulator never called live</x:v>
      </x:c>
    </x:row>
    <x:row r="9">
      <x:c r="A9" s="301" t="str">
        <x:v>Capacity</x:v>
      </x:c>
      <x:c r="B9" s="301" t="str">
        <x:v>Plan to ~75% of theoretical throughput, preserve contingency</x:v>
      </x:c>
      <x:c r="C9" s="301" t="str">
        <x:v>Yes</x:v>
      </x:c>
      <x:c r="D9" s="301" t="str">
        <x:v>All</x:v>
      </x:c>
      <x:c r="E9" s="301" t="str">
        <x:v>Parallel contracts reduce critical path</x:v>
      </x:c>
      <x:c r="F9" s="301" t="str">
        <x:v>No phase commitment exceeds documented lane budget</x:v>
      </x:c>
    </x:row>
    <x:row r="10">
      <x:c r="A10" t="str">
        <x:v>T-221 canonical reconciliation persistence</x:v>
      </x:c>
      <x:c r="B10" t="str">
        <x:v>Post-demo convergence behind the already-demonstrated governed result contract</x:v>
      </x:c>
      <x:c r="C10" t="str">
        <x:v>No</x:v>
      </x:c>
      <x:c r="D10" t="str">
        <x:v>W3 after canonical/security hand-off</x:v>
      </x:c>
      <x:c r="E10" t="str">
        <x:v>Does not block T-222/T-223</x:v>
      </x:c>
      <x:c r="F10" t="str">
        <x:v>No temporary/demo persistence schema is introduced</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14" hidden="0" customWidth="1"/>
    <x:col min="2" max="2" width="52" hidden="0" customWidth="1"/>
    <x:col min="3" max="3" width="44" hidden="0" customWidth="1"/>
    <x:col min="4" max="4" width="28" hidden="0" customWidth="1"/>
    <x:col min="5" max="5" width="52" hidden="0" customWidth="1"/>
    <x:col min="6" max="6" width="42" hidden="0" customWidth="1"/>
  </x:cols>
  <x:sheetData>
    <x:row r="1">
      <x:c r="A1" s="522" t="str">
        <x:v>ID</x:v>
      </x:c>
      <x:c r="B1" s="522" t="str">
        <x:v>Ruling</x:v>
      </x:c>
      <x:c r="C1" s="522" t="str">
        <x:v>Forbids</x:v>
      </x:c>
      <x:c r="D1" s="522" t="str">
        <x:v>Owned by</x:v>
      </x:c>
      <x:c r="E1" s="522" t="str">
        <x:v>Acceptance</x:v>
      </x:c>
      <x:c r="F1" s="522" t="str">
        <x:v>Reason</x:v>
      </x:c>
    </x:row>
    <x:row r="2">
      <x:c r="A2" s="301" t="str">
        <x:v>CR-12-01</x:v>
      </x:c>
      <x:c r="B2" s="301" t="str">
        <x:v>Exactly six design chapters and one backlog workbook are current authority.</x:v>
      </x:c>
      <x:c r="C2" s="301" t="str">
        <x:v>Satellite design/mandate/amendment/ledger files as current truth.</x:v>
      </x:c>
      <x:c r="D2" s="301" t="str">
        <x:v>Ch2 constitution + Current Authority sheet</x:v>
      </x:c>
      <x:c r="E2" s="301" t="str">
        <x:v>Release package contains exactly the seven current-authority files.</x:v>
      </x:c>
      <x:c r="F2" s="301" t="str">
        <x:v>Prevents documentation registry drift.</x:v>
      </x:c>
    </x:row>
    <x:row r="3">
      <x:c r="A3" s="301" t="str">
        <x:v>CR-12-02</x:v>
      </x:c>
      <x:c r="B3" s="301" t="str">
        <x:v>AnalysisSubject/Grain contract is independent of persistence.</x:v>
      </x:c>
      <x:c r="C3" s="301" t="str">
        <x:v>Blocking all subject semantics behind canonical DB migrations.</x:v>
      </x:c>
      <x:c r="D3" s="301" t="str">
        <x:v>T-209 contract; T-231 persistence</x:v>
      </x:c>
      <x:c r="E3" s="301" t="str">
        <x:v>W3 contract tests run without DB; W1 persists identical contract later.</x:v>
      </x:c>
      <x:c r="F3" s="301" t="str">
        <x:v>Reduces critical path without duplicate authority.</x:v>
      </x:c>
    </x:row>
    <x:row r="4">
      <x:c r="A4" s="301" t="str">
        <x:v>CR-12-03</x:v>
      </x:c>
      <x:c r="B4" s="301" t="str">
        <x:v>Reference contract is independent of persistence.</x:v>
      </x:c>
      <x:c r="C4" s="301" t="str">
        <x:v>Reimplementing directionality/precedence in DB/UI consumers.</x:v>
      </x:c>
      <x:c r="D4" s="301" t="str">
        <x:v>T-214 contract; T-232 persistence</x:v>
      </x:c>
      <x:c r="E4" s="301" t="str">
        <x:v>Known-answer scoring/RF01 tests run SAFE-NOW; persistence consumes contract unchanged.</x:v>
      </x:c>
      <x:c r="F4" s="301" t="str">
        <x:v>Keeps one semantics authority and parallelises work.</x:v>
      </x:c>
    </x:row>
    <x:row r="5">
      <x:c r="A5" s="301" t="str">
        <x:v>CR-12-04</x:v>
      </x:c>
      <x:c r="B5" s="301" t="str">
        <x:v>Source Time contract is independent of persistence.</x:v>
      </x:c>
      <x:c r="C5" s="301" t="str">
        <x:v>Making temporal alignment wait for settings/database tables.</x:v>
      </x:c>
      <x:c r="D5" s="301" t="str">
        <x:v>T-216 contract; T-233 persistence</x:v>
      </x:c>
      <x:c r="E5" s="301" t="str">
        <x:v>Temporal kernel proves skew/DST/refusal before DB integration.</x:v>
      </x:c>
      <x:c r="F5" s="301" t="str">
        <x:v>Reconciliation correctness can be proven early.</x:v>
      </x:c>
    </x:row>
    <x:row r="6">
      <x:c r="A6" s="301" t="str">
        <x:v>CR-12-05</x:v>
      </x:c>
      <x:c r="B6" s="301" t="str">
        <x:v>Aggregation algebra is explicit and coverage is first-class evidence.</x:v>
      </x:c>
      <x:c r="C6" s="301" t="str">
        <x:v>Named methods with unspecified equations; hiding low coverage.</x:v>
      </x:c>
      <x:c r="D6" s="301" t="str">
        <x:v>Ch3 4.5.13a; Ch4 5.4.10</x:v>
      </x:c>
      <x:c r="E6" s="301" t="str">
        <x:v>Known-answer boundary/gap/reset/state tests + coverage_fraction exposed.</x:v>
      </x:c>
      <x:c r="F6" s="301" t="str">
        <x:v>Prevents two correct-looking but incompatible implementations.</x:v>
      </x:c>
    </x:row>
    <x:row r="7">
      <x:c r="A7" s="301" t="str">
        <x:v>CR-12-06</x:v>
      </x:c>
      <x:c r="B7" s="301" t="str">
        <x:v>M2b-P0C is September committed reconciliation; M2b-P0D is deferred composition.</x:v>
      </x:c>
      <x:c r="C7" s="301" t="str">
        <x:v>Counting Insight Composer in September phase completion.</x:v>
      </x:c>
      <x:c r="D7" s="301" t="str">
        <x:v>T-211,T-217..223 vs T-228..230</x:v>
      </x:c>
      <x:c r="E7" s="301" t="str">
        <x:v>P0C can close without P0D; P0D Delivery Target is post-30-Sep.</x:v>
      </x:c>
      <x:c r="F7" s="301" t="str">
        <x:v>Makes progress/schedule truth measurable.</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22" hidden="0" customWidth="1"/>
    <x:col min="5" max="5" width="10" hidden="0" customWidth="1"/>
    <x:col min="6" max="6" width="42" hidden="0" customWidth="1"/>
    <x:col min="7" max="7" width="42" hidden="0" customWidth="1"/>
    <x:col min="8" max="8" width="52" hidden="0" customWidth="1"/>
  </x:cols>
  <x:sheetData>
    <x:row r="1">
      <x:c r="A1" s="522" t="str">
        <x:v>Task Id</x:v>
      </x:c>
      <x:c r="B1" s="522" t="str">
        <x:v>Phase</x:v>
      </x:c>
      <x:c r="C1" s="522" t="str">
        <x:v>Status</x:v>
      </x:c>
      <x:c r="D1" s="522" t="str">
        <x:v>Owner</x:v>
      </x:c>
      <x:c r="E1" s="522" t="str">
        <x:v>Hours</x:v>
      </x:c>
      <x:c r="F1" s="522" t="str">
        <x:v>Depends On (IDs only)</x:v>
      </x:c>
      <x:c r="G1" s="522" t="str">
        <x:v>Must Precede (IDs only)</x:v>
      </x:c>
      <x:c r="H1" s="522" t="str">
        <x:v>Schedule Note</x:v>
      </x:c>
    </x:row>
    <x:row r="2">
      <x:c r="A2" s="301" t="str">
        <x:v>T-001</x:v>
      </x:c>
      <x:c r="B2" s="301" t="str">
        <x:v>M1-P1</x:v>
      </x:c>
      <x:c r="C2" s="301" t="str">
        <x:v>Done</x:v>
      </x:c>
      <x:c r="D2" s="301" t="str">
        <x:v>Completed / no assignment</x:v>
      </x:c>
      <x:c r="E2" s="301" t="n">
        <x:v>8</x:v>
      </x:c>
      <x:c r="F2" s="301"/>
      <x:c r="G2" s="301"/>
      <x:c r="H2" s="301" t="str">
        <x:v>Closed — do not reopen without contradictory regression evidence.</x:v>
      </x:c>
    </x:row>
    <x:row r="3">
      <x:c r="A3" s="301" t="str">
        <x:v>T-002</x:v>
      </x:c>
      <x:c r="B3" s="301" t="str">
        <x:v>M1-P1</x:v>
      </x:c>
      <x:c r="C3" s="301" t="str">
        <x:v>Done</x:v>
      </x:c>
      <x:c r="D3" s="301" t="str">
        <x:v>Completed / no assignment</x:v>
      </x:c>
      <x:c r="E3" s="301" t="n">
        <x:v>8</x:v>
      </x:c>
      <x:c r="F3" s="301"/>
      <x:c r="G3" s="301"/>
      <x:c r="H3" s="301" t="str">
        <x:v>Closed — do not reopen without contradictory regression evidence.</x:v>
      </x:c>
    </x:row>
    <x:row r="4">
      <x:c r="A4" s="301" t="str">
        <x:v>T-003</x:v>
      </x:c>
      <x:c r="B4" s="301" t="str">
        <x:v>M1-P1</x:v>
      </x:c>
      <x:c r="C4" s="301" t="str">
        <x:v>Done</x:v>
      </x:c>
      <x:c r="D4" s="301" t="str">
        <x:v>Completed / no assignment</x:v>
      </x:c>
      <x:c r="E4" s="301" t="n">
        <x:v>4</x:v>
      </x:c>
      <x:c r="F4" s="301"/>
      <x:c r="G4" s="301"/>
      <x:c r="H4" s="301" t="str">
        <x:v>Closed — do not reopen without contradictory regression evidence.</x:v>
      </x:c>
    </x:row>
    <x:row r="5">
      <x:c r="A5" s="301" t="str">
        <x:v>T-004</x:v>
      </x:c>
      <x:c r="B5" s="301" t="str">
        <x:v>M1-P1</x:v>
      </x:c>
      <x:c r="C5" s="301" t="str">
        <x:v>Done</x:v>
      </x:c>
      <x:c r="D5" s="301" t="str">
        <x:v>Completed / no assignment</x:v>
      </x:c>
      <x:c r="E5" s="301" t="n">
        <x:v>4</x:v>
      </x:c>
      <x:c r="F5" s="301"/>
      <x:c r="G5" s="301"/>
      <x:c r="H5" s="301" t="str">
        <x:v>Closed — do not reopen without contradictory regression evidence.</x:v>
      </x:c>
    </x:row>
    <x:row r="6">
      <x:c r="A6" s="301" t="str">
        <x:v>T-005</x:v>
      </x:c>
      <x:c r="B6" s="301" t="str">
        <x:v>M1-P1</x:v>
      </x:c>
      <x:c r="C6" s="301" t="str">
        <x:v>Done</x:v>
      </x:c>
      <x:c r="D6" s="301" t="str">
        <x:v>Completed / no assignment</x:v>
      </x:c>
      <x:c r="E6" s="301" t="n">
        <x:v>6</x:v>
      </x:c>
      <x:c r="F6" s="301"/>
      <x:c r="G6" s="301"/>
      <x:c r="H6" s="301" t="str">
        <x:v>Closed — do not reopen without contradictory regression evidence.</x:v>
      </x:c>
    </x:row>
    <x:row r="7">
      <x:c r="A7" s="301" t="str">
        <x:v>T-006</x:v>
      </x:c>
      <x:c r="B7" s="301" t="str">
        <x:v>M1-P1</x:v>
      </x:c>
      <x:c r="C7" s="301" t="str">
        <x:v>Done</x:v>
      </x:c>
      <x:c r="D7" s="301" t="str">
        <x:v>Completed / no assignment</x:v>
      </x:c>
      <x:c r="E7" s="301" t="n">
        <x:v>8</x:v>
      </x:c>
      <x:c r="F7" s="301"/>
      <x:c r="G7" s="301"/>
      <x:c r="H7" s="301" t="str">
        <x:v>Closed — do not reopen without contradictory regression evidence.</x:v>
      </x:c>
    </x:row>
    <x:row r="8">
      <x:c r="A8" s="301" t="str">
        <x:v>T-007</x:v>
      </x:c>
      <x:c r="B8" s="301" t="str">
        <x:v>M1-P1</x:v>
      </x:c>
      <x:c r="C8" s="301" t="str">
        <x:v>Done</x:v>
      </x:c>
      <x:c r="D8" s="301" t="str">
        <x:v>Completed / no assignment</x:v>
      </x:c>
      <x:c r="E8" s="301" t="n">
        <x:v>10</x:v>
      </x:c>
      <x:c r="F8" s="301"/>
      <x:c r="G8" s="301"/>
      <x:c r="H8" s="301" t="str">
        <x:v>Closed — do not reopen without contradictory regression evidence.</x:v>
      </x:c>
    </x:row>
    <x:row r="9">
      <x:c r="A9" s="301" t="str">
        <x:v>T-008</x:v>
      </x:c>
      <x:c r="B9" s="301" t="str">
        <x:v>M1-P1</x:v>
      </x:c>
      <x:c r="C9" s="301" t="str">
        <x:v>Done</x:v>
      </x:c>
      <x:c r="D9" s="301" t="str">
        <x:v>Completed / no assignment</x:v>
      </x:c>
      <x:c r="E9" s="301" t="n">
        <x:v>10</x:v>
      </x:c>
      <x:c r="F9" s="301"/>
      <x:c r="G9" s="301"/>
      <x:c r="H9" s="301" t="str">
        <x:v>Closed — do not reopen without contradictory regression evidence.</x:v>
      </x:c>
    </x:row>
    <x:row r="10">
      <x:c r="A10" s="301" t="str">
        <x:v>T-009</x:v>
      </x:c>
      <x:c r="B10" s="301" t="str">
        <x:v>M1-P1</x:v>
      </x:c>
      <x:c r="C10" s="301" t="str">
        <x:v>Done</x:v>
      </x:c>
      <x:c r="D10" s="301" t="str">
        <x:v>Completed / no assignment</x:v>
      </x:c>
      <x:c r="E10" s="301" t="n">
        <x:v>6</x:v>
      </x:c>
      <x:c r="F10" s="301"/>
      <x:c r="G10" s="301"/>
      <x:c r="H10" s="301" t="str">
        <x:v>Closed — do not reopen without contradictory regression evidence.</x:v>
      </x:c>
    </x:row>
    <x:row r="11">
      <x:c r="A11" s="301" t="str">
        <x:v>T-010</x:v>
      </x:c>
      <x:c r="B11" s="301" t="str">
        <x:v>M1-P1</x:v>
      </x:c>
      <x:c r="C11" s="301" t="str">
        <x:v>Done</x:v>
      </x:c>
      <x:c r="D11" s="301" t="str">
        <x:v>Completed / no assignment</x:v>
      </x:c>
      <x:c r="E11" s="301" t="n">
        <x:v>8</x:v>
      </x:c>
      <x:c r="F11" s="301"/>
      <x:c r="G11" s="301"/>
      <x:c r="H11" s="301" t="str">
        <x:v>Closed — do not reopen without contradictory regression evidence.</x:v>
      </x:c>
    </x:row>
    <x:row r="12">
      <x:c r="A12" s="301" t="str">
        <x:v>T-011</x:v>
      </x:c>
      <x:c r="B12" s="301" t="str">
        <x:v>M1-P1</x:v>
      </x:c>
      <x:c r="C12" s="301" t="str">
        <x:v>Done</x:v>
      </x:c>
      <x:c r="D12" s="301" t="str">
        <x:v>Completed / no assignment</x:v>
      </x:c>
      <x:c r="E12" s="301" t="n">
        <x:v>6</x:v>
      </x:c>
      <x:c r="F12" s="301"/>
      <x:c r="G12" s="301"/>
      <x:c r="H12" s="301" t="str">
        <x:v>Closed — do not reopen without contradictory regression evidence.</x:v>
      </x:c>
    </x:row>
    <x:row r="13">
      <x:c r="A13" s="301" t="str">
        <x:v>T-012</x:v>
      </x:c>
      <x:c r="B13" s="301" t="str">
        <x:v>M1-P1</x:v>
      </x:c>
      <x:c r="C13" s="301" t="str">
        <x:v>Done</x:v>
      </x:c>
      <x:c r="D13" s="301" t="str">
        <x:v>Completed / no assignment</x:v>
      </x:c>
      <x:c r="E13" s="301" t="n">
        <x:v>6</x:v>
      </x:c>
      <x:c r="F13" s="301"/>
      <x:c r="G13" s="301"/>
      <x:c r="H13" s="301" t="str">
        <x:v>Closed — do not reopen without contradictory regression evidence.</x:v>
      </x:c>
    </x:row>
    <x:row r="14">
      <x:c r="A14" s="301" t="str">
        <x:v>T-013</x:v>
      </x:c>
      <x:c r="B14" s="301" t="str">
        <x:v>M1-P1b</x:v>
      </x:c>
      <x:c r="C14" s="301" t="str">
        <x:v>Done</x:v>
      </x:c>
      <x:c r="D14" s="301" t="str">
        <x:v>Completed / no assignment</x:v>
      </x:c>
      <x:c r="E14" s="301" t="n">
        <x:v>8</x:v>
      </x:c>
      <x:c r="F14" s="301"/>
      <x:c r="G14" s="301"/>
      <x:c r="H14" s="301" t="str">
        <x:v>Closed — do not reopen without contradictory regression evidence.</x:v>
      </x:c>
    </x:row>
    <x:row r="15">
      <x:c r="A15" s="301" t="str">
        <x:v>T-014</x:v>
      </x:c>
      <x:c r="B15" s="301" t="str">
        <x:v>M1-P1b</x:v>
      </x:c>
      <x:c r="C15" s="301" t="str">
        <x:v>Done</x:v>
      </x:c>
      <x:c r="D15" s="301" t="str">
        <x:v>Completed / no assignment</x:v>
      </x:c>
      <x:c r="E15" s="301" t="n">
        <x:v>8</x:v>
      </x:c>
      <x:c r="F15" s="301"/>
      <x:c r="G15" s="301"/>
      <x:c r="H15" s="301" t="str">
        <x:v>Closed — do not reopen without contradictory regression evidence.</x:v>
      </x:c>
    </x:row>
    <x:row r="16">
      <x:c r="A16" s="301" t="str">
        <x:v>T-015</x:v>
      </x:c>
      <x:c r="B16" s="301" t="str">
        <x:v>M1-P1b</x:v>
      </x:c>
      <x:c r="C16" s="301" t="str">
        <x:v>Done</x:v>
      </x:c>
      <x:c r="D16" s="301" t="str">
        <x:v>Completed / no assignment</x:v>
      </x:c>
      <x:c r="E16" s="301" t="n">
        <x:v>8</x:v>
      </x:c>
      <x:c r="F16" s="301"/>
      <x:c r="G16" s="301"/>
      <x:c r="H16" s="301" t="str">
        <x:v>Closed — do not reopen without contradictory regression evidence.</x:v>
      </x:c>
    </x:row>
    <x:row r="17">
      <x:c r="A17" s="301" t="str">
        <x:v>T-016</x:v>
      </x:c>
      <x:c r="B17" s="301" t="str">
        <x:v>M1-P1b</x:v>
      </x:c>
      <x:c r="C17" s="301" t="str">
        <x:v>Done</x:v>
      </x:c>
      <x:c r="D17" s="301" t="str">
        <x:v>Completed / no assignment</x:v>
      </x:c>
      <x:c r="E17" s="301" t="n">
        <x:v>10</x:v>
      </x:c>
      <x:c r="F17" s="301"/>
      <x:c r="G17" s="301"/>
      <x:c r="H17" s="301" t="str">
        <x:v>Closed — do not reopen without contradictory regression evidence.</x:v>
      </x:c>
    </x:row>
    <x:row r="18">
      <x:c r="A18" s="301" t="str">
        <x:v>T-017</x:v>
      </x:c>
      <x:c r="B18" s="301" t="str">
        <x:v>M1-P1b</x:v>
      </x:c>
      <x:c r="C18" s="301" t="str">
        <x:v>Done</x:v>
      </x:c>
      <x:c r="D18" s="301" t="str">
        <x:v>Completed / no assignment</x:v>
      </x:c>
      <x:c r="E18" s="301" t="n">
        <x:v>8</x:v>
      </x:c>
      <x:c r="F18" s="301"/>
      <x:c r="G18" s="301"/>
      <x:c r="H18" s="301" t="str">
        <x:v>Closed — do not reopen without contradictory regression evidence.</x:v>
      </x:c>
    </x:row>
    <x:row r="19">
      <x:c r="A19" s="301" t="str">
        <x:v>T-018</x:v>
      </x:c>
      <x:c r="B19" s="301" t="str">
        <x:v>M1-P1b</x:v>
      </x:c>
      <x:c r="C19" s="301" t="str">
        <x:v>Done</x:v>
      </x:c>
      <x:c r="D19" s="301" t="str">
        <x:v>Completed / no assignment</x:v>
      </x:c>
      <x:c r="E19" s="301" t="n">
        <x:v>6</x:v>
      </x:c>
      <x:c r="F19" s="301"/>
      <x:c r="G19" s="301"/>
      <x:c r="H19" s="301" t="str">
        <x:v>Closed — do not reopen without contradictory regression evidence.</x:v>
      </x:c>
    </x:row>
    <x:row r="20">
      <x:c r="A20" s="301" t="str">
        <x:v>T-019</x:v>
      </x:c>
      <x:c r="B20" s="301" t="str">
        <x:v>M1-P1b</x:v>
      </x:c>
      <x:c r="C20" s="301" t="str">
        <x:v>Done</x:v>
      </x:c>
      <x:c r="D20" s="301" t="str">
        <x:v>Completed / no assignment</x:v>
      </x:c>
      <x:c r="E20" s="301" t="n">
        <x:v>6</x:v>
      </x:c>
      <x:c r="F20" s="301"/>
      <x:c r="G20" s="301"/>
      <x:c r="H20" s="301" t="str">
        <x:v>Closed — do not reopen without contradictory regression evidence.</x:v>
      </x:c>
    </x:row>
    <x:row r="21">
      <x:c r="A21" s="301" t="str">
        <x:v>T-020</x:v>
      </x:c>
      <x:c r="B21" s="301" t="str">
        <x:v>M1-P1b</x:v>
      </x:c>
      <x:c r="C21" s="301" t="str">
        <x:v>Done</x:v>
      </x:c>
      <x:c r="D21" s="301" t="str">
        <x:v>Completed / no assignment</x:v>
      </x:c>
      <x:c r="E21" s="301" t="n">
        <x:v>6</x:v>
      </x:c>
      <x:c r="F21" s="301"/>
      <x:c r="G21" s="301"/>
      <x:c r="H21" s="301" t="str">
        <x:v>Closed — do not reopen without contradictory regression evidence.</x:v>
      </x:c>
    </x:row>
    <x:row r="22">
      <x:c r="A22" s="301" t="str">
        <x:v>T-021</x:v>
      </x:c>
      <x:c r="B22" s="301" t="str">
        <x:v>M1-P1b</x:v>
      </x:c>
      <x:c r="C22" s="301" t="str">
        <x:v>Done</x:v>
      </x:c>
      <x:c r="D22" s="301" t="str">
        <x:v>Completed / no assignment</x:v>
      </x:c>
      <x:c r="E22" s="301" t="n">
        <x:v>6</x:v>
      </x:c>
      <x:c r="F22" s="301"/>
      <x:c r="G22" s="301"/>
      <x:c r="H22" s="301" t="str">
        <x:v>Closed — do not reopen without contradictory regression evidence.</x:v>
      </x:c>
    </x:row>
    <x:row r="23">
      <x:c r="A23" s="301" t="str">
        <x:v>T-022</x:v>
      </x:c>
      <x:c r="B23" s="301" t="str">
        <x:v>M1-P1b</x:v>
      </x:c>
      <x:c r="C23" s="301" t="str">
        <x:v>Done</x:v>
      </x:c>
      <x:c r="D23" s="301" t="str">
        <x:v>Completed / no assignment</x:v>
      </x:c>
      <x:c r="E23" s="301" t="n">
        <x:v>8</x:v>
      </x:c>
      <x:c r="F23" s="301"/>
      <x:c r="G23" s="301"/>
      <x:c r="H23" s="301" t="str">
        <x:v>Closed — do not reopen without contradictory regression evidence.</x:v>
      </x:c>
    </x:row>
    <x:row r="24">
      <x:c r="A24" s="301" t="str">
        <x:v>T-023</x:v>
      </x:c>
      <x:c r="B24" s="301" t="str">
        <x:v>M1-P1b</x:v>
      </x:c>
      <x:c r="C24" s="301" t="str">
        <x:v>Done</x:v>
      </x:c>
      <x:c r="D24" s="301" t="str">
        <x:v>Completed / no assignment</x:v>
      </x:c>
      <x:c r="E24" s="301" t="n">
        <x:v>6</x:v>
      </x:c>
      <x:c r="F24" s="301"/>
      <x:c r="G24" s="301"/>
      <x:c r="H24" s="301" t="str">
        <x:v>Closed — do not reopen without contradictory regression evidence.</x:v>
      </x:c>
    </x:row>
    <x:row r="25">
      <x:c r="A25" s="301" t="str">
        <x:v>T-024</x:v>
      </x:c>
      <x:c r="B25" s="301" t="str">
        <x:v>M1-P1b</x:v>
      </x:c>
      <x:c r="C25" s="301" t="str">
        <x:v>Done</x:v>
      </x:c>
      <x:c r="D25" s="301" t="str">
        <x:v>Completed / no assignment</x:v>
      </x:c>
      <x:c r="E25" s="301" t="n">
        <x:v>8</x:v>
      </x:c>
      <x:c r="F25" s="301"/>
      <x:c r="G25" s="301"/>
      <x:c r="H25" s="301" t="str">
        <x:v>Closed — do not reopen without contradictory regression evidence.</x:v>
      </x:c>
    </x:row>
    <x:row r="26">
      <x:c r="A26" s="301" t="str">
        <x:v>T-025</x:v>
      </x:c>
      <x:c r="B26" s="301" t="str">
        <x:v>M1-P1b</x:v>
      </x:c>
      <x:c r="C26" s="301" t="str">
        <x:v>Done</x:v>
      </x:c>
      <x:c r="D26" s="301" t="str">
        <x:v>Completed / no assignment</x:v>
      </x:c>
      <x:c r="E26" s="301" t="n">
        <x:v>8</x:v>
      </x:c>
      <x:c r="F26" s="301"/>
      <x:c r="G26" s="301"/>
      <x:c r="H26" s="301" t="str">
        <x:v>Closed — do not reopen without contradictory regression evidence.</x:v>
      </x:c>
    </x:row>
    <x:row r="27">
      <x:c r="A27" s="301" t="str">
        <x:v>T-026</x:v>
      </x:c>
      <x:c r="B27" s="301" t="str">
        <x:v>M1-P1b</x:v>
      </x:c>
      <x:c r="C27" s="301" t="str">
        <x:v>Done</x:v>
      </x:c>
      <x:c r="D27" s="301" t="str">
        <x:v>Completed / no assignment</x:v>
      </x:c>
      <x:c r="E27" s="301" t="n">
        <x:v>6</x:v>
      </x:c>
      <x:c r="F27" s="301"/>
      <x:c r="G27" s="301"/>
      <x:c r="H27" s="301" t="str">
        <x:v>Closed — do not reopen without contradictory regression evidence.</x:v>
      </x:c>
    </x:row>
    <x:row r="28">
      <x:c r="A28" s="301" t="str">
        <x:v>T-027</x:v>
      </x:c>
      <x:c r="B28" s="301" t="str">
        <x:v>M1-P1b</x:v>
      </x:c>
      <x:c r="C28" s="301" t="str">
        <x:v>Done</x:v>
      </x:c>
      <x:c r="D28" s="301" t="str">
        <x:v>Completed / no assignment</x:v>
      </x:c>
      <x:c r="E28" s="301" t="n">
        <x:v>6</x:v>
      </x:c>
      <x:c r="F28" s="301"/>
      <x:c r="G28" s="301"/>
      <x:c r="H28" s="301" t="str">
        <x:v>Closed — do not reopen without contradictory regression evidence.</x:v>
      </x:c>
    </x:row>
    <x:row r="29">
      <x:c r="A29" s="301" t="str">
        <x:v>T-028</x:v>
      </x:c>
      <x:c r="B29" s="301" t="str">
        <x:v>M1-P1b</x:v>
      </x:c>
      <x:c r="C29" s="301" t="str">
        <x:v>Done</x:v>
      </x:c>
      <x:c r="D29" s="301" t="str">
        <x:v>Completed / no assignment</x:v>
      </x:c>
      <x:c r="E29" s="301" t="n">
        <x:v>2</x:v>
      </x:c>
      <x:c r="F29" s="301"/>
      <x:c r="G29" s="301"/>
      <x:c r="H29" s="301" t="str">
        <x:v>Closed — do not reopen without contradictory regression evidence.</x:v>
      </x:c>
    </x:row>
    <x:row r="30">
      <x:c r="A30" s="301" t="str">
        <x:v>T-029</x:v>
      </x:c>
      <x:c r="B30" s="301" t="str">
        <x:v>M1-P1b</x:v>
      </x:c>
      <x:c r="C30" s="301" t="str">
        <x:v>Done</x:v>
      </x:c>
      <x:c r="D30" s="301" t="str">
        <x:v>Completed / no assignment</x:v>
      </x:c>
      <x:c r="E30" s="301" t="n">
        <x:v>4</x:v>
      </x:c>
      <x:c r="F30" s="301"/>
      <x:c r="G30" s="301"/>
      <x:c r="H30" s="301" t="str">
        <x:v>Closed — do not reopen without contradictory regression evidence.</x:v>
      </x:c>
    </x:row>
    <x:row r="31">
      <x:c r="A31" s="301" t="str">
        <x:v>T-030</x:v>
      </x:c>
      <x:c r="B31" s="301" t="str">
        <x:v>M1-P2</x:v>
      </x:c>
      <x:c r="C31" s="301" t="str">
        <x:v>Done</x:v>
      </x:c>
      <x:c r="D31" s="301" t="str">
        <x:v>Completed / no assignment</x:v>
      </x:c>
      <x:c r="E31" s="301" t="n">
        <x:v>8</x:v>
      </x:c>
      <x:c r="F31" s="301"/>
      <x:c r="G31" s="301"/>
      <x:c r="H31" s="301" t="str">
        <x:v>Closed — do not reopen without contradictory regression evidence.</x:v>
      </x:c>
    </x:row>
    <x:row r="32">
      <x:c r="A32" s="301" t="str">
        <x:v>T-031</x:v>
      </x:c>
      <x:c r="B32" s="301" t="str">
        <x:v>M1-P2</x:v>
      </x:c>
      <x:c r="C32" s="301" t="str">
        <x:v>Done</x:v>
      </x:c>
      <x:c r="D32" s="301" t="str">
        <x:v>Completed / no assignment</x:v>
      </x:c>
      <x:c r="E32" s="301" t="n">
        <x:v>10</x:v>
      </x:c>
      <x:c r="F32" s="301"/>
      <x:c r="G32" s="301"/>
      <x:c r="H32" s="301" t="str">
        <x:v>Closed — do not reopen without contradictory regression evidence.</x:v>
      </x:c>
    </x:row>
    <x:row r="33">
      <x:c r="A33" s="301" t="str">
        <x:v>T-032</x:v>
      </x:c>
      <x:c r="B33" s="301" t="str">
        <x:v>M1-P2</x:v>
      </x:c>
      <x:c r="C33" s="301" t="str">
        <x:v>Done</x:v>
      </x:c>
      <x:c r="D33" s="301" t="str">
        <x:v>Completed / no assignment</x:v>
      </x:c>
      <x:c r="E33" s="301" t="n">
        <x:v>12</x:v>
      </x:c>
      <x:c r="F33" s="301"/>
      <x:c r="G33" s="301"/>
      <x:c r="H33" s="301" t="str">
        <x:v>Closed — do not reopen without contradictory regression evidence.</x:v>
      </x:c>
    </x:row>
    <x:row r="34">
      <x:c r="A34" s="301" t="str">
        <x:v>T-033</x:v>
      </x:c>
      <x:c r="B34" s="301" t="str">
        <x:v>M1-P2</x:v>
      </x:c>
      <x:c r="C34" s="301" t="str">
        <x:v>Done</x:v>
      </x:c>
      <x:c r="D34" s="301" t="str">
        <x:v>Completed / no assignment</x:v>
      </x:c>
      <x:c r="E34" s="301" t="n">
        <x:v>12</x:v>
      </x:c>
      <x:c r="F34" s="301"/>
      <x:c r="G34" s="301"/>
      <x:c r="H34" s="301" t="str">
        <x:v>Closed — do not reopen without contradictory regression evidence.</x:v>
      </x:c>
    </x:row>
    <x:row r="35">
      <x:c r="A35" s="301" t="str">
        <x:v>T-034</x:v>
      </x:c>
      <x:c r="B35" s="301" t="str">
        <x:v>M1-P2</x:v>
      </x:c>
      <x:c r="C35" s="301" t="str">
        <x:v>Done</x:v>
      </x:c>
      <x:c r="D35" s="301" t="str">
        <x:v>Completed / no assignment</x:v>
      </x:c>
      <x:c r="E35" s="301" t="n">
        <x:v>10</x:v>
      </x:c>
      <x:c r="F35" s="301"/>
      <x:c r="G35" s="301"/>
      <x:c r="H35" s="301" t="str">
        <x:v>Closed — do not reopen without contradictory regression evidence.</x:v>
      </x:c>
    </x:row>
    <x:row r="36">
      <x:c r="A36" s="301" t="str">
        <x:v>T-035</x:v>
      </x:c>
      <x:c r="B36" s="301" t="str">
        <x:v>M1-P2</x:v>
      </x:c>
      <x:c r="C36" s="301" t="str">
        <x:v>Done</x:v>
      </x:c>
      <x:c r="D36" s="301" t="str">
        <x:v>Completed / no assignment</x:v>
      </x:c>
      <x:c r="E36" s="301" t="n">
        <x:v>8</x:v>
      </x:c>
      <x:c r="F36" s="301"/>
      <x:c r="G36" s="301"/>
      <x:c r="H36" s="301" t="str">
        <x:v>Closed — do not reopen without contradictory regression evidence.</x:v>
      </x:c>
    </x:row>
    <x:row r="37">
      <x:c r="A37" s="301" t="str">
        <x:v>T-036</x:v>
      </x:c>
      <x:c r="B37" s="301" t="str">
        <x:v>M1-P2</x:v>
      </x:c>
      <x:c r="C37" s="301" t="str">
        <x:v>Done</x:v>
      </x:c>
      <x:c r="D37" s="301" t="str">
        <x:v>Completed / no assignment</x:v>
      </x:c>
      <x:c r="E37" s="301" t="n">
        <x:v>12</x:v>
      </x:c>
      <x:c r="F37" s="301"/>
      <x:c r="G37" s="301"/>
      <x:c r="H37" s="301" t="str">
        <x:v>Closed — do not reopen without contradictory regression evidence.</x:v>
      </x:c>
    </x:row>
    <x:row r="38">
      <x:c r="A38" s="301" t="str">
        <x:v>T-037</x:v>
      </x:c>
      <x:c r="B38" s="301" t="str">
        <x:v>M1-P2</x:v>
      </x:c>
      <x:c r="C38" s="301" t="str">
        <x:v>Done</x:v>
      </x:c>
      <x:c r="D38" s="301" t="str">
        <x:v>Completed / no assignment</x:v>
      </x:c>
      <x:c r="E38" s="301" t="n">
        <x:v>3</x:v>
      </x:c>
      <x:c r="F38" s="301"/>
      <x:c r="G38" s="301"/>
      <x:c r="H38" s="301" t="str">
        <x:v>Closed — do not reopen without contradictory regression evidence.</x:v>
      </x:c>
    </x:row>
    <x:row r="39">
      <x:c r="A39" s="301" t="str">
        <x:v>T-038</x:v>
      </x:c>
      <x:c r="B39" s="301" t="str">
        <x:v>M1-P2</x:v>
      </x:c>
      <x:c r="C39" s="301" t="str">
        <x:v>Done</x:v>
      </x:c>
      <x:c r="D39" s="301" t="str">
        <x:v>Completed / no assignment</x:v>
      </x:c>
      <x:c r="E39" s="301" t="n">
        <x:v>12</x:v>
      </x:c>
      <x:c r="F39" s="301"/>
      <x:c r="G39" s="301"/>
      <x:c r="H39" s="301" t="str">
        <x:v>Closed — do not reopen without contradictory regression evidence.</x:v>
      </x:c>
    </x:row>
    <x:row r="40">
      <x:c r="A40" s="301" t="str">
        <x:v>T-039</x:v>
      </x:c>
      <x:c r="B40" s="301" t="str">
        <x:v>M1-P2</x:v>
      </x:c>
      <x:c r="C40" s="301" t="str">
        <x:v>Done</x:v>
      </x:c>
      <x:c r="D40" s="301" t="str">
        <x:v>Completed / no assignment</x:v>
      </x:c>
      <x:c r="E40" s="301" t="n">
        <x:v>12</x:v>
      </x:c>
      <x:c r="F40" s="301"/>
      <x:c r="G40" s="301"/>
      <x:c r="H40" s="301" t="str">
        <x:v>Closed — do not reopen without contradictory regression evidence.</x:v>
      </x:c>
    </x:row>
    <x:row r="41">
      <x:c r="A41" s="301" t="str">
        <x:v>T-040</x:v>
      </x:c>
      <x:c r="B41" s="301" t="str">
        <x:v>M1-P2</x:v>
      </x:c>
      <x:c r="C41" s="301" t="str">
        <x:v>Done</x:v>
      </x:c>
      <x:c r="D41" s="301" t="str">
        <x:v>Completed / no assignment</x:v>
      </x:c>
      <x:c r="E41" s="301" t="n">
        <x:v>8</x:v>
      </x:c>
      <x:c r="F41" s="301"/>
      <x:c r="G41" s="301"/>
      <x:c r="H41" s="301" t="str">
        <x:v>Closed — do not reopen without contradictory regression evidence.</x:v>
      </x:c>
    </x:row>
    <x:row r="42">
      <x:c r="A42" s="301" t="str">
        <x:v>T-041</x:v>
      </x:c>
      <x:c r="B42" s="301" t="str">
        <x:v>M1-P3</x:v>
      </x:c>
      <x:c r="C42" s="301" t="str">
        <x:v>Done</x:v>
      </x:c>
      <x:c r="D42" s="301" t="str">
        <x:v>Completed / no assignment</x:v>
      </x:c>
      <x:c r="E42" s="301" t="n">
        <x:v>6</x:v>
      </x:c>
      <x:c r="F42" s="301"/>
      <x:c r="G42" s="301"/>
      <x:c r="H42" s="301" t="str">
        <x:v>Closed — do not reopen without contradictory regression evidence.</x:v>
      </x:c>
    </x:row>
    <x:row r="43">
      <x:c r="A43" s="301" t="str">
        <x:v>T-042</x:v>
      </x:c>
      <x:c r="B43" s="301" t="str">
        <x:v>M1-P3</x:v>
      </x:c>
      <x:c r="C43" s="301" t="str">
        <x:v>Done</x:v>
      </x:c>
      <x:c r="D43" s="301" t="str">
        <x:v>Completed / no assignment</x:v>
      </x:c>
      <x:c r="E43" s="301" t="n">
        <x:v>6</x:v>
      </x:c>
      <x:c r="F43" s="301"/>
      <x:c r="G43" s="301"/>
      <x:c r="H43" s="301" t="str">
        <x:v>Closed — do not reopen without contradictory regression evidence.</x:v>
      </x:c>
    </x:row>
    <x:row r="44">
      <x:c r="A44" s="301" t="str">
        <x:v>T-043</x:v>
      </x:c>
      <x:c r="B44" s="301" t="str">
        <x:v>M1-P3</x:v>
      </x:c>
      <x:c r="C44" s="301" t="str">
        <x:v>Done</x:v>
      </x:c>
      <x:c r="D44" s="301" t="str">
        <x:v>Completed / no assignment</x:v>
      </x:c>
      <x:c r="E44" s="301" t="n">
        <x:v>12</x:v>
      </x:c>
      <x:c r="F44" s="301"/>
      <x:c r="G44" s="301"/>
      <x:c r="H44" s="301" t="str">
        <x:v>Closed — do not reopen without contradictory regression evidence.</x:v>
      </x:c>
    </x:row>
    <x:row r="45">
      <x:c r="A45" s="301" t="str">
        <x:v>T-044</x:v>
      </x:c>
      <x:c r="B45" s="301" t="str">
        <x:v>M1-P3</x:v>
      </x:c>
      <x:c r="C45" s="301" t="str">
        <x:v>Done</x:v>
      </x:c>
      <x:c r="D45" s="301" t="str">
        <x:v>Completed / no assignment</x:v>
      </x:c>
      <x:c r="E45" s="301" t="n">
        <x:v>8</x:v>
      </x:c>
      <x:c r="F45" s="301"/>
      <x:c r="G45" s="301"/>
      <x:c r="H45" s="301" t="str">
        <x:v>Closed — do not reopen without contradictory regression evidence.</x:v>
      </x:c>
    </x:row>
    <x:row r="46">
      <x:c r="A46" s="301" t="str">
        <x:v>T-045</x:v>
      </x:c>
      <x:c r="B46" s="301" t="str">
        <x:v>M1-P3</x:v>
      </x:c>
      <x:c r="C46" s="301" t="str">
        <x:v>Done</x:v>
      </x:c>
      <x:c r="D46" s="301" t="str">
        <x:v>Presentation lane (Workers 1/2)</x:v>
      </x:c>
      <x:c r="E46" s="301" t="n">
        <x:v>6</x:v>
      </x:c>
      <x:c r="F46" s="301"/>
      <x:c r="G46" s="301"/>
      <x:c r="H46" s="301" t="str">
        <x:v>Closed — do not reopen without contradictory regression evidence.</x:v>
      </x:c>
    </x:row>
    <x:row r="47">
      <x:c r="A47" s="301" t="str">
        <x:v>T-046</x:v>
      </x:c>
      <x:c r="B47" s="301" t="str">
        <x:v>M1-P3</x:v>
      </x:c>
      <x:c r="C47" s="301" t="str">
        <x:v>Done</x:v>
      </x:c>
      <x:c r="D47" s="301" t="str">
        <x:v>Presentation lane (Workers 1/2)</x:v>
      </x:c>
      <x:c r="E47" s="301" t="n">
        <x:v>8</x:v>
      </x:c>
      <x:c r="F47" s="301"/>
      <x:c r="G47" s="301"/>
      <x:c r="H47" s="301" t="str">
        <x:v>Closed — do not reopen without contradictory regression evidence.</x:v>
      </x:c>
    </x:row>
    <x:row r="48">
      <x:c r="A48" s="301" t="str">
        <x:v>T-047</x:v>
      </x:c>
      <x:c r="B48" s="301" t="str">
        <x:v>M1-P3</x:v>
      </x:c>
      <x:c r="C48" s="301" t="str">
        <x:v>Done</x:v>
      </x:c>
      <x:c r="D48" s="301" t="str">
        <x:v>Presentation lane (Workers 1/2)</x:v>
      </x:c>
      <x:c r="E48" s="301" t="n">
        <x:v>10</x:v>
      </x:c>
      <x:c r="F48" s="301"/>
      <x:c r="G48" s="301"/>
      <x:c r="H48" s="301" t="str">
        <x:v>Closed — do not reopen without contradictory regression evidence.</x:v>
      </x:c>
    </x:row>
    <x:row r="49">
      <x:c r="A49" s="301" t="str">
        <x:v>T-048</x:v>
      </x:c>
      <x:c r="B49" s="301" t="str">
        <x:v>M1-P3</x:v>
      </x:c>
      <x:c r="C49" s="301" t="str">
        <x:v>Done</x:v>
      </x:c>
      <x:c r="D49" s="301" t="str">
        <x:v>Presentation lane (Workers 1/2)</x:v>
      </x:c>
      <x:c r="E49" s="301" t="n">
        <x:v>4</x:v>
      </x:c>
      <x:c r="F49" s="301"/>
      <x:c r="G49" s="301"/>
      <x:c r="H49" s="301" t="str">
        <x:v>Closed — do not reopen without contradictory regression evidence.</x:v>
      </x:c>
    </x:row>
    <x:row r="50">
      <x:c r="A50" s="301" t="str">
        <x:v>T-049</x:v>
      </x:c>
      <x:c r="B50" s="301" t="str">
        <x:v>M1-P3</x:v>
      </x:c>
      <x:c r="C50" s="301" t="str">
        <x:v>Done</x:v>
      </x:c>
      <x:c r="D50" s="301" t="str">
        <x:v>Presentation lane (Workers 1/2)</x:v>
      </x:c>
      <x:c r="E50" s="301" t="n">
        <x:v>4</x:v>
      </x:c>
      <x:c r="F50" s="301"/>
      <x:c r="G50" s="301"/>
      <x:c r="H50" s="301" t="str">
        <x:v>GO now. Final isolated certification only; no more diagnostic-only iteration.</x:v>
      </x:c>
    </x:row>
    <x:row r="51">
      <x:c r="A51" s="301" t="str">
        <x:v>T-050</x:v>
      </x:c>
      <x:c r="B51" s="301" t="str">
        <x:v>M1-P3</x:v>
      </x:c>
      <x:c r="C51" s="301" t="str">
        <x:v>Done</x:v>
      </x:c>
      <x:c r="D51" s="301" t="str">
        <x:v>Presentation lane (Workers 1/2)</x:v>
      </x:c>
      <x:c r="E51" s="301" t="n">
        <x:v>6</x:v>
      </x:c>
      <x:c r="F51" s="301"/>
      <x:c r="G51" s="301"/>
      <x:c r="H51" s="301" t="str">
        <x:v>Current M1 sequence / presentation owner hand-off</x:v>
      </x:c>
    </x:row>
    <x:row r="52">
      <x:c r="A52" s="301" t="str">
        <x:v>T-051</x:v>
      </x:c>
      <x:c r="B52" s="301" t="str">
        <x:v>M1-P3</x:v>
      </x:c>
      <x:c r="C52" s="301" t="str">
        <x:v>Done</x:v>
      </x:c>
      <x:c r="D52" s="301" t="str">
        <x:v>Presentation lane (Workers 1/2)</x:v>
      </x:c>
      <x:c r="E52" s="301" t="n">
        <x:v>6</x:v>
      </x:c>
      <x:c r="F52" s="301"/>
      <x:c r="G52" s="301"/>
      <x:c r="H52" s="301" t="str">
        <x:v>Current M1 sequence / presentation owner hand-off</x:v>
      </x:c>
    </x:row>
    <x:row r="53">
      <x:c r="A53" s="301" t="str">
        <x:v>T-052</x:v>
      </x:c>
      <x:c r="B53" s="301" t="str">
        <x:v>M1-P3</x:v>
      </x:c>
      <x:c r="C53" s="301" t="str">
        <x:v>Done</x:v>
      </x:c>
      <x:c r="D53" s="301" t="str">
        <x:v>Presentation lane (Workers 1/2)</x:v>
      </x:c>
      <x:c r="E53" s="301" t="n">
        <x:v>4</x:v>
      </x:c>
      <x:c r="F53" s="301"/>
      <x:c r="G53" s="301"/>
      <x:c r="H53" s="301" t="str">
        <x:v>Current M1 sequence / presentation owner hand-off</x:v>
      </x:c>
    </x:row>
    <x:row r="54">
      <x:c r="A54" s="301" t="str">
        <x:v>T-053</x:v>
      </x:c>
      <x:c r="B54" s="301" t="str">
        <x:v>M1-P4</x:v>
      </x:c>
      <x:c r="C54" s="301" t="str">
        <x:v>Not Started</x:v>
      </x:c>
      <x:c r="D54" s="301" t="str">
        <x:v>Presentation lane (Workers 1/2)</x:v>
      </x:c>
      <x:c r="E54" s="301" t="n">
        <x:v>4</x:v>
      </x:c>
      <x:c r="F54" s="301"/>
      <x:c r="G54" s="301"/>
      <x:c r="H54" s="301" t="str">
        <x:v>DO NOT START as M1. Start only if a later M2 task explicitly consumes this generic contract.</x:v>
      </x:c>
    </x:row>
    <x:row r="55">
      <x:c r="A55" s="301" t="str">
        <x:v>T-054</x:v>
      </x:c>
      <x:c r="B55" s="301" t="str">
        <x:v>M1-P4</x:v>
      </x:c>
      <x:c r="C55" s="301" t="str">
        <x:v>Not Started</x:v>
      </x:c>
      <x:c r="D55" s="301" t="str">
        <x:v>Presentation lane (Workers 1/2)</x:v>
      </x:c>
      <x:c r="E55" s="301" t="n">
        <x:v>4</x:v>
      </x:c>
      <x:c r="F55" s="301"/>
      <x:c r="G55" s="301"/>
      <x:c r="H55" s="301" t="str">
        <x:v>DO NOT START as M1. Start only if a later M2 task explicitly consumes this generic contract.</x:v>
      </x:c>
    </x:row>
    <x:row r="56">
      <x:c r="A56" s="301" t="str">
        <x:v>T-055</x:v>
      </x:c>
      <x:c r="B56" s="301" t="str">
        <x:v>M1-P4</x:v>
      </x:c>
      <x:c r="C56" s="301" t="str">
        <x:v>Not Started</x:v>
      </x:c>
      <x:c r="D56" s="301" t="str">
        <x:v>Presentation lane (Workers 1/2)</x:v>
      </x:c>
      <x:c r="E56" s="301" t="n">
        <x:v>6</x:v>
      </x:c>
      <x:c r="F56" s="301"/>
      <x:c r="G56" s="301"/>
      <x:c r="H56" s="301" t="str">
        <x:v>DO NOT START as M1. Start only if a later M2 task explicitly consumes this generic contract.</x:v>
      </x:c>
    </x:row>
    <x:row r="57">
      <x:c r="A57" s="301" t="str">
        <x:v>T-056</x:v>
      </x:c>
      <x:c r="B57" s="301" t="str">
        <x:v>M1-P4</x:v>
      </x:c>
      <x:c r="C57" s="301" t="str">
        <x:v>Not Started</x:v>
      </x:c>
      <x:c r="D57" s="301" t="str">
        <x:v>Presentation lane (Workers 1/2)</x:v>
      </x:c>
      <x:c r="E57" s="301" t="n">
        <x:v>4</x:v>
      </x:c>
      <x:c r="F57" s="301"/>
      <x:c r="G57" s="301"/>
      <x:c r="H57" s="301" t="str">
        <x:v>DO NOT START as M1. Start only if a later M2 task explicitly consumes this generic contract.</x:v>
      </x:c>
    </x:row>
    <x:row r="58">
      <x:c r="A58" s="301" t="str">
        <x:v>T-057</x:v>
      </x:c>
      <x:c r="B58" s="301" t="str">
        <x:v>M1-P4</x:v>
      </x:c>
      <x:c r="C58" s="301" t="str">
        <x:v>Done</x:v>
      </x:c>
      <x:c r="D58" s="301" t="str">
        <x:v>Presentation lane (Workers 1/2)</x:v>
      </x:c>
      <x:c r="E58" s="301" t="n">
        <x:v>10</x:v>
      </x:c>
      <x:c r="F58" s="301" t="str">
        <x:v>T-039; T-089; T-090; T-095</x:v>
      </x:c>
      <x:c r="G58" s="301"/>
      <x:c r="H58" s="301" t="str">
        <x:v>T-039 complete; M1 relationship compatibility slice only. Canonical physical ...</x:v>
      </x:c>
    </x:row>
    <x:row r="59">
      <x:c r="A59" s="301" t="str">
        <x:v>T-058</x:v>
      </x:c>
      <x:c r="B59" s="301" t="str">
        <x:v>M1-P4</x:v>
      </x:c>
      <x:c r="C59" s="301" t="str">
        <x:v>Done</x:v>
      </x:c>
      <x:c r="D59" s="301" t="str">
        <x:v>Presentation lane (Workers 1/2)</x:v>
      </x:c>
      <x:c r="E59" s="301" t="n">
        <x:v>10</x:v>
      </x:c>
      <x:c r="F59" s="301" t="str">
        <x:v>T-057</x:v>
      </x:c>
      <x:c r="G59" s="301"/>
      <x:c r="H59" s="301" t="str">
        <x:v>T-057 final external relationship contract published; consume service/resolve...</x:v>
      </x:c>
    </x:row>
    <x:row r="60">
      <x:c r="A60" s="301" t="str">
        <x:v>T-059</x:v>
      </x:c>
      <x:c r="B60" s="301" t="str">
        <x:v>M1-P4</x:v>
      </x:c>
      <x:c r="C60" s="301" t="str">
        <x:v>Not Started</x:v>
      </x:c>
      <x:c r="D60" s="301" t="str">
        <x:v>Presentation lane (Workers 1/2)</x:v>
      </x:c>
      <x:c r="E60" s="301" t="n">
        <x:v>4</x:v>
      </x:c>
      <x:c r="F60" s="301" t="str">
        <x:v>T-048; T-057; T-058</x:v>
      </x:c>
      <x:c r="G60" s="301"/>
      <x:c r="H60" s="301" t="str">
        <x:v>DO NOT START as M1. Start only if a later M2 task explicitly consumes this generic contract.</x:v>
      </x:c>
    </x:row>
    <x:row r="61">
      <x:c r="A61" s="301" t="str">
        <x:v>T-060</x:v>
      </x:c>
      <x:c r="B61" s="301" t="str">
        <x:v>M1-P4</x:v>
      </x:c>
      <x:c r="C61" s="301" t="str">
        <x:v>In Progress</x:v>
      </x:c>
      <x:c r="D61" s="301" t="str">
        <x:v>Presentation lane (Workers 1/2)</x:v>
      </x:c>
      <x:c r="E61" s="301" t="n">
        <x:v>4</x:v>
      </x:c>
      <x:c r="F61" s="301" t="str">
        <x:v>T-057; T-058</x:v>
      </x:c>
      <x:c r="G61" s="301"/>
      <x:c r="H61" s="301" t="str">
        <x:v>DO NOT START as M1. Start only if a later M2 task explicitly consumes this generic contract.</x:v>
      </x:c>
    </x:row>
    <x:row r="62">
      <x:c r="A62" s="301" t="str">
        <x:v>T-061</x:v>
      </x:c>
      <x:c r="B62" s="301" t="str">
        <x:v>M1-P4</x:v>
      </x:c>
      <x:c r="C62" s="301" t="str">
        <x:v>Not Started</x:v>
      </x:c>
      <x:c r="D62" s="301" t="str">
        <x:v>Presentation lane (Workers 1/2)</x:v>
      </x:c>
      <x:c r="E62" s="301" t="n">
        <x:v>6</x:v>
      </x:c>
      <x:c r="F62" s="301" t="str">
        <x:v>T-087; T-089; T-090; T-099</x:v>
      </x:c>
      <x:c r="G62" s="301"/>
      <x:c r="H62" s="301" t="str">
        <x:v>DO NOT START as M1. Start only if a later M2 task explicitly consumes this generic contract.</x:v>
      </x:c>
    </x:row>
    <x:row r="63">
      <x:c r="A63" s="301" t="str">
        <x:v>T-062</x:v>
      </x:c>
      <x:c r="B63" s="301" t="str">
        <x:v>M1-P4</x:v>
      </x:c>
      <x:c r="C63" s="301" t="str">
        <x:v>Not Started</x:v>
      </x:c>
      <x:c r="D63" s="301" t="str">
        <x:v>Presentation lane (Workers 1/2)</x:v>
      </x:c>
      <x:c r="E63" s="301" t="n">
        <x:v>4</x:v>
      </x:c>
      <x:c r="F63" s="301" t="str">
        <x:v>T-061</x:v>
      </x:c>
      <x:c r="G63" s="301"/>
      <x:c r="H63" s="301" t="str">
        <x:v>DO NOT START as M1. Start only if a later M2 task explicitly consumes this generic contract.</x:v>
      </x:c>
    </x:row>
    <x:row r="64">
      <x:c r="A64" s="301" t="str">
        <x:v>T-063</x:v>
      </x:c>
      <x:c r="B64" s="301" t="str">
        <x:v>M1-P4</x:v>
      </x:c>
      <x:c r="C64" s="301" t="str">
        <x:v>Not Started</x:v>
      </x:c>
      <x:c r="D64" s="301" t="str">
        <x:v>Presentation lane (Workers 1/2)</x:v>
      </x:c>
      <x:c r="E64" s="301" t="n">
        <x:v>10</x:v>
      </x:c>
      <x:c r="F64" s="301"/>
      <x:c r="G64" s="301"/>
      <x:c r="H64" s="301" t="str">
        <x:v>DO NOT START as M1. Start only if a later M2 task explicitly consumes this generic contract.</x:v>
      </x:c>
    </x:row>
    <x:row r="65">
      <x:c r="A65" s="301" t="str">
        <x:v>T-064</x:v>
      </x:c>
      <x:c r="B65" s="301" t="str">
        <x:v>M1-P4</x:v>
      </x:c>
      <x:c r="C65" s="301" t="str">
        <x:v>Done</x:v>
      </x:c>
      <x:c r="D65" s="301" t="str">
        <x:v>Presentation lane (Workers 1/2)</x:v>
      </x:c>
      <x:c r="E65" s="301" t="n">
        <x:v>8</x:v>
      </x:c>
      <x:c r="F65" s="301" t="str">
        <x:v>T-039; T-089; T-090; T-106</x:v>
      </x:c>
      <x:c r="G65" s="301"/>
      <x:c r="H65" s="301" t="str">
        <x:v>GO now: T-039 semantic seam exists. M1 semantics only; NO fake FK. Final physical FK belongs to T-106 after T-089/T-090.</x:v>
      </x:c>
    </x:row>
    <x:row r="66">
      <x:c r="A66" s="301" t="str">
        <x:v>T-065</x:v>
      </x:c>
      <x:c r="B66" s="301" t="str">
        <x:v>M1-P4</x:v>
      </x:c>
      <x:c r="C66" s="301" t="str">
        <x:v>In Progress</x:v>
      </x:c>
      <x:c r="D66" s="301" t="str">
        <x:v>Presentation lane (Workers 1/2)</x:v>
      </x:c>
      <x:c r="E66" s="301" t="n">
        <x:v>12</x:v>
      </x:c>
      <x:c r="F66" s="301" t="str">
        <x:v>T-064; T-068</x:v>
      </x:c>
      <x:c r="G66" s="301"/>
      <x:c r="H66" s="301" t="str">
        <x:v>DO NOT START as M1. Start only if a later M2 task explicitly consumes this generic contract.</x:v>
      </x:c>
    </x:row>
    <x:row r="67">
      <x:c r="A67" s="301" t="str">
        <x:v>T-066</x:v>
      </x:c>
      <x:c r="B67" s="301" t="str">
        <x:v>M1-P4</x:v>
      </x:c>
      <x:c r="C67" s="301" t="str">
        <x:v>In Progress</x:v>
      </x:c>
      <x:c r="D67" s="301" t="str">
        <x:v>Presentation lane (Workers 1/2)</x:v>
      </x:c>
      <x:c r="E67" s="301" t="n">
        <x:v>6</x:v>
      </x:c>
      <x:c r="F67" s="301" t="str">
        <x:v>T-065; T-195</x:v>
      </x:c>
      <x:c r="G67" s="301"/>
      <x:c r="H67" s="301" t="str">
        <x:v>DO NOT START as M1. Start only if a later M2 task explicitly consumes this generic contract.</x:v>
      </x:c>
    </x:row>
    <x:row r="68">
      <x:c r="A68" s="301" t="str">
        <x:v>T-067</x:v>
      </x:c>
      <x:c r="B68" s="301" t="str">
        <x:v>M1-P4</x:v>
      </x:c>
      <x:c r="C68" s="301" t="str">
        <x:v>Not Started</x:v>
      </x:c>
      <x:c r="D68" s="301" t="str">
        <x:v>Presentation lane (Workers 1/2)</x:v>
      </x:c>
      <x:c r="E68" s="301" t="n">
        <x:v>8</x:v>
      </x:c>
      <x:c r="F68" s="301" t="str">
        <x:v>T-050; T-065; T-066</x:v>
      </x:c>
      <x:c r="G68" s="301"/>
      <x:c r="H68" s="301" t="str">
        <x:v>WAIT for T-050 + T-065 + T-066 commits; then W3 owns Findings files exclusively.</x:v>
      </x:c>
    </x:row>
    <x:row r="69">
      <x:c r="A69" s="301" t="str">
        <x:v>T-068</x:v>
      </x:c>
      <x:c r="B69" s="301" t="str">
        <x:v>M1-P4</x:v>
      </x:c>
      <x:c r="C69" s="301" t="str">
        <x:v>Done</x:v>
      </x:c>
      <x:c r="D69" s="301" t="str">
        <x:v>Presentation lane (Workers 1/2)</x:v>
      </x:c>
      <x:c r="E69" s="301" t="n">
        <x:v>6</x:v>
      </x:c>
      <x:c r="F69" s="301" t="str">
        <x:v>T-039</x:v>
      </x:c>
      <x:c r="G69" s="301" t="str">
        <x:v>T-065</x:v>
      </x:c>
      <x:c r="H69" s="301" t="str">
        <x:v>T-039 definition-service/registry seam; complete BEFORE T-065. Canonical SM-0...</x:v>
      </x:c>
    </x:row>
    <x:row r="70">
      <x:c r="A70" s="301" t="str">
        <x:v>T-069</x:v>
      </x:c>
      <x:c r="B70" s="301" t="str">
        <x:v>M1-P5</x:v>
      </x:c>
      <x:c r="C70" s="301" t="str">
        <x:v>Done</x:v>
      </x:c>
      <x:c r="D70" s="301" t="str">
        <x:v>Completed / no assignment</x:v>
      </x:c>
      <x:c r="E70" s="301" t="n">
        <x:v>8</x:v>
      </x:c>
      <x:c r="F70" s="301"/>
      <x:c r="G70" s="301"/>
      <x:c r="H70" s="301" t="str">
        <x:v>Closed — do not reopen without contradictory regression evidence.</x:v>
      </x:c>
    </x:row>
    <x:row r="71">
      <x:c r="A71" s="301" t="str">
        <x:v>T-070</x:v>
      </x:c>
      <x:c r="B71" s="301" t="str">
        <x:v>M1-P5</x:v>
      </x:c>
      <x:c r="C71" s="301" t="str">
        <x:v>Done</x:v>
      </x:c>
      <x:c r="D71" s="301" t="str">
        <x:v>Completed / no assignment</x:v>
      </x:c>
      <x:c r="E71" s="301" t="n">
        <x:v>6</x:v>
      </x:c>
      <x:c r="F71" s="301"/>
      <x:c r="G71" s="301"/>
      <x:c r="H71" s="301" t="str">
        <x:v>Closed — do not reopen without contradictory regression evidence.</x:v>
      </x:c>
    </x:row>
    <x:row r="72">
      <x:c r="A72" s="301" t="str">
        <x:v>T-071</x:v>
      </x:c>
      <x:c r="B72" s="301" t="str">
        <x:v>M1-P5</x:v>
      </x:c>
      <x:c r="C72" s="301" t="str">
        <x:v>Done</x:v>
      </x:c>
      <x:c r="D72" s="301" t="str">
        <x:v>Completed / no assignment</x:v>
      </x:c>
      <x:c r="E72" s="301" t="n">
        <x:v>8</x:v>
      </x:c>
      <x:c r="F72" s="301"/>
      <x:c r="G72" s="301"/>
      <x:c r="H72" s="301" t="str">
        <x:v>Closed — do not reopen without contradictory regression evidence.</x:v>
      </x:c>
    </x:row>
    <x:row r="73">
      <x:c r="A73" s="301" t="str">
        <x:v>T-072</x:v>
      </x:c>
      <x:c r="B73" s="301" t="str">
        <x:v>M1-P5</x:v>
      </x:c>
      <x:c r="C73" s="301" t="str">
        <x:v>Done</x:v>
      </x:c>
      <x:c r="D73" s="301" t="str">
        <x:v>Completed / no assignment</x:v>
      </x:c>
      <x:c r="E73" s="301" t="n">
        <x:v>8</x:v>
      </x:c>
      <x:c r="F73" s="301"/>
      <x:c r="G73" s="301"/>
      <x:c r="H73" s="301" t="str">
        <x:v>Closed — do not reopen without contradictory regression evidence.</x:v>
      </x:c>
    </x:row>
    <x:row r="74">
      <x:c r="A74" s="301" t="str">
        <x:v>T-073</x:v>
      </x:c>
      <x:c r="B74" s="301" t="str">
        <x:v>M1-P5</x:v>
      </x:c>
      <x:c r="C74" s="301" t="str">
        <x:v>Done</x:v>
      </x:c>
      <x:c r="D74" s="301" t="str">
        <x:v>Completed / no assignment</x:v>
      </x:c>
      <x:c r="E74" s="301" t="n">
        <x:v>8</x:v>
      </x:c>
      <x:c r="F74" s="301"/>
      <x:c r="G74" s="301"/>
      <x:c r="H74" s="301" t="str">
        <x:v>Closed — do not reopen without contradictory regression evidence.</x:v>
      </x:c>
    </x:row>
    <x:row r="75">
      <x:c r="A75" s="301" t="str">
        <x:v>T-074</x:v>
      </x:c>
      <x:c r="B75" s="301" t="str">
        <x:v>M1-P5</x:v>
      </x:c>
      <x:c r="C75" s="301" t="str">
        <x:v>Done</x:v>
      </x:c>
      <x:c r="D75" s="301" t="str">
        <x:v>Completed / no assignment</x:v>
      </x:c>
      <x:c r="E75" s="301" t="n">
        <x:v>4</x:v>
      </x:c>
      <x:c r="F75" s="301"/>
      <x:c r="G75" s="301"/>
      <x:c r="H75" s="301" t="str">
        <x:v>Closed — do not reopen without contradictory regression evidence.</x:v>
      </x:c>
    </x:row>
    <x:row r="76">
      <x:c r="A76" s="301" t="str">
        <x:v>T-075</x:v>
      </x:c>
      <x:c r="B76" s="301" t="str">
        <x:v>M1-P5</x:v>
      </x:c>
      <x:c r="C76" s="301" t="str">
        <x:v>Done</x:v>
      </x:c>
      <x:c r="D76" s="301" t="str">
        <x:v>Completed / no assignment</x:v>
      </x:c>
      <x:c r="E76" s="301" t="n">
        <x:v>4</x:v>
      </x:c>
      <x:c r="F76" s="301"/>
      <x:c r="G76" s="301"/>
      <x:c r="H76" s="301" t="str">
        <x:v>Closed — do not reopen without contradictory regression evidence.</x:v>
      </x:c>
    </x:row>
    <x:row r="77">
      <x:c r="A77" s="301" t="str">
        <x:v>T-076</x:v>
      </x:c>
      <x:c r="B77" s="301" t="str">
        <x:v>M1-P5</x:v>
      </x:c>
      <x:c r="C77" s="301" t="str">
        <x:v>Not Started</x:v>
      </x:c>
      <x:c r="D77" s="301" t="str">
        <x:v>Presentation lane (Workers 1/2)</x:v>
      </x:c>
      <x:c r="E77" s="301" t="n">
        <x:v>4</x:v>
      </x:c>
      <x:c r="F77" s="301" t="str">
        <x:v>T-049; T-050; T-051; T-052; T-053; T-054; T-055; T-056; T-057; T-058; T-059; T-060; T-061; T-062; T-063; T-064; T-065; T-066; T-067; T-068</x:v>
      </x:c>
      <x:c r="G77" s="301"/>
      <x:c r="H77" s="301" t="str">
        <x:v>DO NOT START as M1. Start only if a later M2 task explicitly consumes this generic contract.</x:v>
      </x:c>
    </x:row>
    <x:row r="78">
      <x:c r="A78" s="301" t="str">
        <x:v>T-077</x:v>
      </x:c>
      <x:c r="B78" s="301" t="str">
        <x:v>M1-P5</x:v>
      </x:c>
      <x:c r="C78" s="301" t="str">
        <x:v>Not Started</x:v>
      </x:c>
      <x:c r="D78" s="301" t="str">
        <x:v>Presentation lane (Workers 1/2)</x:v>
      </x:c>
      <x:c r="E78" s="301" t="n">
        <x:v>6</x:v>
      </x:c>
      <x:c r="F78" s="301" t="str">
        <x:v>T-053; T-054; T-055; T-056; T-057; T-058; T-059; T-060; T-061; T-062; T-063; T-064; T-065; T-066; T-067; T-068; T-069; T-070; T-071; T-072; T-073; T-074; T-075; T-076</x:v>
      </x:c>
      <x:c r="G78" s="301"/>
      <x:c r="H78" s="301" t="str">
        <x:v>DO NOT START as M1. Start only if a later M2 task explicitly consumes this generic contract.</x:v>
      </x:c>
    </x:row>
    <x:row r="79">
      <x:c r="A79" s="301" t="str">
        <x:v>T-078</x:v>
      </x:c>
      <x:c r="B79" s="301" t="str">
        <x:v>M1-P5</x:v>
      </x:c>
      <x:c r="C79" s="301" t="str">
        <x:v>Not Started</x:v>
      </x:c>
      <x:c r="D79" s="301" t="str">
        <x:v>Presentation lane (Workers 1/2)</x:v>
      </x:c>
      <x:c r="E79" s="301" t="n">
        <x:v>4</x:v>
      </x:c>
      <x:c r="F79" s="301" t="str">
        <x:v>T-077</x:v>
      </x:c>
      <x:c r="G79" s="301"/>
      <x:c r="H79" s="301" t="str">
        <x:v>DO NOT START as M1. Start only if a later M2 task explicitly consumes this generic contract.</x:v>
      </x:c>
    </x:row>
    <x:row r="80">
      <x:c r="A80" s="301" t="str">
        <x:v>T-079</x:v>
      </x:c>
      <x:c r="B80" s="301" t="str">
        <x:v>M1-P5</x:v>
      </x:c>
      <x:c r="C80" s="301" t="str">
        <x:v>Not Started</x:v>
      </x:c>
      <x:c r="D80" s="301" t="str">
        <x:v>Presentation lane (Workers 1/2)</x:v>
      </x:c>
      <x:c r="E80" s="301" t="n">
        <x:v>3</x:v>
      </x:c>
      <x:c r="F80" s="301" t="str">
        <x:v>T-077</x:v>
      </x:c>
      <x:c r="G80" s="301"/>
      <x:c r="H80" s="301" t="str">
        <x:v>DO NOT START as M1. Start only if a later M2 task explicitly consumes this generic contract.</x:v>
      </x:c>
    </x:row>
    <x:row r="81">
      <x:c r="A81" s="301" t="str">
        <x:v>T-080</x:v>
      </x:c>
      <x:c r="B81" s="301" t="str">
        <x:v>M1-P5</x:v>
      </x:c>
      <x:c r="C81" s="301" t="str">
        <x:v>Not Started</x:v>
      </x:c>
      <x:c r="D81" s="301" t="str">
        <x:v>Presentation lane (Workers 1/2)</x:v>
      </x:c>
      <x:c r="E81" s="301" t="n">
        <x:v>4</x:v>
      </x:c>
      <x:c r="F81" s="301" t="str">
        <x:v>T-076; T-077; T-078; T-079</x:v>
      </x:c>
      <x:c r="G81" s="301"/>
      <x:c r="H81" s="301" t="str">
        <x:v>DO NOT START as M1. Start only if a later M2 task explicitly consumes this generic contract.</x:v>
      </x:c>
    </x:row>
    <x:row r="82">
      <x:c r="A82" s="301" t="str">
        <x:v>T-081</x:v>
      </x:c>
      <x:c r="B82" s="301" t="str">
        <x:v>M1-P5</x:v>
      </x:c>
      <x:c r="C82" s="301" t="str">
        <x:v>Not Started</x:v>
      </x:c>
      <x:c r="D82" s="301" t="str">
        <x:v>Presentation lane (Workers 1/2)</x:v>
      </x:c>
      <x:c r="E82" s="301" t="n">
        <x:v>6</x:v>
      </x:c>
      <x:c r="F82" s="301" t="str">
        <x:v>T-080</x:v>
      </x:c>
      <x:c r="G82" s="301"/>
      <x:c r="H82" s="301" t="str">
        <x:v>DO NOT START as M1. Start only if a later M2 task explicitly consumes this generic contract.</x:v>
      </x:c>
    </x:row>
    <x:row r="83">
      <x:c r="A83" s="301" t="str">
        <x:v>T-082</x:v>
      </x:c>
      <x:c r="B83" s="301" t="str">
        <x:v>M1-P5</x:v>
      </x:c>
      <x:c r="C83" s="301" t="str">
        <x:v>Not Started</x:v>
      </x:c>
      <x:c r="D83" s="301" t="str">
        <x:v>Presentation lane (Workers 1/2)</x:v>
      </x:c>
      <x:c r="E83" s="301" t="n">
        <x:v>4</x:v>
      </x:c>
      <x:c r="F83" s="301" t="str">
        <x:v>T-076; T-077; T-078; T-079; T-080; T-081</x:v>
      </x:c>
      <x:c r="G83" s="301"/>
      <x:c r="H83" s="301" t="str">
        <x:v>DO NOT START as M1. Start only if a later M2 task explicitly consumes this generic contract.</x:v>
      </x:c>
    </x:row>
    <x:row r="84">
      <x:c r="A84" s="301" t="str">
        <x:v>T-083</x:v>
      </x:c>
      <x:c r="B84" s="301" t="str">
        <x:v>M1-P5</x:v>
      </x:c>
      <x:c r="C84" s="301" t="str">
        <x:v>Not Started</x:v>
      </x:c>
      <x:c r="D84" s="301" t="str">
        <x:v>Presentation lane (Workers 1/2)</x:v>
      </x:c>
      <x:c r="E84" s="301" t="n">
        <x:v>6</x:v>
      </x:c>
      <x:c r="F84" s="301" t="str">
        <x:v>T-082</x:v>
      </x:c>
      <x:c r="G84" s="301"/>
      <x:c r="H84" s="301" t="str">
        <x:v>DO NOT START as M1. Start only if a later M2 task explicitly consumes this generic contract.</x:v>
      </x:c>
    </x:row>
    <x:row r="85">
      <x:c r="A85" s="301" t="str">
        <x:v>T-084</x:v>
      </x:c>
      <x:c r="B85" s="301" t="str">
        <x:v>M2a-P1</x:v>
      </x:c>
      <x:c r="C85" s="301" t="str">
        <x:v>Not Started</x:v>
      </x:c>
      <x:c r="D85" s="301" t="str">
        <x:v>Core platform / presentation-core lane</x:v>
      </x:c>
      <x:c r="E85" s="301" t="n">
        <x:v>10</x:v>
      </x:c>
      <x:c r="F85" s="301"/>
      <x:c r="G85" s="301"/>
      <x:c r="H85" s="301" t="str">
        <x:v>WAIT for Presentation RC freeze/tag + clean index/worktree. Then: M2a dependency order</x:v>
      </x:c>
    </x:row>
    <x:row r="86">
      <x:c r="A86" s="301" t="str">
        <x:v>T-085</x:v>
      </x:c>
      <x:c r="B86" s="301" t="str">
        <x:v>M2a-P1</x:v>
      </x:c>
      <x:c r="C86" s="301" t="str">
        <x:v>Not Started</x:v>
      </x:c>
      <x:c r="D86" s="301" t="str">
        <x:v>Core platform / presentation-core lane</x:v>
      </x:c>
      <x:c r="E86" s="301" t="n">
        <x:v>10</x:v>
      </x:c>
      <x:c r="F86" s="301"/>
      <x:c r="G86" s="301"/>
      <x:c r="H86" s="301" t="str">
        <x:v>WAIT for Presentation RC freeze/tag + clean index/worktree. Then: M2a dependency order</x:v>
      </x:c>
    </x:row>
    <x:row r="87">
      <x:c r="A87" s="301" t="str">
        <x:v>T-086</x:v>
      </x:c>
      <x:c r="B87" s="301" t="str">
        <x:v>M2a-P1</x:v>
      </x:c>
      <x:c r="C87" s="301" t="str">
        <x:v>Not Started</x:v>
      </x:c>
      <x:c r="D87" s="301" t="str">
        <x:v>Core platform / presentation-core lane</x:v>
      </x:c>
      <x:c r="E87" s="301" t="n">
        <x:v>8</x:v>
      </x:c>
      <x:c r="F87" s="301" t="str">
        <x:v>T-201</x:v>
      </x:c>
      <x:c r="G87" s="301"/>
      <x:c r="H87" s="301" t="str">
        <x:v>WAIT for Presentation RC freeze/tag + clean index/worktree. Then: M2a dependency order</x:v>
      </x:c>
    </x:row>
    <x:row r="88">
      <x:c r="A88" s="301" t="str">
        <x:v>T-087</x:v>
      </x:c>
      <x:c r="B88" s="301" t="str">
        <x:v>M2a-P1</x:v>
      </x:c>
      <x:c r="C88" s="301" t="str">
        <x:v>Not Started</x:v>
      </x:c>
      <x:c r="D88" s="301" t="str">
        <x:v>Core platform / presentation-core lane</x:v>
      </x:c>
      <x:c r="E88" s="301" t="n">
        <x:v>12</x:v>
      </x:c>
      <x:c r="F88" s="301" t="str">
        <x:v>T-086; T-088</x:v>
      </x:c>
      <x:c r="G88" s="301"/>
      <x:c r="H88" s="301" t="str">
        <x:v>WAIT for Presentation RC freeze/tag + clean index/worktree. Then: T-086 + T-088 canonical migration order/runner/truth gate established FIRST.</x:v>
      </x:c>
    </x:row>
    <x:row r="89">
      <x:c r="A89" s="301" t="str">
        <x:v>T-088</x:v>
      </x:c>
      <x:c r="B89" s="301" t="str">
        <x:v>M2a-P1</x:v>
      </x:c>
      <x:c r="C89" s="301" t="str">
        <x:v>Not Started</x:v>
      </x:c>
      <x:c r="D89" s="301" t="str">
        <x:v>Core platform / presentation-core lane</x:v>
      </x:c>
      <x:c r="E89" s="301" t="n">
        <x:v>12</x:v>
      </x:c>
      <x:c r="F89" s="301" t="str">
        <x:v>T-086</x:v>
      </x:c>
      <x:c r="G89" s="301" t="str">
        <x:v>T-087</x:v>
      </x:c>
      <x:c r="H89" s="301" t="str">
        <x:v>WAIT for Presentation RC freeze/tag + clean index/worktree. Then: T-086 frozen M2 reference dataset; define canonical migration order before T-...</x:v>
      </x:c>
    </x:row>
    <x:row r="90">
      <x:c r="A90" s="301" t="str">
        <x:v>T-089</x:v>
      </x:c>
      <x:c r="B90" s="301" t="str">
        <x:v>M2a-P1</x:v>
      </x:c>
      <x:c r="C90" s="301" t="str">
        <x:v>Not Started</x:v>
      </x:c>
      <x:c r="D90" s="301" t="str">
        <x:v>Core platform / presentation-core lane</x:v>
      </x:c>
      <x:c r="E90" s="301" t="n">
        <x:v>12</x:v>
      </x:c>
      <x:c r="F90" s="301" t="str">
        <x:v>T-087; T-088</x:v>
      </x:c>
      <x:c r="G90" s="301"/>
      <x:c r="H90" s="301" t="str">
        <x:v>WAIT for Presentation RC freeze/tag + clean index/worktree. Then: T-087 + T-088 canonical three-schema/migration authority green.</x:v>
      </x:c>
    </x:row>
    <x:row r="91">
      <x:c r="A91" s="301" t="str">
        <x:v>T-090</x:v>
      </x:c>
      <x:c r="B91" s="301" t="str">
        <x:v>M2a-P1</x:v>
      </x:c>
      <x:c r="C91" s="301" t="str">
        <x:v>Not Started</x:v>
      </x:c>
      <x:c r="D91" s="301" t="str">
        <x:v>Core platform / presentation-core lane</x:v>
      </x:c>
      <x:c r="E91" s="301" t="n">
        <x:v>12</x:v>
      </x:c>
      <x:c r="F91" s="301" t="str">
        <x:v>T-089</x:v>
      </x:c>
      <x:c r="G91" s="301"/>
      <x:c r="H91" s="301" t="str">
        <x:v>WAIT for Presentation RC freeze/tag + clean index/worktree. Then: T-089 complete; replace compatibility persistence behind unchanged IDefinitio...</x:v>
      </x:c>
    </x:row>
    <x:row r="92">
      <x:c r="A92" s="301" t="str">
        <x:v>T-091</x:v>
      </x:c>
      <x:c r="B92" s="301" t="str">
        <x:v>M2a-P1</x:v>
      </x:c>
      <x:c r="C92" s="301" t="str">
        <x:v>Not Started</x:v>
      </x:c>
      <x:c r="D92" s="301" t="str">
        <x:v>Core platform / presentation-core lane</x:v>
      </x:c>
      <x:c r="E92" s="301" t="n">
        <x:v>12</x:v>
      </x:c>
      <x:c r="F92" s="301" t="str">
        <x:v>T-090</x:v>
      </x:c>
      <x:c r="G92" s="301"/>
      <x:c r="H92" s="301" t="str">
        <x:v>WAIT for Presentation RC freeze/tag + clean index/worktree. Then: T-090 all definition kinds bound to the canonical store.</x:v>
      </x:c>
    </x:row>
    <x:row r="93">
      <x:c r="A93" s="301" t="str">
        <x:v>T-092</x:v>
      </x:c>
      <x:c r="B93" s="301" t="str">
        <x:v>M2a-P1</x:v>
      </x:c>
      <x:c r="C93" s="301" t="str">
        <x:v>Not Started</x:v>
      </x:c>
      <x:c r="D93" s="301" t="str">
        <x:v>Core platform / presentation-core lane</x:v>
      </x:c>
      <x:c r="E93" s="301" t="n">
        <x:v>12</x:v>
      </x:c>
      <x:c r="F93" s="301" t="str">
        <x:v>T-089; T-090; T-210; T-231</x:v>
      </x:c>
      <x:c r="G93" s="301"/>
      <x:c r="H93" s="301" t="str">
        <x:v>WAIT for Presentation RC freeze/tag + clean index/worktree. Then: T-089 + T-090 canonical definition authority.</x:v>
      </x:c>
    </x:row>
    <x:row r="94">
      <x:c r="A94" s="301" t="str">
        <x:v>T-093</x:v>
      </x:c>
      <x:c r="B94" s="301" t="str">
        <x:v>M2a-P1</x:v>
      </x:c>
      <x:c r="C94" s="301" t="str">
        <x:v>Not Started</x:v>
      </x:c>
      <x:c r="D94" s="301" t="str">
        <x:v>Core platform / presentation-core lane</x:v>
      </x:c>
      <x:c r="E94" s="301" t="n">
        <x:v>6</x:v>
      </x:c>
      <x:c r="F94" s="301" t="str">
        <x:v>T-092; T-206</x:v>
      </x:c>
      <x:c r="G94" s="301"/>
      <x:c r="H94" s="301" t="str">
        <x:v>WAIT for Presentation RC freeze/tag + clean index/worktree. Then: T-092 registry/definition authority available; architecture term list is comm...</x:v>
      </x:c>
    </x:row>
    <x:row r="95">
      <x:c r="A95" s="301" t="str">
        <x:v>T-094</x:v>
      </x:c>
      <x:c r="B95" s="301" t="str">
        <x:v>M2a-P1</x:v>
      </x:c>
      <x:c r="C95" s="301" t="str">
        <x:v>Not Started</x:v>
      </x:c>
      <x:c r="D95" s="301" t="str">
        <x:v>Core platform / presentation-core lane</x:v>
      </x:c>
      <x:c r="E95" s="301" t="n">
        <x:v>8</x:v>
      </x:c>
      <x:c r="F95" s="301" t="str">
        <x:v>T-092; T-093; T-209</x:v>
      </x:c>
      <x:c r="G95" s="301"/>
      <x:c r="H95" s="301" t="str">
        <x:v>WAIT for Presentation RC freeze/tag + clean index/worktree. Then: T-092 + T-093; canonical multi-grain vocabulary authority available.</x:v>
      </x:c>
    </x:row>
    <x:row r="96">
      <x:c r="A96" s="301" t="str">
        <x:v>T-095</x:v>
      </x:c>
      <x:c r="B96" s="301" t="str">
        <x:v>M2a-P2</x:v>
      </x:c>
      <x:c r="C96" s="301" t="str">
        <x:v>Not Started</x:v>
      </x:c>
      <x:c r="D96" s="301" t="str">
        <x:v>Core platform / presentation-core lane</x:v>
      </x:c>
      <x:c r="E96" s="301" t="n">
        <x:v>12</x:v>
      </x:c>
      <x:c r="F96" s="301" t="str">
        <x:v>T-057; T-089; T-090; T-094</x:v>
      </x:c>
      <x:c r="G96" s="301"/>
      <x:c r="H96" s="301" t="str">
        <x:v>WAIT for Presentation RC freeze/tag + clean index/worktree. Then: T-057 M1 relationship contract + T-089 + T-090 + T-094.</x:v>
      </x:c>
    </x:row>
    <x:row r="97">
      <x:c r="A97" s="301" t="str">
        <x:v>T-096</x:v>
      </x:c>
      <x:c r="B97" s="301" t="str">
        <x:v>M2a-P2</x:v>
      </x:c>
      <x:c r="C97" s="301" t="str">
        <x:v>Not Started</x:v>
      </x:c>
      <x:c r="D97" s="301" t="str">
        <x:v>Core platform / presentation-core lane</x:v>
      </x:c>
      <x:c r="E97" s="301" t="n">
        <x:v>8</x:v>
      </x:c>
      <x:c r="F97" s="301" t="str">
        <x:v>T-095</x:v>
      </x:c>
      <x:c r="G97" s="301"/>
      <x:c r="H97" s="301" t="str">
        <x:v>WAIT for Presentation RC freeze/tag + clean index/worktree. Then: T-095 canonical relationship publication/model complete.</x:v>
      </x:c>
    </x:row>
    <x:row r="98">
      <x:c r="A98" s="301" t="str">
        <x:v>T-097</x:v>
      </x:c>
      <x:c r="B98" s="301" t="str">
        <x:v>M2a-P2</x:v>
      </x:c>
      <x:c r="C98" s="301" t="str">
        <x:v>Not Started</x:v>
      </x:c>
      <x:c r="D98" s="301" t="str">
        <x:v>Core platform / presentation-core lane</x:v>
      </x:c>
      <x:c r="E98" s="301" t="n">
        <x:v>6</x:v>
      </x:c>
      <x:c r="F98" s="301" t="str">
        <x:v>T-096</x:v>
      </x:c>
      <x:c r="G98" s="301"/>
      <x:c r="H98" s="301" t="str">
        <x:v>WAIT for Presentation RC freeze/tag + clean index/worktree. Then: T-096 first resolver consumers green.</x:v>
      </x:c>
    </x:row>
    <x:row r="99">
      <x:c r="A99" s="301" t="str">
        <x:v>T-098</x:v>
      </x:c>
      <x:c r="B99" s="301" t="str">
        <x:v>M2a-P2</x:v>
      </x:c>
      <x:c r="C99" s="301" t="str">
        <x:v>Not Started</x:v>
      </x:c>
      <x:c r="D99" s="301" t="str">
        <x:v>Core platform / presentation-core lane</x:v>
      </x:c>
      <x:c r="E99" s="301" t="n">
        <x:v>12</x:v>
      </x:c>
      <x:c r="F99" s="301" t="str">
        <x:v>T-060; T-095; T-096; T-097</x:v>
      </x:c>
      <x:c r="G99" s="301"/>
      <x:c r="H99" s="301" t="str">
        <x:v>WAIT for Presentation RC freeze/tag + clean index/worktree. Then: T-060 M1 C6 surface + T-095 + T-096 + T-097.</x:v>
      </x:c>
    </x:row>
    <x:row r="100">
      <x:c r="A100" s="301" t="str">
        <x:v>T-099</x:v>
      </x:c>
      <x:c r="B100" s="301" t="str">
        <x:v>M2a-P2</x:v>
      </x:c>
      <x:c r="C100" s="301" t="str">
        <x:v>Not Started</x:v>
      </x:c>
      <x:c r="D100" s="301" t="str">
        <x:v>Core platform / presentation-core lane</x:v>
      </x:c>
      <x:c r="E100" s="301" t="n">
        <x:v>8</x:v>
      </x:c>
      <x:c r="F100" s="301" t="str">
        <x:v>T-087; T-089; T-090</x:v>
      </x:c>
      <x:c r="G100" s="301"/>
      <x:c r="H100" s="301" t="str">
        <x:v>WAIT for Presentation RC freeze/tag + clean index/worktree. Then: T-087 canonical staging schema + T-089/T-090 definition_versions authority.</x:v>
      </x:c>
    </x:row>
    <x:row r="101">
      <x:c r="A101" s="301" t="str">
        <x:v>T-100</x:v>
      </x:c>
      <x:c r="B101" s="301" t="str">
        <x:v>M2a-P2</x:v>
      </x:c>
      <x:c r="C101" s="301" t="str">
        <x:v>Not Started</x:v>
      </x:c>
      <x:c r="D101" s="301" t="str">
        <x:v>Core platform / presentation-core lane</x:v>
      </x:c>
      <x:c r="E101" s="301" t="n">
        <x:v>6</x:v>
      </x:c>
      <x:c r="F101" s="301" t="str">
        <x:v>T-099</x:v>
      </x:c>
      <x:c r="G101" s="301"/>
      <x:c r="H101" s="301" t="str">
        <x:v>WAIT for Presentation RC freeze/tag + clean index/worktree. Then: T-099 canonical quarantine table/API and first eight PV classes.</x:v>
      </x:c>
    </x:row>
    <x:row r="102">
      <x:c r="A102" s="301" t="str">
        <x:v>T-101</x:v>
      </x:c>
      <x:c r="B102" s="301" t="str">
        <x:v>M2a-P2</x:v>
      </x:c>
      <x:c r="C102" s="301" t="str">
        <x:v>Not Started</x:v>
      </x:c>
      <x:c r="D102" s="301" t="str">
        <x:v>Core platform / presentation-core lane</x:v>
      </x:c>
      <x:c r="E102" s="301" t="n">
        <x:v>12</x:v>
      </x:c>
      <x:c r="F102" s="301" t="str">
        <x:v>T-061; T-099; T-100</x:v>
      </x:c>
      <x:c r="G102" s="301"/>
      <x:c r="H102" s="301" t="str">
        <x:v>WAIT for Presentation RC freeze/tag + clean index/worktree. Then: T-061 final M1 API/page contract + T-099 + T-100 canonical quarantine impleme...</x:v>
      </x:c>
    </x:row>
    <x:row r="103">
      <x:c r="A103" s="301" t="str">
        <x:v>T-102</x:v>
      </x:c>
      <x:c r="B103" s="301" t="str">
        <x:v>M2a-P2</x:v>
      </x:c>
      <x:c r="C103" s="301" t="str">
        <x:v>Not Started</x:v>
      </x:c>
      <x:c r="D103" s="301" t="str">
        <x:v>Core platform / presentation-core lane</x:v>
      </x:c>
      <x:c r="E103" s="301" t="n">
        <x:v>8</x:v>
      </x:c>
      <x:c r="F103" s="301" t="str">
        <x:v>T-087; T-095</x:v>
      </x:c>
      <x:c r="G103" s="301"/>
      <x:c r="H103" s="301" t="str">
        <x:v>WAIT for Presentation RC freeze/tag + clean index/worktree. Then: T-087 canonical plant schema + T-095 relationship/material identity authority.</x:v>
      </x:c>
    </x:row>
    <x:row r="104">
      <x:c r="A104" s="301" t="str">
        <x:v>T-103</x:v>
      </x:c>
      <x:c r="B104" s="301" t="str">
        <x:v>M2a-P2</x:v>
      </x:c>
      <x:c r="C104" s="301" t="str">
        <x:v>Not Started</x:v>
      </x:c>
      <x:c r="D104" s="301" t="str">
        <x:v>Core platform / presentation-core lane</x:v>
      </x:c>
      <x:c r="E104" s="301" t="n">
        <x:v>6</x:v>
      </x:c>
      <x:c r="F104" s="301" t="str">
        <x:v>T-095; T-102</x:v>
      </x:c>
      <x:c r="G104" s="301"/>
      <x:c r="H104" s="301" t="str">
        <x:v>WAIT for Presentation RC freeze/tag + clean index/worktree. Then: T-095 + T-102 canonical relationship/identity authority.</x:v>
      </x:c>
    </x:row>
    <x:row r="105">
      <x:c r="A105" s="301" t="str">
        <x:v>T-104</x:v>
      </x:c>
      <x:c r="B105" s="301" t="str">
        <x:v>M2a-P2</x:v>
      </x:c>
      <x:c r="C105" s="301" t="str">
        <x:v>Not Started</x:v>
      </x:c>
      <x:c r="D105" s="301" t="str">
        <x:v>Core platform / presentation-core lane</x:v>
      </x:c>
      <x:c r="E105" s="301" t="n">
        <x:v>8</x:v>
      </x:c>
      <x:c r="F105" s="301" t="str">
        <x:v>T-090; T-095; T-099</x:v>
      </x:c>
      <x:c r="G105" s="301"/>
      <x:c r="H105" s="301" t="str">
        <x:v>WAIT for Presentation RC freeze/tag + clean index/worktree. Then: T-090 canonical versioned mapping definitions + T-095 relationship authority ...</x:v>
      </x:c>
    </x:row>
    <x:row r="106">
      <x:c r="A106" s="301" t="str">
        <x:v>T-105</x:v>
      </x:c>
      <x:c r="B106" s="301" t="str">
        <x:v>M2a-P2</x:v>
      </x:c>
      <x:c r="C106" s="301" t="str">
        <x:v>Not Started</x:v>
      </x:c>
      <x:c r="D106" s="301" t="str">
        <x:v>Core platform / presentation-core lane</x:v>
      </x:c>
      <x:c r="E106" s="301" t="n">
        <x:v>6</x:v>
      </x:c>
      <x:c r="F106" s="301" t="str">
        <x:v>T-104</x:v>
      </x:c>
      <x:c r="G106" s="301"/>
      <x:c r="H106" s="301" t="str">
        <x:v>WAIT for Presentation RC freeze/tag + clean index/worktree. Then: T-104 version-stamped projection complete.</x:v>
      </x:c>
    </x:row>
    <x:row r="107">
      <x:c r="A107" s="301" t="str">
        <x:v>T-106</x:v>
      </x:c>
      <x:c r="B107" s="301" t="str">
        <x:v>M2a-P3</x:v>
      </x:c>
      <x:c r="C107" s="301" t="str">
        <x:v>Not Started</x:v>
      </x:c>
      <x:c r="D107" s="301" t="str">
        <x:v>Core platform / presentation-core lane</x:v>
      </x:c>
      <x:c r="E107" s="301" t="n">
        <x:v>12</x:v>
      </x:c>
      <x:c r="F107" s="301" t="str">
        <x:v>T-064; T-089; T-090</x:v>
      </x:c>
      <x:c r="G107" s="301"/>
      <x:c r="H107" s="301" t="str">
        <x:v>WAIT for Presentation RC freeze/tag + clean index/worktree. Then: T-064 functional contract + T-089 + T-090 canonical definition authority.</x:v>
      </x:c>
    </x:row>
    <x:row r="108">
      <x:c r="A108" s="301" t="str">
        <x:v>T-107</x:v>
      </x:c>
      <x:c r="B108" s="301" t="str">
        <x:v>M2a-P3</x:v>
      </x:c>
      <x:c r="C108" s="301" t="str">
        <x:v>Not Started</x:v>
      </x:c>
      <x:c r="D108" s="301" t="str">
        <x:v>Shared: Core Platform + Worker 3</x:v>
      </x:c>
      <x:c r="E108" s="301" t="n">
        <x:v>12</x:v>
      </x:c>
      <x:c r="F108" s="301" t="str">
        <x:v>T-095; T-096; T-097; T-098; T-099; T-100; T-101; T-102; T-103; T-104; T-105; T-106</x:v>
      </x:c>
      <x:c r="G108" s="301"/>
      <x:c r="H108" s="301" t="str">
        <x:v>WAIT for Presentation RC freeze/tag + clean index/worktree. Then: T-106 canonical job contract + T-095..T-105 canonical data/relationship path;...</x:v>
      </x:c>
    </x:row>
    <x:row r="109">
      <x:c r="A109" s="301" t="str">
        <x:v>T-108</x:v>
      </x:c>
      <x:c r="B109" s="301" t="str">
        <x:v>M2a-P3</x:v>
      </x:c>
      <x:c r="C109" s="301" t="str">
        <x:v>Not Started</x:v>
      </x:c>
      <x:c r="D109" s="301" t="str">
        <x:v>Core platform / presentation-core lane</x:v>
      </x:c>
      <x:c r="E109" s="301" t="n">
        <x:v>8</x:v>
      </x:c>
      <x:c r="F109" s="301"/>
      <x:c r="G109" s="301"/>
      <x:c r="H109" s="301" t="str">
        <x:v>WAIT for Presentation RC freeze/tag + clean index/worktree. Then: M2a dependency order</x:v>
      </x:c>
    </x:row>
    <x:row r="110">
      <x:c r="A110" s="301" t="str">
        <x:v>T-109</x:v>
      </x:c>
      <x:c r="B110" s="301" t="str">
        <x:v>M2a-P3</x:v>
      </x:c>
      <x:c r="C110" s="301" t="str">
        <x:v>Not Started</x:v>
      </x:c>
      <x:c r="D110" s="301" t="str">
        <x:v>Worker 3</x:v>
      </x:c>
      <x:c r="E110" s="301" t="n">
        <x:v>6</x:v>
      </x:c>
      <x:c r="F110" s="301" t="str">
        <x:v>T-095; T-096; T-097; T-098; T-099; T-100; T-101; T-102; T-103; T-104; T-105; T-108</x:v>
      </x:c>
      <x:c r="G110" s="301"/>
      <x:c r="H110" s="301" t="str">
        <x:v>WAIT for Presentation RC freeze/tag + clean index/worktree. Then: T-095..T-105; T-108</x:v>
      </x:c>
    </x:row>
    <x:row r="111">
      <x:c r="A111" s="301" t="str">
        <x:v>T-110</x:v>
      </x:c>
      <x:c r="B111" s="301" t="str">
        <x:v>M2a-P3</x:v>
      </x:c>
      <x:c r="C111" s="301" t="str">
        <x:v>Not Started</x:v>
      </x:c>
      <x:c r="D111" s="301" t="str">
        <x:v>Core platform / presentation-core lane</x:v>
      </x:c>
      <x:c r="E111" s="301" t="n">
        <x:v>12</x:v>
      </x:c>
      <x:c r="F111" s="301"/>
      <x:c r="G111" s="301"/>
      <x:c r="H111" s="301" t="str">
        <x:v>WAIT for Presentation RC freeze/tag + clean index/worktree. Then: M2a dependency order</x:v>
      </x:c>
    </x:row>
    <x:row r="112">
      <x:c r="A112" s="301" t="str">
        <x:v>T-111</x:v>
      </x:c>
      <x:c r="B112" s="301" t="str">
        <x:v>M2a-P3</x:v>
      </x:c>
      <x:c r="C112" s="301" t="str">
        <x:v>Not Started</x:v>
      </x:c>
      <x:c r="D112" s="301" t="str">
        <x:v>Core platform / presentation-core lane</x:v>
      </x:c>
      <x:c r="E112" s="301" t="n">
        <x:v>12</x:v>
      </x:c>
      <x:c r="F112" s="301"/>
      <x:c r="G112" s="301"/>
      <x:c r="H112" s="301" t="str">
        <x:v>WAIT for Presentation RC freeze/tag + clean index/worktree. Then: M2a dependency order</x:v>
      </x:c>
    </x:row>
    <x:row r="113">
      <x:c r="A113" s="301" t="str">
        <x:v>T-112</x:v>
      </x:c>
      <x:c r="B113" s="301" t="str">
        <x:v>M2a-P3</x:v>
      </x:c>
      <x:c r="C113" s="301" t="str">
        <x:v>Not Started</x:v>
      </x:c>
      <x:c r="D113" s="301" t="str">
        <x:v>Core platform / presentation-core lane</x:v>
      </x:c>
      <x:c r="E113" s="301" t="n">
        <x:v>12</x:v>
      </x:c>
      <x:c r="F113" s="301" t="str">
        <x:v>T-087; T-088</x:v>
      </x:c>
      <x:c r="G113" s="301" t="str">
        <x:v>T-128; T-129; T-130; T-135; T-139; T-221; T-230</x:v>
      </x:c>
      <x:c r="H113" s="301" t="str">
        <x:v>WAIT for Presentation RC freeze/tag + clean index/worktree. Then: T-087/T-088 canonical migration authority available; establish FORCE RLS guar...</x:v>
      </x:c>
    </x:row>
    <x:row r="114">
      <x:c r="A114" s="301" t="str">
        <x:v>T-113</x:v>
      </x:c>
      <x:c r="B114" s="301" t="str">
        <x:v>M2a-P3</x:v>
      </x:c>
      <x:c r="C114" s="301" t="str">
        <x:v>Not Started</x:v>
      </x:c>
      <x:c r="D114" s="301" t="str">
        <x:v>Core platform / presentation-core lane</x:v>
      </x:c>
      <x:c r="E114" s="301" t="n">
        <x:v>8</x:v>
      </x:c>
      <x:c r="F114" s="301"/>
      <x:c r="G114" s="301"/>
      <x:c r="H114" s="301" t="str">
        <x:v>WAIT for Presentation RC freeze/tag + clean index/worktree. Then: M2a dependency order</x:v>
      </x:c>
    </x:row>
    <x:row r="115">
      <x:c r="A115" s="301" t="str">
        <x:v>T-114</x:v>
      </x:c>
      <x:c r="B115" s="301" t="str">
        <x:v>M2a-P3</x:v>
      </x:c>
      <x:c r="C115" s="301" t="str">
        <x:v>Not Started</x:v>
      </x:c>
      <x:c r="D115" s="301" t="str">
        <x:v>Core platform / presentation-core lane</x:v>
      </x:c>
      <x:c r="E115" s="301" t="n">
        <x:v>6</x:v>
      </x:c>
      <x:c r="F115" s="301" t="str">
        <x:v>T-087; T-089; T-090; T-095; T-099</x:v>
      </x:c>
      <x:c r="G115" s="301" t="str">
        <x:v>T-128; T-129; T-130; T-135; T-139; T-221; T-230</x:v>
      </x:c>
      <x:c r="H115" s="301" t="str">
        <x:v>WAIT for Presentation RC freeze/tag + clean index/worktree. Then: T-087 + T-089/T-090 + T-095/T-099 canonical M2a tables available; establish t...</x:v>
      </x:c>
    </x:row>
    <x:row r="116">
      <x:c r="A116" s="301" t="str">
        <x:v>T-115</x:v>
      </x:c>
      <x:c r="B116" s="301" t="str">
        <x:v>M2a-P3</x:v>
      </x:c>
      <x:c r="C116" s="301" t="str">
        <x:v>Not Started</x:v>
      </x:c>
      <x:c r="D116" s="301" t="str">
        <x:v>Core platform / presentation-core lane</x:v>
      </x:c>
      <x:c r="E116" s="301" t="n">
        <x:v>4</x:v>
      </x:c>
      <x:c r="F116" s="301"/>
      <x:c r="G116" s="301"/>
      <x:c r="H116" s="301" t="str">
        <x:v>WAIT for Presentation RC freeze/tag + clean index/worktree. Then: M2a dependency order</x:v>
      </x:c>
    </x:row>
    <x:row r="117">
      <x:c r="A117" s="301" t="str">
        <x:v>T-116</x:v>
      </x:c>
      <x:c r="B117" s="301" t="str">
        <x:v>M2a-P3</x:v>
      </x:c>
      <x:c r="C117" s="301" t="str">
        <x:v>Not Started</x:v>
      </x:c>
      <x:c r="D117" s="301" t="str">
        <x:v>Core platform / presentation-core lane</x:v>
      </x:c>
      <x:c r="E117" s="301" t="n">
        <x:v>8</x:v>
      </x:c>
      <x:c r="F117" s="301"/>
      <x:c r="G117" s="301"/>
      <x:c r="H117" s="301" t="str">
        <x:v>WAIT for Presentation RC freeze/tag + clean index/worktree. Then: M2a dependency order</x:v>
      </x:c>
    </x:row>
    <x:row r="118">
      <x:c r="A118" s="301" t="str">
        <x:v>T-117</x:v>
      </x:c>
      <x:c r="B118" s="301" t="str">
        <x:v>M2a-P3</x:v>
      </x:c>
      <x:c r="C118" s="301" t="str">
        <x:v>Not Started</x:v>
      </x:c>
      <x:c r="D118" s="301" t="str">
        <x:v>Core platform / presentation-core lane</x:v>
      </x:c>
      <x:c r="E118" s="301" t="n">
        <x:v>6</x:v>
      </x:c>
      <x:c r="F118" s="301"/>
      <x:c r="G118" s="301"/>
      <x:c r="H118" s="301" t="str">
        <x:v>WAIT for Presentation RC freeze/tag + clean index/worktree. Then: M2a dependency order</x:v>
      </x:c>
    </x:row>
    <x:row r="119">
      <x:c r="A119" s="301" t="str">
        <x:v>T-118</x:v>
      </x:c>
      <x:c r="B119" s="301" t="str">
        <x:v>M2a-P4</x:v>
      </x:c>
      <x:c r="C119" s="301" t="str">
        <x:v>Not Started</x:v>
      </x:c>
      <x:c r="D119" s="301" t="str">
        <x:v>Core platform / presentation-core lane</x:v>
      </x:c>
      <x:c r="E119" s="301" t="n">
        <x:v>12</x:v>
      </x:c>
      <x:c r="F119" s="301"/>
      <x:c r="G119" s="301"/>
      <x:c r="H119" s="301" t="str">
        <x:v>WAIT for Presentation RC freeze/tag + clean index/worktree. Then: M2a dependency order</x:v>
      </x:c>
    </x:row>
    <x:row r="120">
      <x:c r="A120" s="301" t="str">
        <x:v>T-119</x:v>
      </x:c>
      <x:c r="B120" s="301" t="str">
        <x:v>M2a-P4</x:v>
      </x:c>
      <x:c r="C120" s="301" t="str">
        <x:v>Not Started</x:v>
      </x:c>
      <x:c r="D120" s="301" t="str">
        <x:v>Core platform / presentation-core lane</x:v>
      </x:c>
      <x:c r="E120" s="301" t="n">
        <x:v>12</x:v>
      </x:c>
      <x:c r="F120" s="301"/>
      <x:c r="G120" s="301"/>
      <x:c r="H120" s="301" t="str">
        <x:v>WAIT for Presentation RC freeze/tag + clean index/worktree. Then: M2a dependency order</x:v>
      </x:c>
    </x:row>
    <x:row r="121">
      <x:c r="A121" s="301" t="str">
        <x:v>T-120</x:v>
      </x:c>
      <x:c r="B121" s="301" t="str">
        <x:v>M2a-P4</x:v>
      </x:c>
      <x:c r="C121" s="301" t="str">
        <x:v>Not Started</x:v>
      </x:c>
      <x:c r="D121" s="301" t="str">
        <x:v>Core platform / presentation-core lane</x:v>
      </x:c>
      <x:c r="E121" s="301" t="n">
        <x:v>12</x:v>
      </x:c>
      <x:c r="F121" s="301"/>
      <x:c r="G121" s="301"/>
      <x:c r="H121" s="301" t="str">
        <x:v>WAIT for Presentation RC freeze/tag + clean index/worktree. Then: M2a dependency order</x:v>
      </x:c>
    </x:row>
    <x:row r="122">
      <x:c r="A122" s="301" t="str">
        <x:v>T-121</x:v>
      </x:c>
      <x:c r="B122" s="301" t="str">
        <x:v>M2a-P4</x:v>
      </x:c>
      <x:c r="C122" s="301" t="str">
        <x:v>Not Started</x:v>
      </x:c>
      <x:c r="D122" s="301" t="str">
        <x:v>Core platform / presentation-core lane</x:v>
      </x:c>
      <x:c r="E122" s="301" t="n">
        <x:v>12</x:v>
      </x:c>
      <x:c r="F122" s="301" t="str">
        <x:v>T-119</x:v>
      </x:c>
      <x:c r="G122" s="301"/>
      <x:c r="H122" s="301" t="str">
        <x:v>WAIT for Presentation RC freeze/tag + clean index/worktree. Then: T-119 role catalogue/enforcement + licence authority.</x:v>
      </x:c>
    </x:row>
    <x:row r="123">
      <x:c r="A123" s="301" t="str">
        <x:v>T-122</x:v>
      </x:c>
      <x:c r="B123" s="301" t="str">
        <x:v>M2a-P4</x:v>
      </x:c>
      <x:c r="C123" s="301" t="str">
        <x:v>Not Started</x:v>
      </x:c>
      <x:c r="D123" s="301" t="str">
        <x:v>Shared: Infrastructure + Worker 3</x:v>
      </x:c>
      <x:c r="E123" s="301" t="n">
        <x:v>12</x:v>
      </x:c>
      <x:c r="F123" s="301" t="str">
        <x:v>T-106; T-107; T-112; T-113; T-114; T-117; T-137; T-168</x:v>
      </x:c>
      <x:c r="G123" s="301"/>
      <x:c r="H123" s="301" t="str">
        <x:v>WAIT for Presentation RC freeze/tag + clean index/worktree. Then: T-106 + T-107 + T-112 + T-113 + T-114 + T-117; T-137/T-168 runtime contracts ...</x:v>
      </x:c>
    </x:row>
    <x:row r="124">
      <x:c r="A124" s="301" t="str">
        <x:v>T-123</x:v>
      </x:c>
      <x:c r="B124" s="301" t="str">
        <x:v>M2a-P4</x:v>
      </x:c>
      <x:c r="C124" s="301" t="str">
        <x:v>Not Started</x:v>
      </x:c>
      <x:c r="D124" s="301" t="str">
        <x:v>Core platform / presentation-core lane</x:v>
      </x:c>
      <x:c r="E124" s="301" t="n">
        <x:v>12</x:v>
      </x:c>
      <x:c r="F124" s="301"/>
      <x:c r="G124" s="301"/>
      <x:c r="H124" s="301" t="str">
        <x:v>WAIT for Presentation RC freeze/tag + clean index/worktree. Then: M2a dependency order</x:v>
      </x:c>
    </x:row>
    <x:row r="125">
      <x:c r="A125" s="301" t="str">
        <x:v>T-124</x:v>
      </x:c>
      <x:c r="B125" s="301" t="str">
        <x:v>M2a-P4</x:v>
      </x:c>
      <x:c r="C125" s="301" t="str">
        <x:v>Not Started</x:v>
      </x:c>
      <x:c r="D125" s="301" t="str">
        <x:v>Core platform / presentation-core lane</x:v>
      </x:c>
      <x:c r="E125" s="301" t="n">
        <x:v>12</x:v>
      </x:c>
      <x:c r="F125" s="301"/>
      <x:c r="G125" s="301"/>
      <x:c r="H125" s="301" t="str">
        <x:v>WAIT for Presentation RC freeze/tag + clean index/worktree. Then: M2a dependency order</x:v>
      </x:c>
    </x:row>
    <x:row r="126">
      <x:c r="A126" s="301" t="str">
        <x:v>T-125</x:v>
      </x:c>
      <x:c r="B126" s="301" t="str">
        <x:v>M2a-P4</x:v>
      </x:c>
      <x:c r="C126" s="301" t="str">
        <x:v>Not Started</x:v>
      </x:c>
      <x:c r="D126" s="301" t="str">
        <x:v>Core platform / presentation-core lane</x:v>
      </x:c>
      <x:c r="E126" s="301" t="n">
        <x:v>12</x:v>
      </x:c>
      <x:c r="F126" s="301"/>
      <x:c r="G126" s="301"/>
      <x:c r="H126" s="301" t="str">
        <x:v>WAIT for Presentation RC freeze/tag + clean index/worktree. Then: M2a dependency order</x:v>
      </x:c>
    </x:row>
    <x:row r="127">
      <x:c r="A127" s="301" t="str">
        <x:v>T-126</x:v>
      </x:c>
      <x:c r="B127" s="301" t="str">
        <x:v>M2a-P4</x:v>
      </x:c>
      <x:c r="C127" s="301" t="str">
        <x:v>Not Started</x:v>
      </x:c>
      <x:c r="D127" s="301" t="str">
        <x:v>Core platform / presentation-core lane</x:v>
      </x:c>
      <x:c r="E127" s="301" t="n">
        <x:v>12</x:v>
      </x:c>
      <x:c r="F127" s="301"/>
      <x:c r="G127" s="301"/>
      <x:c r="H127" s="301" t="str">
        <x:v>WAIT for Presentation RC freeze/tag + clean index/worktree. Then: M2a dependency order</x:v>
      </x:c>
    </x:row>
    <x:row r="128">
      <x:c r="A128" s="301" t="str">
        <x:v>T-127</x:v>
      </x:c>
      <x:c r="B128" s="301" t="str">
        <x:v>M2a-P4</x:v>
      </x:c>
      <x:c r="C128" s="301" t="str">
        <x:v>Not Started</x:v>
      </x:c>
      <x:c r="D128" s="301" t="str">
        <x:v>Core platform / presentation-core lane</x:v>
      </x:c>
      <x:c r="E128" s="301" t="n">
        <x:v>12</x:v>
      </x:c>
      <x:c r="F128" s="301" t="str">
        <x:v>T-196; T-197; T-198; T-199; T-200; T-121; T-194</x:v>
      </x:c>
      <x:c r="G128" s="301"/>
      <x:c r="H128" s="301" t="str">
        <x:v>WAIT for Presentation RC freeze/tag + clean index/worktree. Then: All M2a canonical-core/user-visible owners complete, including T-196/T-197/T-...</x:v>
      </x:c>
    </x:row>
    <x:row r="129">
      <x:c r="A129" s="301" t="str">
        <x:v>T-128</x:v>
      </x:c>
      <x:c r="B129" s="301" t="str">
        <x:v>M2b-P1</x:v>
      </x:c>
      <x:c r="C129" s="301" t="str">
        <x:v>Not Started</x:v>
      </x:c>
      <x:c r="D129" s="301" t="str">
        <x:v>Worker 3</x:v>
      </x:c>
      <x:c r="E129" s="301" t="n">
        <x:v>10</x:v>
      </x:c>
      <x:c r="F129" s="301" t="str">
        <x:v>T-087; T-088; T-089; T-090; T-091; T-092; T-093; T-094; T-095; T-096; T-097; T-098; T-099; T-100; T-101; T-102; T-103; T-104; T-105; T-112; T-114; T-231; T-210</x:v>
      </x:c>
      <x:c r="G129" s="301"/>
      <x:c r="H129" s="301" t="str">
        <x:v>T-087..T-105 + T-112 + T-114 security/tenant hand-off. Outcome semantics from...</x:v>
      </x:c>
    </x:row>
    <x:row r="130">
      <x:c r="A130" s="301" t="str">
        <x:v>T-129</x:v>
      </x:c>
      <x:c r="B130" s="301" t="str">
        <x:v>M2b-P1</x:v>
      </x:c>
      <x:c r="C130" s="301" t="str">
        <x:v>Not Started</x:v>
      </x:c>
      <x:c r="D130" s="301" t="str">
        <x:v>Worker 3</x:v>
      </x:c>
      <x:c r="E130" s="301" t="n">
        <x:v>12</x:v>
      </x:c>
      <x:c r="F130" s="301" t="str">
        <x:v>T-128; T-183; T-112; T-114</x:v>
      </x:c>
      <x:c r="G130" s="301"/>
      <x:c r="H130" s="301" t="str">
        <x:v>T-128 + T-183 + T-112 + T-114.</x:v>
      </x:c>
    </x:row>
    <x:row r="131">
      <x:c r="A131" s="301" t="str">
        <x:v>T-130</x:v>
      </x:c>
      <x:c r="B131" s="301" t="str">
        <x:v>M2b-P1</x:v>
      </x:c>
      <x:c r="C131" s="301" t="str">
        <x:v>Not Started</x:v>
      </x:c>
      <x:c r="D131" s="301" t="str">
        <x:v>Worker 3</x:v>
      </x:c>
      <x:c r="E131" s="301" t="n">
        <x:v>12</x:v>
      </x:c>
      <x:c r="F131" s="301" t="str">
        <x:v>T-128; T-183; T-112; T-114</x:v>
      </x:c>
      <x:c r="G131" s="301"/>
      <x:c r="H131" s="301" t="str">
        <x:v>T-128 + T-183 + T-112 + T-114.</x:v>
      </x:c>
    </x:row>
    <x:row r="132">
      <x:c r="A132" s="301" t="str">
        <x:v>T-131</x:v>
      </x:c>
      <x:c r="B132" s="301" t="str">
        <x:v>M2b-P1</x:v>
      </x:c>
      <x:c r="C132" s="301" t="str">
        <x:v>Not Started</x:v>
      </x:c>
      <x:c r="D132" s="301" t="str">
        <x:v>Worker 3</x:v>
      </x:c>
      <x:c r="E132" s="301" t="n">
        <x:v>12</x:v>
      </x:c>
      <x:c r="F132" s="301" t="str">
        <x:v>T-086; T-128; T-171</x:v>
      </x:c>
      <x:c r="G132" s="301"/>
      <x:c r="H132" s="301" t="str">
        <x:v>T-086 + T-128 + T-171</x:v>
      </x:c>
    </x:row>
    <x:row r="133">
      <x:c r="A133" s="301" t="str">
        <x:v>T-132</x:v>
      </x:c>
      <x:c r="B133" s="301" t="str">
        <x:v>M2b-P1</x:v>
      </x:c>
      <x:c r="C133" s="301" t="str">
        <x:v>Not Started</x:v>
      </x:c>
      <x:c r="D133" s="301" t="str">
        <x:v>Worker 3</x:v>
      </x:c>
      <x:c r="E133" s="301" t="n">
        <x:v>12</x:v>
      </x:c>
      <x:c r="F133" s="301" t="str">
        <x:v>T-131</x:v>
      </x:c>
      <x:c r="G133" s="301"/>
      <x:c r="H133" s="301" t="str">
        <x:v>T-131</x:v>
      </x:c>
    </x:row>
    <x:row r="134">
      <x:c r="A134" s="301" t="str">
        <x:v>T-133</x:v>
      </x:c>
      <x:c r="B134" s="301" t="str">
        <x:v>M2b-P2</x:v>
      </x:c>
      <x:c r="C134" s="301" t="str">
        <x:v>Not Started</x:v>
      </x:c>
      <x:c r="D134" s="301" t="str">
        <x:v>Worker 3</x:v>
      </x:c>
      <x:c r="E134" s="301" t="n">
        <x:v>12</x:v>
      </x:c>
      <x:c r="F134" s="301" t="str">
        <x:v>T-131; T-132; T-183</x:v>
      </x:c>
      <x:c r="G134" s="301"/>
      <x:c r="H134" s="301" t="str">
        <x:v>T-131 + T-132 + T-183</x:v>
      </x:c>
    </x:row>
    <x:row r="135">
      <x:c r="A135" s="301" t="str">
        <x:v>T-134</x:v>
      </x:c>
      <x:c r="B135" s="301" t="str">
        <x:v>M2b-P2</x:v>
      </x:c>
      <x:c r="C135" s="301" t="str">
        <x:v>Not Started</x:v>
      </x:c>
      <x:c r="D135" s="301" t="str">
        <x:v>Worker 3</x:v>
      </x:c>
      <x:c r="E135" s="301" t="n">
        <x:v>12</x:v>
      </x:c>
      <x:c r="F135" s="301" t="str">
        <x:v>T-090; T-095; T-096; T-129; T-130; T-133; T-186; T-139</x:v>
      </x:c>
      <x:c r="G135" s="301"/>
      <x:c r="H135" s="301" t="str">
        <x:v>T-090 definition authority + T-095/T-096 relationship resolver + available ca...</x:v>
      </x:c>
    </x:row>
    <x:row r="136">
      <x:c r="A136" s="301" t="str">
        <x:v>T-135</x:v>
      </x:c>
      <x:c r="B136" s="301" t="str">
        <x:v>M2b-P1</x:v>
      </x:c>
      <x:c r="C136" s="301" t="str">
        <x:v>Not Started</x:v>
      </x:c>
      <x:c r="D136" s="301" t="str">
        <x:v>Worker 3</x:v>
      </x:c>
      <x:c r="E136" s="301" t="n">
        <x:v>10</x:v>
      </x:c>
      <x:c r="F136" s="301" t="str">
        <x:v>T-112; T-114; T-128; T-129; T-130; T-183</x:v>
      </x:c>
      <x:c r="G136" s="301"/>
      <x:c r="H136" s="301" t="str">
        <x:v>T-112 + T-114 + current M2b persistence tables (including T-128/T-129/T-130/T...</x:v>
      </x:c>
    </x:row>
    <x:row r="137">
      <x:c r="A137" s="301" t="str">
        <x:v>T-136</x:v>
      </x:c>
      <x:c r="B137" s="301" t="str">
        <x:v>M2b-P2</x:v>
      </x:c>
      <x:c r="C137" s="301" t="str">
        <x:v>Not Started</x:v>
      </x:c>
      <x:c r="D137" s="301" t="str">
        <x:v>Worker 3</x:v>
      </x:c>
      <x:c r="E137" s="301" t="n">
        <x:v>10</x:v>
      </x:c>
      <x:c r="F137" s="301" t="str">
        <x:v>T-131; T-132; T-133; T-109</x:v>
      </x:c>
      <x:c r="G137" s="301"/>
      <x:c r="H137" s="301" t="str">
        <x:v>T-109 + T-131..T-133</x:v>
      </x:c>
    </x:row>
    <x:row r="138">
      <x:c r="A138" s="301" t="str">
        <x:v>T-137</x:v>
      </x:c>
      <x:c r="B138" s="301" t="str">
        <x:v>M2b-P0B</x:v>
      </x:c>
      <x:c r="C138" s="301" t="str">
        <x:v>Done</x:v>
      </x:c>
      <x:c r="D138" s="301" t="str">
        <x:v>Worker 3</x:v>
      </x:c>
      <x:c r="E138" s="301" t="n">
        <x:v>10</x:v>
      </x:c>
      <x:c r="F138" s="301"/>
      <x:c r="G138" s="301"/>
      <x:c r="H138" s="301" t="str">
        <x:v>Closed — do not reopen without contradictory regression evidence.</x:v>
      </x:c>
    </x:row>
    <x:row r="139">
      <x:c r="A139" s="301" t="str">
        <x:v>T-138</x:v>
      </x:c>
      <x:c r="B139" s="301" t="str">
        <x:v>M2b-P4</x:v>
      </x:c>
      <x:c r="C139" s="301" t="str">
        <x:v>Not Started</x:v>
      </x:c>
      <x:c r="D139" s="301" t="str">
        <x:v>Worker 3</x:v>
      </x:c>
      <x:c r="E139" s="301" t="n">
        <x:v>12</x:v>
      </x:c>
      <x:c r="F139" s="301" t="str">
        <x:v>T-179; T-180; T-181; T-137; T-134; T-188</x:v>
      </x:c>
      <x:c r="G139" s="301"/>
      <x:c r="H139" s="301" t="str">
        <x:v>T-137 + T-179..T-181 + T-134 + T-188</x:v>
      </x:c>
    </x:row>
    <x:row r="140">
      <x:c r="A140" s="301" t="str">
        <x:v>T-139</x:v>
      </x:c>
      <x:c r="B140" s="301" t="str">
        <x:v>M2b-P3</x:v>
      </x:c>
      <x:c r="C140" s="301" t="str">
        <x:v>Not Started</x:v>
      </x:c>
      <x:c r="D140" s="301" t="str">
        <x:v>Worker 3</x:v>
      </x:c>
      <x:c r="E140" s="301" t="n">
        <x:v>12</x:v>
      </x:c>
      <x:c r="F140" s="301" t="str">
        <x:v>T-130; T-187; T-231</x:v>
      </x:c>
      <x:c r="G140" s="301"/>
      <x:c r="H140" s="301" t="str">
        <x:v>T-130 + T-187</x:v>
      </x:c>
    </x:row>
    <x:row r="141">
      <x:c r="A141" s="301" t="str">
        <x:v>T-140</x:v>
      </x:c>
      <x:c r="B141" s="301" t="str">
        <x:v>M2b-P3</x:v>
      </x:c>
      <x:c r="C141" s="301" t="str">
        <x:v>Not Started</x:v>
      </x:c>
      <x:c r="D141" s="301" t="str">
        <x:v>Worker 3</x:v>
      </x:c>
      <x:c r="E141" s="301" t="n">
        <x:v>12</x:v>
      </x:c>
      <x:c r="F141" s="301" t="str">
        <x:v>T-139; T-173; T-176</x:v>
      </x:c>
      <x:c r="G141" s="301"/>
      <x:c r="H141" s="301" t="str">
        <x:v>T-139 + T-173/T-176</x:v>
      </x:c>
    </x:row>
    <x:row r="142">
      <x:c r="A142" s="301" t="str">
        <x:v>T-141</x:v>
      </x:c>
      <x:c r="B142" s="301" t="str">
        <x:v>M2b-P3</x:v>
      </x:c>
      <x:c r="C142" s="301" t="str">
        <x:v>Not Started</x:v>
      </x:c>
      <x:c r="D142" s="301" t="str">
        <x:v>Worker 3</x:v>
      </x:c>
      <x:c r="E142" s="301" t="n">
        <x:v>12</x:v>
      </x:c>
      <x:c r="F142" s="301" t="str">
        <x:v>T-107; T-122; T-139; T-187</x:v>
      </x:c>
      <x:c r="G142" s="301"/>
      <x:c r="H142" s="301" t="str">
        <x:v>T-107 + T-122 + T-139 + T-187</x:v>
      </x:c>
    </x:row>
    <x:row r="143">
      <x:c r="A143" s="301" t="str">
        <x:v>T-142</x:v>
      </x:c>
      <x:c r="B143" s="301" t="str">
        <x:v>M2b-P3</x:v>
      </x:c>
      <x:c r="C143" s="301" t="str">
        <x:v>Not Started</x:v>
      </x:c>
      <x:c r="D143" s="301" t="str">
        <x:v>Worker 3</x:v>
      </x:c>
      <x:c r="E143" s="301" t="n">
        <x:v>8</x:v>
      </x:c>
      <x:c r="F143" s="301" t="str">
        <x:v>T-131; T-132; T-139; T-140</x:v>
      </x:c>
      <x:c r="G143" s="301"/>
      <x:c r="H143" s="301" t="str">
        <x:v>T-131/T-132 + T-139/T-140</x:v>
      </x:c>
    </x:row>
    <x:row r="144">
      <x:c r="A144" s="301" t="str">
        <x:v>T-143</x:v>
      </x:c>
      <x:c r="B144" s="301" t="str">
        <x:v>M2b-P3</x:v>
      </x:c>
      <x:c r="C144" s="301" t="str">
        <x:v>Not Started</x:v>
      </x:c>
      <x:c r="D144" s="301" t="str">
        <x:v>Worker 3</x:v>
      </x:c>
      <x:c r="E144" s="301" t="n">
        <x:v>8</x:v>
      </x:c>
      <x:c r="F144" s="301" t="str">
        <x:v>T-178; T-142</x:v>
      </x:c>
      <x:c r="G144" s="301"/>
      <x:c r="H144" s="301" t="str">
        <x:v>T-178 + T-142</x:v>
      </x:c>
    </x:row>
    <x:row r="145">
      <x:c r="A145" s="301" t="str">
        <x:v>T-144</x:v>
      </x:c>
      <x:c r="B145" s="301" t="str">
        <x:v>M2b-P3</x:v>
      </x:c>
      <x:c r="C145" s="301" t="str">
        <x:v>Not Started</x:v>
      </x:c>
      <x:c r="D145" s="301" t="str">
        <x:v>Worker 3</x:v>
      </x:c>
      <x:c r="E145" s="301" t="n">
        <x:v>8</x:v>
      </x:c>
      <x:c r="F145" s="301" t="str">
        <x:v>T-143</x:v>
      </x:c>
      <x:c r="G145" s="301"/>
      <x:c r="H145" s="301" t="str">
        <x:v>T-143</x:v>
      </x:c>
    </x:row>
    <x:row r="146">
      <x:c r="A146" s="301" t="str">
        <x:v>T-145</x:v>
      </x:c>
      <x:c r="B146" s="301" t="str">
        <x:v>M2b-P3</x:v>
      </x:c>
      <x:c r="C146" s="301" t="str">
        <x:v>Not Started</x:v>
      </x:c>
      <x:c r="D146" s="301" t="str">
        <x:v>Worker 3</x:v>
      </x:c>
      <x:c r="E146" s="301" t="n">
        <x:v>8</x:v>
      </x:c>
      <x:c r="F146" s="301" t="str">
        <x:v>T-144</x:v>
      </x:c>
      <x:c r="G146" s="301"/>
      <x:c r="H146" s="301" t="str">
        <x:v>T-144</x:v>
      </x:c>
    </x:row>
    <x:row r="147">
      <x:c r="A147" s="301" t="str">
        <x:v>T-146</x:v>
      </x:c>
      <x:c r="B147" s="301" t="str">
        <x:v>M2b-P4</x:v>
      </x:c>
      <x:c r="C147" s="301" t="str">
        <x:v>Not Started</x:v>
      </x:c>
      <x:c r="D147" s="301" t="str">
        <x:v>Worker 3</x:v>
      </x:c>
      <x:c r="E147" s="301" t="n">
        <x:v>10</x:v>
      </x:c>
      <x:c r="F147" s="301" t="str">
        <x:v>T-147; T-177; T-128; T-129</x:v>
      </x:c>
      <x:c r="G147" s="301"/>
      <x:c r="H147" s="301" t="str">
        <x:v>T-147 COMPLETE + T-177 + T-128/T-129; M1 presentation continuity frozen.</x:v>
      </x:c>
    </x:row>
    <x:row r="148">
      <x:c r="A148" s="301" t="str">
        <x:v>T-147</x:v>
      </x:c>
      <x:c r="B148" s="301" t="str">
        <x:v>M2b-P4</x:v>
      </x:c>
      <x:c r="C148" s="301" t="str">
        <x:v>Not Started</x:v>
      </x:c>
      <x:c r="D148" s="301" t="str">
        <x:v>Worker 3</x:v>
      </x:c>
      <x:c r="E148" s="301" t="n">
        <x:v>12</x:v>
      </x:c>
      <x:c r="F148" s="301" t="str">
        <x:v>T-090; T-128; T-129; T-177</x:v>
      </x:c>
      <x:c r="G148" s="301" t="str">
        <x:v>T-146</x:v>
      </x:c>
      <x:c r="H148" s="301" t="str">
        <x:v>T-090 canonical SM-06 binding + T-128/T-129 + T-177; complete BEFORE T-146 fi...</x:v>
      </x:c>
    </x:row>
    <x:row r="149">
      <x:c r="A149" s="301" t="str">
        <x:v>T-148</x:v>
      </x:c>
      <x:c r="B149" s="301" t="str">
        <x:v>M2b-P4</x:v>
      </x:c>
      <x:c r="C149" s="301" t="str">
        <x:v>Not Started</x:v>
      </x:c>
      <x:c r="D149" s="301" t="str">
        <x:v>Frontend/core platform lane</x:v>
      </x:c>
      <x:c r="E149" s="301" t="n">
        <x:v>8</x:v>
      </x:c>
      <x:c r="F149" s="301" t="str">
        <x:v>T-196; T-197; T-198; T-199; T-200</x:v>
      </x:c>
      <x:c r="G149" s="301"/>
      <x:c r="H149" s="301" t="str">
        <x:v>M1 continuity frozen + all target-route implementation owners available, incl...</x:v>
      </x:c>
    </x:row>
    <x:row r="150">
      <x:c r="A150" s="301" t="str">
        <x:v>T-149</x:v>
      </x:c>
      <x:c r="B150" s="301" t="str">
        <x:v>M2b-P4</x:v>
      </x:c>
      <x:c r="C150" s="301" t="str">
        <x:v>Not Started</x:v>
      </x:c>
      <x:c r="D150" s="301" t="str">
        <x:v>Frontend/core platform lane</x:v>
      </x:c>
      <x:c r="E150" s="301" t="n">
        <x:v>6</x:v>
      </x:c>
      <x:c r="F150" s="301"/>
      <x:c r="G150" s="301"/>
      <x:c r="H150" s="301" t="str">
        <x:v>M1 continuity frozen</x:v>
      </x:c>
    </x:row>
    <x:row r="151">
      <x:c r="A151" s="301" t="str">
        <x:v>T-150</x:v>
      </x:c>
      <x:c r="B151" s="301" t="str">
        <x:v>M2b-P4</x:v>
      </x:c>
      <x:c r="C151" s="301" t="str">
        <x:v>Not Started</x:v>
      </x:c>
      <x:c r="D151" s="301" t="str">
        <x:v>Shared: CI owner + Worker 3</x:v>
      </x:c>
      <x:c r="E151" s="301" t="n">
        <x:v>12</x:v>
      </x:c>
      <x:c r="F151" s="301" t="str">
        <x:v>T-202; T-203; T-204; T-205; T-206; T-207; T-208; T-192; T-148; T-194</x:v>
      </x:c>
      <x:c r="G151" s="301"/>
      <x:c r="H151" s="301" t="str">
        <x:v>T-192 + T-148 exact route/shell inventory + T-194 API-alias retirement + all ...</x:v>
      </x:c>
    </x:row>
    <x:row r="152">
      <x:c r="A152" s="301" t="str">
        <x:v>T-151</x:v>
      </x:c>
      <x:c r="B152" s="301" t="str">
        <x:v>M3-P1</x:v>
      </x:c>
      <x:c r="C152" s="301" t="str">
        <x:v>Not Started</x:v>
      </x:c>
      <x:c r="D152" s="301" t="str">
        <x:v>M3 site/production owner</x:v>
      </x:c>
      <x:c r="E152" s="301" t="n">
        <x:v>12</x:v>
      </x:c>
      <x:c r="F152" s="301"/>
      <x:c r="G152" s="301"/>
      <x:c r="H152" s="301" t="str">
        <x:v>WAIT for deployed Customer Pilot RC + real customer/site evidence. M3 sequence</x:v>
      </x:c>
    </x:row>
    <x:row r="153">
      <x:c r="A153" s="301" t="str">
        <x:v>T-152</x:v>
      </x:c>
      <x:c r="B153" s="301" t="str">
        <x:v>M3-P1</x:v>
      </x:c>
      <x:c r="C153" s="301" t="str">
        <x:v>Not Started</x:v>
      </x:c>
      <x:c r="D153" s="301" t="str">
        <x:v>M3 site/production owner</x:v>
      </x:c>
      <x:c r="E153" s="301" t="n">
        <x:v>12</x:v>
      </x:c>
      <x:c r="F153" s="301"/>
      <x:c r="G153" s="301"/>
      <x:c r="H153" s="301" t="str">
        <x:v>WAIT for deployed Customer Pilot RC + real customer/site evidence. M3 sequence</x:v>
      </x:c>
    </x:row>
    <x:row r="154">
      <x:c r="A154" s="301" t="str">
        <x:v>T-153</x:v>
      </x:c>
      <x:c r="B154" s="301" t="str">
        <x:v>M3-P1</x:v>
      </x:c>
      <x:c r="C154" s="301" t="str">
        <x:v>Not Started</x:v>
      </x:c>
      <x:c r="D154" s="301" t="str">
        <x:v>M3 site/production owner</x:v>
      </x:c>
      <x:c r="E154" s="301" t="n">
        <x:v>12</x:v>
      </x:c>
      <x:c r="F154" s="301" t="str">
        <x:v>T-224; T-225; T-226</x:v>
      </x:c>
      <x:c r="G154" s="301"/>
      <x:c r="H154" s="301" t="str">
        <x:v>WAIT for deployed Customer Pilot RC + real customer/site evidence. M3 sequence</x:v>
      </x:c>
    </x:row>
    <x:row r="155">
      <x:c r="A155" s="301" t="str">
        <x:v>T-154</x:v>
      </x:c>
      <x:c r="B155" s="301" t="str">
        <x:v>M3-P1</x:v>
      </x:c>
      <x:c r="C155" s="301" t="str">
        <x:v>Not Started</x:v>
      </x:c>
      <x:c r="D155" s="301" t="str">
        <x:v>M3 site/production owner</x:v>
      </x:c>
      <x:c r="E155" s="301" t="n">
        <x:v>12</x:v>
      </x:c>
      <x:c r="F155" s="301"/>
      <x:c r="G155" s="301"/>
      <x:c r="H155" s="301" t="str">
        <x:v>WAIT for deployed Customer Pilot RC + real customer/site evidence. M3 sequence</x:v>
      </x:c>
    </x:row>
    <x:row r="156">
      <x:c r="A156" s="301" t="str">
        <x:v>T-155</x:v>
      </x:c>
      <x:c r="B156" s="301" t="str">
        <x:v>M3-P1</x:v>
      </x:c>
      <x:c r="C156" s="301" t="str">
        <x:v>Not Started</x:v>
      </x:c>
      <x:c r="D156" s="301" t="str">
        <x:v>Shared: Infrastructure + Worker 3</x:v>
      </x:c>
      <x:c r="E156" s="301" t="n">
        <x:v>12</x:v>
      </x:c>
      <x:c r="F156" s="301"/>
      <x:c r="G156" s="301"/>
      <x:c r="H156" s="301" t="str">
        <x:v>WAIT for deployed Customer Pilot RC + real customer/site evidence. M2b accepted + site hardware</x:v>
      </x:c>
    </x:row>
    <x:row r="157">
      <x:c r="A157" s="301" t="str">
        <x:v>T-156</x:v>
      </x:c>
      <x:c r="B157" s="301" t="str">
        <x:v>M3-P1</x:v>
      </x:c>
      <x:c r="C157" s="301" t="str">
        <x:v>Not Started</x:v>
      </x:c>
      <x:c r="D157" s="301" t="str">
        <x:v>M3 site/production owner</x:v>
      </x:c>
      <x:c r="E157" s="301" t="n">
        <x:v>12</x:v>
      </x:c>
      <x:c r="F157" s="301"/>
      <x:c r="G157" s="301"/>
      <x:c r="H157" s="301" t="str">
        <x:v>WAIT for deployed Customer Pilot RC + real customer/site evidence. M3 sequence</x:v>
      </x:c>
    </x:row>
    <x:row r="158">
      <x:c r="A158" s="301" t="str">
        <x:v>T-157</x:v>
      </x:c>
      <x:c r="B158" s="301" t="str">
        <x:v>M3-P1</x:v>
      </x:c>
      <x:c r="C158" s="301" t="str">
        <x:v>Not Started</x:v>
      </x:c>
      <x:c r="D158" s="301" t="str">
        <x:v>Worker 3</x:v>
      </x:c>
      <x:c r="E158" s="301" t="n">
        <x:v>12</x:v>
      </x:c>
      <x:c r="F158" s="301"/>
      <x:c r="G158" s="301"/>
      <x:c r="H158" s="301" t="str">
        <x:v>WAIT for deployed Customer Pilot RC + real customer/site evidence. M2b accepted + customer data window</x:v>
      </x:c>
    </x:row>
    <x:row r="159">
      <x:c r="A159" s="301" t="str">
        <x:v>T-158</x:v>
      </x:c>
      <x:c r="B159" s="301" t="str">
        <x:v>M3-P1</x:v>
      </x:c>
      <x:c r="C159" s="301" t="str">
        <x:v>Not Started</x:v>
      </x:c>
      <x:c r="D159" s="301" t="str">
        <x:v>Worker 3</x:v>
      </x:c>
      <x:c r="E159" s="301" t="n">
        <x:v>12</x:v>
      </x:c>
      <x:c r="F159" s="301"/>
      <x:c r="G159" s="301"/>
      <x:c r="H159" s="301" t="str">
        <x:v>WAIT for deployed Customer Pilot RC + real customer/site evidence. M2b accepted + customer data window</x:v>
      </x:c>
    </x:row>
    <x:row r="160">
      <x:c r="A160" s="301" t="str">
        <x:v>T-159</x:v>
      </x:c>
      <x:c r="B160" s="301" t="str">
        <x:v>M3-P2</x:v>
      </x:c>
      <x:c r="C160" s="301" t="str">
        <x:v>Not Started</x:v>
      </x:c>
      <x:c r="D160" s="301" t="str">
        <x:v>Shared: Infrastructure + Worker 3</x:v>
      </x:c>
      <x:c r="E160" s="301" t="n">
        <x:v>12</x:v>
      </x:c>
      <x:c r="F160" s="301"/>
      <x:c r="G160" s="301"/>
      <x:c r="H160" s="301" t="str">
        <x:v>WAIT for deployed Customer Pilot RC + real customer/site evidence. M2b accepted + site hardware</x:v>
      </x:c>
    </x:row>
    <x:row r="161">
      <x:c r="A161" s="301" t="str">
        <x:v>T-160</x:v>
      </x:c>
      <x:c r="B161" s="301" t="str">
        <x:v>M3-P2</x:v>
      </x:c>
      <x:c r="C161" s="301" t="str">
        <x:v>Not Started</x:v>
      </x:c>
      <x:c r="D161" s="301" t="str">
        <x:v>M3 site/production owner</x:v>
      </x:c>
      <x:c r="E161" s="301" t="n">
        <x:v>12</x:v>
      </x:c>
      <x:c r="F161" s="301"/>
      <x:c r="G161" s="301"/>
      <x:c r="H161" s="301" t="str">
        <x:v>WAIT for deployed Customer Pilot RC + real customer/site evidence. M3 sequence</x:v>
      </x:c>
    </x:row>
    <x:row r="162">
      <x:c r="A162" s="301" t="str">
        <x:v>T-161</x:v>
      </x:c>
      <x:c r="B162" s="301" t="str">
        <x:v>M3-P2</x:v>
      </x:c>
      <x:c r="C162" s="301" t="str">
        <x:v>Not Started</x:v>
      </x:c>
      <x:c r="D162" s="301" t="str">
        <x:v>M3 site/production owner</x:v>
      </x:c>
      <x:c r="E162" s="301" t="n">
        <x:v>12</x:v>
      </x:c>
      <x:c r="F162" s="301"/>
      <x:c r="G162" s="301"/>
      <x:c r="H162" s="301" t="str">
        <x:v>WAIT for deployed Customer Pilot RC + real customer/site evidence. M3 sequence</x:v>
      </x:c>
    </x:row>
    <x:row r="163">
      <x:c r="A163" s="301" t="str">
        <x:v>T-162</x:v>
      </x:c>
      <x:c r="B163" s="301" t="str">
        <x:v>M3-P2</x:v>
      </x:c>
      <x:c r="C163" s="301" t="str">
        <x:v>Not Started</x:v>
      </x:c>
      <x:c r="D163" s="301" t="str">
        <x:v>M3 site/production owner</x:v>
      </x:c>
      <x:c r="E163" s="301" t="n">
        <x:v>12</x:v>
      </x:c>
      <x:c r="F163" s="301"/>
      <x:c r="G163" s="301"/>
      <x:c r="H163" s="301" t="str">
        <x:v>WAIT for deployed Customer Pilot RC + real customer/site evidence. M3 sequence</x:v>
      </x:c>
    </x:row>
    <x:row r="164">
      <x:c r="A164" s="301" t="str">
        <x:v>T-163</x:v>
      </x:c>
      <x:c r="B164" s="301" t="str">
        <x:v>M3-P2</x:v>
      </x:c>
      <x:c r="C164" s="301" t="str">
        <x:v>Not Started</x:v>
      </x:c>
      <x:c r="D164" s="301" t="str">
        <x:v>M3 site/production owner</x:v>
      </x:c>
      <x:c r="E164" s="301" t="n">
        <x:v>12</x:v>
      </x:c>
      <x:c r="F164" s="301"/>
      <x:c r="G164" s="301"/>
      <x:c r="H164" s="301" t="str">
        <x:v>WAIT for deployed Customer Pilot RC + real customer/site evidence. M3 sequence</x:v>
      </x:c>
    </x:row>
    <x:row r="165">
      <x:c r="A165" s="301" t="str">
        <x:v>T-164</x:v>
      </x:c>
      <x:c r="B165" s="301" t="str">
        <x:v>M3-P2</x:v>
      </x:c>
      <x:c r="C165" s="301" t="str">
        <x:v>Not Started</x:v>
      </x:c>
      <x:c r="D165" s="301" t="str">
        <x:v>M3 site/production owner</x:v>
      </x:c>
      <x:c r="E165" s="301" t="n">
        <x:v>12</x:v>
      </x:c>
      <x:c r="F165" s="301"/>
      <x:c r="G165" s="301"/>
      <x:c r="H165" s="301" t="str">
        <x:v>WAIT for deployed Customer Pilot RC + real customer/site evidence. M3 sequence</x:v>
      </x:c>
    </x:row>
    <x:row r="166">
      <x:c r="A166" s="301" t="str">
        <x:v>T-165</x:v>
      </x:c>
      <x:c r="B166" s="301" t="str">
        <x:v>M3-P2</x:v>
      </x:c>
      <x:c r="C166" s="301" t="str">
        <x:v>Not Started</x:v>
      </x:c>
      <x:c r="D166" s="301" t="str">
        <x:v>M3 site/production owner</x:v>
      </x:c>
      <x:c r="E166" s="301" t="n">
        <x:v>12</x:v>
      </x:c>
      <x:c r="F166" s="301"/>
      <x:c r="G166" s="301"/>
      <x:c r="H166" s="301" t="str">
        <x:v>WAIT for deployed Customer Pilot RC + real customer/site evidence. M3 sequence</x:v>
      </x:c>
    </x:row>
    <x:row r="167">
      <x:c r="A167" s="301" t="str">
        <x:v>T-166</x:v>
      </x:c>
      <x:c r="B167" s="301" t="str">
        <x:v>M3-P2</x:v>
      </x:c>
      <x:c r="C167" s="301" t="str">
        <x:v>Not Started</x:v>
      </x:c>
      <x:c r="D167" s="301" t="str">
        <x:v>M3 site/production owner</x:v>
      </x:c>
      <x:c r="E167" s="301" t="n">
        <x:v>12</x:v>
      </x:c>
      <x:c r="F167" s="301"/>
      <x:c r="G167" s="301"/>
      <x:c r="H167" s="301" t="str">
        <x:v>WAIT for deployed Customer Pilot RC + real customer/site evidence. M3 sequence</x:v>
      </x:c>
    </x:row>
    <x:row r="168">
      <x:c r="A168" s="301" t="str">
        <x:v>T-167</x:v>
      </x:c>
      <x:c r="B168" s="301" t="str">
        <x:v>M3-P2</x:v>
      </x:c>
      <x:c r="C168" s="301" t="str">
        <x:v>Not Started</x:v>
      </x:c>
      <x:c r="D168" s="301" t="str">
        <x:v>M3 site/production owner</x:v>
      </x:c>
      <x:c r="E168" s="301" t="n">
        <x:v>12</x:v>
      </x:c>
      <x:c r="F168" s="301"/>
      <x:c r="G168" s="301"/>
      <x:c r="H168" s="301" t="str">
        <x:v>WAIT for deployed Customer Pilot RC + real customer/site evidence. M3 sequence</x:v>
      </x:c>
    </x:row>
    <x:row r="169">
      <x:c r="A169" s="301" t="str">
        <x:v>T-168</x:v>
      </x:c>
      <x:c r="B169" s="301" t="str">
        <x:v>M2b-P0A</x:v>
      </x:c>
      <x:c r="C169" s="301" t="str">
        <x:v>Done</x:v>
      </x:c>
      <x:c r="D169" s="301" t="str">
        <x:v>Worker 3</x:v>
      </x:c>
      <x:c r="E169" s="301" t="n">
        <x:v>12</x:v>
      </x:c>
      <x:c r="F169" s="301"/>
      <x:c r="G169" s="301"/>
      <x:c r="H169" s="301" t="str">
        <x:v>Closed — do not reopen without contradictory regression evidence.</x:v>
      </x:c>
    </x:row>
    <x:row r="170">
      <x:c r="A170" s="301" t="str">
        <x:v>T-169</x:v>
      </x:c>
      <x:c r="B170" s="301" t="str">
        <x:v>M2b-P0A</x:v>
      </x:c>
      <x:c r="C170" s="301" t="str">
        <x:v>Done</x:v>
      </x:c>
      <x:c r="D170" s="301" t="str">
        <x:v>Worker 3</x:v>
      </x:c>
      <x:c r="E170" s="301" t="n">
        <x:v>10</x:v>
      </x:c>
      <x:c r="F170" s="301"/>
      <x:c r="G170" s="301"/>
      <x:c r="H170" s="301" t="str">
        <x:v>Closed — do not reopen without contradictory regression evidence.</x:v>
      </x:c>
    </x:row>
    <x:row r="171">
      <x:c r="A171" s="301" t="str">
        <x:v>T-170</x:v>
      </x:c>
      <x:c r="B171" s="301" t="str">
        <x:v>M2b-P0A</x:v>
      </x:c>
      <x:c r="C171" s="301" t="str">
        <x:v>Done</x:v>
      </x:c>
      <x:c r="D171" s="301" t="str">
        <x:v>Worker 3</x:v>
      </x:c>
      <x:c r="E171" s="301" t="n">
        <x:v>10</x:v>
      </x:c>
      <x:c r="F171" s="301"/>
      <x:c r="G171" s="301"/>
      <x:c r="H171" s="301" t="str">
        <x:v>Closed — do not reopen without contradictory regression evidence.</x:v>
      </x:c>
    </x:row>
    <x:row r="172">
      <x:c r="A172" s="301" t="str">
        <x:v>T-171</x:v>
      </x:c>
      <x:c r="B172" s="301" t="str">
        <x:v>M2b-P0A</x:v>
      </x:c>
      <x:c r="C172" s="301" t="str">
        <x:v>Done</x:v>
      </x:c>
      <x:c r="D172" s="301" t="str">
        <x:v>Worker 3</x:v>
      </x:c>
      <x:c r="E172" s="301" t="n">
        <x:v>10</x:v>
      </x:c>
      <x:c r="F172" s="301"/>
      <x:c r="G172" s="301"/>
      <x:c r="H172" s="301" t="str">
        <x:v>Closed — do not reopen without contradictory regression evidence.</x:v>
      </x:c>
    </x:row>
    <x:row r="173">
      <x:c r="A173" s="301" t="str">
        <x:v>T-172</x:v>
      </x:c>
      <x:c r="B173" s="301" t="str">
        <x:v>M2b-P0A</x:v>
      </x:c>
      <x:c r="C173" s="301" t="str">
        <x:v>Done</x:v>
      </x:c>
      <x:c r="D173" s="301" t="str">
        <x:v>Worker 3</x:v>
      </x:c>
      <x:c r="E173" s="301" t="n">
        <x:v>12</x:v>
      </x:c>
      <x:c r="F173" s="301"/>
      <x:c r="G173" s="301"/>
      <x:c r="H173" s="301" t="str">
        <x:v>Closed — do not reopen without contradictory regression evidence.</x:v>
      </x:c>
    </x:row>
    <x:row r="174">
      <x:c r="A174" s="301" t="str">
        <x:v>T-173</x:v>
      </x:c>
      <x:c r="B174" s="301" t="str">
        <x:v>M2b-P0A</x:v>
      </x:c>
      <x:c r="C174" s="301" t="str">
        <x:v>Done</x:v>
      </x:c>
      <x:c r="D174" s="301" t="str">
        <x:v>Worker 3</x:v>
      </x:c>
      <x:c r="E174" s="301" t="n">
        <x:v>12</x:v>
      </x:c>
      <x:c r="F174" s="301"/>
      <x:c r="G174" s="301"/>
      <x:c r="H174" s="301" t="str">
        <x:v>Closed — do not reopen without contradictory regression evidence.</x:v>
      </x:c>
    </x:row>
    <x:row r="175">
      <x:c r="A175" s="301" t="str">
        <x:v>T-174</x:v>
      </x:c>
      <x:c r="B175" s="301" t="str">
        <x:v>M2b-P0A</x:v>
      </x:c>
      <x:c r="C175" s="301" t="str">
        <x:v>Done</x:v>
      </x:c>
      <x:c r="D175" s="301" t="str">
        <x:v>Worker 3</x:v>
      </x:c>
      <x:c r="E175" s="301" t="n">
        <x:v>10</x:v>
      </x:c>
      <x:c r="F175" s="301"/>
      <x:c r="G175" s="301"/>
      <x:c r="H175" s="301" t="str">
        <x:v>Closed — do not reopen without contradictory regression evidence.</x:v>
      </x:c>
    </x:row>
    <x:row r="176">
      <x:c r="A176" s="301" t="str">
        <x:v>T-175</x:v>
      </x:c>
      <x:c r="B176" s="301" t="str">
        <x:v>M2b-P0B</x:v>
      </x:c>
      <x:c r="C176" s="301" t="str">
        <x:v>Done</x:v>
      </x:c>
      <x:c r="D176" s="301" t="str">
        <x:v>Worker 3</x:v>
      </x:c>
      <x:c r="E176" s="301" t="n">
        <x:v>12</x:v>
      </x:c>
      <x:c r="F176" s="301" t="str">
        <x:v>T-168; T-169</x:v>
      </x:c>
      <x:c r="G176" s="301" t="str">
        <x:v>T-187</x:v>
      </x:c>
      <x:c r="H176" s="301" t="str">
        <x:v>Closed — do not reopen without contradictory regression evidence.</x:v>
      </x:c>
    </x:row>
    <x:row r="177">
      <x:c r="A177" s="301" t="str">
        <x:v>T-176</x:v>
      </x:c>
      <x:c r="B177" s="301" t="str">
        <x:v>M2b-P0B</x:v>
      </x:c>
      <x:c r="C177" s="301" t="str">
        <x:v>Done</x:v>
      </x:c>
      <x:c r="D177" s="301" t="str">
        <x:v>Worker 3</x:v>
      </x:c>
      <x:c r="E177" s="301" t="n">
        <x:v>12</x:v>
      </x:c>
      <x:c r="F177" s="301"/>
      <x:c r="G177" s="301"/>
      <x:c r="H177" s="301" t="str">
        <x:v>Closed — do not reopen without contradictory regression evidence.</x:v>
      </x:c>
    </x:row>
    <x:row r="178">
      <x:c r="A178" s="301" t="str">
        <x:v>T-177</x:v>
      </x:c>
      <x:c r="B178" s="301" t="str">
        <x:v>M2b-P0B</x:v>
      </x:c>
      <x:c r="C178" s="301" t="str">
        <x:v>Done</x:v>
      </x:c>
      <x:c r="D178" s="301" t="str">
        <x:v>Worker 3</x:v>
      </x:c>
      <x:c r="E178" s="301" t="n">
        <x:v>10</x:v>
      </x:c>
      <x:c r="F178" s="301" t="str">
        <x:v>T-146; T-147</x:v>
      </x:c>
      <x:c r="G178" s="301"/>
      <x:c r="H178" s="301" t="str">
        <x:v>Closed — do not reopen without contradictory regression evidence.</x:v>
      </x:c>
    </x:row>
    <x:row r="179">
      <x:c r="A179" s="301" t="str">
        <x:v>T-178</x:v>
      </x:c>
      <x:c r="B179" s="301" t="str">
        <x:v>M2b-P0B</x:v>
      </x:c>
      <x:c r="C179" s="301" t="str">
        <x:v>Done</x:v>
      </x:c>
      <x:c r="D179" s="301" t="str">
        <x:v>Worker 3</x:v>
      </x:c>
      <x:c r="E179" s="301" t="n">
        <x:v>8</x:v>
      </x:c>
      <x:c r="F179" s="301"/>
      <x:c r="G179" s="301"/>
      <x:c r="H179" s="301" t="str">
        <x:v>Closed — do not reopen without contradictory regression evidence.</x:v>
      </x:c>
    </x:row>
    <x:row r="180">
      <x:c r="A180" s="301" t="str">
        <x:v>T-179</x:v>
      </x:c>
      <x:c r="B180" s="301" t="str">
        <x:v>M2b-P0B</x:v>
      </x:c>
      <x:c r="C180" s="301" t="str">
        <x:v>Done</x:v>
      </x:c>
      <x:c r="D180" s="301" t="str">
        <x:v>Worker 3</x:v>
      </x:c>
      <x:c r="E180" s="301" t="n">
        <x:v>10</x:v>
      </x:c>
      <x:c r="F180" s="301"/>
      <x:c r="G180" s="301"/>
      <x:c r="H180" s="301" t="str">
        <x:v>Closed — do not reopen without contradictory regression evidence.</x:v>
      </x:c>
    </x:row>
    <x:row r="181">
      <x:c r="A181" s="301" t="str">
        <x:v>T-180</x:v>
      </x:c>
      <x:c r="B181" s="301" t="str">
        <x:v>M2b-P0B</x:v>
      </x:c>
      <x:c r="C181" s="301" t="str">
        <x:v>Done</x:v>
      </x:c>
      <x:c r="D181" s="301" t="str">
        <x:v>Worker 3</x:v>
      </x:c>
      <x:c r="E181" s="301" t="n">
        <x:v>12</x:v>
      </x:c>
      <x:c r="F181" s="301"/>
      <x:c r="G181" s="301"/>
      <x:c r="H181" s="301" t="str">
        <x:v>Closed — do not reopen without contradictory regression evidence.</x:v>
      </x:c>
    </x:row>
    <x:row r="182">
      <x:c r="A182" s="301" t="str">
        <x:v>T-181</x:v>
      </x:c>
      <x:c r="B182" s="301" t="str">
        <x:v>M2b-P0B</x:v>
      </x:c>
      <x:c r="C182" s="301" t="str">
        <x:v>Done</x:v>
      </x:c>
      <x:c r="D182" s="301" t="str">
        <x:v>Worker 3</x:v>
      </x:c>
      <x:c r="E182" s="301" t="n">
        <x:v>12</x:v>
      </x:c>
      <x:c r="F182" s="301"/>
      <x:c r="G182" s="301"/>
      <x:c r="H182" s="301" t="str">
        <x:v>Closed — do not reopen without contradictory regression evidence.</x:v>
      </x:c>
    </x:row>
    <x:row r="183">
      <x:c r="A183" s="301" t="str">
        <x:v>T-182</x:v>
      </x:c>
      <x:c r="B183" s="301" t="str">
        <x:v>M2b-P0A</x:v>
      </x:c>
      <x:c r="C183" s="301" t="str">
        <x:v>Done</x:v>
      </x:c>
      <x:c r="D183" s="301" t="str">
        <x:v>Worker 3</x:v>
      </x:c>
      <x:c r="E183" s="301" t="n">
        <x:v>10</x:v>
      </x:c>
      <x:c r="F183" s="301"/>
      <x:c r="G183" s="301"/>
      <x:c r="H183" s="301" t="str">
        <x:v>Closed — do not reopen without contradictory regression evidence.</x:v>
      </x:c>
    </x:row>
    <x:row r="184">
      <x:c r="A184" s="301" t="str">
        <x:v>T-183</x:v>
      </x:c>
      <x:c r="B184" s="301" t="str">
        <x:v>M2b-P1</x:v>
      </x:c>
      <x:c r="C184" s="301" t="str">
        <x:v>Not Started</x:v>
      </x:c>
      <x:c r="D184" s="301" t="str">
        <x:v>Worker 3</x:v>
      </x:c>
      <x:c r="E184" s="301" t="n">
        <x:v>12</x:v>
      </x:c>
      <x:c r="F184" s="301" t="str">
        <x:v>T-089; T-090; T-091; T-092; T-093; T-094; T-095; T-096; T-097; T-098; T-099; T-100; T-101; T-102; T-103; T-104; T-105; T-112; T-114</x:v>
      </x:c>
      <x:c r="G184" s="301"/>
      <x:c r="H184" s="301" t="str">
        <x:v>T-089..T-105 canonical definition/relationship authority + T-112 + T-114 secu...</x:v>
      </x:c>
    </x:row>
    <x:row r="185">
      <x:c r="A185" s="301" t="str">
        <x:v>T-184</x:v>
      </x:c>
      <x:c r="B185" s="301" t="str">
        <x:v>M2b-P1</x:v>
      </x:c>
      <x:c r="C185" s="301" t="str">
        <x:v>Not Started</x:v>
      </x:c>
      <x:c r="D185" s="301" t="str">
        <x:v>Worker 3</x:v>
      </x:c>
      <x:c r="E185" s="301" t="n">
        <x:v>12</x:v>
      </x:c>
      <x:c r="F185" s="301" t="str">
        <x:v>T-128; T-169; T-183; T-112; T-114; T-135</x:v>
      </x:c>
      <x:c r="G185" s="301"/>
      <x:c r="H185" s="301" t="str">
        <x:v>T-128 + T-169 + T-183 + T-112/T-114/T-135 security ratchet.</x:v>
      </x:c>
    </x:row>
    <x:row r="186">
      <x:c r="A186" s="301" t="str">
        <x:v>T-185</x:v>
      </x:c>
      <x:c r="B186" s="301" t="str">
        <x:v>M2b-P2</x:v>
      </x:c>
      <x:c r="C186" s="301" t="str">
        <x:v>Not Started</x:v>
      </x:c>
      <x:c r="D186" s="301" t="str">
        <x:v>Worker 3</x:v>
      </x:c>
      <x:c r="E186" s="301" t="n">
        <x:v>12</x:v>
      </x:c>
      <x:c r="F186" s="301" t="str">
        <x:v>T-170; T-183; T-122; T-112; T-114; T-135</x:v>
      </x:c>
      <x:c r="G186" s="301"/>
      <x:c r="H186" s="301" t="str">
        <x:v>T-170 + T-183 + T-122 final object-storage/container path + T-112/T-114/T-135...</x:v>
      </x:c>
    </x:row>
    <x:row r="187">
      <x:c r="A187" s="301" t="str">
        <x:v>T-186</x:v>
      </x:c>
      <x:c r="B187" s="301" t="str">
        <x:v>M2b-P2</x:v>
      </x:c>
      <x:c r="C187" s="301" t="str">
        <x:v>Not Started</x:v>
      </x:c>
      <x:c r="D187" s="301" t="str">
        <x:v>Worker 3</x:v>
      </x:c>
      <x:c r="E187" s="301" t="n">
        <x:v>12</x:v>
      </x:c>
      <x:c r="F187" s="301" t="str">
        <x:v>T-171; T-183; T-128; T-129; T-195; T-135</x:v>
      </x:c>
      <x:c r="G187" s="301"/>
      <x:c r="H187" s="301" t="str">
        <x:v>T-171 + T-183 + T-128/T-129 + T-195 canonical readiness thresholds + T-135 se...</x:v>
      </x:c>
    </x:row>
    <x:row r="188">
      <x:c r="A188" s="301" t="str">
        <x:v>T-187</x:v>
      </x:c>
      <x:c r="B188" s="301" t="str">
        <x:v>M2b-P2</x:v>
      </x:c>
      <x:c r="C188" s="301" t="str">
        <x:v>Not Started</x:v>
      </x:c>
      <x:c r="D188" s="301" t="str">
        <x:v>Worker 3</x:v>
      </x:c>
      <x:c r="E188" s="301" t="n">
        <x:v>12</x:v>
      </x:c>
      <x:c r="F188" s="301" t="str">
        <x:v>T-168; T-169; T-170; T-171; T-172; T-173; T-174; T-175; T-176; T-183; T-184; T-185; T-186; T-107; T-109; T-112; T-114; T-135; T-195</x:v>
      </x:c>
      <x:c r="G188" s="301"/>
      <x:c r="H188" s="301" t="str">
        <x:v>T-107 + T-109 + T-168..T-176 + T-183..T-186 + T-112/T-114/T-135 + T-195.</x:v>
      </x:c>
    </x:row>
    <x:row r="189">
      <x:c r="A189" s="301" t="str">
        <x:v>T-188</x:v>
      </x:c>
      <x:c r="B189" s="301" t="str">
        <x:v>M2b-P2</x:v>
      </x:c>
      <x:c r="C189" s="301" t="str">
        <x:v>Not Started</x:v>
      </x:c>
      <x:c r="D189" s="301" t="str">
        <x:v>Worker 3</x:v>
      </x:c>
      <x:c r="E189" s="301" t="n">
        <x:v>10</x:v>
      </x:c>
      <x:c r="F189" s="301" t="str">
        <x:v>T-129; T-130; T-186; T-195</x:v>
      </x:c>
      <x:c r="G189" s="301"/>
      <x:c r="H189" s="301" t="str">
        <x:v>T-129 + T-130 + T-186 + T-195 + M1 continuity snapshots.</x:v>
      </x:c>
    </x:row>
    <x:row r="190">
      <x:c r="A190" s="301" t="str">
        <x:v>T-189</x:v>
      </x:c>
      <x:c r="B190" s="301" t="str">
        <x:v>M2b-P3</x:v>
      </x:c>
      <x:c r="C190" s="301" t="str">
        <x:v>Not Started</x:v>
      </x:c>
      <x:c r="D190" s="301" t="str">
        <x:v>Worker 3</x:v>
      </x:c>
      <x:c r="E190" s="301" t="n">
        <x:v>12</x:v>
      </x:c>
      <x:c r="F190" s="301" t="str">
        <x:v>T-139; T-140; T-141; T-142; T-143</x:v>
      </x:c>
      <x:c r="G190" s="301"/>
      <x:c r="H190" s="301" t="str">
        <x:v>T-139..T-143 + M1 continuity snapshots</x:v>
      </x:c>
    </x:row>
    <x:row r="191">
      <x:c r="A191" s="301" t="str">
        <x:v>T-190</x:v>
      </x:c>
      <x:c r="B191" s="301" t="str">
        <x:v>M2b-P3</x:v>
      </x:c>
      <x:c r="C191" s="301" t="str">
        <x:v>Not Started</x:v>
      </x:c>
      <x:c r="D191" s="301" t="str">
        <x:v>Worker 3</x:v>
      </x:c>
      <x:c r="E191" s="301" t="n">
        <x:v>12</x:v>
      </x:c>
      <x:c r="F191" s="301" t="str">
        <x:v>T-142; T-143; T-144; T-145</x:v>
      </x:c>
      <x:c r="G191" s="301"/>
      <x:c r="H191" s="301" t="str">
        <x:v>T-142..T-145 + M1 continuity snapshots</x:v>
      </x:c>
    </x:row>
    <x:row r="192">
      <x:c r="A192" s="301" t="str">
        <x:v>T-191</x:v>
      </x:c>
      <x:c r="B192" s="301" t="str">
        <x:v>M2b-P3</x:v>
      </x:c>
      <x:c r="C192" s="301" t="str">
        <x:v>Not Started</x:v>
      </x:c>
      <x:c r="D192" s="301" t="str">
        <x:v>Worker 3</x:v>
      </x:c>
      <x:c r="E192" s="301" t="n">
        <x:v>12</x:v>
      </x:c>
      <x:c r="F192" s="301" t="str">
        <x:v>T-130; T-176; T-187</x:v>
      </x:c>
      <x:c r="G192" s="301"/>
      <x:c r="H192" s="301" t="str">
        <x:v>T-130 + T-176 + T-187</x:v>
      </x:c>
    </x:row>
    <x:row r="193">
      <x:c r="A193" s="301" t="str">
        <x:v>T-192</x:v>
      </x:c>
      <x:c r="B193" s="301" t="str">
        <x:v>M2b-P4</x:v>
      </x:c>
      <x:c r="C193" s="301" t="str">
        <x:v>Not Started</x:v>
      </x:c>
      <x:c r="D193" s="301" t="str">
        <x:v>Worker 3</x:v>
      </x:c>
      <x:c r="E193" s="301" t="n">
        <x:v>10</x:v>
      </x:c>
      <x:c r="F193" s="301" t="str">
        <x:v>T-183; T-184; T-185; T-186; T-187; T-188; T-189; T-190; T-191; T-107; T-122</x:v>
      </x:c>
      <x:c r="G193" s="301"/>
      <x:c r="H193" s="301" t="str">
        <x:v>T-183..T-191 + T-107/T-122 as applicable</x:v>
      </x:c>
    </x:row>
    <x:row r="194">
      <x:c r="A194" s="301" t="str">
        <x:v>T-193</x:v>
      </x:c>
      <x:c r="B194" s="301" t="str">
        <x:v>M2b-P4</x:v>
      </x:c>
      <x:c r="C194" s="301" t="str">
        <x:v>Not Started</x:v>
      </x:c>
      <x:c r="D194" s="301" t="str">
        <x:v>Worker 3</x:v>
      </x:c>
      <x:c r="E194" s="301" t="n">
        <x:v>10</x:v>
      </x:c>
      <x:c r="F194" s="301" t="str">
        <x:v>T-130; T-187; T-139; T-145</x:v>
      </x:c>
      <x:c r="G194" s="301"/>
      <x:c r="H194" s="301" t="str">
        <x:v>T-130 + T-187 + T-139/T-145</x:v>
      </x:c>
    </x:row>
    <x:row r="195">
      <x:c r="A195" s="301" t="str">
        <x:v>T-194</x:v>
      </x:c>
      <x:c r="B195" s="301" t="str">
        <x:v>M2a-P4</x:v>
      </x:c>
      <x:c r="C195" s="301" t="str">
        <x:v>Not Started</x:v>
      </x:c>
      <x:c r="D195" s="301" t="str">
        <x:v>Core platform / presentation-core lane</x:v>
      </x:c>
      <x:c r="E195" s="301" t="n">
        <x:v>6</x:v>
      </x:c>
      <x:c r="F195" s="301" t="str">
        <x:v>T-117; T-127</x:v>
      </x:c>
      <x:c r="G195" s="301"/>
      <x:c r="H195" s="301" t="str">
        <x:v>WAIT for Presentation RC freeze/tag + clean index/worktree. Then: T-117 + T-127</x:v>
      </x:c>
    </x:row>
    <x:row r="196">
      <x:c r="A196" s="301" t="str">
        <x:v>T-195</x:v>
      </x:c>
      <x:c r="B196" s="301" t="str">
        <x:v>M2b-P1</x:v>
      </x:c>
      <x:c r="C196" s="301" t="str">
        <x:v>Not Started</x:v>
      </x:c>
      <x:c r="D196" s="301" t="str">
        <x:v>Worker 3</x:v>
      </x:c>
      <x:c r="E196" s="301" t="n">
        <x:v>10</x:v>
      </x:c>
      <x:c r="F196" s="301" t="str">
        <x:v>T-090; T-112; T-114</x:v>
      </x:c>
      <x:c r="G196" s="301"/>
      <x:c r="H196" s="301" t="str">
        <x:v>T-090 + T-112 + T-114</x:v>
      </x:c>
    </x:row>
    <x:row r="197">
      <x:c r="A197" s="301" t="str">
        <x:v>T-196</x:v>
      </x:c>
      <x:c r="B197" s="301" t="str">
        <x:v>M2a-P2</x:v>
      </x:c>
      <x:c r="C197" s="301" t="str">
        <x:v>Not Started</x:v>
      </x:c>
      <x:c r="D197" s="301" t="str">
        <x:v>Core platform / presentation-core lane</x:v>
      </x:c>
      <x:c r="E197" s="301" t="n">
        <x:v>8</x:v>
      </x:c>
      <x:c r="F197" s="301" t="str">
        <x:v>T-087; T-094; T-095</x:v>
      </x:c>
      <x:c r="G197" s="301"/>
      <x:c r="H197" s="301" t="str">
        <x:v>WAIT for Presentation RC freeze/tag + clean index/worktree. Then: T-087 + T-094 + T-095</x:v>
      </x:c>
    </x:row>
    <x:row r="198">
      <x:c r="A198" s="301" t="str">
        <x:v>T-197</x:v>
      </x:c>
      <x:c r="B198" s="301" t="str">
        <x:v>M2a-P4</x:v>
      </x:c>
      <x:c r="C198" s="301" t="str">
        <x:v>Not Started</x:v>
      </x:c>
      <x:c r="D198" s="301" t="str">
        <x:v>Core platform / presentation-core lane</x:v>
      </x:c>
      <x:c r="E198" s="301" t="n">
        <x:v>10</x:v>
      </x:c>
      <x:c r="F198" s="301" t="str">
        <x:v>T-119; T-198</x:v>
      </x:c>
      <x:c r="G198" s="301"/>
      <x:c r="H198" s="301" t="str">
        <x:v>WAIT for Presentation RC freeze/tag + clean index/worktree. Then: T-119 + T-198</x:v>
      </x:c>
    </x:row>
    <x:row r="199">
      <x:c r="A199" s="301" t="str">
        <x:v>T-198</x:v>
      </x:c>
      <x:c r="B199" s="301" t="str">
        <x:v>M2a-P4</x:v>
      </x:c>
      <x:c r="C199" s="301" t="str">
        <x:v>Not Started</x:v>
      </x:c>
      <x:c r="D199" s="301" t="str">
        <x:v>Core platform / presentation-core lane</x:v>
      </x:c>
      <x:c r="E199" s="301" t="n">
        <x:v>12</x:v>
      </x:c>
      <x:c r="F199" s="301" t="str">
        <x:v>T-112; T-114; T-119</x:v>
      </x:c>
      <x:c r="G199" s="301"/>
      <x:c r="H199" s="301" t="str">
        <x:v>WAIT for Presentation RC freeze/tag + clean index/worktree. Then: T-112 + T-114 + T-119</x:v>
      </x:c>
    </x:row>
    <x:row r="200">
      <x:c r="A200" s="301" t="str">
        <x:v>T-199</x:v>
      </x:c>
      <x:c r="B200" s="301" t="str">
        <x:v>M2a-P4</x:v>
      </x:c>
      <x:c r="C200" s="301" t="str">
        <x:v>Not Started</x:v>
      </x:c>
      <x:c r="D200" s="301" t="str">
        <x:v>Core platform / presentation-core lane</x:v>
      </x:c>
      <x:c r="E200" s="301" t="n">
        <x:v>12</x:v>
      </x:c>
      <x:c r="F200" s="301" t="str">
        <x:v>T-124; T-198</x:v>
      </x:c>
      <x:c r="G200" s="301"/>
      <x:c r="H200" s="301" t="str">
        <x:v>WAIT for Presentation RC freeze/tag + clean index/worktree. Then: T-124 + T-198</x:v>
      </x:c>
    </x:row>
    <x:row r="201">
      <x:c r="A201" s="301" t="str">
        <x:v>T-200</x:v>
      </x:c>
      <x:c r="B201" s="301" t="str">
        <x:v>M2a-P4</x:v>
      </x:c>
      <x:c r="C201" s="301" t="str">
        <x:v>Not Started</x:v>
      </x:c>
      <x:c r="D201" s="301" t="str">
        <x:v>Core platform / presentation-core lane</x:v>
      </x:c>
      <x:c r="E201" s="301" t="n">
        <x:v>10</x:v>
      </x:c>
      <x:c r="F201" s="301" t="str">
        <x:v>T-113; T-119; T-216</x:v>
      </x:c>
      <x:c r="G201" s="301"/>
      <x:c r="H201" s="301" t="str">
        <x:v>WAIT for Presentation RC freeze/tag + clean index/worktree. Then: T-113 + T-119</x:v>
      </x:c>
    </x:row>
    <x:row r="202">
      <x:c r="A202" s="301" t="str">
        <x:v>T-201</x:v>
      </x:c>
      <x:c r="B202" s="301" t="str">
        <x:v>M2a-P0</x:v>
      </x:c>
      <x:c r="C202" s="301" t="str">
        <x:v>Not Started</x:v>
      </x:c>
      <x:c r="D202" s="301" t="str">
        <x:v>Worker 1</x:v>
      </x:c>
      <x:c r="E202" s="301" t="n">
        <x:v>4</x:v>
      </x:c>
      <x:c r="F202" s="301"/>
      <x:c r="G202" s="301"/>
      <x:c r="H202" s="301" t="str">
        <x:v>Start immediately. No later M2 mutating work begins on the shared tree before this close.</x:v>
      </x:c>
    </x:row>
    <x:row r="203">
      <x:c r="A203" s="301" t="str">
        <x:v>T-202</x:v>
      </x:c>
      <x:c r="B203" s="301" t="str">
        <x:v>M2a-P0</x:v>
      </x:c>
      <x:c r="C203" s="301" t="str">
        <x:v>Not Started</x:v>
      </x:c>
      <x:c r="D203" s="301" t="str">
        <x:v>Worker 2</x:v>
      </x:c>
      <x:c r="E203" s="301" t="n">
        <x:v>10</x:v>
      </x:c>
      <x:c r="F203" s="301" t="str">
        <x:v>T-201</x:v>
      </x:c>
      <x:c r="G203" s="301"/>
      <x:c r="H203" s="301" t="str">
        <x:v>T-201 committed/frozen baseline.</x:v>
      </x:c>
    </x:row>
    <x:row r="204">
      <x:c r="A204" s="301" t="str">
        <x:v>T-203</x:v>
      </x:c>
      <x:c r="B204" s="301" t="str">
        <x:v>M2a-P0</x:v>
      </x:c>
      <x:c r="C204" s="301" t="str">
        <x:v>Not Started</x:v>
      </x:c>
      <x:c r="D204" s="301" t="str">
        <x:v>Worker 2</x:v>
      </x:c>
      <x:c r="E204" s="301" t="n">
        <x:v>10</x:v>
      </x:c>
      <x:c r="F204" s="301" t="str">
        <x:v>T-201</x:v>
      </x:c>
      <x:c r="G204" s="301"/>
      <x:c r="H204" s="301" t="str">
        <x:v>T-201; may run in parallel with T-202 on non-overlapping test files.</x:v>
      </x:c>
    </x:row>
    <x:row r="205">
      <x:c r="A205" s="301" t="str">
        <x:v>T-204</x:v>
      </x:c>
      <x:c r="B205" s="301" t="str">
        <x:v>M2a-P0</x:v>
      </x:c>
      <x:c r="C205" s="301" t="str">
        <x:v>Not Started</x:v>
      </x:c>
      <x:c r="D205" s="301" t="str">
        <x:v>Worker 2</x:v>
      </x:c>
      <x:c r="E205" s="301" t="n">
        <x:v>10</x:v>
      </x:c>
      <x:c r="F205" s="301" t="str">
        <x:v>T-201</x:v>
      </x:c>
      <x:c r="G205" s="301"/>
      <x:c r="H205" s="301" t="str">
        <x:v>T-201; resolve current associative ownership first.</x:v>
      </x:c>
    </x:row>
    <x:row r="206">
      <x:c r="A206" s="301" t="str">
        <x:v>T-205</x:v>
      </x:c>
      <x:c r="B206" s="301" t="str">
        <x:v>M2a-P0</x:v>
      </x:c>
      <x:c r="C206" s="301" t="str">
        <x:v>Not Started</x:v>
      </x:c>
      <x:c r="D206" s="301" t="str">
        <x:v>Worker 2</x:v>
      </x:c>
      <x:c r="E206" s="301" t="n">
        <x:v>8</x:v>
      </x:c>
      <x:c r="F206" s="301" t="str">
        <x:v>T-201</x:v>
      </x:c>
      <x:c r="G206" s="301"/>
      <x:c r="H206" s="301" t="str">
        <x:v>T-201; independent of T-202/T-204 if test-runner files do not overlap.</x:v>
      </x:c>
    </x:row>
    <x:row r="207">
      <x:c r="A207" s="301" t="str">
        <x:v>T-206</x:v>
      </x:c>
      <x:c r="B207" s="301" t="str">
        <x:v>M2a-P0</x:v>
      </x:c>
      <x:c r="C207" s="301" t="str">
        <x:v>Not Started</x:v>
      </x:c>
      <x:c r="D207" s="301" t="str">
        <x:v>Worker 3</x:v>
      </x:c>
      <x:c r="E207" s="301" t="n">
        <x:v>8</x:v>
      </x:c>
      <x:c r="F207" s="301" t="str">
        <x:v>T-201</x:v>
      </x:c>
      <x:c r="G207" s="301"/>
      <x:c r="H207" s="301" t="str">
        <x:v>T-201. Isolated architecture test files only until each product owner consumes findings.</x:v>
      </x:c>
    </x:row>
    <x:row r="208">
      <x:c r="A208" s="301" t="str">
        <x:v>T-207</x:v>
      </x:c>
      <x:c r="B208" s="301" t="str">
        <x:v>M2a-P0</x:v>
      </x:c>
      <x:c r="C208" s="301" t="str">
        <x:v>Not Started</x:v>
      </x:c>
      <x:c r="D208" s="301" t="str">
        <x:v>Worker 1</x:v>
      </x:c>
      <x:c r="E208" s="301" t="n">
        <x:v>6</x:v>
      </x:c>
      <x:c r="F208" s="301" t="str">
        <x:v>T-201</x:v>
      </x:c>
      <x:c r="G208" s="301"/>
      <x:c r="H208" s="301" t="str">
        <x:v>T-201. Does not implement production OPC; truth-corrects the current connector contract only.</x:v>
      </x:c>
    </x:row>
    <x:row r="209">
      <x:c r="A209" s="301" t="str">
        <x:v>T-208</x:v>
      </x:c>
      <x:c r="B209" s="301" t="str">
        <x:v>M2a-P0</x:v>
      </x:c>
      <x:c r="C209" s="301" t="str">
        <x:v>Not Started</x:v>
      </x:c>
      <x:c r="D209" s="301" t="str">
        <x:v>Worker 3</x:v>
      </x:c>
      <x:c r="E209" s="301" t="n">
        <x:v>10</x:v>
      </x:c>
      <x:c r="F209" s="301" t="str">
        <x:v>T-201</x:v>
      </x:c>
      <x:c r="G209" s="301"/>
      <x:c r="H209" s="301" t="str">
        <x:v>T-201. May run in parallel with T-206; no production DB migration/DI.</x:v>
      </x:c>
    </x:row>
    <x:row r="210">
      <x:c r="A210" s="301" t="str">
        <x:v>T-209</x:v>
      </x:c>
      <x:c r="B210" s="301" t="str">
        <x:v>M2a-P1X</x:v>
      </x:c>
      <x:c r="C210" s="301" t="str">
        <x:v>Not Started</x:v>
      </x:c>
      <x:c r="D210" s="301" t="str">
        <x:v>Worker 3</x:v>
      </x:c>
      <x:c r="E210" s="301" t="n">
        <x:v>6</x:v>
      </x:c>
      <x:c r="F210" s="301" t="str">
        <x:v>T-208</x:v>
      </x:c>
      <x:c r="G210" s="301" t="str">
        <x:v>T-231; T-210; T-214; T-216</x:v>
      </x:c>
      <x:c r="H210" s="301" t="str">
        <x:v>T-208 only; no production DB dependency.</x:v>
      </x:c>
    </x:row>
    <x:row r="211">
      <x:c r="A211" s="301" t="str">
        <x:v>T-210</x:v>
      </x:c>
      <x:c r="B211" s="301" t="str">
        <x:v>M2a-P1X</x:v>
      </x:c>
      <x:c r="C211" s="301" t="str">
        <x:v>Not Started</x:v>
      </x:c>
      <x:c r="D211" s="301" t="str">
        <x:v>Worker 1</x:v>
      </x:c>
      <x:c r="E211" s="301" t="n">
        <x:v>12</x:v>
      </x:c>
      <x:c r="F211" s="301" t="str">
        <x:v>T-090; T-209</x:v>
      </x:c>
      <x:c r="G211" s="301" t="str">
        <x:v>T-092; T-211; T-212</x:v>
      </x:c>
      <x:c r="H211" s="301" t="str">
        <x:v>T-209 + T-090. Complete before T-092 exposes measures and before T-211 integration.</x:v>
      </x:c>
    </x:row>
    <x:row r="212">
      <x:c r="A212" s="301" t="str">
        <x:v>T-211</x:v>
      </x:c>
      <x:c r="B212" s="301" t="str">
        <x:v>M2b-P0C</x:v>
      </x:c>
      <x:c r="C212" s="301" t="str">
        <x:v>Not Started</x:v>
      </x:c>
      <x:c r="D212" s="301" t="str">
        <x:v>Worker 3</x:v>
      </x:c>
      <x:c r="E212" s="301" t="n">
        <x:v>10</x:v>
      </x:c>
      <x:c r="F212" s="301" t="str">
        <x:v>T-208; T-210</x:v>
      </x:c>
      <x:c r="G212" s="301"/>
      <x:c r="H212" s="301" t="str">
        <x:v>T-208 fixture + T-210 frozen contract. No production DI/persistence until consumer hand-off.</x:v>
      </x:c>
    </x:row>
    <x:row r="213">
      <x:c r="A213" s="301" t="str">
        <x:v>T-212</x:v>
      </x:c>
      <x:c r="B213" s="301" t="str">
        <x:v>M2a-P1X</x:v>
      </x:c>
      <x:c r="C213" s="301" t="str">
        <x:v>Not Started</x:v>
      </x:c>
      <x:c r="D213" s="301" t="str">
        <x:v>Worker 2</x:v>
      </x:c>
      <x:c r="E213" s="301" t="n">
        <x:v>10</x:v>
      </x:c>
      <x:c r="F213" s="301" t="str">
        <x:v>T-202; T-210; T-211; T-092</x:v>
      </x:c>
      <x:c r="G213" s="301"/>
      <x:c r="H213" s="301" t="str">
        <x:v>T-202 + T-210 + T-211 + T-092 registry projection.</x:v>
      </x:c>
    </x:row>
    <x:row r="214">
      <x:c r="A214" s="301" t="str">
        <x:v>T-213</x:v>
      </x:c>
      <x:c r="B214" s="301" t="str">
        <x:v>M2a-P1X</x:v>
      </x:c>
      <x:c r="C214" s="301" t="str">
        <x:v>Not Started</x:v>
      </x:c>
      <x:c r="D214" s="301" t="str">
        <x:v>Worker 1</x:v>
      </x:c>
      <x:c r="E214" s="301" t="n">
        <x:v>8</x:v>
      </x:c>
      <x:c r="F214" s="301" t="str">
        <x:v>T-092; T-231; T-210</x:v>
      </x:c>
      <x:c r="G214" s="301"/>
      <x:c r="H214" s="301" t="str">
        <x:v>T-092 + T-209 + T-210. Can begin the moment customer structure is available.</x:v>
      </x:c>
    </x:row>
    <x:row r="215">
      <x:c r="A215" s="301" t="str">
        <x:v>T-214</x:v>
      </x:c>
      <x:c r="B215" s="301" t="str">
        <x:v>M2a-P1X</x:v>
      </x:c>
      <x:c r="C215" s="301" t="str">
        <x:v>Not Started</x:v>
      </x:c>
      <x:c r="D215" s="301" t="str">
        <x:v>Worker 3</x:v>
      </x:c>
      <x:c r="E215" s="301" t="n">
        <x:v>6</x:v>
      </x:c>
      <x:c r="F215" s="301" t="str">
        <x:v>T-209</x:v>
      </x:c>
      <x:c r="G215" s="301" t="str">
        <x:v>T-232; T-215; T-223</x:v>
      </x:c>
      <x:c r="H215" s="301" t="str">
        <x:v>T-209 frozen generic subject contract.</x:v>
      </x:c>
    </x:row>
    <x:row r="216">
      <x:c r="A216" s="301" t="str">
        <x:v>T-215</x:v>
      </x:c>
      <x:c r="B216" s="301" t="str">
        <x:v>M2a-P1X</x:v>
      </x:c>
      <x:c r="C216" s="301" t="str">
        <x:v>Not Started</x:v>
      </x:c>
      <x:c r="D216" s="301" t="str">
        <x:v>Worker 2</x:v>
      </x:c>
      <x:c r="E216" s="301" t="n">
        <x:v>10</x:v>
      </x:c>
      <x:c r="F216" s="301" t="str">
        <x:v>T-092; T-214; T-232</x:v>
      </x:c>
      <x:c r="G216" s="301"/>
      <x:c r="H216" s="301" t="str">
        <x:v>T-092 + T-214.</x:v>
      </x:c>
    </x:row>
    <x:row r="217">
      <x:c r="A217" s="301" t="str">
        <x:v>T-216</x:v>
      </x:c>
      <x:c r="B217" s="301" t="str">
        <x:v>M2a-P1X</x:v>
      </x:c>
      <x:c r="C217" s="301" t="str">
        <x:v>Not Started</x:v>
      </x:c>
      <x:c r="D217" s="301" t="str">
        <x:v>Worker 3</x:v>
      </x:c>
      <x:c r="E217" s="301" t="n">
        <x:v>5</x:v>
      </x:c>
      <x:c r="F217" s="301" t="str">
        <x:v>T-208</x:v>
      </x:c>
      <x:c r="G217" s="301" t="str">
        <x:v>T-233; T-217</x:v>
      </x:c>
      <x:c r="H217" s="301" t="str">
        <x:v>T-208 fixture; no canonical DB dependency.</x:v>
      </x:c>
    </x:row>
    <x:row r="218">
      <x:c r="A218" s="301" t="str">
        <x:v>T-217</x:v>
      </x:c>
      <x:c r="B218" s="301" t="str">
        <x:v>M2b-P0C</x:v>
      </x:c>
      <x:c r="C218" s="301" t="str">
        <x:v>Not Started</x:v>
      </x:c>
      <x:c r="D218" s="301" t="str">
        <x:v>Worker 3</x:v>
      </x:c>
      <x:c r="E218" s="301" t="n">
        <x:v>10</x:v>
      </x:c>
      <x:c r="F218" s="301" t="str">
        <x:v>T-208; T-216</x:v>
      </x:c>
      <x:c r="G218" s="301" t="str">
        <x:v>T-219</x:v>
      </x:c>
      <x:c r="H218" s="301" t="str">
        <x:v>T-208 fixture + T-216 frozen contract.</x:v>
      </x:c>
    </x:row>
    <x:row r="219">
      <x:c r="A219" s="301" t="str">
        <x:v>T-218</x:v>
      </x:c>
      <x:c r="B219" s="301" t="str">
        <x:v>M2b-P0C</x:v>
      </x:c>
      <x:c r="C219" s="301" t="str">
        <x:v>Not Started</x:v>
      </x:c>
      <x:c r="D219" s="301" t="str">
        <x:v>Worker 3</x:v>
      </x:c>
      <x:c r="E219" s="301" t="n">
        <x:v>8</x:v>
      </x:c>
      <x:c r="F219" s="301" t="str">
        <x:v>T-208</x:v>
      </x:c>
      <x:c r="G219" s="301" t="str">
        <x:v>T-219</x:v>
      </x:c>
      <x:c r="H219" s="301" t="str">
        <x:v>T-090 semantic definitions + T-208 fixture. Persistence waits for T-112/T-114; pure kernel may start earlier.</x:v>
      </x:c>
    </x:row>
    <x:row r="220">
      <x:c r="A220" s="301" t="str">
        <x:v>T-219</x:v>
      </x:c>
      <x:c r="B220" s="301" t="str">
        <x:v>M2b-P0C</x:v>
      </x:c>
      <x:c r="C220" s="301" t="str">
        <x:v>Not Started</x:v>
      </x:c>
      <x:c r="D220" s="301" t="str">
        <x:v>Worker 3</x:v>
      </x:c>
      <x:c r="E220" s="301" t="n">
        <x:v>12</x:v>
      </x:c>
      <x:c r="F220" s="301" t="str">
        <x:v>T-217; T-218</x:v>
      </x:c>
      <x:c r="G220" s="301" t="str">
        <x:v>T-220; T-221</x:v>
      </x:c>
      <x:c r="H220" s="301" t="str">
        <x:v>T-217 + T-218.</x:v>
      </x:c>
    </x:row>
    <x:row r="221">
      <x:c r="A221" s="301" t="str">
        <x:v>T-220</x:v>
      </x:c>
      <x:c r="B221" s="301" t="str">
        <x:v>M2b-P0C</x:v>
      </x:c>
      <x:c r="C221" s="301" t="str">
        <x:v>Not Started</x:v>
      </x:c>
      <x:c r="D221" s="301" t="str">
        <x:v>Worker 3</x:v>
      </x:c>
      <x:c r="E221" s="301" t="n">
        <x:v>8</x:v>
      </x:c>
      <x:c r="F221" s="301" t="str">
        <x:v>T-219</x:v>
      </x:c>
      <x:c r="G221" s="301" t="str">
        <x:v>T-221; T-223</x:v>
      </x:c>
      <x:c r="H221" s="301" t="str">
        <x:v>T-219 + existing claim-class rules.</x:v>
      </x:c>
    </x:row>
    <x:row r="222">
      <x:c r="A222" s="301" t="str">
        <x:v>T-221</x:v>
      </x:c>
      <x:c r="B222" s="301" t="str">
        <x:v>M2b-P0C</x:v>
      </x:c>
      <x:c r="C222" s="301" t="str">
        <x:v>Not Started</x:v>
      </x:c>
      <x:c r="D222" s="301" t="str">
        <x:v>Worker 3</x:v>
      </x:c>
      <x:c r="E222" s="301" t="n">
        <x:v>12</x:v>
      </x:c>
      <x:c r="F222" s="301" t="str">
        <x:v>T-112; T-114; T-090; T-095; T-096; T-219; T-220; T-233</x:v>
      </x:c>
      <x:c r="G222" s="301" t="str">
        <x:v>T-222; T-223</x:v>
      </x:c>
      <x:c r="H222" s="301" t="str">
        <x:v>T-112 + T-114 + T-090 + T-095/T-096 + T-219 + T-220. If security hand-off is not green, remain on pure-kernel evidence and do not create insecure tables.</x:v>
      </x:c>
    </x:row>
    <x:row r="223">
      <x:c r="A223" s="301" t="str">
        <x:v>T-222</x:v>
      </x:c>
      <x:c r="B223" s="301" t="str">
        <x:v>M2b-P0C</x:v>
      </x:c>
      <x:c r="C223" s="301" t="str">
        <x:v>Not Started</x:v>
      </x:c>
      <x:c r="D223" s="301" t="str">
        <x:v>Worker 2</x:v>
      </x:c>
      <x:c r="E223" s="301" t="n">
        <x:v>10</x:v>
      </x:c>
      <x:c r="F223" s="301" t="str">
        <x:v>T-221; T-215; T-203; T-204</x:v>
      </x:c>
      <x:c r="G223" s="301"/>
      <x:c r="H223" s="301" t="str">
        <x:v>T-221 + T-215 + T-203/T-204 gates.</x:v>
      </x:c>
    </x:row>
    <x:row r="224">
      <x:c r="A224" s="301" t="str">
        <x:v>T-223</x:v>
      </x:c>
      <x:c r="B224" s="301" t="str">
        <x:v>M2b-P0C</x:v>
      </x:c>
      <x:c r="C224" s="301" t="str">
        <x:v>Not Started</x:v>
      </x:c>
      <x:c r="D224" s="301" t="str">
        <x:v>Worker 3</x:v>
      </x:c>
      <x:c r="E224" s="301" t="n">
        <x:v>10</x:v>
      </x:c>
      <x:c r="F224" s="301" t="str">
        <x:v>T-179; T-180; T-181; T-214; T-221</x:v>
      </x:c>
      <x:c r="G224" s="301"/>
      <x:c r="H224" s="301" t="str">
        <x:v>T-179/T-180/T-181 CLOSED + T-214 + T-221. Integrate without reopening planner architecture.</x:v>
      </x:c>
    </x:row>
    <x:row r="225">
      <x:c r="A225" s="301" t="str">
        <x:v>T-224</x:v>
      </x:c>
      <x:c r="B225" s="301" t="str">
        <x:v>M3-P0</x:v>
      </x:c>
      <x:c r="C225" s="301" t="str">
        <x:v>Not Started</x:v>
      </x:c>
      <x:c r="D225" s="301" t="str">
        <x:v>Worker 1</x:v>
      </x:c>
      <x:c r="E225" s="301" t="n">
        <x:v>12</x:v>
      </x:c>
      <x:c r="F225" s="301" t="str">
        <x:v>T-207</x:v>
      </x:c>
      <x:c r="G225" s="301"/>
      <x:c r="H225" s="301" t="str">
        <x:v>After 30-Sep demo unless customer OT access arrives earlier; T-207 connector truth must be green.</x:v>
      </x:c>
    </x:row>
    <x:row r="226">
      <x:c r="A226" s="301" t="str">
        <x:v>T-225</x:v>
      </x:c>
      <x:c r="B226" s="301" t="str">
        <x:v>M3-P0</x:v>
      </x:c>
      <x:c r="C226" s="301" t="str">
        <x:v>Not Started</x:v>
      </x:c>
      <x:c r="D226" s="301" t="str">
        <x:v>Worker 1</x:v>
      </x:c>
      <x:c r="E226" s="301" t="n">
        <x:v>12</x:v>
      </x:c>
      <x:c r="F226" s="301" t="str">
        <x:v>T-224</x:v>
      </x:c>
      <x:c r="G226" s="301"/>
      <x:c r="H226" s="301" t="str">
        <x:v>T-224.</x:v>
      </x:c>
    </x:row>
    <x:row r="227">
      <x:c r="A227" s="301" t="str">
        <x:v>T-226</x:v>
      </x:c>
      <x:c r="B227" s="301" t="str">
        <x:v>M3-P0</x:v>
      </x:c>
      <x:c r="C227" s="301" t="str">
        <x:v>Not Started</x:v>
      </x:c>
      <x:c r="D227" s="301" t="str">
        <x:v>Worker 1</x:v>
      </x:c>
      <x:c r="E227" s="301" t="n">
        <x:v>12</x:v>
      </x:c>
      <x:c r="F227" s="301" t="str">
        <x:v>T-225; T-233</x:v>
      </x:c>
      <x:c r="G227" s="301"/>
      <x:c r="H227" s="301" t="str">
        <x:v>T-225 + T-216 Source Time Authority.</x:v>
      </x:c>
    </x:row>
    <x:row r="228">
      <x:c r="A228" s="301" t="str">
        <x:v>T-227</x:v>
      </x:c>
      <x:c r="B228" s="301" t="str">
        <x:v>M3-P0</x:v>
      </x:c>
      <x:c r="C228" s="301" t="str">
        <x:v>Not Started</x:v>
      </x:c>
      <x:c r="D228" s="301" t="str">
        <x:v>Worker 1</x:v>
      </x:c>
      <x:c r="E228" s="301" t="n">
        <x:v>6</x:v>
      </x:c>
      <x:c r="F228" s="301" t="str">
        <x:v>T-213</x:v>
      </x:c>
      <x:c r="G228" s="301"/>
      <x:c r="H228" s="301" t="str">
        <x:v>Prepare before installation; can start after customer data assessment T-213.</x:v>
      </x:c>
    </x:row>
    <x:row r="229">
      <x:c r="A229" s="301" t="str">
        <x:v>T-228</x:v>
      </x:c>
      <x:c r="B229" s="301" t="str">
        <x:v>M2b-P0D</x:v>
      </x:c>
      <x:c r="C229" s="301" t="str">
        <x:v>Not Started</x:v>
      </x:c>
      <x:c r="D229" s="301" t="str">
        <x:v>Worker 3</x:v>
      </x:c>
      <x:c r="E229" s="301" t="n">
        <x:v>10</x:v>
      </x:c>
      <x:c r="F229" s="301" t="str">
        <x:v>T-090; T-092; T-134; T-179; T-180; T-181</x:v>
      </x:c>
      <x:c r="G229" s="301" t="str">
        <x:v>T-229</x:v>
      </x:c>
      <x:c r="H229" s="301" t="str">
        <x:v>After September customer RC; T-090/T-092 + T-134 + T-179..181.</x:v>
      </x:c>
    </x:row>
    <x:row r="230">
      <x:c r="A230" s="301" t="str">
        <x:v>T-229</x:v>
      </x:c>
      <x:c r="B230" s="301" t="str">
        <x:v>M2b-P0D</x:v>
      </x:c>
      <x:c r="C230" s="301" t="str">
        <x:v>Not Started</x:v>
      </x:c>
      <x:c r="D230" s="301" t="str">
        <x:v>Worker 3</x:v>
      </x:c>
      <x:c r="E230" s="301" t="n">
        <x:v>12</x:v>
      </x:c>
      <x:c r="F230" s="301" t="str">
        <x:v>T-228; T-134</x:v>
      </x:c>
      <x:c r="G230" s="301" t="str">
        <x:v>T-230</x:v>
      </x:c>
      <x:c r="H230" s="301" t="str">
        <x:v>T-228 + T-134 + stable Page Builder contract; coordinate UI consumption with Worker 2.</x:v>
      </x:c>
    </x:row>
    <x:row r="231">
      <x:c r="A231" s="301" t="str">
        <x:v>T-230</x:v>
      </x:c>
      <x:c r="B231" s="301" t="str">
        <x:v>M2b-P0D</x:v>
      </x:c>
      <x:c r="C231" s="301" t="str">
        <x:v>Not Started</x:v>
      </x:c>
      <x:c r="D231" s="301" t="str">
        <x:v>Worker 3</x:v>
      </x:c>
      <x:c r="E231" s="301" t="n">
        <x:v>12</x:v>
      </x:c>
      <x:c r="F231" s="301" t="str">
        <x:v>T-229; T-112; T-114</x:v>
      </x:c>
      <x:c r="G231" s="301"/>
      <x:c r="H231" s="301" t="str">
        <x:v>T-229 + canonical definition/evidence persistence + T-112/T-114.</x:v>
      </x:c>
    </x:row>
    <x:row r="232">
      <x:c r="A232" s="301" t="str">
        <x:v>T-231</x:v>
      </x:c>
      <x:c r="B232" s="301" t="str">
        <x:v>M2a-P1X</x:v>
      </x:c>
      <x:c r="C232" s="301" t="str">
        <x:v>Not Started</x:v>
      </x:c>
      <x:c r="D232" s="301" t="str">
        <x:v>Worker 1</x:v>
      </x:c>
      <x:c r="E232" s="301" t="n">
        <x:v>6</x:v>
      </x:c>
      <x:c r="F232" s="301" t="str">
        <x:v>T-090; T-209</x:v>
      </x:c>
      <x:c r="G232" s="301" t="str">
        <x:v>T-092; T-128; T-139; T-213</x:v>
      </x:c>
      <x:c r="H232" s="301" t="str">
        <x:v>T-090 + committed T-209 contract.</x:v>
      </x:c>
    </x:row>
    <x:row r="233">
      <x:c r="A233" s="301" t="str">
        <x:v>T-232</x:v>
      </x:c>
      <x:c r="B233" s="301" t="str">
        <x:v>M2a-P1X</x:v>
      </x:c>
      <x:c r="C233" s="301" t="str">
        <x:v>Not Started</x:v>
      </x:c>
      <x:c r="D233" s="301" t="str">
        <x:v>Worker 1</x:v>
      </x:c>
      <x:c r="E233" s="301" t="n">
        <x:v>6</x:v>
      </x:c>
      <x:c r="F233" s="301" t="str">
        <x:v>T-090; T-231; T-214</x:v>
      </x:c>
      <x:c r="G233" s="301" t="str">
        <x:v>T-215</x:v>
      </x:c>
      <x:c r="H233" s="301" t="str">
        <x:v>T-090 + T-231 + committed T-214 contract.</x:v>
      </x:c>
    </x:row>
    <x:row r="234">
      <x:c r="A234" s="301" t="str">
        <x:v>T-233</x:v>
      </x:c>
      <x:c r="B234" s="301" t="str">
        <x:v>M2a-P1X</x:v>
      </x:c>
      <x:c r="C234" s="301" t="str">
        <x:v>Not Started</x:v>
      </x:c>
      <x:c r="D234" s="301" t="str">
        <x:v>Worker 1</x:v>
      </x:c>
      <x:c r="E234" s="301" t="n">
        <x:v>5</x:v>
      </x:c>
      <x:c r="F234" s="301" t="str">
        <x:v>T-087; T-090; T-216</x:v>
      </x:c>
      <x:c r="G234" s="301" t="str">
        <x:v>T-221; T-226</x:v>
      </x:c>
      <x:c r="H234" s="301" t="str">
        <x:v>T-087 + T-090 + committed T-216 contract.</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8" hidden="0" customWidth="1"/>
    <x:col min="2" max="2" width="20" hidden="0" customWidth="1"/>
    <x:col min="3" max="3" width="20" hidden="0" customWidth="1"/>
    <x:col min="4" max="4" width="48" hidden="0" customWidth="1"/>
    <x:col min="5" max="5" width="48" hidden="0" customWidth="1"/>
  </x:cols>
  <x:sheetData>
    <x:row r="1">
      <x:c r="A1" s="528" t="str">
        <x:v>Change</x:v>
      </x:c>
      <x:c r="B1" s="528" t="str">
        <x:v>Type</x:v>
      </x:c>
      <x:c r="C1" s="528" t="str">
        <x:v>Owner</x:v>
      </x:c>
      <x:c r="D1" s="528" t="str">
        <x:v>Ruling</x:v>
      </x:c>
      <x:c r="E1" s="528" t="str">
        <x:v>Reason</x:v>
      </x:c>
      <x:c r="F1" s="301"/>
      <x:c r="G1" s="301"/>
      <x:c r="H1" s="301"/>
      <x:c r="I1" s="301"/>
      <x:c r="J1" s="301"/>
      <x:c r="K1" s="301"/>
      <x:c r="L1" s="301"/>
      <x:c r="M1" s="301"/>
      <x:c r="N1" s="301"/>
      <x:c r="O1" s="301"/>
      <x:c r="P1" s="301"/>
      <x:c r="Q1" s="301"/>
      <x:c r="R1" s="301"/>
      <x:c r="S1" s="301"/>
      <x:c r="T1" s="301"/>
      <x:c r="U1" s="301"/>
      <x:c r="V1" s="301"/>
      <x:c r="W1" s="301"/>
      <x:c r="X1" s="301"/>
      <x:c r="Y1" s="301"/>
      <x:c r="Z1" s="301"/>
    </x:row>
    <x:row r="2">
      <x:c r="A2" s="301" t="str">
        <x:v>v4.9/v2.13 authority</x:v>
      </x:c>
      <x:c r="B2" s="301" t="str">
        <x:v>Design+Programme</x:v>
      </x:c>
      <x:c r="C2" s="301" t="str">
        <x:v>Tech Lead</x:v>
      </x:c>
      <x:c r="D2" s="301" t="str">
        <x:v>Six chapters + one workbook remain sole current authority.</x:v>
      </x:c>
      <x:c r="E2" s="301" t="str">
        <x:v>Customer review exposed generic gaps; no satellite authority created.</x:v>
      </x:c>
    </x:row>
    <x:row r="3">
      <x:c r="A3" s="301" t="str">
        <x:v>GAP-B transition/stabilisation</x:v>
      </x:c>
      <x:c r="B3" s="301" t="str">
        <x:v>Correctness</x:v>
      </x:c>
      <x:c r="C3" s="301" t="str">
        <x:v>T-234/T-235/T-236</x:v>
      </x:c>
      <x:c r="D3" s="301" t="str">
        <x:v>Add before customer history analysis.</x:v>
      </x:c>
      <x:c r="E3" s="301" t="str">
        <x:v>Prevents ramp-up/changeover confounding and mixed-regime aggregates.</x:v>
      </x:c>
    </x:row>
    <x:row r="4">
      <x:c r="A4" s="301" t="str">
        <x:v>Period driver decomposition</x:v>
      </x:c>
      <x:c r="B4" s="301" t="str">
        <x:v>Exact Layer A</x:v>
      </x:c>
      <x:c r="C4" s="301" t="str">
        <x:v>T-237</x:v>
      </x:c>
      <x:c r="D4" s="301" t="str">
        <x:v>September Customer Important; not causal and not money engine.</x:v>
      </x:c>
      <x:c r="E4" s="301" t="str">
        <x:v>Answers why periods differ using exact registered facts.</x:v>
      </x:c>
    </x:row>
    <x:row r="5">
      <x:c r="A5" s="301" t="str">
        <x:v>GAP-A multi-objective practice</x:v>
      </x:c>
      <x:c r="B5" s="301" t="str">
        <x:v>Intelligence</x:v>
      </x:c>
      <x:c r="C5" s="301" t="str">
        <x:v>T-238/T-239/T-240</x:v>
      </x:c>
      <x:c r="D5" s="301" t="str">
        <x:v>Add to M2; post-Sep commitment.</x:v>
      </x:c>
      <x:c r="E5" s="301" t="str">
        <x:v>Best practice must respect trade-offs; no default weights.</x:v>
      </x:c>
    </x:row>
    <x:row r="6">
      <x:c r="A6" s="301" t="str">
        <x:v>T-087 checkpoint</x:v>
      </x:c>
      <x:c r="B6" s="301" t="str">
        <x:v>Schedule</x:v>
      </x:c>
      <x:c r="C6" s="301" t="str">
        <x:v>Worker 1</x:v>
      </x:c>
      <x:c r="D6" s="301" t="str">
        <x:v>Hard checkpoint 5-Sep-2026 with declared compatibility fallback.</x:v>
      </x:c>
      <x:c r="E6" s="301" t="str">
        <x:v>Visible paths share W1 prefix.</x:v>
      </x:c>
    </x:row>
    <x:row r="7">
      <x:c r="A7" s="301" t="str">
        <x:v>T-208 fixture expansion</x:v>
      </x:c>
      <x:c r="B7" s="301" t="str">
        <x:v>Validation</x:v>
      </x:c>
      <x:c r="C7" s="301" t="str">
        <x:v>Worker 3</x:v>
      </x:c>
      <x:c r="D7" s="301" t="str">
        <x:v>Add regime confounding + Pareto known-answer phenomena.</x:v>
      </x:c>
      <x:c r="E7" s="301" t="str">
        <x:v>Controlled data falsifies new semantics.</x:v>
      </x:c>
    </x:row>
    <x:row r="8">
      <x:c r="A8" s="301" t="str">
        <x:v>T-164 integration</x:v>
      </x:c>
      <x:c r="B8" s="301" t="str">
        <x:v>Value</x:v>
      </x:c>
      <x:c r="C8" s="301" t="str">
        <x:v>Worker 1</x:v>
      </x:c>
      <x:c r="D8" s="301" t="str">
        <x:v>Consume T-237/T-235 exact quantities; retain bounded monetary authority.</x:v>
      </x:c>
      <x:c r="E8" s="301" t="str">
        <x:v>Do not invent money in period comparison.</x:v>
      </x:c>
    </x:row>
    <x:row r="9">
      <x:c r="A9" s="301" t="str">
        <x:v>T-150 composition</x:v>
      </x:c>
      <x:c r="B9" s="301" t="str">
        <x:v>Release Truth</x:v>
      </x:c>
      <x:c r="C9" s="301" t="str">
        <x:v>Testing</x:v>
      </x:c>
      <x:c r="D9" s="301" t="str">
        <x:v>Final pipeline composes RG01/MO01/MO02 gates without redefining them.</x:v>
      </x:c>
      <x:c r="E9" s="301" t="str">
        <x:v>Keeps final CI closure unbypassable.</x:v>
      </x:c>
    </x:row>
    <x:row r="10">
      <x:c r="A10" s="301" t="str">
        <x:v>T-057 dependency direction cleanup</x:v>
      </x:c>
      <x:c r="B10" s="301" t="str">
        <x:v>Backlog integrity</x:v>
      </x:c>
      <x:c r="C10" s="301" t="str">
        <x:v>Tech Lead</x:v>
      </x:c>
      <x:c r="D10" s="301" t="str">
        <x:v>AP = T-039; AQ = T-095. Removed future canonical tasks from the predecessor column of an already-closed M1 task.</x:v>
      </x:c>
      <x:c r="E10" s="301" t="str">
        <x:v>Eliminates a machine-readable T-057↔T-095 cycle and restores dependency direction truth.</x:v>
      </x:c>
    </x:row>
    <x:row r="11">
      <x:c r="A11" s="301" t="str">
        <x:v>T-064 dependency direction cleanup</x:v>
      </x:c>
      <x:c r="B11" s="301" t="str">
        <x:v>Backlog integrity</x:v>
      </x:c>
      <x:c r="C11" s="301" t="str">
        <x:v>Tech Lead</x:v>
      </x:c>
      <x:c r="D11" s="301" t="str">
        <x:v>AP=T-039; AQ=T-106.</x:v>
      </x:c>
      <x:c r="E11" s="301" t="str">
        <x:v>Removes closed-M1 ↔ future canonical convergence cycle.</x:v>
      </x:c>
    </x:row>
    <x:row r="12">
      <x:c r="A12" s="301" t="str">
        <x:v>T-127/T-194 direction cleanup</x:v>
      </x:c>
      <x:c r="B12" s="301" t="str">
        <x:v>Backlog integrity</x:v>
      </x:c>
      <x:c r="C12" s="301" t="str">
        <x:v>Tech Lead</x:v>
      </x:c>
      <x:c r="D12" s="301" t="str">
        <x:v>T-194 moved from Depends On to Must Precede.</x:v>
      </x:c>
      <x:c r="E12" s="301" t="str">
        <x:v>The backlog prose already says T-194 runs after continuity; graph now matches it.</x:v>
      </x:c>
    </x:row>
    <x:row r="13">
      <x:c r="A13" s="301" t="str">
        <x:v>T-177 downstream direction cleanup</x:v>
      </x:c>
      <x:c r="B13" s="301" t="str">
        <x:v>Backlog integrity</x:v>
      </x:c>
      <x:c r="C13" s="301" t="str">
        <x:v>Tech Lead</x:v>
      </x:c>
      <x:c r="D13" s="301" t="str">
        <x:v>Future T-147/T-146 moved to Must Precede; no machine predecessor added to closed SAFE-NOW kernel.</x:v>
      </x:c>
      <x:c r="E13" s="301" t="str">
        <x:v>Removes statistical-kernel/cutover cycle without changing scope.</x:v>
      </x:c>
    </x:row>
    <x:row r="14">
      <x:c r="A14" s="301" t="str">
        <x:v>T-236 SAFE-NOW dependency correction</x:v>
      </x:c>
      <x:c r="B14" s="301" t="str">
        <x:v>Schedule/architecture</x:v>
      </x:c>
      <x:c r="C14" s="301" t="str">
        <x:v>Tech Lead</x:v>
      </x:c>
      <x:c r="D14" s="301" t="str">
        <x:v>Remove T-210 persistence dependency from isolated regime guard; T-212 owns production Layer-A binding.</x:v>
      </x:c>
      <x:c r="E14" s="301" t="str">
        <x:v>Preserves fallback: reconciliation/Assistant kernels remain independent of the W1 canonical chain while final widget aggregation still consumes canonical semantics.</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2" hidden="0" customWidth="1"/>
    <x:col min="2" max="2" width="36" hidden="0" customWidth="1"/>
    <x:col min="3" max="3" width="34" hidden="0" customWidth="1"/>
    <x:col min="4" max="4" width="32" hidden="0" customWidth="1"/>
    <x:col min="5" max="5" width="32" hidden="0" customWidth="1"/>
    <x:col min="6" max="6" width="32" hidden="0" customWidth="1"/>
  </x:cols>
  <x:sheetData>
    <x:row r="1">
      <x:c r="A1" s="528" t="str">
        <x:v>Priority</x:v>
      </x:c>
      <x:c r="B1" s="528" t="str">
        <x:v>Capability</x:v>
      </x:c>
      <x:c r="C1" s="528" t="str">
        <x:v>Task(s)</x:v>
      </x:c>
      <x:c r="D1" s="528" t="str">
        <x:v>30-Sep Commitment</x:v>
      </x:c>
      <x:c r="E1" s="528" t="str">
        <x:v>Trial/Post-Sep</x:v>
      </x:c>
      <x:c r="F1" s="528" t="str">
        <x:v>Ruling</x:v>
      </x:c>
      <x:c r="G1" s="301"/>
      <x:c r="H1" s="301"/>
      <x:c r="I1" s="301"/>
      <x:c r="J1" s="301"/>
      <x:c r="K1" s="301"/>
      <x:c r="L1" s="301"/>
      <x:c r="M1" s="301"/>
      <x:c r="N1" s="301"/>
      <x:c r="O1" s="301"/>
      <x:c r="P1" s="301"/>
      <x:c r="Q1" s="301"/>
      <x:c r="R1" s="301"/>
      <x:c r="S1" s="301"/>
      <x:c r="T1" s="301"/>
      <x:c r="U1" s="301"/>
      <x:c r="V1" s="301"/>
      <x:c r="W1" s="301"/>
      <x:c r="X1" s="301"/>
      <x:c r="Y1" s="301"/>
      <x:c r="Z1" s="301"/>
    </x:row>
    <x:row r="2">
      <x:c r="A2" s="301" t="str">
        <x:v>P0</x:v>
      </x:c>
      <x:c r="B2" s="301" t="str">
        <x:v>Product Truth / tests</x:v>
      </x:c>
      <x:c r="C2" s="301" t="str">
        <x:v>T-202..T-205</x:v>
      </x:c>
      <x:c r="D2" s="301" t="str">
        <x:v>YES</x:v>
      </x:c>
      <x:c r="E2" s="301" t="str"/>
      <x:c r="F2" s="301" t="str">
        <x:v>Must catch browser-class failures automatically.</x:v>
      </x:c>
    </x:row>
    <x:row r="3">
      <x:c r="A3" s="301" t="str">
        <x:v>P0</x:v>
      </x:c>
      <x:c r="B3" s="301" t="str">
        <x:v>Transition/stabilisation correctness</x:v>
      </x:c>
      <x:c r="C3" s="301" t="str">
        <x:v>T-234..T-236</x:v>
      </x:c>
      <x:c r="D3" s="301" t="str">
        <x:v>YES</x:v>
      </x:c>
      <x:c r="E3" s="301" t="str"/>
      <x:c r="F3" s="301" t="str">
        <x:v>No customer-history statistical certification before RG01 guard.</x:v>
      </x:c>
    </x:row>
    <x:row r="4">
      <x:c r="A4" s="301" t="str">
        <x:v>P0</x:v>
      </x:c>
      <x:c r="B4" s="301" t="str">
        <x:v>Canonical generic onboarding</x:v>
      </x:c>
      <x:c r="C4" s="301" t="str">
        <x:v>T-086→T-088→T-087→T-089→T-090→T-210/T-231→T-092</x:v>
      </x:c>
      <x:c r="D4" s="301" t="str">
        <x:v>YES with 5-Sep checkpoint</x:v>
      </x:c>
      <x:c r="E4" s="301" t="str"/>
      <x:c r="F4" s="301" t="str">
        <x:v>Fallback labels configured vs executed honestly.</x:v>
      </x:c>
    </x:row>
    <x:row r="5">
      <x:c r="A5" s="301" t="str">
        <x:v>P1</x:v>
      </x:c>
      <x:c r="B5" s="301" t="str">
        <x:v>Performance References</x:v>
      </x:c>
      <x:c r="C5" s="301" t="str">
        <x:v>T-214/T-232/T-215</x:v>
      </x:c>
      <x:c r="D5" s="301" t="str">
        <x:v>YES</x:v>
      </x:c>
      <x:c r="E5" s="301" t="str"/>
      <x:c r="F5" s="301" t="str">
        <x:v>Top customer KPIs/parameters.</x:v>
      </x:c>
    </x:row>
    <x:row r="6">
      <x:c r="A6" s="301" t="str">
        <x:v>P1</x:v>
      </x:c>
      <x:c r="B6" s="301" t="str">
        <x:v>Historical Evidence Reconciliation</x:v>
      </x:c>
      <x:c r="C6" s="301" t="str">
        <x:v>T-217..T-220,T-222,T-223</x:v>
      </x:c>
      <x:c r="D6" s="301" t="str">
        <x:v>YES</x:v>
      </x:c>
      <x:c r="E6" s="301" t="str"/>
      <x:c r="F6" s="301" t="str">
        <x:v>Primary differentiator; historical sources, no live OPC dependency.</x:v>
      </x:c>
    </x:row>
    <x:row r="7">
      <x:c r="A7" s="301" t="str">
        <x:v>P1</x:v>
      </x:c>
      <x:c r="B7" s="301" t="str">
        <x:v>Operational Period Driver Decomposition</x:v>
      </x:c>
      <x:c r="C7" s="301" t="str">
        <x:v>T-237</x:v>
      </x:c>
      <x:c r="D7" s="301" t="str">
        <x:v>TARGET / customer-important</x:v>
      </x:c>
      <x:c r="E7" s="301" t="str"/>
      <x:c r="F7" s="301" t="str">
        <x:v>Exact what-changed story; no causal/€ overclaim.</x:v>
      </x:c>
    </x:row>
    <x:row r="8">
      <x:c r="A8" s="301" t="str">
        <x:v>P2</x:v>
      </x:c>
      <x:c r="B8" s="301" t="str">
        <x:v>Multi-objective best practice</x:v>
      </x:c>
      <x:c r="C8" s="301" t="str">
        <x:v>T-238..T-240</x:v>
      </x:c>
      <x:c r="D8" s="301" t="str">
        <x:v>NO</x:v>
      </x:c>
      <x:c r="E8" s="301" t="str">
        <x:v>YES</x:v>
      </x:c>
      <x:c r="F8" s="301" t="str">
        <x:v>Kernel may start only if September-critical lane is safe.</x:v>
      </x:c>
    </x:row>
    <x:row r="9">
      <x:c r="A9" s="301" t="str">
        <x:v>P2</x:v>
      </x:c>
      <x:c r="B9" s="301" t="str">
        <x:v>Live production OPC / InsightBoardPlan</x:v>
      </x:c>
      <x:c r="C9" s="301" t="str">
        <x:v>T-224..T-226 / T-228..T-230</x:v>
      </x:c>
      <x:c r="D9" s="301" t="str">
        <x:v>NO</x:v>
      </x:c>
      <x:c r="E9" s="301" t="str">
        <x:v>YES</x:v>
      </x:c>
      <x:c r="F9" s="301" t="str">
        <x:v>Trial/post-Sep; do not fake live connection or generator.</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14" hidden="0" customWidth="1"/>
    <x:col min="2" max="2" width="44" hidden="0" customWidth="1"/>
    <x:col min="3" max="3" width="40" hidden="0" customWidth="1"/>
    <x:col min="4" max="4" width="24" hidden="0" customWidth="1"/>
    <x:col min="5" max="5" width="44" hidden="0" customWidth="1"/>
    <x:col min="6" max="6" width="36" hidden="0" customWidth="1"/>
  </x:cols>
  <x:sheetData>
    <x:row r="1">
      <x:c r="A1" s="528" t="str">
        <x:v>ID</x:v>
      </x:c>
      <x:c r="B1" s="528" t="str">
        <x:v>Ruling</x:v>
      </x:c>
      <x:c r="C1" s="528" t="str">
        <x:v>Forbids</x:v>
      </x:c>
      <x:c r="D1" s="528" t="str">
        <x:v>Owned by</x:v>
      </x:c>
      <x:c r="E1" s="528" t="str">
        <x:v>Acceptance</x:v>
      </x:c>
      <x:c r="F1" s="528" t="str">
        <x:v>Reason</x:v>
      </x:c>
      <x:c r="G1" s="301"/>
      <x:c r="H1" s="301"/>
      <x:c r="I1" s="301"/>
      <x:c r="J1" s="301"/>
      <x:c r="K1" s="301"/>
      <x:c r="L1" s="301"/>
      <x:c r="M1" s="301"/>
      <x:c r="N1" s="301"/>
      <x:c r="O1" s="301"/>
      <x:c r="P1" s="301"/>
      <x:c r="Q1" s="301"/>
      <x:c r="R1" s="301"/>
      <x:c r="S1" s="301"/>
      <x:c r="T1" s="301"/>
      <x:c r="U1" s="301"/>
      <x:c r="V1" s="301"/>
      <x:c r="W1" s="301"/>
      <x:c r="X1" s="301"/>
      <x:c r="Y1" s="301"/>
      <x:c r="Z1" s="301"/>
    </x:row>
    <x:row r="2">
      <x:c r="A2" s="301" t="str">
        <x:v>CR-13-01</x:v>
      </x:c>
      <x:c r="B2" s="301" t="str">
        <x:v>A process transition is first-class context, not downtime by default.</x:v>
      </x:c>
      <x:c r="C2" s="301" t="str">
        <x:v>Treating all changeovers as downtime or silently inferring them.</x:v>
      </x:c>
      <x:c r="D2" s="301" t="str">
        <x:v>T-234/T-235</x:v>
      </x:c>
      <x:c r="E2" s="301" t="str">
        <x:v>Same binary accepts customer-defined transition semantics; no industry noun shipped.</x:v>
      </x:c>
      <x:c r="F2" s="301" t="str">
        <x:v>Generic regime correctness.</x:v>
      </x:c>
    </x:row>
    <x:row r="3">
      <x:c r="A3" s="301" t="str">
        <x:v>CR-13-02</x:v>
      </x:c>
      <x:c r="B3" s="301" t="str">
        <x:v>Stabilisation boundary is declared; learned alternatives remain separate evidence.</x:v>
      </x:c>
      <x:c r="C3" s="301" t="str">
        <x:v>Silently learning/moving the authoritative steady-state boundary.</x:v>
      </x:c>
      <x:c r="D3" s="301" t="str">
        <x:v>T-234</x:v>
      </x:c>
      <x:c r="E3" s="301" t="str">
        <x:v>Time/count/condition boundary is deterministic and replayable.</x:v>
      </x:c>
      <x:c r="F3" s="301" t="str">
        <x:v>Prevents hidden regime drift.</x:v>
      </x:c>
    </x:row>
    <x:row r="4">
      <x:c r="A4" s="301" t="str">
        <x:v>CR-13-03</x:v>
      </x:c>
      <x:c r="B4" s="301" t="str">
        <x:v>Steady-state analysis partitions/excludes transition/stabilisation; Mixed refuses RG01 without policy.</x:v>
      </x:c>
      <x:c r="C4" s="301" t="str">
        <x:v>Pooling ramp-up with steady-state by default.</x:v>
      </x:c>
      <x:c r="D4" s="301" t="str">
        <x:v>T-236</x:v>
      </x:c>
      <x:c r="E4" s="301" t="str">
        <x:v>Known-answer confounding fixture proves pooled vs governed difference.</x:v>
      </x:c>
      <x:c r="F4" s="301" t="str">
        <x:v>Correctness before statistics.</x:v>
      </x:c>
    </x:row>
    <x:row r="5">
      <x:c r="A5" s="301" t="str">
        <x:v>CR-13-04</x:v>
      </x:c>
      <x:c r="B5" s="301" t="str">
        <x:v>Best practice across objectives uses Pareto or explicit customer preference.</x:v>
      </x:c>
      <x:c r="C5" s="301" t="str">
        <x:v>Default weights, hidden scalar score, 'best' from one KPI.</x:v>
      </x:c>
      <x:c r="D5" s="301" t="str">
        <x:v>T-238/T-240</x:v>
      </x:c>
      <x:c r="E5" s="301" t="str">
        <x:v>Conflicting objectives without preference return frontier + MO01.</x:v>
      </x:c>
      <x:c r="F5" s="301" t="str">
        <x:v>Trade-offs remain explicit.</x:v>
      </x:c>
    </x:row>
    <x:row r="6">
      <x:c r="A6" s="301" t="str">
        <x:v>CR-13-05</x:v>
      </x:c>
      <x:c r="B6" s="301" t="str">
        <x:v>Multi-objective normalisation reuses Performance Reference semantics.</x:v>
      </x:c>
      <x:c r="C6" s="301" t="str">
        <x:v>Sample min-max scaling invented by practice engine.</x:v>
      </x:c>
      <x:c r="D6" s="301" t="str">
        <x:v>T-214/T-238</x:v>
      </x:c>
      <x:c r="E6" s="301" t="str">
        <x:v>Known reference direction/range produces deterministic normalized comparison.</x:v>
      </x:c>
      <x:c r="F6" s="301" t="str">
        <x:v>One reference authority.</x:v>
      </x:c>
    </x:row>
    <x:row r="7">
      <x:c r="A7" s="301" t="str">
        <x:v>CR-13-06</x:v>
      </x:c>
      <x:c r="B7" s="301" t="str">
        <x:v>Period-driver decomposition is Layer A exact; Value Engine owns assumption-based money.</x:v>
      </x:c>
      <x:c r="C7" s="301" t="str">
        <x:v>Assistant claiming cause or euros from exact deltas alone.</x:v>
      </x:c>
      <x:c r="D7" s="301" t="str">
        <x:v>T-237/T-164</x:v>
      </x:c>
      <x:c r="E7" s="301" t="str">
        <x:v>A/B deltas trace to source rows; money requires T-164 assumptions.</x:v>
      </x:c>
      <x:c r="F7" s="301" t="str">
        <x:v>Separate fact, intelligence and value.</x:v>
      </x:c>
    </x:row>
    <x:row r="8">
      <x:c r="A8" s="301" t="str">
        <x:v>CR-13-07</x:v>
      </x:c>
      <x:c r="B8" s="301" t="str">
        <x:v>T-087 is a hard 5-Sep checkpoint; fallback is declared and labelled.</x:v>
      </x:c>
      <x:c r="C8" s="301" t="str">
        <x:v>Discovering canonical-path failure on 25-Sep or presenting configured as executed.</x:v>
      </x:c>
      <x:c r="D8" s="301" t="str">
        <x:v>T-087/programme</x:v>
      </x:c>
      <x:c r="E8" s="301" t="str">
        <x:v>Checkpoint status recorded; fallback wording fixed before rehearsal.</x:v>
      </x:c>
      <x:c r="F8" s="301" t="str">
        <x:v>Schedule truth.</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8" hidden="0" customWidth="1"/>
    <x:col min="5" max="5" width="18" hidden="0" customWidth="1"/>
    <x:col min="6" max="6" width="10" hidden="0" customWidth="1"/>
    <x:col min="7" max="7" width="28" hidden="0" customWidth="1"/>
    <x:col min="8" max="8" width="28" hidden="0" customWidth="1"/>
  </x:cols>
  <x:sheetData>
    <x:row r="1">
      <x:c r="A1" s="528" t="str">
        <x:v>Task Id</x:v>
      </x:c>
      <x:c r="B1" s="528" t="str">
        <x:v>Milestone</x:v>
      </x:c>
      <x:c r="C1" s="528" t="str">
        <x:v>Phase</x:v>
      </x:c>
      <x:c r="D1" s="528" t="str">
        <x:v>Status</x:v>
      </x:c>
      <x:c r="E1" s="528" t="str">
        <x:v>Owner</x:v>
      </x:c>
      <x:c r="F1" s="528" t="str">
        <x:v>Hours</x:v>
      </x:c>
      <x:c r="G1" s="528" t="str">
        <x:v>Depends On (IDs only)</x:v>
      </x:c>
      <x:c r="H1" s="528" t="str">
        <x:v>Must Precede (IDs only)</x:v>
      </x:c>
      <x:c r="I1" s="301"/>
      <x:c r="J1" s="301"/>
      <x:c r="K1" s="301"/>
      <x:c r="L1" s="301"/>
      <x:c r="M1" s="301"/>
      <x:c r="N1" s="301"/>
      <x:c r="O1" s="301"/>
      <x:c r="P1" s="301"/>
      <x:c r="Q1" s="301"/>
      <x:c r="R1" s="301"/>
      <x:c r="S1" s="301"/>
      <x:c r="T1" s="301"/>
      <x:c r="U1" s="301"/>
      <x:c r="V1" s="301"/>
      <x:c r="W1" s="301"/>
      <x:c r="X1" s="301"/>
      <x:c r="Y1" s="301"/>
      <x:c r="Z1" s="301"/>
    </x:row>
    <x:row r="2">
      <x:c r="A2" s="301" t="str">
        <x:v>T-001</x:v>
      </x:c>
      <x:c r="B2" s="301" t="str">
        <x:v>M1</x:v>
      </x:c>
      <x:c r="C2" s="301" t="str">
        <x:v>M1-P1</x:v>
      </x:c>
      <x:c r="D2" s="301" t="str">
        <x:v>Done</x:v>
      </x:c>
      <x:c r="E2" s="301" t="str">
        <x:v>Completed / no assignment</x:v>
      </x:c>
      <x:c r="F2" s="301" t="n">
        <x:v>8</x:v>
      </x:c>
      <x:c r="G2" s="301"/>
      <x:c r="H2" s="301"/>
    </x:row>
    <x:row r="3">
      <x:c r="A3" s="301" t="str">
        <x:v>T-002</x:v>
      </x:c>
      <x:c r="B3" s="301" t="str">
        <x:v>M1</x:v>
      </x:c>
      <x:c r="C3" s="301" t="str">
        <x:v>M1-P1</x:v>
      </x:c>
      <x:c r="D3" s="301" t="str">
        <x:v>Done</x:v>
      </x:c>
      <x:c r="E3" s="301" t="str">
        <x:v>Completed / no assignment</x:v>
      </x:c>
      <x:c r="F3" s="301" t="n">
        <x:v>8</x:v>
      </x:c>
      <x:c r="G3" s="301"/>
      <x:c r="H3" s="301"/>
    </x:row>
    <x:row r="4">
      <x:c r="A4" s="301" t="str">
        <x:v>T-003</x:v>
      </x:c>
      <x:c r="B4" s="301" t="str">
        <x:v>M1</x:v>
      </x:c>
      <x:c r="C4" s="301" t="str">
        <x:v>M1-P1</x:v>
      </x:c>
      <x:c r="D4" s="301" t="str">
        <x:v>Done</x:v>
      </x:c>
      <x:c r="E4" s="301" t="str">
        <x:v>Completed / no assignment</x:v>
      </x:c>
      <x:c r="F4" s="301" t="n">
        <x:v>4</x:v>
      </x:c>
      <x:c r="G4" s="301"/>
      <x:c r="H4" s="301"/>
    </x:row>
    <x:row r="5">
      <x:c r="A5" s="301" t="str">
        <x:v>T-004</x:v>
      </x:c>
      <x:c r="B5" s="301" t="str">
        <x:v>M1</x:v>
      </x:c>
      <x:c r="C5" s="301" t="str">
        <x:v>M1-P1</x:v>
      </x:c>
      <x:c r="D5" s="301" t="str">
        <x:v>Done</x:v>
      </x:c>
      <x:c r="E5" s="301" t="str">
        <x:v>Completed / no assignment</x:v>
      </x:c>
      <x:c r="F5" s="301" t="n">
        <x:v>4</x:v>
      </x:c>
      <x:c r="G5" s="301"/>
      <x:c r="H5" s="301"/>
    </x:row>
    <x:row r="6">
      <x:c r="A6" s="301" t="str">
        <x:v>T-005</x:v>
      </x:c>
      <x:c r="B6" s="301" t="str">
        <x:v>M1</x:v>
      </x:c>
      <x:c r="C6" s="301" t="str">
        <x:v>M1-P1</x:v>
      </x:c>
      <x:c r="D6" s="301" t="str">
        <x:v>Done</x:v>
      </x:c>
      <x:c r="E6" s="301" t="str">
        <x:v>Completed / no assignment</x:v>
      </x:c>
      <x:c r="F6" s="301" t="n">
        <x:v>6</x:v>
      </x:c>
      <x:c r="G6" s="301"/>
      <x:c r="H6" s="301"/>
    </x:row>
    <x:row r="7">
      <x:c r="A7" s="301" t="str">
        <x:v>T-006</x:v>
      </x:c>
      <x:c r="B7" s="301" t="str">
        <x:v>M1</x:v>
      </x:c>
      <x:c r="C7" s="301" t="str">
        <x:v>M1-P1</x:v>
      </x:c>
      <x:c r="D7" s="301" t="str">
        <x:v>Done</x:v>
      </x:c>
      <x:c r="E7" s="301" t="str">
        <x:v>Completed / no assignment</x:v>
      </x:c>
      <x:c r="F7" s="301" t="n">
        <x:v>8</x:v>
      </x:c>
      <x:c r="G7" s="301"/>
      <x:c r="H7" s="301"/>
    </x:row>
    <x:row r="8">
      <x:c r="A8" s="301" t="str">
        <x:v>T-007</x:v>
      </x:c>
      <x:c r="B8" s="301" t="str">
        <x:v>M1</x:v>
      </x:c>
      <x:c r="C8" s="301" t="str">
        <x:v>M1-P1</x:v>
      </x:c>
      <x:c r="D8" s="301" t="str">
        <x:v>Done</x:v>
      </x:c>
      <x:c r="E8" s="301" t="str">
        <x:v>Completed / no assignment</x:v>
      </x:c>
      <x:c r="F8" s="301" t="n">
        <x:v>10</x:v>
      </x:c>
      <x:c r="G8" s="301"/>
      <x:c r="H8" s="301"/>
    </x:row>
    <x:row r="9">
      <x:c r="A9" s="301" t="str">
        <x:v>T-008</x:v>
      </x:c>
      <x:c r="B9" s="301" t="str">
        <x:v>M1</x:v>
      </x:c>
      <x:c r="C9" s="301" t="str">
        <x:v>M1-P1</x:v>
      </x:c>
      <x:c r="D9" s="301" t="str">
        <x:v>Done</x:v>
      </x:c>
      <x:c r="E9" s="301" t="str">
        <x:v>Completed / no assignment</x:v>
      </x:c>
      <x:c r="F9" s="301" t="n">
        <x:v>10</x:v>
      </x:c>
      <x:c r="G9" s="301"/>
      <x:c r="H9" s="301"/>
    </x:row>
    <x:row r="10">
      <x:c r="A10" s="301" t="str">
        <x:v>T-009</x:v>
      </x:c>
      <x:c r="B10" s="301" t="str">
        <x:v>M1</x:v>
      </x:c>
      <x:c r="C10" s="301" t="str">
        <x:v>M1-P1</x:v>
      </x:c>
      <x:c r="D10" s="301" t="str">
        <x:v>Done</x:v>
      </x:c>
      <x:c r="E10" s="301" t="str">
        <x:v>Completed / no assignment</x:v>
      </x:c>
      <x:c r="F10" s="301" t="n">
        <x:v>6</x:v>
      </x:c>
      <x:c r="G10" s="301"/>
      <x:c r="H10" s="301"/>
    </x:row>
    <x:row r="11">
      <x:c r="A11" s="301" t="str">
        <x:v>T-010</x:v>
      </x:c>
      <x:c r="B11" s="301" t="str">
        <x:v>M1</x:v>
      </x:c>
      <x:c r="C11" s="301" t="str">
        <x:v>M1-P1</x:v>
      </x:c>
      <x:c r="D11" s="301" t="str">
        <x:v>Done</x:v>
      </x:c>
      <x:c r="E11" s="301" t="str">
        <x:v>Completed / no assignment</x:v>
      </x:c>
      <x:c r="F11" s="301" t="n">
        <x:v>8</x:v>
      </x:c>
      <x:c r="G11" s="301"/>
      <x:c r="H11" s="301"/>
    </x:row>
    <x:row r="12">
      <x:c r="A12" s="301" t="str">
        <x:v>T-011</x:v>
      </x:c>
      <x:c r="B12" s="301" t="str">
        <x:v>M1</x:v>
      </x:c>
      <x:c r="C12" s="301" t="str">
        <x:v>M1-P1</x:v>
      </x:c>
      <x:c r="D12" s="301" t="str">
        <x:v>Done</x:v>
      </x:c>
      <x:c r="E12" s="301" t="str">
        <x:v>Completed / no assignment</x:v>
      </x:c>
      <x:c r="F12" s="301" t="n">
        <x:v>6</x:v>
      </x:c>
      <x:c r="G12" s="301"/>
      <x:c r="H12" s="301"/>
    </x:row>
    <x:row r="13">
      <x:c r="A13" s="301" t="str">
        <x:v>T-012</x:v>
      </x:c>
      <x:c r="B13" s="301" t="str">
        <x:v>M1</x:v>
      </x:c>
      <x:c r="C13" s="301" t="str">
        <x:v>M1-P1</x:v>
      </x:c>
      <x:c r="D13" s="301" t="str">
        <x:v>Done</x:v>
      </x:c>
      <x:c r="E13" s="301" t="str">
        <x:v>Completed / no assignment</x:v>
      </x:c>
      <x:c r="F13" s="301" t="n">
        <x:v>6</x:v>
      </x:c>
      <x:c r="G13" s="301"/>
      <x:c r="H13" s="301"/>
    </x:row>
    <x:row r="14">
      <x:c r="A14" s="301" t="str">
        <x:v>T-013</x:v>
      </x:c>
      <x:c r="B14" s="301" t="str">
        <x:v>M1</x:v>
      </x:c>
      <x:c r="C14" s="301" t="str">
        <x:v>M1-P1b</x:v>
      </x:c>
      <x:c r="D14" s="301" t="str">
        <x:v>Done</x:v>
      </x:c>
      <x:c r="E14" s="301" t="str">
        <x:v>Completed / no assignment</x:v>
      </x:c>
      <x:c r="F14" s="301" t="n">
        <x:v>8</x:v>
      </x:c>
      <x:c r="G14" s="301"/>
      <x:c r="H14" s="301"/>
    </x:row>
    <x:row r="15">
      <x:c r="A15" s="301" t="str">
        <x:v>T-014</x:v>
      </x:c>
      <x:c r="B15" s="301" t="str">
        <x:v>M1</x:v>
      </x:c>
      <x:c r="C15" s="301" t="str">
        <x:v>M1-P1b</x:v>
      </x:c>
      <x:c r="D15" s="301" t="str">
        <x:v>Done</x:v>
      </x:c>
      <x:c r="E15" s="301" t="str">
        <x:v>Completed / no assignment</x:v>
      </x:c>
      <x:c r="F15" s="301" t="n">
        <x:v>8</x:v>
      </x:c>
      <x:c r="G15" s="301"/>
      <x:c r="H15" s="301"/>
    </x:row>
    <x:row r="16">
      <x:c r="A16" s="301" t="str">
        <x:v>T-015</x:v>
      </x:c>
      <x:c r="B16" s="301" t="str">
        <x:v>M1</x:v>
      </x:c>
      <x:c r="C16" s="301" t="str">
        <x:v>M1-P1b</x:v>
      </x:c>
      <x:c r="D16" s="301" t="str">
        <x:v>Done</x:v>
      </x:c>
      <x:c r="E16" s="301" t="str">
        <x:v>Completed / no assignment</x:v>
      </x:c>
      <x:c r="F16" s="301" t="n">
        <x:v>8</x:v>
      </x:c>
      <x:c r="G16" s="301"/>
      <x:c r="H16" s="301"/>
    </x:row>
    <x:row r="17">
      <x:c r="A17" s="301" t="str">
        <x:v>T-016</x:v>
      </x:c>
      <x:c r="B17" s="301" t="str">
        <x:v>M1</x:v>
      </x:c>
      <x:c r="C17" s="301" t="str">
        <x:v>M1-P1b</x:v>
      </x:c>
      <x:c r="D17" s="301" t="str">
        <x:v>Done</x:v>
      </x:c>
      <x:c r="E17" s="301" t="str">
        <x:v>Completed / no assignment</x:v>
      </x:c>
      <x:c r="F17" s="301" t="n">
        <x:v>10</x:v>
      </x:c>
      <x:c r="G17" s="301"/>
      <x:c r="H17" s="301"/>
    </x:row>
    <x:row r="18">
      <x:c r="A18" s="301" t="str">
        <x:v>T-017</x:v>
      </x:c>
      <x:c r="B18" s="301" t="str">
        <x:v>M1</x:v>
      </x:c>
      <x:c r="C18" s="301" t="str">
        <x:v>M1-P1b</x:v>
      </x:c>
      <x:c r="D18" s="301" t="str">
        <x:v>Done</x:v>
      </x:c>
      <x:c r="E18" s="301" t="str">
        <x:v>Completed / no assignment</x:v>
      </x:c>
      <x:c r="F18" s="301" t="n">
        <x:v>8</x:v>
      </x:c>
      <x:c r="G18" s="301"/>
      <x:c r="H18" s="301"/>
    </x:row>
    <x:row r="19">
      <x:c r="A19" s="301" t="str">
        <x:v>T-018</x:v>
      </x:c>
      <x:c r="B19" s="301" t="str">
        <x:v>M1</x:v>
      </x:c>
      <x:c r="C19" s="301" t="str">
        <x:v>M1-P1b</x:v>
      </x:c>
      <x:c r="D19" s="301" t="str">
        <x:v>Done</x:v>
      </x:c>
      <x:c r="E19" s="301" t="str">
        <x:v>Completed / no assignment</x:v>
      </x:c>
      <x:c r="F19" s="301" t="n">
        <x:v>6</x:v>
      </x:c>
      <x:c r="G19" s="301"/>
      <x:c r="H19" s="301"/>
    </x:row>
    <x:row r="20">
      <x:c r="A20" s="301" t="str">
        <x:v>T-019</x:v>
      </x:c>
      <x:c r="B20" s="301" t="str">
        <x:v>M1</x:v>
      </x:c>
      <x:c r="C20" s="301" t="str">
        <x:v>M1-P1b</x:v>
      </x:c>
      <x:c r="D20" s="301" t="str">
        <x:v>Done</x:v>
      </x:c>
      <x:c r="E20" s="301" t="str">
        <x:v>Completed / no assignment</x:v>
      </x:c>
      <x:c r="F20" s="301" t="n">
        <x:v>6</x:v>
      </x:c>
      <x:c r="G20" s="301"/>
      <x:c r="H20" s="301"/>
    </x:row>
    <x:row r="21">
      <x:c r="A21" s="301" t="str">
        <x:v>T-020</x:v>
      </x:c>
      <x:c r="B21" s="301" t="str">
        <x:v>M1</x:v>
      </x:c>
      <x:c r="C21" s="301" t="str">
        <x:v>M1-P1b</x:v>
      </x:c>
      <x:c r="D21" s="301" t="str">
        <x:v>Done</x:v>
      </x:c>
      <x:c r="E21" s="301" t="str">
        <x:v>Completed / no assignment</x:v>
      </x:c>
      <x:c r="F21" s="301" t="n">
        <x:v>6</x:v>
      </x:c>
      <x:c r="G21" s="301"/>
      <x:c r="H21" s="301"/>
    </x:row>
    <x:row r="22">
      <x:c r="A22" s="301" t="str">
        <x:v>T-021</x:v>
      </x:c>
      <x:c r="B22" s="301" t="str">
        <x:v>M1</x:v>
      </x:c>
      <x:c r="C22" s="301" t="str">
        <x:v>M1-P1b</x:v>
      </x:c>
      <x:c r="D22" s="301" t="str">
        <x:v>Done</x:v>
      </x:c>
      <x:c r="E22" s="301" t="str">
        <x:v>Completed / no assignment</x:v>
      </x:c>
      <x:c r="F22" s="301" t="n">
        <x:v>6</x:v>
      </x:c>
      <x:c r="G22" s="301"/>
      <x:c r="H22" s="301"/>
    </x:row>
    <x:row r="23">
      <x:c r="A23" s="301" t="str">
        <x:v>T-022</x:v>
      </x:c>
      <x:c r="B23" s="301" t="str">
        <x:v>M1</x:v>
      </x:c>
      <x:c r="C23" s="301" t="str">
        <x:v>M1-P1b</x:v>
      </x:c>
      <x:c r="D23" s="301" t="str">
        <x:v>Done</x:v>
      </x:c>
      <x:c r="E23" s="301" t="str">
        <x:v>Completed / no assignment</x:v>
      </x:c>
      <x:c r="F23" s="301" t="n">
        <x:v>8</x:v>
      </x:c>
      <x:c r="G23" s="301"/>
      <x:c r="H23" s="301"/>
    </x:row>
    <x:row r="24">
      <x:c r="A24" s="301" t="str">
        <x:v>T-023</x:v>
      </x:c>
      <x:c r="B24" s="301" t="str">
        <x:v>M1</x:v>
      </x:c>
      <x:c r="C24" s="301" t="str">
        <x:v>M1-P1b</x:v>
      </x:c>
      <x:c r="D24" s="301" t="str">
        <x:v>Done</x:v>
      </x:c>
      <x:c r="E24" s="301" t="str">
        <x:v>Completed / no assignment</x:v>
      </x:c>
      <x:c r="F24" s="301" t="n">
        <x:v>6</x:v>
      </x:c>
      <x:c r="G24" s="301"/>
      <x:c r="H24" s="301"/>
    </x:row>
    <x:row r="25">
      <x:c r="A25" s="301" t="str">
        <x:v>T-024</x:v>
      </x:c>
      <x:c r="B25" s="301" t="str">
        <x:v>M1</x:v>
      </x:c>
      <x:c r="C25" s="301" t="str">
        <x:v>M1-P1b</x:v>
      </x:c>
      <x:c r="D25" s="301" t="str">
        <x:v>Done</x:v>
      </x:c>
      <x:c r="E25" s="301" t="str">
        <x:v>Completed / no assignment</x:v>
      </x:c>
      <x:c r="F25" s="301" t="n">
        <x:v>8</x:v>
      </x:c>
      <x:c r="G25" s="301"/>
      <x:c r="H25" s="301"/>
    </x:row>
    <x:row r="26">
      <x:c r="A26" s="301" t="str">
        <x:v>T-025</x:v>
      </x:c>
      <x:c r="B26" s="301" t="str">
        <x:v>M1</x:v>
      </x:c>
      <x:c r="C26" s="301" t="str">
        <x:v>M1-P1b</x:v>
      </x:c>
      <x:c r="D26" s="301" t="str">
        <x:v>Done</x:v>
      </x:c>
      <x:c r="E26" s="301" t="str">
        <x:v>Completed / no assignment</x:v>
      </x:c>
      <x:c r="F26" s="301" t="n">
        <x:v>8</x:v>
      </x:c>
      <x:c r="G26" s="301"/>
      <x:c r="H26" s="301"/>
    </x:row>
    <x:row r="27">
      <x:c r="A27" s="301" t="str">
        <x:v>T-026</x:v>
      </x:c>
      <x:c r="B27" s="301" t="str">
        <x:v>M1</x:v>
      </x:c>
      <x:c r="C27" s="301" t="str">
        <x:v>M1-P1b</x:v>
      </x:c>
      <x:c r="D27" s="301" t="str">
        <x:v>Done</x:v>
      </x:c>
      <x:c r="E27" s="301" t="str">
        <x:v>Completed / no assignment</x:v>
      </x:c>
      <x:c r="F27" s="301" t="n">
        <x:v>6</x:v>
      </x:c>
      <x:c r="G27" s="301"/>
      <x:c r="H27" s="301"/>
    </x:row>
    <x:row r="28">
      <x:c r="A28" s="301" t="str">
        <x:v>T-027</x:v>
      </x:c>
      <x:c r="B28" s="301" t="str">
        <x:v>M1</x:v>
      </x:c>
      <x:c r="C28" s="301" t="str">
        <x:v>M1-P1b</x:v>
      </x:c>
      <x:c r="D28" s="301" t="str">
        <x:v>Done</x:v>
      </x:c>
      <x:c r="E28" s="301" t="str">
        <x:v>Completed / no assignment</x:v>
      </x:c>
      <x:c r="F28" s="301" t="n">
        <x:v>6</x:v>
      </x:c>
      <x:c r="G28" s="301"/>
      <x:c r="H28" s="301"/>
    </x:row>
    <x:row r="29">
      <x:c r="A29" s="301" t="str">
        <x:v>T-028</x:v>
      </x:c>
      <x:c r="B29" s="301" t="str">
        <x:v>M1</x:v>
      </x:c>
      <x:c r="C29" s="301" t="str">
        <x:v>M1-P1b</x:v>
      </x:c>
      <x:c r="D29" s="301" t="str">
        <x:v>Done</x:v>
      </x:c>
      <x:c r="E29" s="301" t="str">
        <x:v>Completed / no assignment</x:v>
      </x:c>
      <x:c r="F29" s="301" t="n">
        <x:v>2</x:v>
      </x:c>
      <x:c r="G29" s="301"/>
      <x:c r="H29" s="301"/>
    </x:row>
    <x:row r="30">
      <x:c r="A30" s="301" t="str">
        <x:v>T-029</x:v>
      </x:c>
      <x:c r="B30" s="301" t="str">
        <x:v>M1</x:v>
      </x:c>
      <x:c r="C30" s="301" t="str">
        <x:v>M1-P1b</x:v>
      </x:c>
      <x:c r="D30" s="301" t="str">
        <x:v>Done</x:v>
      </x:c>
      <x:c r="E30" s="301" t="str">
        <x:v>Completed / no assignment</x:v>
      </x:c>
      <x:c r="F30" s="301" t="n">
        <x:v>4</x:v>
      </x:c>
      <x:c r="G30" s="301"/>
      <x:c r="H30" s="301"/>
    </x:row>
    <x:row r="31">
      <x:c r="A31" s="301" t="str">
        <x:v>T-030</x:v>
      </x:c>
      <x:c r="B31" s="301" t="str">
        <x:v>M1</x:v>
      </x:c>
      <x:c r="C31" s="301" t="str">
        <x:v>M1-P2</x:v>
      </x:c>
      <x:c r="D31" s="301" t="str">
        <x:v>Done</x:v>
      </x:c>
      <x:c r="E31" s="301" t="str">
        <x:v>Completed / no assignment</x:v>
      </x:c>
      <x:c r="F31" s="301" t="n">
        <x:v>8</x:v>
      </x:c>
      <x:c r="G31" s="301"/>
      <x:c r="H31" s="301"/>
    </x:row>
    <x:row r="32">
      <x:c r="A32" s="301" t="str">
        <x:v>T-031</x:v>
      </x:c>
      <x:c r="B32" s="301" t="str">
        <x:v>M1</x:v>
      </x:c>
      <x:c r="C32" s="301" t="str">
        <x:v>M1-P2</x:v>
      </x:c>
      <x:c r="D32" s="301" t="str">
        <x:v>Done</x:v>
      </x:c>
      <x:c r="E32" s="301" t="str">
        <x:v>Completed / no assignment</x:v>
      </x:c>
      <x:c r="F32" s="301" t="n">
        <x:v>10</x:v>
      </x:c>
      <x:c r="G32" s="301"/>
      <x:c r="H32" s="301"/>
    </x:row>
    <x:row r="33">
      <x:c r="A33" s="301" t="str">
        <x:v>T-032</x:v>
      </x:c>
      <x:c r="B33" s="301" t="str">
        <x:v>M1</x:v>
      </x:c>
      <x:c r="C33" s="301" t="str">
        <x:v>M1-P2</x:v>
      </x:c>
      <x:c r="D33" s="301" t="str">
        <x:v>Done</x:v>
      </x:c>
      <x:c r="E33" s="301" t="str">
        <x:v>Completed / no assignment</x:v>
      </x:c>
      <x:c r="F33" s="301" t="n">
        <x:v>12</x:v>
      </x:c>
      <x:c r="G33" s="301"/>
      <x:c r="H33" s="301"/>
    </x:row>
    <x:row r="34">
      <x:c r="A34" s="301" t="str">
        <x:v>T-033</x:v>
      </x:c>
      <x:c r="B34" s="301" t="str">
        <x:v>M1</x:v>
      </x:c>
      <x:c r="C34" s="301" t="str">
        <x:v>M1-P2</x:v>
      </x:c>
      <x:c r="D34" s="301" t="str">
        <x:v>Done</x:v>
      </x:c>
      <x:c r="E34" s="301" t="str">
        <x:v>Completed / no assignment</x:v>
      </x:c>
      <x:c r="F34" s="301" t="n">
        <x:v>12</x:v>
      </x:c>
      <x:c r="G34" s="301"/>
      <x:c r="H34" s="301"/>
    </x:row>
    <x:row r="35">
      <x:c r="A35" s="301" t="str">
        <x:v>T-034</x:v>
      </x:c>
      <x:c r="B35" s="301" t="str">
        <x:v>M1</x:v>
      </x:c>
      <x:c r="C35" s="301" t="str">
        <x:v>M1-P2</x:v>
      </x:c>
      <x:c r="D35" s="301" t="str">
        <x:v>Done</x:v>
      </x:c>
      <x:c r="E35" s="301" t="str">
        <x:v>Completed / no assignment</x:v>
      </x:c>
      <x:c r="F35" s="301" t="n">
        <x:v>10</x:v>
      </x:c>
      <x:c r="G35" s="301"/>
      <x:c r="H35" s="301"/>
    </x:row>
    <x:row r="36">
      <x:c r="A36" s="301" t="str">
        <x:v>T-035</x:v>
      </x:c>
      <x:c r="B36" s="301" t="str">
        <x:v>M1</x:v>
      </x:c>
      <x:c r="C36" s="301" t="str">
        <x:v>M1-P2</x:v>
      </x:c>
      <x:c r="D36" s="301" t="str">
        <x:v>Done</x:v>
      </x:c>
      <x:c r="E36" s="301" t="str">
        <x:v>Completed / no assignment</x:v>
      </x:c>
      <x:c r="F36" s="301" t="n">
        <x:v>8</x:v>
      </x:c>
      <x:c r="G36" s="301"/>
      <x:c r="H36" s="301"/>
    </x:row>
    <x:row r="37">
      <x:c r="A37" s="301" t="str">
        <x:v>T-036</x:v>
      </x:c>
      <x:c r="B37" s="301" t="str">
        <x:v>M1</x:v>
      </x:c>
      <x:c r="C37" s="301" t="str">
        <x:v>M1-P2</x:v>
      </x:c>
      <x:c r="D37" s="301" t="str">
        <x:v>Done</x:v>
      </x:c>
      <x:c r="E37" s="301" t="str">
        <x:v>Completed / no assignment</x:v>
      </x:c>
      <x:c r="F37" s="301" t="n">
        <x:v>12</x:v>
      </x:c>
      <x:c r="G37" s="301"/>
      <x:c r="H37" s="301"/>
    </x:row>
    <x:row r="38">
      <x:c r="A38" s="301" t="str">
        <x:v>T-037</x:v>
      </x:c>
      <x:c r="B38" s="301" t="str">
        <x:v>M1</x:v>
      </x:c>
      <x:c r="C38" s="301" t="str">
        <x:v>M1-P2</x:v>
      </x:c>
      <x:c r="D38" s="301" t="str">
        <x:v>Done</x:v>
      </x:c>
      <x:c r="E38" s="301" t="str">
        <x:v>Completed / no assignment</x:v>
      </x:c>
      <x:c r="F38" s="301" t="n">
        <x:v>3</x:v>
      </x:c>
      <x:c r="G38" s="301"/>
      <x:c r="H38" s="301"/>
    </x:row>
    <x:row r="39">
      <x:c r="A39" s="301" t="str">
        <x:v>T-038</x:v>
      </x:c>
      <x:c r="B39" s="301" t="str">
        <x:v>M1</x:v>
      </x:c>
      <x:c r="C39" s="301" t="str">
        <x:v>M1-P2</x:v>
      </x:c>
      <x:c r="D39" s="301" t="str">
        <x:v>Done</x:v>
      </x:c>
      <x:c r="E39" s="301" t="str">
        <x:v>Completed / no assignment</x:v>
      </x:c>
      <x:c r="F39" s="301" t="n">
        <x:v>12</x:v>
      </x:c>
      <x:c r="G39" s="301"/>
      <x:c r="H39" s="301"/>
    </x:row>
    <x:row r="40">
      <x:c r="A40" s="301" t="str">
        <x:v>T-039</x:v>
      </x:c>
      <x:c r="B40" s="301" t="str">
        <x:v>M1</x:v>
      </x:c>
      <x:c r="C40" s="301" t="str">
        <x:v>M1-P2</x:v>
      </x:c>
      <x:c r="D40" s="301" t="str">
        <x:v>Done</x:v>
      </x:c>
      <x:c r="E40" s="301" t="str">
        <x:v>Completed / no assignment</x:v>
      </x:c>
      <x:c r="F40" s="301" t="n">
        <x:v>12</x:v>
      </x:c>
      <x:c r="G40" s="301"/>
      <x:c r="H40" s="301"/>
    </x:row>
    <x:row r="41">
      <x:c r="A41" s="301" t="str">
        <x:v>T-040</x:v>
      </x:c>
      <x:c r="B41" s="301" t="str">
        <x:v>M1</x:v>
      </x:c>
      <x:c r="C41" s="301" t="str">
        <x:v>M1-P2</x:v>
      </x:c>
      <x:c r="D41" s="301" t="str">
        <x:v>Done</x:v>
      </x:c>
      <x:c r="E41" s="301" t="str">
        <x:v>Completed / no assignment</x:v>
      </x:c>
      <x:c r="F41" s="301" t="n">
        <x:v>8</x:v>
      </x:c>
      <x:c r="G41" s="301"/>
      <x:c r="H41" s="301"/>
    </x:row>
    <x:row r="42">
      <x:c r="A42" s="301" t="str">
        <x:v>T-041</x:v>
      </x:c>
      <x:c r="B42" s="301" t="str">
        <x:v>M1</x:v>
      </x:c>
      <x:c r="C42" s="301" t="str">
        <x:v>M1-P3</x:v>
      </x:c>
      <x:c r="D42" s="301" t="str">
        <x:v>Done</x:v>
      </x:c>
      <x:c r="E42" s="301" t="str">
        <x:v>Completed / no assignment</x:v>
      </x:c>
      <x:c r="F42" s="301" t="n">
        <x:v>6</x:v>
      </x:c>
      <x:c r="G42" s="301"/>
      <x:c r="H42" s="301"/>
    </x:row>
    <x:row r="43">
      <x:c r="A43" s="301" t="str">
        <x:v>T-042</x:v>
      </x:c>
      <x:c r="B43" s="301" t="str">
        <x:v>M1</x:v>
      </x:c>
      <x:c r="C43" s="301" t="str">
        <x:v>M1-P3</x:v>
      </x:c>
      <x:c r="D43" s="301" t="str">
        <x:v>Done</x:v>
      </x:c>
      <x:c r="E43" s="301" t="str">
        <x:v>Completed / no assignment</x:v>
      </x:c>
      <x:c r="F43" s="301" t="n">
        <x:v>6</x:v>
      </x:c>
      <x:c r="G43" s="301"/>
      <x:c r="H43" s="301"/>
    </x:row>
    <x:row r="44">
      <x:c r="A44" s="301" t="str">
        <x:v>T-043</x:v>
      </x:c>
      <x:c r="B44" s="301" t="str">
        <x:v>M1</x:v>
      </x:c>
      <x:c r="C44" s="301" t="str">
        <x:v>M1-P3</x:v>
      </x:c>
      <x:c r="D44" s="301" t="str">
        <x:v>Done</x:v>
      </x:c>
      <x:c r="E44" s="301" t="str">
        <x:v>Completed / no assignment</x:v>
      </x:c>
      <x:c r="F44" s="301" t="n">
        <x:v>12</x:v>
      </x:c>
      <x:c r="G44" s="301"/>
      <x:c r="H44" s="301"/>
    </x:row>
    <x:row r="45">
      <x:c r="A45" s="301" t="str">
        <x:v>T-044</x:v>
      </x:c>
      <x:c r="B45" s="301" t="str">
        <x:v>M1</x:v>
      </x:c>
      <x:c r="C45" s="301" t="str">
        <x:v>M1-P3</x:v>
      </x:c>
      <x:c r="D45" s="301" t="str">
        <x:v>Done</x:v>
      </x:c>
      <x:c r="E45" s="301" t="str">
        <x:v>Completed / no assignment</x:v>
      </x:c>
      <x:c r="F45" s="301" t="n">
        <x:v>8</x:v>
      </x:c>
      <x:c r="G45" s="301"/>
      <x:c r="H45" s="301"/>
    </x:row>
    <x:row r="46">
      <x:c r="A46" s="301" t="str">
        <x:v>T-045</x:v>
      </x:c>
      <x:c r="B46" s="301" t="str">
        <x:v>M1</x:v>
      </x:c>
      <x:c r="C46" s="301" t="str">
        <x:v>M1-P3</x:v>
      </x:c>
      <x:c r="D46" s="301" t="str">
        <x:v>Done</x:v>
      </x:c>
      <x:c r="E46" s="301" t="str">
        <x:v>Presentation lane (Workers 1/2)</x:v>
      </x:c>
      <x:c r="F46" s="301" t="n">
        <x:v>6</x:v>
      </x:c>
      <x:c r="G46" s="301"/>
      <x:c r="H46" s="301"/>
    </x:row>
    <x:row r="47">
      <x:c r="A47" s="301" t="str">
        <x:v>T-046</x:v>
      </x:c>
      <x:c r="B47" s="301" t="str">
        <x:v>M1</x:v>
      </x:c>
      <x:c r="C47" s="301" t="str">
        <x:v>M1-P3</x:v>
      </x:c>
      <x:c r="D47" s="301" t="str">
        <x:v>Done</x:v>
      </x:c>
      <x:c r="E47" s="301" t="str">
        <x:v>Presentation lane (Workers 1/2)</x:v>
      </x:c>
      <x:c r="F47" s="301" t="n">
        <x:v>8</x:v>
      </x:c>
      <x:c r="G47" s="301"/>
      <x:c r="H47" s="301"/>
    </x:row>
    <x:row r="48">
      <x:c r="A48" s="301" t="str">
        <x:v>T-047</x:v>
      </x:c>
      <x:c r="B48" s="301" t="str">
        <x:v>M1</x:v>
      </x:c>
      <x:c r="C48" s="301" t="str">
        <x:v>M1-P3</x:v>
      </x:c>
      <x:c r="D48" s="301" t="str">
        <x:v>Done</x:v>
      </x:c>
      <x:c r="E48" s="301" t="str">
        <x:v>Presentation lane (Workers 1/2)</x:v>
      </x:c>
      <x:c r="F48" s="301" t="n">
        <x:v>10</x:v>
      </x:c>
      <x:c r="G48" s="301"/>
      <x:c r="H48" s="301"/>
    </x:row>
    <x:row r="49">
      <x:c r="A49" s="301" t="str">
        <x:v>T-048</x:v>
      </x:c>
      <x:c r="B49" s="301" t="str">
        <x:v>M1</x:v>
      </x:c>
      <x:c r="C49" s="301" t="str">
        <x:v>M1-P3</x:v>
      </x:c>
      <x:c r="D49" s="301" t="str">
        <x:v>Done</x:v>
      </x:c>
      <x:c r="E49" s="301" t="str">
        <x:v>Presentation lane (Workers 1/2)</x:v>
      </x:c>
      <x:c r="F49" s="301" t="n">
        <x:v>4</x:v>
      </x:c>
      <x:c r="G49" s="301"/>
      <x:c r="H49" s="301"/>
    </x:row>
    <x:row r="50">
      <x:c r="A50" s="301" t="str">
        <x:v>T-049</x:v>
      </x:c>
      <x:c r="B50" s="301" t="str">
        <x:v>M1</x:v>
      </x:c>
      <x:c r="C50" s="301" t="str">
        <x:v>M1-P3</x:v>
      </x:c>
      <x:c r="D50" s="301" t="str">
        <x:v>Done</x:v>
      </x:c>
      <x:c r="E50" s="301" t="str">
        <x:v>Presentation lane (Workers 1/2)</x:v>
      </x:c>
      <x:c r="F50" s="301" t="n">
        <x:v>4</x:v>
      </x:c>
      <x:c r="G50" s="301"/>
      <x:c r="H50" s="301"/>
    </x:row>
    <x:row r="51">
      <x:c r="A51" s="301" t="str">
        <x:v>T-050</x:v>
      </x:c>
      <x:c r="B51" s="301" t="str">
        <x:v>M1</x:v>
      </x:c>
      <x:c r="C51" s="301" t="str">
        <x:v>M1-P3</x:v>
      </x:c>
      <x:c r="D51" s="301" t="str">
        <x:v>Done</x:v>
      </x:c>
      <x:c r="E51" s="301" t="str">
        <x:v>Presentation lane (Workers 1/2)</x:v>
      </x:c>
      <x:c r="F51" s="301" t="n">
        <x:v>6</x:v>
      </x:c>
      <x:c r="G51" s="301"/>
      <x:c r="H51" s="301"/>
    </x:row>
    <x:row r="52">
      <x:c r="A52" s="301" t="str">
        <x:v>T-051</x:v>
      </x:c>
      <x:c r="B52" s="301" t="str">
        <x:v>M1</x:v>
      </x:c>
      <x:c r="C52" s="301" t="str">
        <x:v>M1-P3</x:v>
      </x:c>
      <x:c r="D52" s="301" t="str">
        <x:v>Done</x:v>
      </x:c>
      <x:c r="E52" s="301" t="str">
        <x:v>Presentation lane (Workers 1/2)</x:v>
      </x:c>
      <x:c r="F52" s="301" t="n">
        <x:v>6</x:v>
      </x:c>
      <x:c r="G52" s="301"/>
      <x:c r="H52" s="301"/>
    </x:row>
    <x:row r="53">
      <x:c r="A53" s="301" t="str">
        <x:v>T-052</x:v>
      </x:c>
      <x:c r="B53" s="301" t="str">
        <x:v>M1</x:v>
      </x:c>
      <x:c r="C53" s="301" t="str">
        <x:v>M1-P3</x:v>
      </x:c>
      <x:c r="D53" s="301" t="str">
        <x:v>Done</x:v>
      </x:c>
      <x:c r="E53" s="301" t="str">
        <x:v>Presentation lane (Workers 1/2)</x:v>
      </x:c>
      <x:c r="F53" s="301" t="n">
        <x:v>4</x:v>
      </x:c>
      <x:c r="G53" s="301"/>
      <x:c r="H53" s="301"/>
    </x:row>
    <x:row r="54">
      <x:c r="A54" s="301" t="str">
        <x:v>T-053</x:v>
      </x:c>
      <x:c r="B54" s="301" t="str">
        <x:v>M1</x:v>
      </x:c>
      <x:c r="C54" s="301" t="str">
        <x:v>M1-P4</x:v>
      </x:c>
      <x:c r="D54" s="301" t="str">
        <x:v>Not Started</x:v>
      </x:c>
      <x:c r="E54" s="301" t="str">
        <x:v>Presentation lane (Workers 1/2)</x:v>
      </x:c>
      <x:c r="F54" s="301" t="n">
        <x:v>4</x:v>
      </x:c>
      <x:c r="G54" s="301"/>
      <x:c r="H54" s="301"/>
    </x:row>
    <x:row r="55">
      <x:c r="A55" s="301" t="str">
        <x:v>T-054</x:v>
      </x:c>
      <x:c r="B55" s="301" t="str">
        <x:v>M1</x:v>
      </x:c>
      <x:c r="C55" s="301" t="str">
        <x:v>M1-P4</x:v>
      </x:c>
      <x:c r="D55" s="301" t="str">
        <x:v>Not Started</x:v>
      </x:c>
      <x:c r="E55" s="301" t="str">
        <x:v>Presentation lane (Workers 1/2)</x:v>
      </x:c>
      <x:c r="F55" s="301" t="n">
        <x:v>4</x:v>
      </x:c>
      <x:c r="G55" s="301"/>
      <x:c r="H55" s="301"/>
    </x:row>
    <x:row r="56">
      <x:c r="A56" s="301" t="str">
        <x:v>T-055</x:v>
      </x:c>
      <x:c r="B56" s="301" t="str">
        <x:v>M1</x:v>
      </x:c>
      <x:c r="C56" s="301" t="str">
        <x:v>M1-P4</x:v>
      </x:c>
      <x:c r="D56" s="301" t="str">
        <x:v>Not Started</x:v>
      </x:c>
      <x:c r="E56" s="301" t="str">
        <x:v>Presentation lane (Workers 1/2)</x:v>
      </x:c>
      <x:c r="F56" s="301" t="n">
        <x:v>6</x:v>
      </x:c>
      <x:c r="G56" s="301"/>
      <x:c r="H56" s="301"/>
    </x:row>
    <x:row r="57">
      <x:c r="A57" s="301" t="str">
        <x:v>T-056</x:v>
      </x:c>
      <x:c r="B57" s="301" t="str">
        <x:v>M1</x:v>
      </x:c>
      <x:c r="C57" s="301" t="str">
        <x:v>M1-P4</x:v>
      </x:c>
      <x:c r="D57" s="301" t="str">
        <x:v>Not Started</x:v>
      </x:c>
      <x:c r="E57" s="301" t="str">
        <x:v>Presentation lane (Workers 1/2)</x:v>
      </x:c>
      <x:c r="F57" s="301" t="n">
        <x:v>4</x:v>
      </x:c>
      <x:c r="G57" s="301"/>
      <x:c r="H57" s="301"/>
    </x:row>
    <x:row r="58">
      <x:c r="A58" s="301" t="str">
        <x:v>T-057</x:v>
      </x:c>
      <x:c r="B58" s="301" t="str">
        <x:v>M1</x:v>
      </x:c>
      <x:c r="C58" s="301" t="str">
        <x:v>M1-P4</x:v>
      </x:c>
      <x:c r="D58" s="301" t="str">
        <x:v>Done</x:v>
      </x:c>
      <x:c r="E58" s="301" t="str">
        <x:v>Presentation lane (Workers 1/2)</x:v>
      </x:c>
      <x:c r="F58" s="301" t="n">
        <x:v>10</x:v>
      </x:c>
      <x:c r="G58" s="301" t="str">
        <x:v>T-039</x:v>
      </x:c>
      <x:c r="H58" s="301" t="str">
        <x:v>T-095</x:v>
      </x:c>
    </x:row>
    <x:row r="59">
      <x:c r="A59" s="301" t="str">
        <x:v>T-058</x:v>
      </x:c>
      <x:c r="B59" s="301" t="str">
        <x:v>M1</x:v>
      </x:c>
      <x:c r="C59" s="301" t="str">
        <x:v>M1-P4</x:v>
      </x:c>
      <x:c r="D59" s="301" t="str">
        <x:v>Done</x:v>
      </x:c>
      <x:c r="E59" s="301" t="str">
        <x:v>Presentation lane (Workers 1/2)</x:v>
      </x:c>
      <x:c r="F59" s="301" t="n">
        <x:v>10</x:v>
      </x:c>
      <x:c r="G59" s="301" t="str">
        <x:v>T-057</x:v>
      </x:c>
      <x:c r="H59" s="301"/>
    </x:row>
    <x:row r="60">
      <x:c r="A60" s="301" t="str">
        <x:v>T-059</x:v>
      </x:c>
      <x:c r="B60" s="301" t="str">
        <x:v>M1</x:v>
      </x:c>
      <x:c r="C60" s="301" t="str">
        <x:v>M1-P4</x:v>
      </x:c>
      <x:c r="D60" s="301" t="str">
        <x:v>Not Started</x:v>
      </x:c>
      <x:c r="E60" s="301" t="str">
        <x:v>Presentation lane (Workers 1/2)</x:v>
      </x:c>
      <x:c r="F60" s="301" t="n">
        <x:v>4</x:v>
      </x:c>
      <x:c r="G60" s="301" t="str">
        <x:v>T-048; T-057; T-058</x:v>
      </x:c>
      <x:c r="H60" s="301"/>
    </x:row>
    <x:row r="61">
      <x:c r="A61" s="301" t="str">
        <x:v>T-060</x:v>
      </x:c>
      <x:c r="B61" s="301" t="str">
        <x:v>M1</x:v>
      </x:c>
      <x:c r="C61" s="301" t="str">
        <x:v>M1-P4</x:v>
      </x:c>
      <x:c r="D61" s="301" t="str">
        <x:v>In Progress</x:v>
      </x:c>
      <x:c r="E61" s="301" t="str">
        <x:v>Presentation lane (Workers 1/2)</x:v>
      </x:c>
      <x:c r="F61" s="301" t="n">
        <x:v>4</x:v>
      </x:c>
      <x:c r="G61" s="301" t="str">
        <x:v>T-057; T-058</x:v>
      </x:c>
      <x:c r="H61" s="301"/>
    </x:row>
    <x:row r="62">
      <x:c r="A62" s="301" t="str">
        <x:v>T-061</x:v>
      </x:c>
      <x:c r="B62" s="301" t="str">
        <x:v>M1</x:v>
      </x:c>
      <x:c r="C62" s="301" t="str">
        <x:v>M1-P4</x:v>
      </x:c>
      <x:c r="D62" s="301" t="str">
        <x:v>Not Started</x:v>
      </x:c>
      <x:c r="E62" s="301" t="str">
        <x:v>Presentation lane (Workers 1/2)</x:v>
      </x:c>
      <x:c r="F62" s="301" t="n">
        <x:v>6</x:v>
      </x:c>
      <x:c r="G62" s="301" t="str">
        <x:v>T-087; T-089; T-090; T-099</x:v>
      </x:c>
      <x:c r="H62" s="301"/>
    </x:row>
    <x:row r="63">
      <x:c r="A63" s="301" t="str">
        <x:v>T-062</x:v>
      </x:c>
      <x:c r="B63" s="301" t="str">
        <x:v>M1</x:v>
      </x:c>
      <x:c r="C63" s="301" t="str">
        <x:v>M1-P4</x:v>
      </x:c>
      <x:c r="D63" s="301" t="str">
        <x:v>Not Started</x:v>
      </x:c>
      <x:c r="E63" s="301" t="str">
        <x:v>Presentation lane (Workers 1/2)</x:v>
      </x:c>
      <x:c r="F63" s="301" t="n">
        <x:v>4</x:v>
      </x:c>
      <x:c r="G63" s="301" t="str">
        <x:v>T-061</x:v>
      </x:c>
      <x:c r="H63" s="301"/>
    </x:row>
    <x:row r="64">
      <x:c r="A64" s="301" t="str">
        <x:v>T-063</x:v>
      </x:c>
      <x:c r="B64" s="301" t="str">
        <x:v>M1</x:v>
      </x:c>
      <x:c r="C64" s="301" t="str">
        <x:v>M1-P4</x:v>
      </x:c>
      <x:c r="D64" s="301" t="str">
        <x:v>Not Started</x:v>
      </x:c>
      <x:c r="E64" s="301" t="str">
        <x:v>Presentation lane (Workers 1/2)</x:v>
      </x:c>
      <x:c r="F64" s="301" t="n">
        <x:v>10</x:v>
      </x:c>
      <x:c r="G64" s="301"/>
      <x:c r="H64" s="301"/>
    </x:row>
    <x:row r="65">
      <x:c r="A65" s="301" t="str">
        <x:v>T-064</x:v>
      </x:c>
      <x:c r="B65" s="301" t="str">
        <x:v>M1</x:v>
      </x:c>
      <x:c r="C65" s="301" t="str">
        <x:v>M1-P4</x:v>
      </x:c>
      <x:c r="D65" s="301" t="str">
        <x:v>Done</x:v>
      </x:c>
      <x:c r="E65" s="301" t="str">
        <x:v>Presentation lane (Workers 1/2)</x:v>
      </x:c>
      <x:c r="F65" s="301" t="n">
        <x:v>8</x:v>
      </x:c>
      <x:c r="G65" s="301" t="str">
        <x:v>T-039</x:v>
      </x:c>
      <x:c r="H65" s="301" t="str">
        <x:v>T-106</x:v>
      </x:c>
    </x:row>
    <x:row r="66">
      <x:c r="A66" s="301" t="str">
        <x:v>T-065</x:v>
      </x:c>
      <x:c r="B66" s="301" t="str">
        <x:v>M1</x:v>
      </x:c>
      <x:c r="C66" s="301" t="str">
        <x:v>M1-P4</x:v>
      </x:c>
      <x:c r="D66" s="301" t="str">
        <x:v>In Progress</x:v>
      </x:c>
      <x:c r="E66" s="301" t="str">
        <x:v>Presentation lane (Workers 1/2)</x:v>
      </x:c>
      <x:c r="F66" s="301" t="n">
        <x:v>12</x:v>
      </x:c>
      <x:c r="G66" s="301" t="str">
        <x:v>T-064; T-068</x:v>
      </x:c>
      <x:c r="H66" s="301"/>
    </x:row>
    <x:row r="67">
      <x:c r="A67" s="301" t="str">
        <x:v>T-066</x:v>
      </x:c>
      <x:c r="B67" s="301" t="str">
        <x:v>M1</x:v>
      </x:c>
      <x:c r="C67" s="301" t="str">
        <x:v>M1-P4</x:v>
      </x:c>
      <x:c r="D67" s="301" t="str">
        <x:v>In Progress</x:v>
      </x:c>
      <x:c r="E67" s="301" t="str">
        <x:v>Presentation lane (Workers 1/2)</x:v>
      </x:c>
      <x:c r="F67" s="301" t="n">
        <x:v>6</x:v>
      </x:c>
      <x:c r="G67" s="301" t="str">
        <x:v>T-065; T-195</x:v>
      </x:c>
      <x:c r="H67" s="301"/>
    </x:row>
    <x:row r="68">
      <x:c r="A68" s="301" t="str">
        <x:v>T-067</x:v>
      </x:c>
      <x:c r="B68" s="301" t="str">
        <x:v>M1</x:v>
      </x:c>
      <x:c r="C68" s="301" t="str">
        <x:v>M1-P4</x:v>
      </x:c>
      <x:c r="D68" s="301" t="str">
        <x:v>Not Started</x:v>
      </x:c>
      <x:c r="E68" s="301" t="str">
        <x:v>Presentation lane (Workers 1/2)</x:v>
      </x:c>
      <x:c r="F68" s="301" t="n">
        <x:v>8</x:v>
      </x:c>
      <x:c r="G68" s="301" t="str">
        <x:v>T-050; T-065; T-066</x:v>
      </x:c>
      <x:c r="H68" s="301"/>
    </x:row>
    <x:row r="69">
      <x:c r="A69" s="301" t="str">
        <x:v>T-068</x:v>
      </x:c>
      <x:c r="B69" s="301" t="str">
        <x:v>M1</x:v>
      </x:c>
      <x:c r="C69" s="301" t="str">
        <x:v>M1-P4</x:v>
      </x:c>
      <x:c r="D69" s="301" t="str">
        <x:v>Done</x:v>
      </x:c>
      <x:c r="E69" s="301" t="str">
        <x:v>Presentation lane (Workers 1/2)</x:v>
      </x:c>
      <x:c r="F69" s="301" t="n">
        <x:v>6</x:v>
      </x:c>
      <x:c r="G69" s="301" t="str">
        <x:v>T-039</x:v>
      </x:c>
      <x:c r="H69" s="301" t="str">
        <x:v>T-065</x:v>
      </x:c>
    </x:row>
    <x:row r="70">
      <x:c r="A70" s="301" t="str">
        <x:v>T-069</x:v>
      </x:c>
      <x:c r="B70" s="301" t="str">
        <x:v>M1</x:v>
      </x:c>
      <x:c r="C70" s="301" t="str">
        <x:v>M1-P5</x:v>
      </x:c>
      <x:c r="D70" s="301" t="str">
        <x:v>Done</x:v>
      </x:c>
      <x:c r="E70" s="301" t="str">
        <x:v>Completed / no assignment</x:v>
      </x:c>
      <x:c r="F70" s="301" t="n">
        <x:v>8</x:v>
      </x:c>
      <x:c r="G70" s="301"/>
      <x:c r="H70" s="301"/>
    </x:row>
    <x:row r="71">
      <x:c r="A71" s="301" t="str">
        <x:v>T-070</x:v>
      </x:c>
      <x:c r="B71" s="301" t="str">
        <x:v>M1</x:v>
      </x:c>
      <x:c r="C71" s="301" t="str">
        <x:v>M1-P5</x:v>
      </x:c>
      <x:c r="D71" s="301" t="str">
        <x:v>Done</x:v>
      </x:c>
      <x:c r="E71" s="301" t="str">
        <x:v>Completed / no assignment</x:v>
      </x:c>
      <x:c r="F71" s="301" t="n">
        <x:v>6</x:v>
      </x:c>
      <x:c r="G71" s="301"/>
      <x:c r="H71" s="301"/>
    </x:row>
    <x:row r="72">
      <x:c r="A72" s="301" t="str">
        <x:v>T-071</x:v>
      </x:c>
      <x:c r="B72" s="301" t="str">
        <x:v>M1</x:v>
      </x:c>
      <x:c r="C72" s="301" t="str">
        <x:v>M1-P5</x:v>
      </x:c>
      <x:c r="D72" s="301" t="str">
        <x:v>Done</x:v>
      </x:c>
      <x:c r="E72" s="301" t="str">
        <x:v>Completed / no assignment</x:v>
      </x:c>
      <x:c r="F72" s="301" t="n">
        <x:v>8</x:v>
      </x:c>
      <x:c r="G72" s="301"/>
      <x:c r="H72" s="301"/>
    </x:row>
    <x:row r="73">
      <x:c r="A73" s="301" t="str">
        <x:v>T-072</x:v>
      </x:c>
      <x:c r="B73" s="301" t="str">
        <x:v>M1</x:v>
      </x:c>
      <x:c r="C73" s="301" t="str">
        <x:v>M1-P5</x:v>
      </x:c>
      <x:c r="D73" s="301" t="str">
        <x:v>Done</x:v>
      </x:c>
      <x:c r="E73" s="301" t="str">
        <x:v>Completed / no assignment</x:v>
      </x:c>
      <x:c r="F73" s="301" t="n">
        <x:v>8</x:v>
      </x:c>
      <x:c r="G73" s="301"/>
      <x:c r="H73" s="301"/>
    </x:row>
    <x:row r="74">
      <x:c r="A74" s="301" t="str">
        <x:v>T-073</x:v>
      </x:c>
      <x:c r="B74" s="301" t="str">
        <x:v>M1</x:v>
      </x:c>
      <x:c r="C74" s="301" t="str">
        <x:v>M1-P5</x:v>
      </x:c>
      <x:c r="D74" s="301" t="str">
        <x:v>Done</x:v>
      </x:c>
      <x:c r="E74" s="301" t="str">
        <x:v>Completed / no assignment</x:v>
      </x:c>
      <x:c r="F74" s="301" t="n">
        <x:v>8</x:v>
      </x:c>
      <x:c r="G74" s="301"/>
      <x:c r="H74" s="301"/>
    </x:row>
    <x:row r="75">
      <x:c r="A75" s="301" t="str">
        <x:v>T-074</x:v>
      </x:c>
      <x:c r="B75" s="301" t="str">
        <x:v>M1</x:v>
      </x:c>
      <x:c r="C75" s="301" t="str">
        <x:v>M1-P5</x:v>
      </x:c>
      <x:c r="D75" s="301" t="str">
        <x:v>Done</x:v>
      </x:c>
      <x:c r="E75" s="301" t="str">
        <x:v>Completed / no assignment</x:v>
      </x:c>
      <x:c r="F75" s="301" t="n">
        <x:v>4</x:v>
      </x:c>
      <x:c r="G75" s="301"/>
      <x:c r="H75" s="301"/>
    </x:row>
    <x:row r="76">
      <x:c r="A76" s="301" t="str">
        <x:v>T-075</x:v>
      </x:c>
      <x:c r="B76" s="301" t="str">
        <x:v>M1</x:v>
      </x:c>
      <x:c r="C76" s="301" t="str">
        <x:v>M1-P5</x:v>
      </x:c>
      <x:c r="D76" s="301" t="str">
        <x:v>Done</x:v>
      </x:c>
      <x:c r="E76" s="301" t="str">
        <x:v>Completed / no assignment</x:v>
      </x:c>
      <x:c r="F76" s="301" t="n">
        <x:v>4</x:v>
      </x:c>
      <x:c r="G76" s="301"/>
      <x:c r="H76" s="301"/>
    </x:row>
    <x:row r="77">
      <x:c r="A77" s="301" t="str">
        <x:v>T-076</x:v>
      </x:c>
      <x:c r="B77" s="301" t="str">
        <x:v>M1</x:v>
      </x:c>
      <x:c r="C77" s="301" t="str">
        <x:v>M1-P5</x:v>
      </x:c>
      <x:c r="D77" s="301" t="str">
        <x:v>Not Started</x:v>
      </x:c>
      <x:c r="E77" s="301" t="str">
        <x:v>Presentation lane (Workers 1/2)</x:v>
      </x:c>
      <x:c r="F77" s="301" t="n">
        <x:v>4</x:v>
      </x:c>
      <x:c r="G77" s="301" t="str">
        <x:v>T-049; T-050; T-051; T-052; T-053; T-054; T-055; T-056; T-057; T-058; T-059; T-060; T-061; T-062; T-063; T-064; T-065; T-066; T-067; T-068</x:v>
      </x:c>
      <x:c r="H77" s="301"/>
    </x:row>
    <x:row r="78">
      <x:c r="A78" s="301" t="str">
        <x:v>T-077</x:v>
      </x:c>
      <x:c r="B78" s="301" t="str">
        <x:v>M1</x:v>
      </x:c>
      <x:c r="C78" s="301" t="str">
        <x:v>M1-P5</x:v>
      </x:c>
      <x:c r="D78" s="301" t="str">
        <x:v>Not Started</x:v>
      </x:c>
      <x:c r="E78" s="301" t="str">
        <x:v>Presentation lane (Workers 1/2)</x:v>
      </x:c>
      <x:c r="F78" s="301" t="n">
        <x:v>6</x:v>
      </x:c>
      <x:c r="G78" s="301" t="str">
        <x:v>T-053; T-054; T-055; T-056; T-057; T-058; T-059; T-060; T-061; T-062; T-063; T-064; T-065; T-066; T-067; T-068; T-069; T-070; T-071; T-072; T-073; T-074; T-075; T-076</x:v>
      </x:c>
      <x:c r="H78" s="301"/>
    </x:row>
    <x:row r="79">
      <x:c r="A79" s="301" t="str">
        <x:v>T-078</x:v>
      </x:c>
      <x:c r="B79" s="301" t="str">
        <x:v>M1</x:v>
      </x:c>
      <x:c r="C79" s="301" t="str">
        <x:v>M1-P5</x:v>
      </x:c>
      <x:c r="D79" s="301" t="str">
        <x:v>Not Started</x:v>
      </x:c>
      <x:c r="E79" s="301" t="str">
        <x:v>Presentation lane (Workers 1/2)</x:v>
      </x:c>
      <x:c r="F79" s="301" t="n">
        <x:v>4</x:v>
      </x:c>
      <x:c r="G79" s="301" t="str">
        <x:v>T-077</x:v>
      </x:c>
      <x:c r="H79" s="301"/>
    </x:row>
    <x:row r="80">
      <x:c r="A80" s="301" t="str">
        <x:v>T-079</x:v>
      </x:c>
      <x:c r="B80" s="301" t="str">
        <x:v>M1</x:v>
      </x:c>
      <x:c r="C80" s="301" t="str">
        <x:v>M1-P5</x:v>
      </x:c>
      <x:c r="D80" s="301" t="str">
        <x:v>Not Started</x:v>
      </x:c>
      <x:c r="E80" s="301" t="str">
        <x:v>Presentation lane (Workers 1/2)</x:v>
      </x:c>
      <x:c r="F80" s="301" t="n">
        <x:v>3</x:v>
      </x:c>
      <x:c r="G80" s="301" t="str">
        <x:v>T-077</x:v>
      </x:c>
      <x:c r="H80" s="301"/>
    </x:row>
    <x:row r="81">
      <x:c r="A81" s="301" t="str">
        <x:v>T-080</x:v>
      </x:c>
      <x:c r="B81" s="301" t="str">
        <x:v>M1</x:v>
      </x:c>
      <x:c r="C81" s="301" t="str">
        <x:v>M1-P5</x:v>
      </x:c>
      <x:c r="D81" s="301" t="str">
        <x:v>Not Started</x:v>
      </x:c>
      <x:c r="E81" s="301" t="str">
        <x:v>Presentation lane (Workers 1/2)</x:v>
      </x:c>
      <x:c r="F81" s="301" t="n">
        <x:v>4</x:v>
      </x:c>
      <x:c r="G81" s="301" t="str">
        <x:v>T-076; T-077; T-078; T-079</x:v>
      </x:c>
      <x:c r="H81" s="301"/>
    </x:row>
    <x:row r="82">
      <x:c r="A82" s="301" t="str">
        <x:v>T-081</x:v>
      </x:c>
      <x:c r="B82" s="301" t="str">
        <x:v>M1</x:v>
      </x:c>
      <x:c r="C82" s="301" t="str">
        <x:v>M1-P5</x:v>
      </x:c>
      <x:c r="D82" s="301" t="str">
        <x:v>Not Started</x:v>
      </x:c>
      <x:c r="E82" s="301" t="str">
        <x:v>Presentation lane (Workers 1/2)</x:v>
      </x:c>
      <x:c r="F82" s="301" t="n">
        <x:v>6</x:v>
      </x:c>
      <x:c r="G82" s="301" t="str">
        <x:v>T-080</x:v>
      </x:c>
      <x:c r="H82" s="301"/>
    </x:row>
    <x:row r="83">
      <x:c r="A83" s="301" t="str">
        <x:v>T-082</x:v>
      </x:c>
      <x:c r="B83" s="301" t="str">
        <x:v>M1</x:v>
      </x:c>
      <x:c r="C83" s="301" t="str">
        <x:v>M1-P5</x:v>
      </x:c>
      <x:c r="D83" s="301" t="str">
        <x:v>Not Started</x:v>
      </x:c>
      <x:c r="E83" s="301" t="str">
        <x:v>Presentation lane (Workers 1/2)</x:v>
      </x:c>
      <x:c r="F83" s="301" t="n">
        <x:v>4</x:v>
      </x:c>
      <x:c r="G83" s="301" t="str">
        <x:v>T-076; T-077; T-078; T-079; T-080; T-081</x:v>
      </x:c>
      <x:c r="H83" s="301"/>
    </x:row>
    <x:row r="84">
      <x:c r="A84" s="301" t="str">
        <x:v>T-083</x:v>
      </x:c>
      <x:c r="B84" s="301" t="str">
        <x:v>M1</x:v>
      </x:c>
      <x:c r="C84" s="301" t="str">
        <x:v>M1-P5</x:v>
      </x:c>
      <x:c r="D84" s="301" t="str">
        <x:v>Not Started</x:v>
      </x:c>
      <x:c r="E84" s="301" t="str">
        <x:v>Presentation lane (Workers 1/2)</x:v>
      </x:c>
      <x:c r="F84" s="301" t="n">
        <x:v>6</x:v>
      </x:c>
      <x:c r="G84" s="301" t="str">
        <x:v>T-082</x:v>
      </x:c>
      <x:c r="H84" s="301"/>
    </x:row>
    <x:row r="85">
      <x:c r="A85" s="301" t="str">
        <x:v>T-084</x:v>
      </x:c>
      <x:c r="B85" s="301" t="str">
        <x:v>M2a</x:v>
      </x:c>
      <x:c r="C85" s="301" t="str">
        <x:v>M2a-P1</x:v>
      </x:c>
      <x:c r="D85" s="301" t="str">
        <x:v>Not Started</x:v>
      </x:c>
      <x:c r="E85" s="301" t="str">
        <x:v>Core platform / presentation-core lane</x:v>
      </x:c>
      <x:c r="F85" s="301" t="n">
        <x:v>10</x:v>
      </x:c>
      <x:c r="G85" s="301"/>
      <x:c r="H85" s="301"/>
    </x:row>
    <x:row r="86">
      <x:c r="A86" s="301" t="str">
        <x:v>T-085</x:v>
      </x:c>
      <x:c r="B86" s="301" t="str">
        <x:v>M2a</x:v>
      </x:c>
      <x:c r="C86" s="301" t="str">
        <x:v>M2a-P1</x:v>
      </x:c>
      <x:c r="D86" s="301" t="str">
        <x:v>Not Started</x:v>
      </x:c>
      <x:c r="E86" s="301" t="str">
        <x:v>Core platform / presentation-core lane</x:v>
      </x:c>
      <x:c r="F86" s="301" t="n">
        <x:v>10</x:v>
      </x:c>
      <x:c r="G86" s="301"/>
      <x:c r="H86" s="301"/>
    </x:row>
    <x:row r="87">
      <x:c r="A87" s="301" t="str">
        <x:v>T-086</x:v>
      </x:c>
      <x:c r="B87" s="301" t="str">
        <x:v>M2a</x:v>
      </x:c>
      <x:c r="C87" s="301" t="str">
        <x:v>M2a-P1</x:v>
      </x:c>
      <x:c r="D87" s="301" t="str">
        <x:v>Not Started</x:v>
      </x:c>
      <x:c r="E87" s="301" t="str">
        <x:v>Core platform / presentation-core lane</x:v>
      </x:c>
      <x:c r="F87" s="301" t="n">
        <x:v>8</x:v>
      </x:c>
      <x:c r="G87" s="301" t="str">
        <x:v>T-201</x:v>
      </x:c>
      <x:c r="H87" s="301"/>
    </x:row>
    <x:row r="88">
      <x:c r="A88" s="301" t="str">
        <x:v>T-087</x:v>
      </x:c>
      <x:c r="B88" s="301" t="str">
        <x:v>M2a</x:v>
      </x:c>
      <x:c r="C88" s="301" t="str">
        <x:v>M2a-P1</x:v>
      </x:c>
      <x:c r="D88" s="301" t="str">
        <x:v>Not Started</x:v>
      </x:c>
      <x:c r="E88" s="301" t="str">
        <x:v>Core platform / presentation-core lane</x:v>
      </x:c>
      <x:c r="F88" s="301" t="n">
        <x:v>12</x:v>
      </x:c>
      <x:c r="G88" s="301" t="str">
        <x:v>T-086; T-088</x:v>
      </x:c>
      <x:c r="H88" s="301"/>
    </x:row>
    <x:row r="89">
      <x:c r="A89" s="301" t="str">
        <x:v>T-088</x:v>
      </x:c>
      <x:c r="B89" s="301" t="str">
        <x:v>M2a</x:v>
      </x:c>
      <x:c r="C89" s="301" t="str">
        <x:v>M2a-P1</x:v>
      </x:c>
      <x:c r="D89" s="301" t="str">
        <x:v>Not Started</x:v>
      </x:c>
      <x:c r="E89" s="301" t="str">
        <x:v>Core platform / presentation-core lane</x:v>
      </x:c>
      <x:c r="F89" s="301" t="n">
        <x:v>12</x:v>
      </x:c>
      <x:c r="G89" s="301" t="str">
        <x:v>T-086</x:v>
      </x:c>
      <x:c r="H89" s="301" t="str">
        <x:v>T-087</x:v>
      </x:c>
    </x:row>
    <x:row r="90">
      <x:c r="A90" s="301" t="str">
        <x:v>T-089</x:v>
      </x:c>
      <x:c r="B90" s="301" t="str">
        <x:v>M2a</x:v>
      </x:c>
      <x:c r="C90" s="301" t="str">
        <x:v>M2a-P1</x:v>
      </x:c>
      <x:c r="D90" s="301" t="str">
        <x:v>Not Started</x:v>
      </x:c>
      <x:c r="E90" s="301" t="str">
        <x:v>Core platform / presentation-core lane</x:v>
      </x:c>
      <x:c r="F90" s="301" t="n">
        <x:v>12</x:v>
      </x:c>
      <x:c r="G90" s="301" t="str">
        <x:v>T-087; T-088</x:v>
      </x:c>
      <x:c r="H90" s="301"/>
    </x:row>
    <x:row r="91">
      <x:c r="A91" s="301" t="str">
        <x:v>T-090</x:v>
      </x:c>
      <x:c r="B91" s="301" t="str">
        <x:v>M2a</x:v>
      </x:c>
      <x:c r="C91" s="301" t="str">
        <x:v>M2a-P1</x:v>
      </x:c>
      <x:c r="D91" s="301" t="str">
        <x:v>Not Started</x:v>
      </x:c>
      <x:c r="E91" s="301" t="str">
        <x:v>Core platform / presentation-core lane</x:v>
      </x:c>
      <x:c r="F91" s="301" t="n">
        <x:v>12</x:v>
      </x:c>
      <x:c r="G91" s="301" t="str">
        <x:v>T-089</x:v>
      </x:c>
      <x:c r="H91" s="301"/>
    </x:row>
    <x:row r="92">
      <x:c r="A92" s="301" t="str">
        <x:v>T-091</x:v>
      </x:c>
      <x:c r="B92" s="301" t="str">
        <x:v>M2a</x:v>
      </x:c>
      <x:c r="C92" s="301" t="str">
        <x:v>M2a-P1</x:v>
      </x:c>
      <x:c r="D92" s="301" t="str">
        <x:v>Not Started</x:v>
      </x:c>
      <x:c r="E92" s="301" t="str">
        <x:v>Core platform / presentation-core lane</x:v>
      </x:c>
      <x:c r="F92" s="301" t="n">
        <x:v>12</x:v>
      </x:c>
      <x:c r="G92" s="301" t="str">
        <x:v>T-090</x:v>
      </x:c>
      <x:c r="H92" s="301"/>
    </x:row>
    <x:row r="93">
      <x:c r="A93" s="301" t="str">
        <x:v>T-092</x:v>
      </x:c>
      <x:c r="B93" s="301" t="str">
        <x:v>M2a</x:v>
      </x:c>
      <x:c r="C93" s="301" t="str">
        <x:v>M2a-P1</x:v>
      </x:c>
      <x:c r="D93" s="301" t="str">
        <x:v>Not Started</x:v>
      </x:c>
      <x:c r="E93" s="301" t="str">
        <x:v>Core platform / presentation-core lane</x:v>
      </x:c>
      <x:c r="F93" s="301" t="n">
        <x:v>12</x:v>
      </x:c>
      <x:c r="G93" s="301" t="str">
        <x:v>T-089; T-090; T-210; T-231</x:v>
      </x:c>
      <x:c r="H93" s="301"/>
    </x:row>
    <x:row r="94">
      <x:c r="A94" s="301" t="str">
        <x:v>T-093</x:v>
      </x:c>
      <x:c r="B94" s="301" t="str">
        <x:v>M2a</x:v>
      </x:c>
      <x:c r="C94" s="301" t="str">
        <x:v>M2a-P1</x:v>
      </x:c>
      <x:c r="D94" s="301" t="str">
        <x:v>Not Started</x:v>
      </x:c>
      <x:c r="E94" s="301" t="str">
        <x:v>Core platform / presentation-core lane</x:v>
      </x:c>
      <x:c r="F94" s="301" t="n">
        <x:v>6</x:v>
      </x:c>
      <x:c r="G94" s="301" t="str">
        <x:v>T-092; T-206</x:v>
      </x:c>
      <x:c r="H94" s="301"/>
    </x:row>
    <x:row r="95">
      <x:c r="A95" s="301" t="str">
        <x:v>T-094</x:v>
      </x:c>
      <x:c r="B95" s="301" t="str">
        <x:v>M2a</x:v>
      </x:c>
      <x:c r="C95" s="301" t="str">
        <x:v>M2a-P1</x:v>
      </x:c>
      <x:c r="D95" s="301" t="str">
        <x:v>Not Started</x:v>
      </x:c>
      <x:c r="E95" s="301" t="str">
        <x:v>Core platform / presentation-core lane</x:v>
      </x:c>
      <x:c r="F95" s="301" t="n">
        <x:v>8</x:v>
      </x:c>
      <x:c r="G95" s="301" t="str">
        <x:v>T-092; T-093; T-209</x:v>
      </x:c>
      <x:c r="H95" s="301"/>
    </x:row>
    <x:row r="96">
      <x:c r="A96" s="301" t="str">
        <x:v>T-095</x:v>
      </x:c>
      <x:c r="B96" s="301" t="str">
        <x:v>M2a</x:v>
      </x:c>
      <x:c r="C96" s="301" t="str">
        <x:v>M2a-P2</x:v>
      </x:c>
      <x:c r="D96" s="301" t="str">
        <x:v>Not Started</x:v>
      </x:c>
      <x:c r="E96" s="301" t="str">
        <x:v>Core platform / presentation-core lane</x:v>
      </x:c>
      <x:c r="F96" s="301" t="n">
        <x:v>12</x:v>
      </x:c>
      <x:c r="G96" s="301" t="str">
        <x:v>T-057; T-089; T-090; T-094</x:v>
      </x:c>
      <x:c r="H96" s="301"/>
    </x:row>
    <x:row r="97">
      <x:c r="A97" s="301" t="str">
        <x:v>T-096</x:v>
      </x:c>
      <x:c r="B97" s="301" t="str">
        <x:v>M2a</x:v>
      </x:c>
      <x:c r="C97" s="301" t="str">
        <x:v>M2a-P2</x:v>
      </x:c>
      <x:c r="D97" s="301" t="str">
        <x:v>Not Started</x:v>
      </x:c>
      <x:c r="E97" s="301" t="str">
        <x:v>Core platform / presentation-core lane</x:v>
      </x:c>
      <x:c r="F97" s="301" t="n">
        <x:v>8</x:v>
      </x:c>
      <x:c r="G97" s="301" t="str">
        <x:v>T-095</x:v>
      </x:c>
      <x:c r="H97" s="301"/>
    </x:row>
    <x:row r="98">
      <x:c r="A98" s="301" t="str">
        <x:v>T-097</x:v>
      </x:c>
      <x:c r="B98" s="301" t="str">
        <x:v>M2a</x:v>
      </x:c>
      <x:c r="C98" s="301" t="str">
        <x:v>M2a-P2</x:v>
      </x:c>
      <x:c r="D98" s="301" t="str">
        <x:v>Not Started</x:v>
      </x:c>
      <x:c r="E98" s="301" t="str">
        <x:v>Core platform / presentation-core lane</x:v>
      </x:c>
      <x:c r="F98" s="301" t="n">
        <x:v>6</x:v>
      </x:c>
      <x:c r="G98" s="301" t="str">
        <x:v>T-096</x:v>
      </x:c>
      <x:c r="H98" s="301"/>
    </x:row>
    <x:row r="99">
      <x:c r="A99" s="301" t="str">
        <x:v>T-098</x:v>
      </x:c>
      <x:c r="B99" s="301" t="str">
        <x:v>M2a</x:v>
      </x:c>
      <x:c r="C99" s="301" t="str">
        <x:v>M2a-P2</x:v>
      </x:c>
      <x:c r="D99" s="301" t="str">
        <x:v>Not Started</x:v>
      </x:c>
      <x:c r="E99" s="301" t="str">
        <x:v>Core platform / presentation-core lane</x:v>
      </x:c>
      <x:c r="F99" s="301" t="n">
        <x:v>12</x:v>
      </x:c>
      <x:c r="G99" s="301" t="str">
        <x:v>T-060; T-095; T-096; T-097</x:v>
      </x:c>
      <x:c r="H99" s="301"/>
    </x:row>
    <x:row r="100">
      <x:c r="A100" s="301" t="str">
        <x:v>T-099</x:v>
      </x:c>
      <x:c r="B100" s="301" t="str">
        <x:v>M2a</x:v>
      </x:c>
      <x:c r="C100" s="301" t="str">
        <x:v>M2a-P2</x:v>
      </x:c>
      <x:c r="D100" s="301" t="str">
        <x:v>Not Started</x:v>
      </x:c>
      <x:c r="E100" s="301" t="str">
        <x:v>Core platform / presentation-core lane</x:v>
      </x:c>
      <x:c r="F100" s="301" t="n">
        <x:v>8</x:v>
      </x:c>
      <x:c r="G100" s="301" t="str">
        <x:v>T-087; T-089; T-090</x:v>
      </x:c>
      <x:c r="H100" s="301"/>
    </x:row>
    <x:row r="101">
      <x:c r="A101" s="301" t="str">
        <x:v>T-100</x:v>
      </x:c>
      <x:c r="B101" s="301" t="str">
        <x:v>M2a</x:v>
      </x:c>
      <x:c r="C101" s="301" t="str">
        <x:v>M2a-P2</x:v>
      </x:c>
      <x:c r="D101" s="301" t="str">
        <x:v>Not Started</x:v>
      </x:c>
      <x:c r="E101" s="301" t="str">
        <x:v>Core platform / presentation-core lane</x:v>
      </x:c>
      <x:c r="F101" s="301" t="n">
        <x:v>6</x:v>
      </x:c>
      <x:c r="G101" s="301" t="str">
        <x:v>T-099</x:v>
      </x:c>
      <x:c r="H101" s="301"/>
    </x:row>
    <x:row r="102">
      <x:c r="A102" s="301" t="str">
        <x:v>T-101</x:v>
      </x:c>
      <x:c r="B102" s="301" t="str">
        <x:v>M2a</x:v>
      </x:c>
      <x:c r="C102" s="301" t="str">
        <x:v>M2a-P2</x:v>
      </x:c>
      <x:c r="D102" s="301" t="str">
        <x:v>Not Started</x:v>
      </x:c>
      <x:c r="E102" s="301" t="str">
        <x:v>Core platform / presentation-core lane</x:v>
      </x:c>
      <x:c r="F102" s="301" t="n">
        <x:v>12</x:v>
      </x:c>
      <x:c r="G102" s="301" t="str">
        <x:v>T-061; T-099; T-100</x:v>
      </x:c>
      <x:c r="H102" s="301"/>
    </x:row>
    <x:row r="103">
      <x:c r="A103" s="301" t="str">
        <x:v>T-102</x:v>
      </x:c>
      <x:c r="B103" s="301" t="str">
        <x:v>M2a</x:v>
      </x:c>
      <x:c r="C103" s="301" t="str">
        <x:v>M2a-P2</x:v>
      </x:c>
      <x:c r="D103" s="301" t="str">
        <x:v>Not Started</x:v>
      </x:c>
      <x:c r="E103" s="301" t="str">
        <x:v>Core platform / presentation-core lane</x:v>
      </x:c>
      <x:c r="F103" s="301" t="n">
        <x:v>8</x:v>
      </x:c>
      <x:c r="G103" s="301" t="str">
        <x:v>T-087; T-095</x:v>
      </x:c>
      <x:c r="H103" s="301"/>
    </x:row>
    <x:row r="104">
      <x:c r="A104" s="301" t="str">
        <x:v>T-103</x:v>
      </x:c>
      <x:c r="B104" s="301" t="str">
        <x:v>M2a</x:v>
      </x:c>
      <x:c r="C104" s="301" t="str">
        <x:v>M2a-P2</x:v>
      </x:c>
      <x:c r="D104" s="301" t="str">
        <x:v>Not Started</x:v>
      </x:c>
      <x:c r="E104" s="301" t="str">
        <x:v>Core platform / presentation-core lane</x:v>
      </x:c>
      <x:c r="F104" s="301" t="n">
        <x:v>6</x:v>
      </x:c>
      <x:c r="G104" s="301" t="str">
        <x:v>T-095; T-102</x:v>
      </x:c>
      <x:c r="H104" s="301"/>
    </x:row>
    <x:row r="105">
      <x:c r="A105" s="301" t="str">
        <x:v>T-104</x:v>
      </x:c>
      <x:c r="B105" s="301" t="str">
        <x:v>M2a</x:v>
      </x:c>
      <x:c r="C105" s="301" t="str">
        <x:v>M2a-P2</x:v>
      </x:c>
      <x:c r="D105" s="301" t="str">
        <x:v>Not Started</x:v>
      </x:c>
      <x:c r="E105" s="301" t="str">
        <x:v>Core platform / presentation-core lane</x:v>
      </x:c>
      <x:c r="F105" s="301" t="n">
        <x:v>8</x:v>
      </x:c>
      <x:c r="G105" s="301" t="str">
        <x:v>T-090; T-095; T-099</x:v>
      </x:c>
      <x:c r="H105" s="301"/>
    </x:row>
    <x:row r="106">
      <x:c r="A106" s="301" t="str">
        <x:v>T-105</x:v>
      </x:c>
      <x:c r="B106" s="301" t="str">
        <x:v>M2a</x:v>
      </x:c>
      <x:c r="C106" s="301" t="str">
        <x:v>M2a-P2</x:v>
      </x:c>
      <x:c r="D106" s="301" t="str">
        <x:v>Not Started</x:v>
      </x:c>
      <x:c r="E106" s="301" t="str">
        <x:v>Core platform / presentation-core lane</x:v>
      </x:c>
      <x:c r="F106" s="301" t="n">
        <x:v>6</x:v>
      </x:c>
      <x:c r="G106" s="301" t="str">
        <x:v>T-104</x:v>
      </x:c>
      <x:c r="H106" s="301"/>
    </x:row>
    <x:row r="107">
      <x:c r="A107" s="301" t="str">
        <x:v>T-106</x:v>
      </x:c>
      <x:c r="B107" s="301" t="str">
        <x:v>M2a</x:v>
      </x:c>
      <x:c r="C107" s="301" t="str">
        <x:v>M2a-P3</x:v>
      </x:c>
      <x:c r="D107" s="301" t="str">
        <x:v>Not Started</x:v>
      </x:c>
      <x:c r="E107" s="301" t="str">
        <x:v>Core platform / presentation-core lane</x:v>
      </x:c>
      <x:c r="F107" s="301" t="n">
        <x:v>12</x:v>
      </x:c>
      <x:c r="G107" s="301" t="str">
        <x:v>T-064; T-089; T-090</x:v>
      </x:c>
      <x:c r="H107" s="301"/>
    </x:row>
    <x:row r="108">
      <x:c r="A108" s="301" t="str">
        <x:v>T-107</x:v>
      </x:c>
      <x:c r="B108" s="301" t="str">
        <x:v>M2a</x:v>
      </x:c>
      <x:c r="C108" s="301" t="str">
        <x:v>M2a-P3</x:v>
      </x:c>
      <x:c r="D108" s="301" t="str">
        <x:v>Not Started</x:v>
      </x:c>
      <x:c r="E108" s="301" t="str">
        <x:v>Shared: Core Platform + Worker 3</x:v>
      </x:c>
      <x:c r="F108" s="301" t="n">
        <x:v>12</x:v>
      </x:c>
      <x:c r="G108" s="301" t="str">
        <x:v>T-095; T-096; T-097; T-098; T-099; T-100; T-101; T-102; T-103; T-104; T-105; T-106</x:v>
      </x:c>
      <x:c r="H108" s="301"/>
    </x:row>
    <x:row r="109">
      <x:c r="A109" s="301" t="str">
        <x:v>T-108</x:v>
      </x:c>
      <x:c r="B109" s="301" t="str">
        <x:v>M2a</x:v>
      </x:c>
      <x:c r="C109" s="301" t="str">
        <x:v>M2a-P3</x:v>
      </x:c>
      <x:c r="D109" s="301" t="str">
        <x:v>Not Started</x:v>
      </x:c>
      <x:c r="E109" s="301" t="str">
        <x:v>Core platform / presentation-core lane</x:v>
      </x:c>
      <x:c r="F109" s="301" t="n">
        <x:v>8</x:v>
      </x:c>
      <x:c r="G109" s="301"/>
      <x:c r="H109" s="301"/>
    </x:row>
    <x:row r="110">
      <x:c r="A110" s="301" t="str">
        <x:v>T-109</x:v>
      </x:c>
      <x:c r="B110" s="301" t="str">
        <x:v>M2a</x:v>
      </x:c>
      <x:c r="C110" s="301" t="str">
        <x:v>M2a-P3</x:v>
      </x:c>
      <x:c r="D110" s="301" t="str">
        <x:v>Not Started</x:v>
      </x:c>
      <x:c r="E110" s="301" t="str">
        <x:v>Worker 3</x:v>
      </x:c>
      <x:c r="F110" s="301" t="n">
        <x:v>6</x:v>
      </x:c>
      <x:c r="G110" s="301" t="str">
        <x:v>T-095; T-096; T-097; T-098; T-099; T-100; T-101; T-102; T-103; T-104; T-105; T-108</x:v>
      </x:c>
      <x:c r="H110" s="301"/>
    </x:row>
    <x:row r="111">
      <x:c r="A111" s="301" t="str">
        <x:v>T-110</x:v>
      </x:c>
      <x:c r="B111" s="301" t="str">
        <x:v>M2a</x:v>
      </x:c>
      <x:c r="C111" s="301" t="str">
        <x:v>M2a-P3</x:v>
      </x:c>
      <x:c r="D111" s="301" t="str">
        <x:v>Not Started</x:v>
      </x:c>
      <x:c r="E111" s="301" t="str">
        <x:v>Core platform / presentation-core lane</x:v>
      </x:c>
      <x:c r="F111" s="301" t="n">
        <x:v>12</x:v>
      </x:c>
      <x:c r="G111" s="301"/>
      <x:c r="H111" s="301"/>
    </x:row>
    <x:row r="112">
      <x:c r="A112" s="301" t="str">
        <x:v>T-111</x:v>
      </x:c>
      <x:c r="B112" s="301" t="str">
        <x:v>M2a</x:v>
      </x:c>
      <x:c r="C112" s="301" t="str">
        <x:v>M2a-P3</x:v>
      </x:c>
      <x:c r="D112" s="301" t="str">
        <x:v>Not Started</x:v>
      </x:c>
      <x:c r="E112" s="301" t="str">
        <x:v>Core platform / presentation-core lane</x:v>
      </x:c>
      <x:c r="F112" s="301" t="n">
        <x:v>12</x:v>
      </x:c>
      <x:c r="G112" s="301"/>
      <x:c r="H112" s="301"/>
    </x:row>
    <x:row r="113">
      <x:c r="A113" s="301" t="str">
        <x:v>T-112</x:v>
      </x:c>
      <x:c r="B113" s="301" t="str">
        <x:v>M2a</x:v>
      </x:c>
      <x:c r="C113" s="301" t="str">
        <x:v>M2a-P3</x:v>
      </x:c>
      <x:c r="D113" s="301" t="str">
        <x:v>Not Started</x:v>
      </x:c>
      <x:c r="E113" s="301" t="str">
        <x:v>Core platform / presentation-core lane</x:v>
      </x:c>
      <x:c r="F113" s="301" t="n">
        <x:v>12</x:v>
      </x:c>
      <x:c r="G113" s="301" t="str">
        <x:v>T-087; T-088</x:v>
      </x:c>
      <x:c r="H113" s="301" t="str">
        <x:v>T-128; T-129; T-130; T-135; T-139; T-221; T-230</x:v>
      </x:c>
    </x:row>
    <x:row r="114">
      <x:c r="A114" s="301" t="str">
        <x:v>T-113</x:v>
      </x:c>
      <x:c r="B114" s="301" t="str">
        <x:v>M2a</x:v>
      </x:c>
      <x:c r="C114" s="301" t="str">
        <x:v>M2a-P3</x:v>
      </x:c>
      <x:c r="D114" s="301" t="str">
        <x:v>Not Started</x:v>
      </x:c>
      <x:c r="E114" s="301" t="str">
        <x:v>Core platform / presentation-core lane</x:v>
      </x:c>
      <x:c r="F114" s="301" t="n">
        <x:v>8</x:v>
      </x:c>
      <x:c r="G114" s="301"/>
      <x:c r="H114" s="301"/>
    </x:row>
    <x:row r="115">
      <x:c r="A115" s="301" t="str">
        <x:v>T-114</x:v>
      </x:c>
      <x:c r="B115" s="301" t="str">
        <x:v>M2a</x:v>
      </x:c>
      <x:c r="C115" s="301" t="str">
        <x:v>M2a-P3</x:v>
      </x:c>
      <x:c r="D115" s="301" t="str">
        <x:v>Not Started</x:v>
      </x:c>
      <x:c r="E115" s="301" t="str">
        <x:v>Core platform / presentation-core lane</x:v>
      </x:c>
      <x:c r="F115" s="301" t="n">
        <x:v>6</x:v>
      </x:c>
      <x:c r="G115" s="301" t="str">
        <x:v>T-087; T-089; T-090; T-095; T-099</x:v>
      </x:c>
      <x:c r="H115" s="301" t="str">
        <x:v>T-128; T-129; T-130; T-135; T-139; T-221; T-230</x:v>
      </x:c>
    </x:row>
    <x:row r="116">
      <x:c r="A116" s="301" t="str">
        <x:v>T-115</x:v>
      </x:c>
      <x:c r="B116" s="301" t="str">
        <x:v>M2a</x:v>
      </x:c>
      <x:c r="C116" s="301" t="str">
        <x:v>M2a-P3</x:v>
      </x:c>
      <x:c r="D116" s="301" t="str">
        <x:v>Not Started</x:v>
      </x:c>
      <x:c r="E116" s="301" t="str">
        <x:v>Core platform / presentation-core lane</x:v>
      </x:c>
      <x:c r="F116" s="301" t="n">
        <x:v>4</x:v>
      </x:c>
      <x:c r="G116" s="301"/>
      <x:c r="H116" s="301"/>
    </x:row>
    <x:row r="117">
      <x:c r="A117" s="301" t="str">
        <x:v>T-116</x:v>
      </x:c>
      <x:c r="B117" s="301" t="str">
        <x:v>M2a</x:v>
      </x:c>
      <x:c r="C117" s="301" t="str">
        <x:v>M2a-P3</x:v>
      </x:c>
      <x:c r="D117" s="301" t="str">
        <x:v>Not Started</x:v>
      </x:c>
      <x:c r="E117" s="301" t="str">
        <x:v>Core platform / presentation-core lane</x:v>
      </x:c>
      <x:c r="F117" s="301" t="n">
        <x:v>8</x:v>
      </x:c>
      <x:c r="G117" s="301"/>
      <x:c r="H117" s="301"/>
    </x:row>
    <x:row r="118">
      <x:c r="A118" s="301" t="str">
        <x:v>T-117</x:v>
      </x:c>
      <x:c r="B118" s="301" t="str">
        <x:v>M2a</x:v>
      </x:c>
      <x:c r="C118" s="301" t="str">
        <x:v>M2a-P3</x:v>
      </x:c>
      <x:c r="D118" s="301" t="str">
        <x:v>Not Started</x:v>
      </x:c>
      <x:c r="E118" s="301" t="str">
        <x:v>Core platform / presentation-core lane</x:v>
      </x:c>
      <x:c r="F118" s="301" t="n">
        <x:v>6</x:v>
      </x:c>
      <x:c r="G118" s="301"/>
      <x:c r="H118" s="301"/>
    </x:row>
    <x:row r="119">
      <x:c r="A119" s="301" t="str">
        <x:v>T-118</x:v>
      </x:c>
      <x:c r="B119" s="301" t="str">
        <x:v>M2a</x:v>
      </x:c>
      <x:c r="C119" s="301" t="str">
        <x:v>M2a-P4</x:v>
      </x:c>
      <x:c r="D119" s="301" t="str">
        <x:v>Not Started</x:v>
      </x:c>
      <x:c r="E119" s="301" t="str">
        <x:v>Core platform / presentation-core lane</x:v>
      </x:c>
      <x:c r="F119" s="301" t="n">
        <x:v>12</x:v>
      </x:c>
      <x:c r="G119" s="301"/>
      <x:c r="H119" s="301"/>
    </x:row>
    <x:row r="120">
      <x:c r="A120" s="301" t="str">
        <x:v>T-119</x:v>
      </x:c>
      <x:c r="B120" s="301" t="str">
        <x:v>M2a</x:v>
      </x:c>
      <x:c r="C120" s="301" t="str">
        <x:v>M2a-P4</x:v>
      </x:c>
      <x:c r="D120" s="301" t="str">
        <x:v>Not Started</x:v>
      </x:c>
      <x:c r="E120" s="301" t="str">
        <x:v>Core platform / presentation-core lane</x:v>
      </x:c>
      <x:c r="F120" s="301" t="n">
        <x:v>12</x:v>
      </x:c>
      <x:c r="G120" s="301"/>
      <x:c r="H120" s="301"/>
    </x:row>
    <x:row r="121">
      <x:c r="A121" s="301" t="str">
        <x:v>T-120</x:v>
      </x:c>
      <x:c r="B121" s="301" t="str">
        <x:v>M2a</x:v>
      </x:c>
      <x:c r="C121" s="301" t="str">
        <x:v>M2a-P4</x:v>
      </x:c>
      <x:c r="D121" s="301" t="str">
        <x:v>Not Started</x:v>
      </x:c>
      <x:c r="E121" s="301" t="str">
        <x:v>Core platform / presentation-core lane</x:v>
      </x:c>
      <x:c r="F121" s="301" t="n">
        <x:v>12</x:v>
      </x:c>
      <x:c r="G121" s="301"/>
      <x:c r="H121" s="301"/>
    </x:row>
    <x:row r="122">
      <x:c r="A122" s="301" t="str">
        <x:v>T-121</x:v>
      </x:c>
      <x:c r="B122" s="301" t="str">
        <x:v>M2a</x:v>
      </x:c>
      <x:c r="C122" s="301" t="str">
        <x:v>M2a-P4</x:v>
      </x:c>
      <x:c r="D122" s="301" t="str">
        <x:v>Not Started</x:v>
      </x:c>
      <x:c r="E122" s="301" t="str">
        <x:v>Core platform / presentation-core lane</x:v>
      </x:c>
      <x:c r="F122" s="301" t="n">
        <x:v>12</x:v>
      </x:c>
      <x:c r="G122" s="301" t="str">
        <x:v>T-119</x:v>
      </x:c>
      <x:c r="H122" s="301"/>
    </x:row>
    <x:row r="123">
      <x:c r="A123" s="301" t="str">
        <x:v>T-122</x:v>
      </x:c>
      <x:c r="B123" s="301" t="str">
        <x:v>M2a</x:v>
      </x:c>
      <x:c r="C123" s="301" t="str">
        <x:v>M2a-P4</x:v>
      </x:c>
      <x:c r="D123" s="301" t="str">
        <x:v>Not Started</x:v>
      </x:c>
      <x:c r="E123" s="301" t="str">
        <x:v>Shared: Infrastructure + Worker 3</x:v>
      </x:c>
      <x:c r="F123" s="301" t="n">
        <x:v>12</x:v>
      </x:c>
      <x:c r="G123" s="301" t="str">
        <x:v>T-106; T-107; T-112; T-113; T-114; T-117; T-137; T-168</x:v>
      </x:c>
      <x:c r="H123" s="301"/>
    </x:row>
    <x:row r="124">
      <x:c r="A124" s="301" t="str">
        <x:v>T-123</x:v>
      </x:c>
      <x:c r="B124" s="301" t="str">
        <x:v>M2a</x:v>
      </x:c>
      <x:c r="C124" s="301" t="str">
        <x:v>M2a-P4</x:v>
      </x:c>
      <x:c r="D124" s="301" t="str">
        <x:v>Not Started</x:v>
      </x:c>
      <x:c r="E124" s="301" t="str">
        <x:v>Core platform / presentation-core lane</x:v>
      </x:c>
      <x:c r="F124" s="301" t="n">
        <x:v>12</x:v>
      </x:c>
      <x:c r="G124" s="301"/>
      <x:c r="H124" s="301"/>
    </x:row>
    <x:row r="125">
      <x:c r="A125" s="301" t="str">
        <x:v>T-124</x:v>
      </x:c>
      <x:c r="B125" s="301" t="str">
        <x:v>M2a</x:v>
      </x:c>
      <x:c r="C125" s="301" t="str">
        <x:v>M2a-P4</x:v>
      </x:c>
      <x:c r="D125" s="301" t="str">
        <x:v>Not Started</x:v>
      </x:c>
      <x:c r="E125" s="301" t="str">
        <x:v>Core platform / presentation-core lane</x:v>
      </x:c>
      <x:c r="F125" s="301" t="n">
        <x:v>12</x:v>
      </x:c>
      <x:c r="G125" s="301"/>
      <x:c r="H125" s="301"/>
    </x:row>
    <x:row r="126">
      <x:c r="A126" s="301" t="str">
        <x:v>T-125</x:v>
      </x:c>
      <x:c r="B126" s="301" t="str">
        <x:v>M2a</x:v>
      </x:c>
      <x:c r="C126" s="301" t="str">
        <x:v>M2a-P4</x:v>
      </x:c>
      <x:c r="D126" s="301" t="str">
        <x:v>Not Started</x:v>
      </x:c>
      <x:c r="E126" s="301" t="str">
        <x:v>Core platform / presentation-core lane</x:v>
      </x:c>
      <x:c r="F126" s="301" t="n">
        <x:v>12</x:v>
      </x:c>
      <x:c r="G126" s="301"/>
      <x:c r="H126" s="301"/>
    </x:row>
    <x:row r="127">
      <x:c r="A127" s="301" t="str">
        <x:v>T-126</x:v>
      </x:c>
      <x:c r="B127" s="301" t="str">
        <x:v>M2a</x:v>
      </x:c>
      <x:c r="C127" s="301" t="str">
        <x:v>M2a-P4</x:v>
      </x:c>
      <x:c r="D127" s="301" t="str">
        <x:v>Not Started</x:v>
      </x:c>
      <x:c r="E127" s="301" t="str">
        <x:v>Core platform / presentation-core lane</x:v>
      </x:c>
      <x:c r="F127" s="301" t="n">
        <x:v>12</x:v>
      </x:c>
      <x:c r="G127" s="301"/>
      <x:c r="H127" s="301"/>
    </x:row>
    <x:row r="128">
      <x:c r="A128" s="301" t="str">
        <x:v>T-127</x:v>
      </x:c>
      <x:c r="B128" s="301" t="str">
        <x:v>M2a</x:v>
      </x:c>
      <x:c r="C128" s="301" t="str">
        <x:v>M2a-P4</x:v>
      </x:c>
      <x:c r="D128" s="301" t="str">
        <x:v>Not Started</x:v>
      </x:c>
      <x:c r="E128" s="301" t="str">
        <x:v>Core platform / presentation-core lane</x:v>
      </x:c>
      <x:c r="F128" s="301" t="n">
        <x:v>12</x:v>
      </x:c>
      <x:c r="G128" s="301" t="str">
        <x:v>T-196; T-197; T-198; T-199; T-200; T-121</x:v>
      </x:c>
      <x:c r="H128" s="301" t="str">
        <x:v>T-194</x:v>
      </x:c>
    </x:row>
    <x:row r="129">
      <x:c r="A129" s="301" t="str">
        <x:v>T-128</x:v>
      </x:c>
      <x:c r="B129" s="301" t="str">
        <x:v>M2b</x:v>
      </x:c>
      <x:c r="C129" s="301" t="str">
        <x:v>M2b-P1</x:v>
      </x:c>
      <x:c r="D129" s="301" t="str">
        <x:v>Not Started</x:v>
      </x:c>
      <x:c r="E129" s="301" t="str">
        <x:v>Worker 3</x:v>
      </x:c>
      <x:c r="F129" s="301" t="n">
        <x:v>10</x:v>
      </x:c>
      <x:c r="G129" s="301" t="str">
        <x:v>T-087; T-088; T-089; T-090; T-091; T-092; T-093; T-094; T-095; T-096; T-097; T-098; T-099; T-100; T-101; T-102; T-103; T-104; T-105; T-112; T-114; T-231; T-210</x:v>
      </x:c>
      <x:c r="H129" s="301"/>
    </x:row>
    <x:row r="130">
      <x:c r="A130" s="301" t="str">
        <x:v>T-129</x:v>
      </x:c>
      <x:c r="B130" s="301" t="str">
        <x:v>M2b</x:v>
      </x:c>
      <x:c r="C130" s="301" t="str">
        <x:v>M2b-P1</x:v>
      </x:c>
      <x:c r="D130" s="301" t="str">
        <x:v>Not Started</x:v>
      </x:c>
      <x:c r="E130" s="301" t="str">
        <x:v>Worker 3</x:v>
      </x:c>
      <x:c r="F130" s="301" t="n">
        <x:v>12</x:v>
      </x:c>
      <x:c r="G130" s="301" t="str">
        <x:v>T-128; T-183; T-112; T-114</x:v>
      </x:c>
      <x:c r="H130" s="301"/>
    </x:row>
    <x:row r="131">
      <x:c r="A131" s="301" t="str">
        <x:v>T-130</x:v>
      </x:c>
      <x:c r="B131" s="301" t="str">
        <x:v>M2b</x:v>
      </x:c>
      <x:c r="C131" s="301" t="str">
        <x:v>M2b-P1</x:v>
      </x:c>
      <x:c r="D131" s="301" t="str">
        <x:v>Not Started</x:v>
      </x:c>
      <x:c r="E131" s="301" t="str">
        <x:v>Worker 3</x:v>
      </x:c>
      <x:c r="F131" s="301" t="n">
        <x:v>12</x:v>
      </x:c>
      <x:c r="G131" s="301" t="str">
        <x:v>T-128; T-183; T-112; T-114</x:v>
      </x:c>
      <x:c r="H131" s="301"/>
    </x:row>
    <x:row r="132">
      <x:c r="A132" s="301" t="str">
        <x:v>T-131</x:v>
      </x:c>
      <x:c r="B132" s="301" t="str">
        <x:v>M2b</x:v>
      </x:c>
      <x:c r="C132" s="301" t="str">
        <x:v>M2b-P1</x:v>
      </x:c>
      <x:c r="D132" s="301" t="str">
        <x:v>Not Started</x:v>
      </x:c>
      <x:c r="E132" s="301" t="str">
        <x:v>Worker 3</x:v>
      </x:c>
      <x:c r="F132" s="301" t="n">
        <x:v>12</x:v>
      </x:c>
      <x:c r="G132" s="301" t="str">
        <x:v>T-086; T-128; T-171</x:v>
      </x:c>
      <x:c r="H132" s="301"/>
    </x:row>
    <x:row r="133">
      <x:c r="A133" s="301" t="str">
        <x:v>T-132</x:v>
      </x:c>
      <x:c r="B133" s="301" t="str">
        <x:v>M2b</x:v>
      </x:c>
      <x:c r="C133" s="301" t="str">
        <x:v>M2b-P1</x:v>
      </x:c>
      <x:c r="D133" s="301" t="str">
        <x:v>Not Started</x:v>
      </x:c>
      <x:c r="E133" s="301" t="str">
        <x:v>Worker 3</x:v>
      </x:c>
      <x:c r="F133" s="301" t="n">
        <x:v>12</x:v>
      </x:c>
      <x:c r="G133" s="301" t="str">
        <x:v>T-131</x:v>
      </x:c>
      <x:c r="H133" s="301"/>
    </x:row>
    <x:row r="134">
      <x:c r="A134" s="301" t="str">
        <x:v>T-133</x:v>
      </x:c>
      <x:c r="B134" s="301" t="str">
        <x:v>M2b</x:v>
      </x:c>
      <x:c r="C134" s="301" t="str">
        <x:v>M2b-P2</x:v>
      </x:c>
      <x:c r="D134" s="301" t="str">
        <x:v>Not Started</x:v>
      </x:c>
      <x:c r="E134" s="301" t="str">
        <x:v>Worker 3</x:v>
      </x:c>
      <x:c r="F134" s="301" t="n">
        <x:v>12</x:v>
      </x:c>
      <x:c r="G134" s="301" t="str">
        <x:v>T-131; T-132; T-183</x:v>
      </x:c>
      <x:c r="H134" s="301"/>
    </x:row>
    <x:row r="135">
      <x:c r="A135" s="301" t="str">
        <x:v>T-134</x:v>
      </x:c>
      <x:c r="B135" s="301" t="str">
        <x:v>M2b</x:v>
      </x:c>
      <x:c r="C135" s="301" t="str">
        <x:v>M2b-P2</x:v>
      </x:c>
      <x:c r="D135" s="301" t="str">
        <x:v>Not Started</x:v>
      </x:c>
      <x:c r="E135" s="301" t="str">
        <x:v>Worker 3</x:v>
      </x:c>
      <x:c r="F135" s="301" t="n">
        <x:v>12</x:v>
      </x:c>
      <x:c r="G135" s="301" t="str">
        <x:v>T-090; T-095; T-096; T-129; T-130; T-133; T-186; T-139</x:v>
      </x:c>
      <x:c r="H135" s="301"/>
    </x:row>
    <x:row r="136">
      <x:c r="A136" s="301" t="str">
        <x:v>T-135</x:v>
      </x:c>
      <x:c r="B136" s="301" t="str">
        <x:v>M2b</x:v>
      </x:c>
      <x:c r="C136" s="301" t="str">
        <x:v>M2b-P1</x:v>
      </x:c>
      <x:c r="D136" s="301" t="str">
        <x:v>Not Started</x:v>
      </x:c>
      <x:c r="E136" s="301" t="str">
        <x:v>Worker 3</x:v>
      </x:c>
      <x:c r="F136" s="301" t="n">
        <x:v>10</x:v>
      </x:c>
      <x:c r="G136" s="301" t="str">
        <x:v>T-112; T-114; T-128; T-129; T-130; T-183</x:v>
      </x:c>
      <x:c r="H136" s="301"/>
    </x:row>
    <x:row r="137">
      <x:c r="A137" s="301" t="str">
        <x:v>T-136</x:v>
      </x:c>
      <x:c r="B137" s="301" t="str">
        <x:v>M2b</x:v>
      </x:c>
      <x:c r="C137" s="301" t="str">
        <x:v>M2b-P2</x:v>
      </x:c>
      <x:c r="D137" s="301" t="str">
        <x:v>Not Started</x:v>
      </x:c>
      <x:c r="E137" s="301" t="str">
        <x:v>Worker 3</x:v>
      </x:c>
      <x:c r="F137" s="301" t="n">
        <x:v>10</x:v>
      </x:c>
      <x:c r="G137" s="301" t="str">
        <x:v>T-131; T-132; T-133; T-109</x:v>
      </x:c>
      <x:c r="H137" s="301"/>
    </x:row>
    <x:row r="138">
      <x:c r="A138" s="301" t="str">
        <x:v>T-137</x:v>
      </x:c>
      <x:c r="B138" s="301" t="str">
        <x:v>M2b</x:v>
      </x:c>
      <x:c r="C138" s="301" t="str">
        <x:v>M2b-P0B</x:v>
      </x:c>
      <x:c r="D138" s="301" t="str">
        <x:v>Done</x:v>
      </x:c>
      <x:c r="E138" s="301" t="str">
        <x:v>Worker 3</x:v>
      </x:c>
      <x:c r="F138" s="301" t="n">
        <x:v>10</x:v>
      </x:c>
      <x:c r="G138" s="301"/>
      <x:c r="H138" s="301"/>
    </x:row>
    <x:row r="139">
      <x:c r="A139" s="301" t="str">
        <x:v>T-138</x:v>
      </x:c>
      <x:c r="B139" s="301" t="str">
        <x:v>M2b</x:v>
      </x:c>
      <x:c r="C139" s="301" t="str">
        <x:v>M2b-P4</x:v>
      </x:c>
      <x:c r="D139" s="301" t="str">
        <x:v>Not Started</x:v>
      </x:c>
      <x:c r="E139" s="301" t="str">
        <x:v>Worker 3</x:v>
      </x:c>
      <x:c r="F139" s="301" t="n">
        <x:v>12</x:v>
      </x:c>
      <x:c r="G139" s="301" t="str">
        <x:v>T-179; T-180; T-181; T-137; T-134; T-188</x:v>
      </x:c>
      <x:c r="H139" s="301"/>
    </x:row>
    <x:row r="140">
      <x:c r="A140" s="301" t="str">
        <x:v>T-139</x:v>
      </x:c>
      <x:c r="B140" s="301" t="str">
        <x:v>M2b</x:v>
      </x:c>
      <x:c r="C140" s="301" t="str">
        <x:v>M2b-P3</x:v>
      </x:c>
      <x:c r="D140" s="301" t="str">
        <x:v>Not Started</x:v>
      </x:c>
      <x:c r="E140" s="301" t="str">
        <x:v>Worker 3</x:v>
      </x:c>
      <x:c r="F140" s="301" t="n">
        <x:v>12</x:v>
      </x:c>
      <x:c r="G140" s="301" t="str">
        <x:v>T-130; T-187; T-231</x:v>
      </x:c>
      <x:c r="H140" s="301"/>
    </x:row>
    <x:row r="141">
      <x:c r="A141" s="301" t="str">
        <x:v>T-140</x:v>
      </x:c>
      <x:c r="B141" s="301" t="str">
        <x:v>M2b</x:v>
      </x:c>
      <x:c r="C141" s="301" t="str">
        <x:v>M2b-P3</x:v>
      </x:c>
      <x:c r="D141" s="301" t="str">
        <x:v>Not Started</x:v>
      </x:c>
      <x:c r="E141" s="301" t="str">
        <x:v>Worker 3</x:v>
      </x:c>
      <x:c r="F141" s="301" t="n">
        <x:v>12</x:v>
      </x:c>
      <x:c r="G141" s="301" t="str">
        <x:v>T-139; T-173; T-176</x:v>
      </x:c>
      <x:c r="H141" s="301"/>
    </x:row>
    <x:row r="142">
      <x:c r="A142" s="301" t="str">
        <x:v>T-141</x:v>
      </x:c>
      <x:c r="B142" s="301" t="str">
        <x:v>M2b</x:v>
      </x:c>
      <x:c r="C142" s="301" t="str">
        <x:v>M2b-P3</x:v>
      </x:c>
      <x:c r="D142" s="301" t="str">
        <x:v>Not Started</x:v>
      </x:c>
      <x:c r="E142" s="301" t="str">
        <x:v>Worker 3</x:v>
      </x:c>
      <x:c r="F142" s="301" t="n">
        <x:v>12</x:v>
      </x:c>
      <x:c r="G142" s="301" t="str">
        <x:v>T-107; T-122; T-139; T-187</x:v>
      </x:c>
      <x:c r="H142" s="301"/>
    </x:row>
    <x:row r="143">
      <x:c r="A143" s="301" t="str">
        <x:v>T-142</x:v>
      </x:c>
      <x:c r="B143" s="301" t="str">
        <x:v>M2b</x:v>
      </x:c>
      <x:c r="C143" s="301" t="str">
        <x:v>M2b-P3</x:v>
      </x:c>
      <x:c r="D143" s="301" t="str">
        <x:v>Not Started</x:v>
      </x:c>
      <x:c r="E143" s="301" t="str">
        <x:v>Worker 3</x:v>
      </x:c>
      <x:c r="F143" s="301" t="n">
        <x:v>8</x:v>
      </x:c>
      <x:c r="G143" s="301" t="str">
        <x:v>T-131; T-132; T-139; T-140</x:v>
      </x:c>
      <x:c r="H143" s="301"/>
    </x:row>
    <x:row r="144">
      <x:c r="A144" s="301" t="str">
        <x:v>T-143</x:v>
      </x:c>
      <x:c r="B144" s="301" t="str">
        <x:v>M2b</x:v>
      </x:c>
      <x:c r="C144" s="301" t="str">
        <x:v>M2b-P3</x:v>
      </x:c>
      <x:c r="D144" s="301" t="str">
        <x:v>Not Started</x:v>
      </x:c>
      <x:c r="E144" s="301" t="str">
        <x:v>Worker 3</x:v>
      </x:c>
      <x:c r="F144" s="301" t="n">
        <x:v>8</x:v>
      </x:c>
      <x:c r="G144" s="301" t="str">
        <x:v>T-178; T-142</x:v>
      </x:c>
      <x:c r="H144" s="301"/>
    </x:row>
    <x:row r="145">
      <x:c r="A145" s="301" t="str">
        <x:v>T-144</x:v>
      </x:c>
      <x:c r="B145" s="301" t="str">
        <x:v>M2b</x:v>
      </x:c>
      <x:c r="C145" s="301" t="str">
        <x:v>M2b-P3</x:v>
      </x:c>
      <x:c r="D145" s="301" t="str">
        <x:v>Not Started</x:v>
      </x:c>
      <x:c r="E145" s="301" t="str">
        <x:v>Worker 3</x:v>
      </x:c>
      <x:c r="F145" s="301" t="n">
        <x:v>8</x:v>
      </x:c>
      <x:c r="G145" s="301" t="str">
        <x:v>T-143</x:v>
      </x:c>
      <x:c r="H145" s="301"/>
    </x:row>
    <x:row r="146">
      <x:c r="A146" s="301" t="str">
        <x:v>T-145</x:v>
      </x:c>
      <x:c r="B146" s="301" t="str">
        <x:v>M2b</x:v>
      </x:c>
      <x:c r="C146" s="301" t="str">
        <x:v>M2b-P3</x:v>
      </x:c>
      <x:c r="D146" s="301" t="str">
        <x:v>Not Started</x:v>
      </x:c>
      <x:c r="E146" s="301" t="str">
        <x:v>Worker 3</x:v>
      </x:c>
      <x:c r="F146" s="301" t="n">
        <x:v>8</x:v>
      </x:c>
      <x:c r="G146" s="301" t="str">
        <x:v>T-144</x:v>
      </x:c>
      <x:c r="H146" s="301"/>
    </x:row>
    <x:row r="147">
      <x:c r="A147" s="301" t="str">
        <x:v>T-146</x:v>
      </x:c>
      <x:c r="B147" s="301" t="str">
        <x:v>M2b</x:v>
      </x:c>
      <x:c r="C147" s="301" t="str">
        <x:v>M2b-P4</x:v>
      </x:c>
      <x:c r="D147" s="301" t="str">
        <x:v>Not Started</x:v>
      </x:c>
      <x:c r="E147" s="301" t="str">
        <x:v>Worker 3</x:v>
      </x:c>
      <x:c r="F147" s="301" t="n">
        <x:v>10</x:v>
      </x:c>
      <x:c r="G147" s="301" t="str">
        <x:v>T-147; T-177; T-128; T-129</x:v>
      </x:c>
      <x:c r="H147" s="301"/>
    </x:row>
    <x:row r="148">
      <x:c r="A148" s="301" t="str">
        <x:v>T-147</x:v>
      </x:c>
      <x:c r="B148" s="301" t="str">
        <x:v>M2b</x:v>
      </x:c>
      <x:c r="C148" s="301" t="str">
        <x:v>M2b-P4</x:v>
      </x:c>
      <x:c r="D148" s="301" t="str">
        <x:v>Not Started</x:v>
      </x:c>
      <x:c r="E148" s="301" t="str">
        <x:v>Worker 3</x:v>
      </x:c>
      <x:c r="F148" s="301" t="n">
        <x:v>12</x:v>
      </x:c>
      <x:c r="G148" s="301" t="str">
        <x:v>T-090; T-128; T-129; T-177</x:v>
      </x:c>
      <x:c r="H148" s="301" t="str">
        <x:v>T-146</x:v>
      </x:c>
    </x:row>
    <x:row r="149">
      <x:c r="A149" s="301" t="str">
        <x:v>T-148</x:v>
      </x:c>
      <x:c r="B149" s="301" t="str">
        <x:v>M2b</x:v>
      </x:c>
      <x:c r="C149" s="301" t="str">
        <x:v>M2b-P4</x:v>
      </x:c>
      <x:c r="D149" s="301" t="str">
        <x:v>Not Started</x:v>
      </x:c>
      <x:c r="E149" s="301" t="str">
        <x:v>Frontend/core platform lane</x:v>
      </x:c>
      <x:c r="F149" s="301" t="n">
        <x:v>8</x:v>
      </x:c>
      <x:c r="G149" s="301" t="str">
        <x:v>T-196; T-197; T-198; T-199; T-200</x:v>
      </x:c>
      <x:c r="H149" s="301"/>
    </x:row>
    <x:row r="150">
      <x:c r="A150" s="301" t="str">
        <x:v>T-149</x:v>
      </x:c>
      <x:c r="B150" s="301" t="str">
        <x:v>M2b</x:v>
      </x:c>
      <x:c r="C150" s="301" t="str">
        <x:v>M2b-P4</x:v>
      </x:c>
      <x:c r="D150" s="301" t="str">
        <x:v>Not Started</x:v>
      </x:c>
      <x:c r="E150" s="301" t="str">
        <x:v>Frontend/core platform lane</x:v>
      </x:c>
      <x:c r="F150" s="301" t="n">
        <x:v>6</x:v>
      </x:c>
      <x:c r="G150" s="301"/>
      <x:c r="H150" s="301"/>
    </x:row>
    <x:row r="151">
      <x:c r="A151" s="301" t="str">
        <x:v>T-150</x:v>
      </x:c>
      <x:c r="B151" s="301" t="str">
        <x:v>M2b</x:v>
      </x:c>
      <x:c r="C151" s="301" t="str">
        <x:v>M2b-P4</x:v>
      </x:c>
      <x:c r="D151" s="301" t="str">
        <x:v>Not Started</x:v>
      </x:c>
      <x:c r="E151" s="301" t="str">
        <x:v>Shared: CI owner + Worker 3</x:v>
      </x:c>
      <x:c r="F151" s="301" t="n">
        <x:v>12</x:v>
      </x:c>
      <x:c r="G151" s="301" t="str">
        <x:v>T-202; T-203; T-204; T-205; T-206; T-207; T-208; T-192; T-148; T-194</x:v>
      </x:c>
      <x:c r="H151" s="301"/>
    </x:row>
    <x:row r="152">
      <x:c r="A152" s="301" t="str">
        <x:v>T-151</x:v>
      </x:c>
      <x:c r="B152" s="301" t="str">
        <x:v>M3</x:v>
      </x:c>
      <x:c r="C152" s="301" t="str">
        <x:v>M3-P1</x:v>
      </x:c>
      <x:c r="D152" s="301" t="str">
        <x:v>Not Started</x:v>
      </x:c>
      <x:c r="E152" s="301" t="str">
        <x:v>M3 site/production owner</x:v>
      </x:c>
      <x:c r="F152" s="301" t="n">
        <x:v>12</x:v>
      </x:c>
      <x:c r="G152" s="301"/>
      <x:c r="H152" s="301"/>
    </x:row>
    <x:row r="153">
      <x:c r="A153" s="301" t="str">
        <x:v>T-152</x:v>
      </x:c>
      <x:c r="B153" s="301" t="str">
        <x:v>M3</x:v>
      </x:c>
      <x:c r="C153" s="301" t="str">
        <x:v>M3-P1</x:v>
      </x:c>
      <x:c r="D153" s="301" t="str">
        <x:v>Not Started</x:v>
      </x:c>
      <x:c r="E153" s="301" t="str">
        <x:v>M3 site/production owner</x:v>
      </x:c>
      <x:c r="F153" s="301" t="n">
        <x:v>12</x:v>
      </x:c>
      <x:c r="G153" s="301"/>
      <x:c r="H153" s="301"/>
    </x:row>
    <x:row r="154">
      <x:c r="A154" s="301" t="str">
        <x:v>T-153</x:v>
      </x:c>
      <x:c r="B154" s="301" t="str">
        <x:v>M3</x:v>
      </x:c>
      <x:c r="C154" s="301" t="str">
        <x:v>M3-P1</x:v>
      </x:c>
      <x:c r="D154" s="301" t="str">
        <x:v>Not Started</x:v>
      </x:c>
      <x:c r="E154" s="301" t="str">
        <x:v>M3 site/production owner</x:v>
      </x:c>
      <x:c r="F154" s="301" t="n">
        <x:v>12</x:v>
      </x:c>
      <x:c r="G154" s="301" t="str">
        <x:v>T-224; T-225; T-226</x:v>
      </x:c>
      <x:c r="H154" s="301"/>
    </x:row>
    <x:row r="155">
      <x:c r="A155" s="301" t="str">
        <x:v>T-154</x:v>
      </x:c>
      <x:c r="B155" s="301" t="str">
        <x:v>M3</x:v>
      </x:c>
      <x:c r="C155" s="301" t="str">
        <x:v>M3-P1</x:v>
      </x:c>
      <x:c r="D155" s="301" t="str">
        <x:v>Not Started</x:v>
      </x:c>
      <x:c r="E155" s="301" t="str">
        <x:v>M3 site/production owner</x:v>
      </x:c>
      <x:c r="F155" s="301" t="n">
        <x:v>12</x:v>
      </x:c>
      <x:c r="G155" s="301"/>
      <x:c r="H155" s="301"/>
    </x:row>
    <x:row r="156">
      <x:c r="A156" s="301" t="str">
        <x:v>T-155</x:v>
      </x:c>
      <x:c r="B156" s="301" t="str">
        <x:v>M3</x:v>
      </x:c>
      <x:c r="C156" s="301" t="str">
        <x:v>M3-P1</x:v>
      </x:c>
      <x:c r="D156" s="301" t="str">
        <x:v>Not Started</x:v>
      </x:c>
      <x:c r="E156" s="301" t="str">
        <x:v>Shared: Infrastructure + Worker 3</x:v>
      </x:c>
      <x:c r="F156" s="301" t="n">
        <x:v>12</x:v>
      </x:c>
      <x:c r="G156" s="301"/>
      <x:c r="H156" s="301"/>
    </x:row>
    <x:row r="157">
      <x:c r="A157" s="301" t="str">
        <x:v>T-156</x:v>
      </x:c>
      <x:c r="B157" s="301" t="str">
        <x:v>M3</x:v>
      </x:c>
      <x:c r="C157" s="301" t="str">
        <x:v>M3-P1</x:v>
      </x:c>
      <x:c r="D157" s="301" t="str">
        <x:v>Not Started</x:v>
      </x:c>
      <x:c r="E157" s="301" t="str">
        <x:v>M3 site/production owner</x:v>
      </x:c>
      <x:c r="F157" s="301" t="n">
        <x:v>12</x:v>
      </x:c>
      <x:c r="G157" s="301"/>
      <x:c r="H157" s="301"/>
    </x:row>
    <x:row r="158">
      <x:c r="A158" s="301" t="str">
        <x:v>T-157</x:v>
      </x:c>
      <x:c r="B158" s="301" t="str">
        <x:v>M3</x:v>
      </x:c>
      <x:c r="C158" s="301" t="str">
        <x:v>M3-P1</x:v>
      </x:c>
      <x:c r="D158" s="301" t="str">
        <x:v>Not Started</x:v>
      </x:c>
      <x:c r="E158" s="301" t="str">
        <x:v>Worker 3</x:v>
      </x:c>
      <x:c r="F158" s="301" t="n">
        <x:v>12</x:v>
      </x:c>
      <x:c r="G158" s="301"/>
      <x:c r="H158" s="301"/>
    </x:row>
    <x:row r="159">
      <x:c r="A159" s="301" t="str">
        <x:v>T-158</x:v>
      </x:c>
      <x:c r="B159" s="301" t="str">
        <x:v>M3</x:v>
      </x:c>
      <x:c r="C159" s="301" t="str">
        <x:v>M3-P1</x:v>
      </x:c>
      <x:c r="D159" s="301" t="str">
        <x:v>Not Started</x:v>
      </x:c>
      <x:c r="E159" s="301" t="str">
        <x:v>Worker 3</x:v>
      </x:c>
      <x:c r="F159" s="301" t="n">
        <x:v>12</x:v>
      </x:c>
      <x:c r="G159" s="301"/>
      <x:c r="H159" s="301"/>
    </x:row>
    <x:row r="160">
      <x:c r="A160" s="301" t="str">
        <x:v>T-159</x:v>
      </x:c>
      <x:c r="B160" s="301" t="str">
        <x:v>M3</x:v>
      </x:c>
      <x:c r="C160" s="301" t="str">
        <x:v>M3-P2</x:v>
      </x:c>
      <x:c r="D160" s="301" t="str">
        <x:v>Not Started</x:v>
      </x:c>
      <x:c r="E160" s="301" t="str">
        <x:v>Shared: Infrastructure + Worker 3</x:v>
      </x:c>
      <x:c r="F160" s="301" t="n">
        <x:v>12</x:v>
      </x:c>
      <x:c r="G160" s="301"/>
      <x:c r="H160" s="301"/>
    </x:row>
    <x:row r="161">
      <x:c r="A161" s="301" t="str">
        <x:v>T-160</x:v>
      </x:c>
      <x:c r="B161" s="301" t="str">
        <x:v>M3</x:v>
      </x:c>
      <x:c r="C161" s="301" t="str">
        <x:v>M3-P2</x:v>
      </x:c>
      <x:c r="D161" s="301" t="str">
        <x:v>Not Started</x:v>
      </x:c>
      <x:c r="E161" s="301" t="str">
        <x:v>M3 site/production owner</x:v>
      </x:c>
      <x:c r="F161" s="301" t="n">
        <x:v>12</x:v>
      </x:c>
      <x:c r="G161" s="301"/>
      <x:c r="H161" s="301"/>
    </x:row>
    <x:row r="162">
      <x:c r="A162" s="301" t="str">
        <x:v>T-161</x:v>
      </x:c>
      <x:c r="B162" s="301" t="str">
        <x:v>M3</x:v>
      </x:c>
      <x:c r="C162" s="301" t="str">
        <x:v>M3-P2</x:v>
      </x:c>
      <x:c r="D162" s="301" t="str">
        <x:v>Not Started</x:v>
      </x:c>
      <x:c r="E162" s="301" t="str">
        <x:v>M3 site/production owner</x:v>
      </x:c>
      <x:c r="F162" s="301" t="n">
        <x:v>12</x:v>
      </x:c>
      <x:c r="G162" s="301"/>
      <x:c r="H162" s="301"/>
    </x:row>
    <x:row r="163">
      <x:c r="A163" s="301" t="str">
        <x:v>T-162</x:v>
      </x:c>
      <x:c r="B163" s="301" t="str">
        <x:v>M3</x:v>
      </x:c>
      <x:c r="C163" s="301" t="str">
        <x:v>M3-P2</x:v>
      </x:c>
      <x:c r="D163" s="301" t="str">
        <x:v>Not Started</x:v>
      </x:c>
      <x:c r="E163" s="301" t="str">
        <x:v>M3 site/production owner</x:v>
      </x:c>
      <x:c r="F163" s="301" t="n">
        <x:v>12</x:v>
      </x:c>
      <x:c r="G163" s="301"/>
      <x:c r="H163" s="301"/>
    </x:row>
    <x:row r="164">
      <x:c r="A164" s="301" t="str">
        <x:v>T-163</x:v>
      </x:c>
      <x:c r="B164" s="301" t="str">
        <x:v>M3</x:v>
      </x:c>
      <x:c r="C164" s="301" t="str">
        <x:v>M3-P2</x:v>
      </x:c>
      <x:c r="D164" s="301" t="str">
        <x:v>Not Started</x:v>
      </x:c>
      <x:c r="E164" s="301" t="str">
        <x:v>M3 site/production owner</x:v>
      </x:c>
      <x:c r="F164" s="301" t="n">
        <x:v>12</x:v>
      </x:c>
      <x:c r="G164" s="301"/>
      <x:c r="H164" s="301"/>
    </x:row>
    <x:row r="165">
      <x:c r="A165" s="301" t="str">
        <x:v>T-164</x:v>
      </x:c>
      <x:c r="B165" s="301" t="str">
        <x:v>M3</x:v>
      </x:c>
      <x:c r="C165" s="301" t="str">
        <x:v>M3-P2</x:v>
      </x:c>
      <x:c r="D165" s="301" t="str">
        <x:v>Not Started</x:v>
      </x:c>
      <x:c r="E165" s="301" t="str">
        <x:v>M3 site/production owner</x:v>
      </x:c>
      <x:c r="F165" s="301" t="n">
        <x:v>12</x:v>
      </x:c>
      <x:c r="G165" s="301" t="str">
        <x:v>T-237; T-235</x:v>
      </x:c>
      <x:c r="H165" s="301"/>
    </x:row>
    <x:row r="166">
      <x:c r="A166" s="301" t="str">
        <x:v>T-165</x:v>
      </x:c>
      <x:c r="B166" s="301" t="str">
        <x:v>M3</x:v>
      </x:c>
      <x:c r="C166" s="301" t="str">
        <x:v>M3-P2</x:v>
      </x:c>
      <x:c r="D166" s="301" t="str">
        <x:v>Not Started</x:v>
      </x:c>
      <x:c r="E166" s="301" t="str">
        <x:v>M3 site/production owner</x:v>
      </x:c>
      <x:c r="F166" s="301" t="n">
        <x:v>12</x:v>
      </x:c>
      <x:c r="G166" s="301"/>
      <x:c r="H166" s="301"/>
    </x:row>
    <x:row r="167">
      <x:c r="A167" s="301" t="str">
        <x:v>T-166</x:v>
      </x:c>
      <x:c r="B167" s="301" t="str">
        <x:v>M3</x:v>
      </x:c>
      <x:c r="C167" s="301" t="str">
        <x:v>M3-P2</x:v>
      </x:c>
      <x:c r="D167" s="301" t="str">
        <x:v>Not Started</x:v>
      </x:c>
      <x:c r="E167" s="301" t="str">
        <x:v>M3 site/production owner</x:v>
      </x:c>
      <x:c r="F167" s="301" t="n">
        <x:v>12</x:v>
      </x:c>
      <x:c r="G167" s="301"/>
      <x:c r="H167" s="301"/>
    </x:row>
    <x:row r="168">
      <x:c r="A168" s="301" t="str">
        <x:v>T-167</x:v>
      </x:c>
      <x:c r="B168" s="301" t="str">
        <x:v>M3</x:v>
      </x:c>
      <x:c r="C168" s="301" t="str">
        <x:v>M3-P2</x:v>
      </x:c>
      <x:c r="D168" s="301" t="str">
        <x:v>Not Started</x:v>
      </x:c>
      <x:c r="E168" s="301" t="str">
        <x:v>M3 site/production owner</x:v>
      </x:c>
      <x:c r="F168" s="301" t="n">
        <x:v>12</x:v>
      </x:c>
      <x:c r="G168" s="301"/>
      <x:c r="H168" s="301"/>
    </x:row>
    <x:row r="169">
      <x:c r="A169" s="301" t="str">
        <x:v>T-168</x:v>
      </x:c>
      <x:c r="B169" s="301" t="str">
        <x:v>M2b</x:v>
      </x:c>
      <x:c r="C169" s="301" t="str">
        <x:v>M2b-P0A</x:v>
      </x:c>
      <x:c r="D169" s="301" t="str">
        <x:v>Done</x:v>
      </x:c>
      <x:c r="E169" s="301" t="str">
        <x:v>Worker 3</x:v>
      </x:c>
      <x:c r="F169" s="301" t="n">
        <x:v>12</x:v>
      </x:c>
      <x:c r="G169" s="301"/>
      <x:c r="H169" s="301"/>
    </x:row>
    <x:row r="170">
      <x:c r="A170" s="301" t="str">
        <x:v>T-169</x:v>
      </x:c>
      <x:c r="B170" s="301" t="str">
        <x:v>M2b</x:v>
      </x:c>
      <x:c r="C170" s="301" t="str">
        <x:v>M2b-P0A</x:v>
      </x:c>
      <x:c r="D170" s="301" t="str">
        <x:v>Done</x:v>
      </x:c>
      <x:c r="E170" s="301" t="str">
        <x:v>Worker 3</x:v>
      </x:c>
      <x:c r="F170" s="301" t="n">
        <x:v>10</x:v>
      </x:c>
      <x:c r="G170" s="301"/>
      <x:c r="H170" s="301"/>
    </x:row>
    <x:row r="171">
      <x:c r="A171" s="301" t="str">
        <x:v>T-170</x:v>
      </x:c>
      <x:c r="B171" s="301" t="str">
        <x:v>M2b</x:v>
      </x:c>
      <x:c r="C171" s="301" t="str">
        <x:v>M2b-P0A</x:v>
      </x:c>
      <x:c r="D171" s="301" t="str">
        <x:v>Done</x:v>
      </x:c>
      <x:c r="E171" s="301" t="str">
        <x:v>Worker 3</x:v>
      </x:c>
      <x:c r="F171" s="301" t="n">
        <x:v>10</x:v>
      </x:c>
      <x:c r="G171" s="301"/>
      <x:c r="H171" s="301"/>
    </x:row>
    <x:row r="172">
      <x:c r="A172" s="301" t="str">
        <x:v>T-171</x:v>
      </x:c>
      <x:c r="B172" s="301" t="str">
        <x:v>M2b</x:v>
      </x:c>
      <x:c r="C172" s="301" t="str">
        <x:v>M2b-P0A</x:v>
      </x:c>
      <x:c r="D172" s="301" t="str">
        <x:v>Done</x:v>
      </x:c>
      <x:c r="E172" s="301" t="str">
        <x:v>Worker 3</x:v>
      </x:c>
      <x:c r="F172" s="301" t="n">
        <x:v>10</x:v>
      </x:c>
      <x:c r="G172" s="301"/>
      <x:c r="H172" s="301"/>
    </x:row>
    <x:row r="173">
      <x:c r="A173" s="301" t="str">
        <x:v>T-172</x:v>
      </x:c>
      <x:c r="B173" s="301" t="str">
        <x:v>M2b</x:v>
      </x:c>
      <x:c r="C173" s="301" t="str">
        <x:v>M2b-P0A</x:v>
      </x:c>
      <x:c r="D173" s="301" t="str">
        <x:v>Done</x:v>
      </x:c>
      <x:c r="E173" s="301" t="str">
        <x:v>Worker 3</x:v>
      </x:c>
      <x:c r="F173" s="301" t="n">
        <x:v>12</x:v>
      </x:c>
      <x:c r="G173" s="301"/>
      <x:c r="H173" s="301"/>
    </x:row>
    <x:row r="174">
      <x:c r="A174" s="301" t="str">
        <x:v>T-173</x:v>
      </x:c>
      <x:c r="B174" s="301" t="str">
        <x:v>M2b</x:v>
      </x:c>
      <x:c r="C174" s="301" t="str">
        <x:v>M2b-P0A</x:v>
      </x:c>
      <x:c r="D174" s="301" t="str">
        <x:v>Done</x:v>
      </x:c>
      <x:c r="E174" s="301" t="str">
        <x:v>Worker 3</x:v>
      </x:c>
      <x:c r="F174" s="301" t="n">
        <x:v>12</x:v>
      </x:c>
      <x:c r="G174" s="301"/>
      <x:c r="H174" s="301"/>
    </x:row>
    <x:row r="175">
      <x:c r="A175" s="301" t="str">
        <x:v>T-174</x:v>
      </x:c>
      <x:c r="B175" s="301" t="str">
        <x:v>M2b</x:v>
      </x:c>
      <x:c r="C175" s="301" t="str">
        <x:v>M2b-P0A</x:v>
      </x:c>
      <x:c r="D175" s="301" t="str">
        <x:v>Done</x:v>
      </x:c>
      <x:c r="E175" s="301" t="str">
        <x:v>Worker 3</x:v>
      </x:c>
      <x:c r="F175" s="301" t="n">
        <x:v>10</x:v>
      </x:c>
      <x:c r="G175" s="301"/>
      <x:c r="H175" s="301"/>
    </x:row>
    <x:row r="176">
      <x:c r="A176" s="301" t="str">
        <x:v>T-175</x:v>
      </x:c>
      <x:c r="B176" s="301" t="str">
        <x:v>M2b</x:v>
      </x:c>
      <x:c r="C176" s="301" t="str">
        <x:v>M2b-P0B</x:v>
      </x:c>
      <x:c r="D176" s="301" t="str">
        <x:v>Done</x:v>
      </x:c>
      <x:c r="E176" s="301" t="str">
        <x:v>Worker 3</x:v>
      </x:c>
      <x:c r="F176" s="301" t="n">
        <x:v>12</x:v>
      </x:c>
      <x:c r="G176" s="301" t="str">
        <x:v>T-168; T-169</x:v>
      </x:c>
      <x:c r="H176" s="301" t="str">
        <x:v>T-187</x:v>
      </x:c>
    </x:row>
    <x:row r="177">
      <x:c r="A177" s="301" t="str">
        <x:v>T-176</x:v>
      </x:c>
      <x:c r="B177" s="301" t="str">
        <x:v>M2b</x:v>
      </x:c>
      <x:c r="C177" s="301" t="str">
        <x:v>M2b-P0B</x:v>
      </x:c>
      <x:c r="D177" s="301" t="str">
        <x:v>Done</x:v>
      </x:c>
      <x:c r="E177" s="301" t="str">
        <x:v>Worker 3</x:v>
      </x:c>
      <x:c r="F177" s="301" t="n">
        <x:v>12</x:v>
      </x:c>
      <x:c r="G177" s="301"/>
      <x:c r="H177" s="301"/>
    </x:row>
    <x:row r="178">
      <x:c r="A178" s="301" t="str">
        <x:v>T-177</x:v>
      </x:c>
      <x:c r="B178" s="301" t="str">
        <x:v>M2b</x:v>
      </x:c>
      <x:c r="C178" s="301" t="str">
        <x:v>M2b-P0B</x:v>
      </x:c>
      <x:c r="D178" s="301" t="str">
        <x:v>Done</x:v>
      </x:c>
      <x:c r="E178" s="301" t="str">
        <x:v>Worker 3</x:v>
      </x:c>
      <x:c r="F178" s="301" t="n">
        <x:v>10</x:v>
      </x:c>
      <x:c r="G178" s="301"/>
      <x:c r="H178" s="301" t="str">
        <x:v>T-147; T-146</x:v>
      </x:c>
    </x:row>
    <x:row r="179">
      <x:c r="A179" s="301" t="str">
        <x:v>T-178</x:v>
      </x:c>
      <x:c r="B179" s="301" t="str">
        <x:v>M2b</x:v>
      </x:c>
      <x:c r="C179" s="301" t="str">
        <x:v>M2b-P0B</x:v>
      </x:c>
      <x:c r="D179" s="301" t="str">
        <x:v>Done</x:v>
      </x:c>
      <x:c r="E179" s="301" t="str">
        <x:v>Worker 3</x:v>
      </x:c>
      <x:c r="F179" s="301" t="n">
        <x:v>8</x:v>
      </x:c>
      <x:c r="G179" s="301"/>
      <x:c r="H179" s="301"/>
    </x:row>
    <x:row r="180">
      <x:c r="A180" s="301" t="str">
        <x:v>T-179</x:v>
      </x:c>
      <x:c r="B180" s="301" t="str">
        <x:v>M2b</x:v>
      </x:c>
      <x:c r="C180" s="301" t="str">
        <x:v>M2b-P0B</x:v>
      </x:c>
      <x:c r="D180" s="301" t="str">
        <x:v>Done</x:v>
      </x:c>
      <x:c r="E180" s="301" t="str">
        <x:v>Worker 3</x:v>
      </x:c>
      <x:c r="F180" s="301" t="n">
        <x:v>10</x:v>
      </x:c>
      <x:c r="G180" s="301"/>
      <x:c r="H180" s="301"/>
    </x:row>
    <x:row r="181">
      <x:c r="A181" s="301" t="str">
        <x:v>T-180</x:v>
      </x:c>
      <x:c r="B181" s="301" t="str">
        <x:v>M2b</x:v>
      </x:c>
      <x:c r="C181" s="301" t="str">
        <x:v>M2b-P0B</x:v>
      </x:c>
      <x:c r="D181" s="301" t="str">
        <x:v>Done</x:v>
      </x:c>
      <x:c r="E181" s="301" t="str">
        <x:v>Worker 3</x:v>
      </x:c>
      <x:c r="F181" s="301" t="n">
        <x:v>12</x:v>
      </x:c>
      <x:c r="G181" s="301"/>
      <x:c r="H181" s="301"/>
    </x:row>
    <x:row r="182">
      <x:c r="A182" s="301" t="str">
        <x:v>T-181</x:v>
      </x:c>
      <x:c r="B182" s="301" t="str">
        <x:v>M2b</x:v>
      </x:c>
      <x:c r="C182" s="301" t="str">
        <x:v>M2b-P0B</x:v>
      </x:c>
      <x:c r="D182" s="301" t="str">
        <x:v>Done</x:v>
      </x:c>
      <x:c r="E182" s="301" t="str">
        <x:v>Worker 3</x:v>
      </x:c>
      <x:c r="F182" s="301" t="n">
        <x:v>12</x:v>
      </x:c>
      <x:c r="G182" s="301"/>
      <x:c r="H182" s="301"/>
    </x:row>
    <x:row r="183">
      <x:c r="A183" s="301" t="str">
        <x:v>T-182</x:v>
      </x:c>
      <x:c r="B183" s="301" t="str">
        <x:v>M2b</x:v>
      </x:c>
      <x:c r="C183" s="301" t="str">
        <x:v>M2b-P0A</x:v>
      </x:c>
      <x:c r="D183" s="301" t="str">
        <x:v>Done</x:v>
      </x:c>
      <x:c r="E183" s="301" t="str">
        <x:v>Worker 3</x:v>
      </x:c>
      <x:c r="F183" s="301" t="n">
        <x:v>10</x:v>
      </x:c>
      <x:c r="G183" s="301"/>
      <x:c r="H183" s="301"/>
    </x:row>
    <x:row r="184">
      <x:c r="A184" s="301" t="str">
        <x:v>T-183</x:v>
      </x:c>
      <x:c r="B184" s="301" t="str">
        <x:v>M2b</x:v>
      </x:c>
      <x:c r="C184" s="301" t="str">
        <x:v>M2b-P1</x:v>
      </x:c>
      <x:c r="D184" s="301" t="str">
        <x:v>Not Started</x:v>
      </x:c>
      <x:c r="E184" s="301" t="str">
        <x:v>Worker 3</x:v>
      </x:c>
      <x:c r="F184" s="301" t="n">
        <x:v>12</x:v>
      </x:c>
      <x:c r="G184" s="301" t="str">
        <x:v>T-089; T-090; T-091; T-092; T-093; T-094; T-095; T-096; T-097; T-098; T-099; T-100; T-101; T-102; T-103; T-104; T-105; T-112; T-114</x:v>
      </x:c>
      <x:c r="H184" s="301"/>
    </x:row>
    <x:row r="185">
      <x:c r="A185" s="301" t="str">
        <x:v>T-184</x:v>
      </x:c>
      <x:c r="B185" s="301" t="str">
        <x:v>M2b</x:v>
      </x:c>
      <x:c r="C185" s="301" t="str">
        <x:v>M2b-P1</x:v>
      </x:c>
      <x:c r="D185" s="301" t="str">
        <x:v>Not Started</x:v>
      </x:c>
      <x:c r="E185" s="301" t="str">
        <x:v>Worker 3</x:v>
      </x:c>
      <x:c r="F185" s="301" t="n">
        <x:v>12</x:v>
      </x:c>
      <x:c r="G185" s="301" t="str">
        <x:v>T-128; T-169; T-183; T-112; T-114; T-135</x:v>
      </x:c>
      <x:c r="H185" s="301"/>
    </x:row>
    <x:row r="186">
      <x:c r="A186" s="301" t="str">
        <x:v>T-185</x:v>
      </x:c>
      <x:c r="B186" s="301" t="str">
        <x:v>M2b</x:v>
      </x:c>
      <x:c r="C186" s="301" t="str">
        <x:v>M2b-P2</x:v>
      </x:c>
      <x:c r="D186" s="301" t="str">
        <x:v>Not Started</x:v>
      </x:c>
      <x:c r="E186" s="301" t="str">
        <x:v>Worker 3</x:v>
      </x:c>
      <x:c r="F186" s="301" t="n">
        <x:v>12</x:v>
      </x:c>
      <x:c r="G186" s="301" t="str">
        <x:v>T-170; T-183; T-122; T-112; T-114; T-135</x:v>
      </x:c>
      <x:c r="H186" s="301"/>
    </x:row>
    <x:row r="187">
      <x:c r="A187" s="301" t="str">
        <x:v>T-186</x:v>
      </x:c>
      <x:c r="B187" s="301" t="str">
        <x:v>M2b</x:v>
      </x:c>
      <x:c r="C187" s="301" t="str">
        <x:v>M2b-P2</x:v>
      </x:c>
      <x:c r="D187" s="301" t="str">
        <x:v>Not Started</x:v>
      </x:c>
      <x:c r="E187" s="301" t="str">
        <x:v>Worker 3</x:v>
      </x:c>
      <x:c r="F187" s="301" t="n">
        <x:v>12</x:v>
      </x:c>
      <x:c r="G187" s="301" t="str">
        <x:v>T-171; T-183; T-128; T-129; T-195; T-135</x:v>
      </x:c>
      <x:c r="H187" s="301"/>
    </x:row>
    <x:row r="188">
      <x:c r="A188" s="301" t="str">
        <x:v>T-187</x:v>
      </x:c>
      <x:c r="B188" s="301" t="str">
        <x:v>M2b</x:v>
      </x:c>
      <x:c r="C188" s="301" t="str">
        <x:v>M2b-P2</x:v>
      </x:c>
      <x:c r="D188" s="301" t="str">
        <x:v>Not Started</x:v>
      </x:c>
      <x:c r="E188" s="301" t="str">
        <x:v>Worker 3</x:v>
      </x:c>
      <x:c r="F188" s="301" t="n">
        <x:v>12</x:v>
      </x:c>
      <x:c r="G188" s="301" t="str">
        <x:v>T-168; T-169; T-170; T-171; T-172; T-173; T-174; T-175; T-176; T-183; T-184; T-185; T-186; T-107; T-109; T-112; T-114; T-135; T-195</x:v>
      </x:c>
      <x:c r="H188" s="301"/>
    </x:row>
    <x:row r="189">
      <x:c r="A189" s="301" t="str">
        <x:v>T-188</x:v>
      </x:c>
      <x:c r="B189" s="301" t="str">
        <x:v>M2b</x:v>
      </x:c>
      <x:c r="C189" s="301" t="str">
        <x:v>M2b-P2</x:v>
      </x:c>
      <x:c r="D189" s="301" t="str">
        <x:v>Not Started</x:v>
      </x:c>
      <x:c r="E189" s="301" t="str">
        <x:v>Worker 3</x:v>
      </x:c>
      <x:c r="F189" s="301" t="n">
        <x:v>10</x:v>
      </x:c>
      <x:c r="G189" s="301" t="str">
        <x:v>T-129; T-130; T-186; T-195</x:v>
      </x:c>
      <x:c r="H189" s="301"/>
    </x:row>
    <x:row r="190">
      <x:c r="A190" s="301" t="str">
        <x:v>T-189</x:v>
      </x:c>
      <x:c r="B190" s="301" t="str">
        <x:v>M2b</x:v>
      </x:c>
      <x:c r="C190" s="301" t="str">
        <x:v>M2b-P3</x:v>
      </x:c>
      <x:c r="D190" s="301" t="str">
        <x:v>Not Started</x:v>
      </x:c>
      <x:c r="E190" s="301" t="str">
        <x:v>Worker 3</x:v>
      </x:c>
      <x:c r="F190" s="301" t="n">
        <x:v>12</x:v>
      </x:c>
      <x:c r="G190" s="301" t="str">
        <x:v>T-139; T-140; T-141; T-142; T-143</x:v>
      </x:c>
      <x:c r="H190" s="301"/>
    </x:row>
    <x:row r="191">
      <x:c r="A191" s="301" t="str">
        <x:v>T-190</x:v>
      </x:c>
      <x:c r="B191" s="301" t="str">
        <x:v>M2b</x:v>
      </x:c>
      <x:c r="C191" s="301" t="str">
        <x:v>M2b-P3</x:v>
      </x:c>
      <x:c r="D191" s="301" t="str">
        <x:v>Not Started</x:v>
      </x:c>
      <x:c r="E191" s="301" t="str">
        <x:v>Worker 3</x:v>
      </x:c>
      <x:c r="F191" s="301" t="n">
        <x:v>12</x:v>
      </x:c>
      <x:c r="G191" s="301" t="str">
        <x:v>T-142; T-143; T-144; T-145</x:v>
      </x:c>
      <x:c r="H191" s="301"/>
    </x:row>
    <x:row r="192">
      <x:c r="A192" s="301" t="str">
        <x:v>T-191</x:v>
      </x:c>
      <x:c r="B192" s="301" t="str">
        <x:v>M2b</x:v>
      </x:c>
      <x:c r="C192" s="301" t="str">
        <x:v>M2b-P3</x:v>
      </x:c>
      <x:c r="D192" s="301" t="str">
        <x:v>Not Started</x:v>
      </x:c>
      <x:c r="E192" s="301" t="str">
        <x:v>Worker 3</x:v>
      </x:c>
      <x:c r="F192" s="301" t="n">
        <x:v>12</x:v>
      </x:c>
      <x:c r="G192" s="301" t="str">
        <x:v>T-130; T-176; T-187</x:v>
      </x:c>
      <x:c r="H192" s="301"/>
    </x:row>
    <x:row r="193">
      <x:c r="A193" s="301" t="str">
        <x:v>T-192</x:v>
      </x:c>
      <x:c r="B193" s="301" t="str">
        <x:v>M2b</x:v>
      </x:c>
      <x:c r="C193" s="301" t="str">
        <x:v>M2b-P4</x:v>
      </x:c>
      <x:c r="D193" s="301" t="str">
        <x:v>Not Started</x:v>
      </x:c>
      <x:c r="E193" s="301" t="str">
        <x:v>Worker 3</x:v>
      </x:c>
      <x:c r="F193" s="301" t="n">
        <x:v>10</x:v>
      </x:c>
      <x:c r="G193" s="301" t="str">
        <x:v>T-183; T-184; T-185; T-186; T-187; T-188; T-189; T-190; T-191; T-107; T-122</x:v>
      </x:c>
      <x:c r="H193" s="301"/>
    </x:row>
    <x:row r="194">
      <x:c r="A194" s="301" t="str">
        <x:v>T-193</x:v>
      </x:c>
      <x:c r="B194" s="301" t="str">
        <x:v>M2b</x:v>
      </x:c>
      <x:c r="C194" s="301" t="str">
        <x:v>M2b-P4</x:v>
      </x:c>
      <x:c r="D194" s="301" t="str">
        <x:v>Not Started</x:v>
      </x:c>
      <x:c r="E194" s="301" t="str">
        <x:v>Worker 3</x:v>
      </x:c>
      <x:c r="F194" s="301" t="n">
        <x:v>10</x:v>
      </x:c>
      <x:c r="G194" s="301" t="str">
        <x:v>T-130; T-187; T-139; T-145</x:v>
      </x:c>
      <x:c r="H194" s="301"/>
    </x:row>
    <x:row r="195">
      <x:c r="A195" s="301" t="str">
        <x:v>T-194</x:v>
      </x:c>
      <x:c r="B195" s="301" t="str">
        <x:v>M2a</x:v>
      </x:c>
      <x:c r="C195" s="301" t="str">
        <x:v>M2a-P4</x:v>
      </x:c>
      <x:c r="D195" s="301" t="str">
        <x:v>Not Started</x:v>
      </x:c>
      <x:c r="E195" s="301" t="str">
        <x:v>Core platform / presentation-core lane</x:v>
      </x:c>
      <x:c r="F195" s="301" t="n">
        <x:v>6</x:v>
      </x:c>
      <x:c r="G195" s="301" t="str">
        <x:v>T-117; T-127</x:v>
      </x:c>
      <x:c r="H195" s="301"/>
    </x:row>
    <x:row r="196">
      <x:c r="A196" s="301" t="str">
        <x:v>T-195</x:v>
      </x:c>
      <x:c r="B196" s="301" t="str">
        <x:v>M2b</x:v>
      </x:c>
      <x:c r="C196" s="301" t="str">
        <x:v>M2b-P1</x:v>
      </x:c>
      <x:c r="D196" s="301" t="str">
        <x:v>Not Started</x:v>
      </x:c>
      <x:c r="E196" s="301" t="str">
        <x:v>Worker 3</x:v>
      </x:c>
      <x:c r="F196" s="301" t="n">
        <x:v>10</x:v>
      </x:c>
      <x:c r="G196" s="301" t="str">
        <x:v>T-090; T-112; T-114</x:v>
      </x:c>
      <x:c r="H196" s="301"/>
    </x:row>
    <x:row r="197">
      <x:c r="A197" s="301" t="str">
        <x:v>T-196</x:v>
      </x:c>
      <x:c r="B197" s="301" t="str">
        <x:v>M2a</x:v>
      </x:c>
      <x:c r="C197" s="301" t="str">
        <x:v>M2a-P2</x:v>
      </x:c>
      <x:c r="D197" s="301" t="str">
        <x:v>Not Started</x:v>
      </x:c>
      <x:c r="E197" s="301" t="str">
        <x:v>Core platform / presentation-core lane</x:v>
      </x:c>
      <x:c r="F197" s="301" t="n">
        <x:v>8</x:v>
      </x:c>
      <x:c r="G197" s="301" t="str">
        <x:v>T-087; T-094; T-095</x:v>
      </x:c>
      <x:c r="H197" s="301"/>
    </x:row>
    <x:row r="198">
      <x:c r="A198" s="301" t="str">
        <x:v>T-197</x:v>
      </x:c>
      <x:c r="B198" s="301" t="str">
        <x:v>M2a</x:v>
      </x:c>
      <x:c r="C198" s="301" t="str">
        <x:v>M2a-P4</x:v>
      </x:c>
      <x:c r="D198" s="301" t="str">
        <x:v>Not Started</x:v>
      </x:c>
      <x:c r="E198" s="301" t="str">
        <x:v>Core platform / presentation-core lane</x:v>
      </x:c>
      <x:c r="F198" s="301" t="n">
        <x:v>10</x:v>
      </x:c>
      <x:c r="G198" s="301" t="str">
        <x:v>T-119; T-198</x:v>
      </x:c>
      <x:c r="H198" s="301"/>
    </x:row>
    <x:row r="199">
      <x:c r="A199" s="301" t="str">
        <x:v>T-198</x:v>
      </x:c>
      <x:c r="B199" s="301" t="str">
        <x:v>M2a</x:v>
      </x:c>
      <x:c r="C199" s="301" t="str">
        <x:v>M2a-P4</x:v>
      </x:c>
      <x:c r="D199" s="301" t="str">
        <x:v>Not Started</x:v>
      </x:c>
      <x:c r="E199" s="301" t="str">
        <x:v>Core platform / presentation-core lane</x:v>
      </x:c>
      <x:c r="F199" s="301" t="n">
        <x:v>12</x:v>
      </x:c>
      <x:c r="G199" s="301" t="str">
        <x:v>T-112; T-114; T-119</x:v>
      </x:c>
      <x:c r="H199" s="301"/>
    </x:row>
    <x:row r="200">
      <x:c r="A200" s="301" t="str">
        <x:v>T-199</x:v>
      </x:c>
      <x:c r="B200" s="301" t="str">
        <x:v>M2a</x:v>
      </x:c>
      <x:c r="C200" s="301" t="str">
        <x:v>M2a-P4</x:v>
      </x:c>
      <x:c r="D200" s="301" t="str">
        <x:v>Not Started</x:v>
      </x:c>
      <x:c r="E200" s="301" t="str">
        <x:v>Core platform / presentation-core lane</x:v>
      </x:c>
      <x:c r="F200" s="301" t="n">
        <x:v>12</x:v>
      </x:c>
      <x:c r="G200" s="301" t="str">
        <x:v>T-124; T-198</x:v>
      </x:c>
      <x:c r="H200" s="301"/>
    </x:row>
    <x:row r="201">
      <x:c r="A201" s="301" t="str">
        <x:v>T-200</x:v>
      </x:c>
      <x:c r="B201" s="301" t="str">
        <x:v>M2a</x:v>
      </x:c>
      <x:c r="C201" s="301" t="str">
        <x:v>M2a-P4</x:v>
      </x:c>
      <x:c r="D201" s="301" t="str">
        <x:v>Not Started</x:v>
      </x:c>
      <x:c r="E201" s="301" t="str">
        <x:v>Core platform / presentation-core lane</x:v>
      </x:c>
      <x:c r="F201" s="301" t="n">
        <x:v>10</x:v>
      </x:c>
      <x:c r="G201" s="301" t="str">
        <x:v>T-113; T-119; T-216</x:v>
      </x:c>
      <x:c r="H201" s="301"/>
    </x:row>
    <x:row r="202">
      <x:c r="A202" s="301" t="str">
        <x:v>T-201</x:v>
      </x:c>
      <x:c r="B202" s="301" t="str">
        <x:v>M2a</x:v>
      </x:c>
      <x:c r="C202" s="301" t="str">
        <x:v>M2a-P0</x:v>
      </x:c>
      <x:c r="D202" s="301" t="str">
        <x:v>Not Started</x:v>
      </x:c>
      <x:c r="E202" s="301" t="str">
        <x:v>Worker 1</x:v>
      </x:c>
      <x:c r="F202" s="301" t="n">
        <x:v>4</x:v>
      </x:c>
      <x:c r="G202" s="301"/>
      <x:c r="H202" s="301"/>
    </x:row>
    <x:row r="203">
      <x:c r="A203" s="301" t="str">
        <x:v>T-202</x:v>
      </x:c>
      <x:c r="B203" s="301" t="str">
        <x:v>M2a</x:v>
      </x:c>
      <x:c r="C203" s="301" t="str">
        <x:v>M2a-P0</x:v>
      </x:c>
      <x:c r="D203" s="301" t="str">
        <x:v>Not Started</x:v>
      </x:c>
      <x:c r="E203" s="301" t="str">
        <x:v>Worker 2</x:v>
      </x:c>
      <x:c r="F203" s="301" t="n">
        <x:v>10</x:v>
      </x:c>
      <x:c r="G203" s="301" t="str">
        <x:v>T-201</x:v>
      </x:c>
      <x:c r="H203" s="301"/>
    </x:row>
    <x:row r="204">
      <x:c r="A204" s="301" t="str">
        <x:v>T-203</x:v>
      </x:c>
      <x:c r="B204" s="301" t="str">
        <x:v>M2a</x:v>
      </x:c>
      <x:c r="C204" s="301" t="str">
        <x:v>M2a-P0</x:v>
      </x:c>
      <x:c r="D204" s="301" t="str">
        <x:v>Not Started</x:v>
      </x:c>
      <x:c r="E204" s="301" t="str">
        <x:v>Worker 2</x:v>
      </x:c>
      <x:c r="F204" s="301" t="n">
        <x:v>10</x:v>
      </x:c>
      <x:c r="G204" s="301" t="str">
        <x:v>T-201</x:v>
      </x:c>
      <x:c r="H204" s="301"/>
    </x:row>
    <x:row r="205">
      <x:c r="A205" s="301" t="str">
        <x:v>T-204</x:v>
      </x:c>
      <x:c r="B205" s="301" t="str">
        <x:v>M2a</x:v>
      </x:c>
      <x:c r="C205" s="301" t="str">
        <x:v>M2a-P0</x:v>
      </x:c>
      <x:c r="D205" s="301" t="str">
        <x:v>Not Started</x:v>
      </x:c>
      <x:c r="E205" s="301" t="str">
        <x:v>Worker 2</x:v>
      </x:c>
      <x:c r="F205" s="301" t="n">
        <x:v>10</x:v>
      </x:c>
      <x:c r="G205" s="301" t="str">
        <x:v>T-201</x:v>
      </x:c>
      <x:c r="H205" s="301"/>
    </x:row>
    <x:row r="206">
      <x:c r="A206" s="301" t="str">
        <x:v>T-205</x:v>
      </x:c>
      <x:c r="B206" s="301" t="str">
        <x:v>M2a</x:v>
      </x:c>
      <x:c r="C206" s="301" t="str">
        <x:v>M2a-P0</x:v>
      </x:c>
      <x:c r="D206" s="301" t="str">
        <x:v>Not Started</x:v>
      </x:c>
      <x:c r="E206" s="301" t="str">
        <x:v>Worker 2</x:v>
      </x:c>
      <x:c r="F206" s="301" t="n">
        <x:v>8</x:v>
      </x:c>
      <x:c r="G206" s="301" t="str">
        <x:v>T-201</x:v>
      </x:c>
      <x:c r="H206" s="301"/>
    </x:row>
    <x:row r="207">
      <x:c r="A207" s="301" t="str">
        <x:v>T-206</x:v>
      </x:c>
      <x:c r="B207" s="301" t="str">
        <x:v>M2a</x:v>
      </x:c>
      <x:c r="C207" s="301" t="str">
        <x:v>M2a-P0</x:v>
      </x:c>
      <x:c r="D207" s="301" t="str">
        <x:v>Not Started</x:v>
      </x:c>
      <x:c r="E207" s="301" t="str">
        <x:v>Worker 3</x:v>
      </x:c>
      <x:c r="F207" s="301" t="n">
        <x:v>8</x:v>
      </x:c>
      <x:c r="G207" s="301" t="str">
        <x:v>T-201</x:v>
      </x:c>
      <x:c r="H207" s="301"/>
    </x:row>
    <x:row r="208">
      <x:c r="A208" s="301" t="str">
        <x:v>T-207</x:v>
      </x:c>
      <x:c r="B208" s="301" t="str">
        <x:v>M2a</x:v>
      </x:c>
      <x:c r="C208" s="301" t="str">
        <x:v>M2a-P0</x:v>
      </x:c>
      <x:c r="D208" s="301" t="str">
        <x:v>Not Started</x:v>
      </x:c>
      <x:c r="E208" s="301" t="str">
        <x:v>Worker 1</x:v>
      </x:c>
      <x:c r="F208" s="301" t="n">
        <x:v>6</x:v>
      </x:c>
      <x:c r="G208" s="301" t="str">
        <x:v>T-201</x:v>
      </x:c>
      <x:c r="H208" s="301"/>
    </x:row>
    <x:row r="209">
      <x:c r="A209" s="301" t="str">
        <x:v>T-208</x:v>
      </x:c>
      <x:c r="B209" s="301" t="str">
        <x:v>M2a</x:v>
      </x:c>
      <x:c r="C209" s="301" t="str">
        <x:v>M2a-P0</x:v>
      </x:c>
      <x:c r="D209" s="301" t="str">
        <x:v>Not Started</x:v>
      </x:c>
      <x:c r="E209" s="301" t="str">
        <x:v>Worker 3</x:v>
      </x:c>
      <x:c r="F209" s="301" t="n">
        <x:v>10</x:v>
      </x:c>
      <x:c r="G209" s="301" t="str">
        <x:v>T-201</x:v>
      </x:c>
      <x:c r="H209" s="301"/>
    </x:row>
    <x:row r="210">
      <x:c r="A210" s="301" t="str">
        <x:v>T-209</x:v>
      </x:c>
      <x:c r="B210" s="301" t="str">
        <x:v>M2a</x:v>
      </x:c>
      <x:c r="C210" s="301" t="str">
        <x:v>M2a-P1X</x:v>
      </x:c>
      <x:c r="D210" s="301" t="str">
        <x:v>Not Started</x:v>
      </x:c>
      <x:c r="E210" s="301" t="str">
        <x:v>Worker 3</x:v>
      </x:c>
      <x:c r="F210" s="301" t="n">
        <x:v>6</x:v>
      </x:c>
      <x:c r="G210" s="301" t="str">
        <x:v>T-208</x:v>
      </x:c>
      <x:c r="H210" s="301" t="str">
        <x:v>T-231; T-210; T-214; T-216</x:v>
      </x:c>
    </x:row>
    <x:row r="211">
      <x:c r="A211" s="301" t="str">
        <x:v>T-210</x:v>
      </x:c>
      <x:c r="B211" s="301" t="str">
        <x:v>M2a</x:v>
      </x:c>
      <x:c r="C211" s="301" t="str">
        <x:v>M2a-P1X</x:v>
      </x:c>
      <x:c r="D211" s="301" t="str">
        <x:v>Not Started</x:v>
      </x:c>
      <x:c r="E211" s="301" t="str">
        <x:v>Worker 1</x:v>
      </x:c>
      <x:c r="F211" s="301" t="n">
        <x:v>12</x:v>
      </x:c>
      <x:c r="G211" s="301" t="str">
        <x:v>T-090; T-209</x:v>
      </x:c>
      <x:c r="H211" s="301" t="str">
        <x:v>T-092; T-211; T-212</x:v>
      </x:c>
    </x:row>
    <x:row r="212">
      <x:c r="A212" s="301" t="str">
        <x:v>T-211</x:v>
      </x:c>
      <x:c r="B212" s="301" t="str">
        <x:v>M2b</x:v>
      </x:c>
      <x:c r="C212" s="301" t="str">
        <x:v>M2b-P0C</x:v>
      </x:c>
      <x:c r="D212" s="301" t="str">
        <x:v>Not Started</x:v>
      </x:c>
      <x:c r="E212" s="301" t="str">
        <x:v>Worker 3</x:v>
      </x:c>
      <x:c r="F212" s="301" t="n">
        <x:v>10</x:v>
      </x:c>
      <x:c r="G212" s="301" t="str">
        <x:v>T-208; T-210</x:v>
      </x:c>
      <x:c r="H212" s="301"/>
    </x:row>
    <x:row r="213">
      <x:c r="A213" s="301" t="str">
        <x:v>T-212</x:v>
      </x:c>
      <x:c r="B213" s="301" t="str">
        <x:v>M2a</x:v>
      </x:c>
      <x:c r="C213" s="301" t="str">
        <x:v>M2a-P1X</x:v>
      </x:c>
      <x:c r="D213" s="301" t="str">
        <x:v>Not Started</x:v>
      </x:c>
      <x:c r="E213" s="301" t="str">
        <x:v>Worker 2</x:v>
      </x:c>
      <x:c r="F213" s="301" t="n">
        <x:v>10</x:v>
      </x:c>
      <x:c r="G213" s="301" t="str">
        <x:v>T-202; T-210; T-211; T-092; T-234; T-235; T-236</x:v>
      </x:c>
      <x:c r="H213" s="301"/>
    </x:row>
    <x:row r="214">
      <x:c r="A214" s="301" t="str">
        <x:v>T-213</x:v>
      </x:c>
      <x:c r="B214" s="301" t="str">
        <x:v>M2a</x:v>
      </x:c>
      <x:c r="C214" s="301" t="str">
        <x:v>M2a-P1X</x:v>
      </x:c>
      <x:c r="D214" s="301" t="str">
        <x:v>Not Started</x:v>
      </x:c>
      <x:c r="E214" s="301" t="str">
        <x:v>Worker 1</x:v>
      </x:c>
      <x:c r="F214" s="301" t="n">
        <x:v>8</x:v>
      </x:c>
      <x:c r="G214" s="301" t="str">
        <x:v>T-092; T-231; T-210</x:v>
      </x:c>
      <x:c r="H214" s="301"/>
    </x:row>
    <x:row r="215">
      <x:c r="A215" s="301" t="str">
        <x:v>T-214</x:v>
      </x:c>
      <x:c r="B215" s="301" t="str">
        <x:v>M2a</x:v>
      </x:c>
      <x:c r="C215" s="301" t="str">
        <x:v>M2a-P1X</x:v>
      </x:c>
      <x:c r="D215" s="301" t="str">
        <x:v>Not Started</x:v>
      </x:c>
      <x:c r="E215" s="301" t="str">
        <x:v>Worker 3</x:v>
      </x:c>
      <x:c r="F215" s="301" t="n">
        <x:v>6</x:v>
      </x:c>
      <x:c r="G215" s="301" t="str">
        <x:v>T-209</x:v>
      </x:c>
      <x:c r="H215" s="301" t="str">
        <x:v>T-232; T-215; T-223</x:v>
      </x:c>
    </x:row>
    <x:row r="216">
      <x:c r="A216" s="301" t="str">
        <x:v>T-215</x:v>
      </x:c>
      <x:c r="B216" s="301" t="str">
        <x:v>M2a</x:v>
      </x:c>
      <x:c r="C216" s="301" t="str">
        <x:v>M2a-P1X</x:v>
      </x:c>
      <x:c r="D216" s="301" t="str">
        <x:v>Not Started</x:v>
      </x:c>
      <x:c r="E216" s="301" t="str">
        <x:v>Worker 2</x:v>
      </x:c>
      <x:c r="F216" s="301" t="n">
        <x:v>10</x:v>
      </x:c>
      <x:c r="G216" s="301" t="str">
        <x:v>T-092; T-214; T-232</x:v>
      </x:c>
      <x:c r="H216" s="301"/>
    </x:row>
    <x:row r="217">
      <x:c r="A217" s="301" t="str">
        <x:v>T-216</x:v>
      </x:c>
      <x:c r="B217" s="301" t="str">
        <x:v>M2a</x:v>
      </x:c>
      <x:c r="C217" s="301" t="str">
        <x:v>M2a-P1X</x:v>
      </x:c>
      <x:c r="D217" s="301" t="str">
        <x:v>Not Started</x:v>
      </x:c>
      <x:c r="E217" s="301" t="str">
        <x:v>Worker 3</x:v>
      </x:c>
      <x:c r="F217" s="301" t="n">
        <x:v>5</x:v>
      </x:c>
      <x:c r="G217" s="301" t="str">
        <x:v>T-208</x:v>
      </x:c>
      <x:c r="H217" s="301" t="str">
        <x:v>T-233; T-217</x:v>
      </x:c>
    </x:row>
    <x:row r="218">
      <x:c r="A218" s="301" t="str">
        <x:v>T-217</x:v>
      </x:c>
      <x:c r="B218" s="301" t="str">
        <x:v>M2b</x:v>
      </x:c>
      <x:c r="C218" s="301" t="str">
        <x:v>M2b-P0C</x:v>
      </x:c>
      <x:c r="D218" s="301" t="str">
        <x:v>Not Started</x:v>
      </x:c>
      <x:c r="E218" s="301" t="str">
        <x:v>Worker 3</x:v>
      </x:c>
      <x:c r="F218" s="301" t="n">
        <x:v>10</x:v>
      </x:c>
      <x:c r="G218" s="301" t="str">
        <x:v>T-208; T-216</x:v>
      </x:c>
      <x:c r="H218" s="301" t="str">
        <x:v>T-219</x:v>
      </x:c>
    </x:row>
    <x:row r="219">
      <x:c r="A219" s="301" t="str">
        <x:v>T-218</x:v>
      </x:c>
      <x:c r="B219" s="301" t="str">
        <x:v>M2b</x:v>
      </x:c>
      <x:c r="C219" s="301" t="str">
        <x:v>M2b-P0C</x:v>
      </x:c>
      <x:c r="D219" s="301" t="str">
        <x:v>Not Started</x:v>
      </x:c>
      <x:c r="E219" s="301" t="str">
        <x:v>Worker 3</x:v>
      </x:c>
      <x:c r="F219" s="301" t="n">
        <x:v>8</x:v>
      </x:c>
      <x:c r="G219" s="301" t="str">
        <x:v>T-208</x:v>
      </x:c>
      <x:c r="H219" s="301" t="str">
        <x:v>T-219</x:v>
      </x:c>
    </x:row>
    <x:row r="220">
      <x:c r="A220" s="301" t="str">
        <x:v>T-219</x:v>
      </x:c>
      <x:c r="B220" s="301" t="str">
        <x:v>M2b</x:v>
      </x:c>
      <x:c r="C220" s="301" t="str">
        <x:v>M2b-P0C</x:v>
      </x:c>
      <x:c r="D220" s="301" t="str">
        <x:v>Not Started</x:v>
      </x:c>
      <x:c r="E220" s="301" t="str">
        <x:v>Worker 3</x:v>
      </x:c>
      <x:c r="F220" s="301" t="n">
        <x:v>12</x:v>
      </x:c>
      <x:c r="G220" s="301" t="str">
        <x:v>T-217; T-218; T-236</x:v>
      </x:c>
      <x:c r="H220" s="301" t="str">
        <x:v>T-220; T-222; T-223</x:v>
      </x:c>
    </x:row>
    <x:row r="221">
      <x:c r="A221" s="301" t="str">
        <x:v>T-220</x:v>
      </x:c>
      <x:c r="B221" s="301" t="str">
        <x:v>M2b</x:v>
      </x:c>
      <x:c r="C221" s="301" t="str">
        <x:v>M2b-P0C</x:v>
      </x:c>
      <x:c r="D221" s="301" t="str">
        <x:v>Not Started</x:v>
      </x:c>
      <x:c r="E221" s="301" t="str">
        <x:v>Worker 3</x:v>
      </x:c>
      <x:c r="F221" s="301" t="n">
        <x:v>8</x:v>
      </x:c>
      <x:c r="G221" s="301" t="str">
        <x:v>T-219</x:v>
      </x:c>
      <x:c r="H221" s="301" t="str">
        <x:v>T-222; T-223</x:v>
      </x:c>
    </x:row>
    <x:row r="222">
      <x:c r="A222" s="301" t="str">
        <x:v>T-221</x:v>
      </x:c>
      <x:c r="B222" s="301" t="str">
        <x:v>M2b</x:v>
      </x:c>
      <x:c r="C222" s="301" t="str">
        <x:v>M2b-P1</x:v>
      </x:c>
      <x:c r="D222" s="301" t="str">
        <x:v>Not Started</x:v>
      </x:c>
      <x:c r="E222" s="301" t="str">
        <x:v>Worker 3</x:v>
      </x:c>
      <x:c r="F222" s="301" t="n">
        <x:v>12</x:v>
      </x:c>
      <x:c r="G222" s="301" t="str">
        <x:v>T-112; T-114; T-090; T-095; T-096; T-219; T-220; T-233</x:v>
      </x:c>
      <x:c r="H222" s="301"/>
    </x:row>
    <x:row r="223">
      <x:c r="A223" s="301" t="str">
        <x:v>T-222</x:v>
      </x:c>
      <x:c r="B223" s="301" t="str">
        <x:v>M2b</x:v>
      </x:c>
      <x:c r="C223" s="301" t="str">
        <x:v>M2b-P0C</x:v>
      </x:c>
      <x:c r="D223" s="301" t="str">
        <x:v>Not Started</x:v>
      </x:c>
      <x:c r="E223" s="301" t="str">
        <x:v>Worker 2</x:v>
      </x:c>
      <x:c r="F223" s="301" t="n">
        <x:v>10</x:v>
      </x:c>
      <x:c r="G223" s="301" t="str">
        <x:v>T-219; T-220; T-215; T-203; T-204</x:v>
      </x:c>
      <x:c r="H223" s="301"/>
    </x:row>
    <x:row r="224">
      <x:c r="A224" s="301" t="str">
        <x:v>T-223</x:v>
      </x:c>
      <x:c r="B224" s="301" t="str">
        <x:v>M2b</x:v>
      </x:c>
      <x:c r="C224" s="301" t="str">
        <x:v>M2b-P0C</x:v>
      </x:c>
      <x:c r="D224" s="301" t="str">
        <x:v>Not Started</x:v>
      </x:c>
      <x:c r="E224" s="301" t="str">
        <x:v>Worker 3</x:v>
      </x:c>
      <x:c r="F224" s="301" t="n">
        <x:v>10</x:v>
      </x:c>
      <x:c r="G224" s="301" t="str">
        <x:v>T-179; T-180; T-181; T-214; T-219; T-220</x:v>
      </x:c>
      <x:c r="H224" s="301"/>
    </x:row>
    <x:row r="225">
      <x:c r="A225" s="301" t="str">
        <x:v>T-224</x:v>
      </x:c>
      <x:c r="B225" s="301" t="str">
        <x:v>M3</x:v>
      </x:c>
      <x:c r="C225" s="301" t="str">
        <x:v>M3-P0</x:v>
      </x:c>
      <x:c r="D225" s="301" t="str">
        <x:v>Not Started</x:v>
      </x:c>
      <x:c r="E225" s="301" t="str">
        <x:v>Worker 1</x:v>
      </x:c>
      <x:c r="F225" s="301" t="n">
        <x:v>12</x:v>
      </x:c>
      <x:c r="G225" s="301" t="str">
        <x:v>T-207</x:v>
      </x:c>
      <x:c r="H225" s="301"/>
    </x:row>
    <x:row r="226">
      <x:c r="A226" s="301" t="str">
        <x:v>T-225</x:v>
      </x:c>
      <x:c r="B226" s="301" t="str">
        <x:v>M3</x:v>
      </x:c>
      <x:c r="C226" s="301" t="str">
        <x:v>M3-P0</x:v>
      </x:c>
      <x:c r="D226" s="301" t="str">
        <x:v>Not Started</x:v>
      </x:c>
      <x:c r="E226" s="301" t="str">
        <x:v>Worker 1</x:v>
      </x:c>
      <x:c r="F226" s="301" t="n">
        <x:v>12</x:v>
      </x:c>
      <x:c r="G226" s="301" t="str">
        <x:v>T-224</x:v>
      </x:c>
      <x:c r="H226" s="301"/>
    </x:row>
    <x:row r="227">
      <x:c r="A227" s="301" t="str">
        <x:v>T-226</x:v>
      </x:c>
      <x:c r="B227" s="301" t="str">
        <x:v>M3</x:v>
      </x:c>
      <x:c r="C227" s="301" t="str">
        <x:v>M3-P0</x:v>
      </x:c>
      <x:c r="D227" s="301" t="str">
        <x:v>Not Started</x:v>
      </x:c>
      <x:c r="E227" s="301" t="str">
        <x:v>Worker 1</x:v>
      </x:c>
      <x:c r="F227" s="301" t="n">
        <x:v>12</x:v>
      </x:c>
      <x:c r="G227" s="301" t="str">
        <x:v>T-225; T-233</x:v>
      </x:c>
      <x:c r="H227" s="301"/>
    </x:row>
    <x:row r="228">
      <x:c r="A228" s="301" t="str">
        <x:v>T-227</x:v>
      </x:c>
      <x:c r="B228" s="301" t="str">
        <x:v>M3</x:v>
      </x:c>
      <x:c r="C228" s="301" t="str">
        <x:v>M3-P0</x:v>
      </x:c>
      <x:c r="D228" s="301" t="str">
        <x:v>Not Started</x:v>
      </x:c>
      <x:c r="E228" s="301" t="str">
        <x:v>Worker 1</x:v>
      </x:c>
      <x:c r="F228" s="301" t="n">
        <x:v>6</x:v>
      </x:c>
      <x:c r="G228" s="301" t="str">
        <x:v>T-213</x:v>
      </x:c>
      <x:c r="H228" s="301"/>
    </x:row>
    <x:row r="229">
      <x:c r="A229" s="301" t="str">
        <x:v>T-228</x:v>
      </x:c>
      <x:c r="B229" s="301" t="str">
        <x:v>M2b</x:v>
      </x:c>
      <x:c r="C229" s="301" t="str">
        <x:v>M2b-P0D</x:v>
      </x:c>
      <x:c r="D229" s="301" t="str">
        <x:v>Not Started</x:v>
      </x:c>
      <x:c r="E229" s="301" t="str">
        <x:v>Worker 3</x:v>
      </x:c>
      <x:c r="F229" s="301" t="n">
        <x:v>10</x:v>
      </x:c>
      <x:c r="G229" s="301" t="str">
        <x:v>T-090; T-092; T-134; T-179; T-180; T-181</x:v>
      </x:c>
      <x:c r="H229" s="301" t="str">
        <x:v>T-229</x:v>
      </x:c>
    </x:row>
    <x:row r="230">
      <x:c r="A230" s="301" t="str">
        <x:v>T-229</x:v>
      </x:c>
      <x:c r="B230" s="301" t="str">
        <x:v>M2b</x:v>
      </x:c>
      <x:c r="C230" s="301" t="str">
        <x:v>M2b-P0D</x:v>
      </x:c>
      <x:c r="D230" s="301" t="str">
        <x:v>Not Started</x:v>
      </x:c>
      <x:c r="E230" s="301" t="str">
        <x:v>Worker 3</x:v>
      </x:c>
      <x:c r="F230" s="301" t="n">
        <x:v>12</x:v>
      </x:c>
      <x:c r="G230" s="301" t="str">
        <x:v>T-228; T-134</x:v>
      </x:c>
      <x:c r="H230" s="301" t="str">
        <x:v>T-230</x:v>
      </x:c>
    </x:row>
    <x:row r="231">
      <x:c r="A231" s="301" t="str">
        <x:v>T-230</x:v>
      </x:c>
      <x:c r="B231" s="301" t="str">
        <x:v>M2b</x:v>
      </x:c>
      <x:c r="C231" s="301" t="str">
        <x:v>M2b-P0D</x:v>
      </x:c>
      <x:c r="D231" s="301" t="str">
        <x:v>Not Started</x:v>
      </x:c>
      <x:c r="E231" s="301" t="str">
        <x:v>Worker 3</x:v>
      </x:c>
      <x:c r="F231" s="301" t="n">
        <x:v>12</x:v>
      </x:c>
      <x:c r="G231" s="301" t="str">
        <x:v>T-229; T-112; T-114</x:v>
      </x:c>
      <x:c r="H231" s="301"/>
    </x:row>
    <x:row r="232">
      <x:c r="A232" s="301" t="str">
        <x:v>T-231</x:v>
      </x:c>
      <x:c r="B232" s="301" t="str">
        <x:v>M2a</x:v>
      </x:c>
      <x:c r="C232" s="301" t="str">
        <x:v>M2a-P1X</x:v>
      </x:c>
      <x:c r="D232" s="301" t="str">
        <x:v>Not Started</x:v>
      </x:c>
      <x:c r="E232" s="301" t="str">
        <x:v>Worker 1</x:v>
      </x:c>
      <x:c r="F232" s="301" t="n">
        <x:v>6</x:v>
      </x:c>
      <x:c r="G232" s="301" t="str">
        <x:v>T-090; T-209</x:v>
      </x:c>
      <x:c r="H232" s="301" t="str">
        <x:v>T-092; T-128; T-139; T-213</x:v>
      </x:c>
    </x:row>
    <x:row r="233">
      <x:c r="A233" s="301" t="str">
        <x:v>T-232</x:v>
      </x:c>
      <x:c r="B233" s="301" t="str">
        <x:v>M2a</x:v>
      </x:c>
      <x:c r="C233" s="301" t="str">
        <x:v>M2a-P1X</x:v>
      </x:c>
      <x:c r="D233" s="301" t="str">
        <x:v>Not Started</x:v>
      </x:c>
      <x:c r="E233" s="301" t="str">
        <x:v>Worker 1</x:v>
      </x:c>
      <x:c r="F233" s="301" t="n">
        <x:v>6</x:v>
      </x:c>
      <x:c r="G233" s="301" t="str">
        <x:v>T-090; T-231; T-214</x:v>
      </x:c>
      <x:c r="H233" s="301" t="str">
        <x:v>T-215</x:v>
      </x:c>
    </x:row>
    <x:row r="234">
      <x:c r="A234" s="301" t="str">
        <x:v>T-233</x:v>
      </x:c>
      <x:c r="B234" s="301" t="str">
        <x:v>M2a</x:v>
      </x:c>
      <x:c r="C234" s="301" t="str">
        <x:v>M2a-P1X</x:v>
      </x:c>
      <x:c r="D234" s="301" t="str">
        <x:v>Not Started</x:v>
      </x:c>
      <x:c r="E234" s="301" t="str">
        <x:v>Worker 1</x:v>
      </x:c>
      <x:c r="F234" s="301" t="n">
        <x:v>5</x:v>
      </x:c>
      <x:c r="G234" s="301" t="str">
        <x:v>T-087; T-090; T-216</x:v>
      </x:c>
      <x:c r="H234" s="301" t="str">
        <x:v>T-221; T-226</x:v>
      </x:c>
    </x:row>
    <x:row r="235">
      <x:c r="A235" s="301" t="str">
        <x:v>T-234</x:v>
      </x:c>
      <x:c r="B235" s="301" t="str">
        <x:v>M2a</x:v>
      </x:c>
      <x:c r="C235" s="301" t="str">
        <x:v>M2a-P1X</x:v>
      </x:c>
      <x:c r="D235" s="301" t="str">
        <x:v>Not Started</x:v>
      </x:c>
      <x:c r="E235" s="301" t="str">
        <x:v>Worker 3</x:v>
      </x:c>
      <x:c r="F235" s="301" t="n">
        <x:v>8</x:v>
      </x:c>
      <x:c r="G235" s="301" t="str">
        <x:v>T-208; T-209</x:v>
      </x:c>
      <x:c r="H235" s="301" t="str">
        <x:v>T-235; T-236</x:v>
      </x:c>
    </x:row>
    <x:row r="236">
      <x:c r="A236" s="301" t="str">
        <x:v>T-235</x:v>
      </x:c>
      <x:c r="B236" s="301" t="str">
        <x:v>M2a</x:v>
      </x:c>
      <x:c r="C236" s="301" t="str">
        <x:v>M2a-P1X</x:v>
      </x:c>
      <x:c r="D236" s="301" t="str">
        <x:v>Not Started</x:v>
      </x:c>
      <x:c r="E236" s="301" t="str">
        <x:v>Worker 1</x:v>
      </x:c>
      <x:c r="F236" s="301" t="n">
        <x:v>8</x:v>
      </x:c>
      <x:c r="G236" s="301" t="str">
        <x:v>T-090; T-231; T-234</x:v>
      </x:c>
      <x:c r="H236" s="301" t="str">
        <x:v>T-237</x:v>
      </x:c>
    </x:row>
    <x:row r="237">
      <x:c r="A237" s="301" t="str">
        <x:v>T-236</x:v>
      </x:c>
      <x:c r="B237" s="301" t="str">
        <x:v>M2b</x:v>
      </x:c>
      <x:c r="C237" s="301" t="str">
        <x:v>M2b-P0C</x:v>
      </x:c>
      <x:c r="D237" s="301" t="str">
        <x:v>Not Started</x:v>
      </x:c>
      <x:c r="E237" s="301" t="str">
        <x:v>Worker 3</x:v>
      </x:c>
      <x:c r="F237" s="301" t="n">
        <x:v>10</x:v>
      </x:c>
      <x:c r="G237" s="301" t="str">
        <x:v>T-217; T-234</x:v>
      </x:c>
      <x:c r="H237" s="301" t="str">
        <x:v>T-219; T-222; T-223</x:v>
      </x:c>
    </x:row>
    <x:row r="238">
      <x:c r="A238" s="301" t="str">
        <x:v>T-237</x:v>
      </x:c>
      <x:c r="B238" s="301" t="str">
        <x:v>M2a</x:v>
      </x:c>
      <x:c r="C238" s="301" t="str">
        <x:v>M2a-P1X</x:v>
      </x:c>
      <x:c r="D238" s="301" t="str">
        <x:v>Not Started</x:v>
      </x:c>
      <x:c r="E238" s="301" t="str">
        <x:v>Worker 2</x:v>
      </x:c>
      <x:c r="F238" s="301" t="n">
        <x:v>10</x:v>
      </x:c>
      <x:c r="G238" s="301" t="str">
        <x:v>T-092; T-235</x:v>
      </x:c>
      <x:c r="H238" s="301" t="str">
        <x:v>T-138; T-164</x:v>
      </x:c>
    </x:row>
    <x:row r="239">
      <x:c r="A239" s="301" t="str">
        <x:v>T-238</x:v>
      </x:c>
      <x:c r="B239" s="301" t="str">
        <x:v>M2b</x:v>
      </x:c>
      <x:c r="C239" s="301" t="str">
        <x:v>M2b-P1</x:v>
      </x:c>
      <x:c r="D239" s="301" t="str">
        <x:v>Not Started</x:v>
      </x:c>
      <x:c r="E239" s="301" t="str">
        <x:v>Worker 3</x:v>
      </x:c>
      <x:c r="F239" s="301" t="n">
        <x:v>12</x:v>
      </x:c>
      <x:c r="G239" s="301" t="str">
        <x:v>T-208; T-214</x:v>
      </x:c>
      <x:c r="H239" s="301" t="str">
        <x:v>T-239; T-240</x:v>
      </x:c>
    </x:row>
    <x:row r="240">
      <x:c r="A240" s="301" t="str">
        <x:v>T-239</x:v>
      </x:c>
      <x:c r="B240" s="301" t="str">
        <x:v>M2a</x:v>
      </x:c>
      <x:c r="C240" s="301" t="str">
        <x:v>M2a-P1X</x:v>
      </x:c>
      <x:c r="D240" s="301" t="str">
        <x:v>Not Started</x:v>
      </x:c>
      <x:c r="E240" s="301" t="str">
        <x:v>Worker 1</x:v>
      </x:c>
      <x:c r="F240" s="301" t="n">
        <x:v>8</x:v>
      </x:c>
      <x:c r="G240" s="301" t="str">
        <x:v>T-090; T-214; T-238</x:v>
      </x:c>
      <x:c r="H240" s="301" t="str">
        <x:v>T-240</x:v>
      </x:c>
    </x:row>
    <x:row r="241">
      <x:c r="A241" s="301" t="str">
        <x:v>T-240</x:v>
      </x:c>
      <x:c r="B241" s="301" t="str">
        <x:v>M2b</x:v>
      </x:c>
      <x:c r="C241" s="301" t="str">
        <x:v>M2b-P1</x:v>
      </x:c>
      <x:c r="D241" s="301" t="str">
        <x:v>Not Started</x:v>
      </x:c>
      <x:c r="E241" s="301" t="str">
        <x:v>Worker 3</x:v>
      </x:c>
      <x:c r="F241" s="301" t="n">
        <x:v>12</x:v>
      </x:c>
      <x:c r="G241" s="301" t="str">
        <x:v>T-131; T-132; T-133; T-238; T-239</x:v>
      </x:c>
      <x:c r="H241" s="301"/>
    </x:row>
  </x:sheetData>
  <x:pageMargins left="0.7" right="0.7" top="0.75" bottom="0.75" header="0.3" footer="0.3"/>
</x:worksheet>
</file>