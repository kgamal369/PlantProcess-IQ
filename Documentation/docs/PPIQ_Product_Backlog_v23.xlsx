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Phase Summary" sheetId="2" state="visible" r:id="rId4"/>
    <sheet name="Removed (Done-Invalid)" sheetId="3" state="visible" r:id="rId5"/>
  </sheets>
  <definedNames>
    <definedName function="false" hidden="true" localSheetId="0" name="_xlnm._FilterDatabase" vbProcedure="false">Backlog!$A$2:$L$49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<sst xmlns="http://schemas.openxmlformats.org/spreadsheetml/2006/main" count="589" uniqueCount="343">
  <si>
    <t xml:space="preserve">PPIQ PRODUCT BACKLOG v23 - golden-chain M1 / hardening M2 - 16-Jul-2026 (meeting ~20-Jul). Derives from: concept v1.1, Amendment 7, senior recs 1-17, State Assessment 16-Jul. IDs frozen; removed/done items on the Removed sheet.</t>
  </si>
  <si>
    <t xml:space="preserve">ID</t>
  </si>
  <si>
    <t xml:space="preserve">Milestone</t>
  </si>
  <si>
    <t xml:space="preserve">Phase</t>
  </si>
  <si>
    <t xml:space="preserve">Group</t>
  </si>
  <si>
    <t xml:space="preserve">Task Name</t>
  </si>
  <si>
    <t xml:space="preserve">Severity</t>
  </si>
  <si>
    <t xml:space="preserve">Type</t>
  </si>
  <si>
    <t xml:space="preserve">Module</t>
  </si>
  <si>
    <t xml:space="preserve">Description</t>
  </si>
  <si>
    <t xml:space="preserve">Validation</t>
  </si>
  <si>
    <t xml:space="preserve">Est (h)</t>
  </si>
  <si>
    <t xml:space="preserve">Origin</t>
  </si>
  <si>
    <t xml:space="preserve">M1-18</t>
  </si>
  <si>
    <t xml:space="preserve">M1</t>
  </si>
  <si>
    <t xml:space="preserve">M1-P1 Golden Chain</t>
  </si>
  <si>
    <t xml:space="preserve">G0 Runtime</t>
  </si>
  <si>
    <t xml:space="preserve">Protect the work: logical commits on presentation, safety tag, senior-diff review, merge to main</t>
  </si>
  <si>
    <t xml:space="preserve">Critical</t>
  </si>
  <si>
    <t xml:space="preserve">governance</t>
  </si>
  <si>
    <t xml:space="preserve">Repo</t>
  </si>
  <si>
    <t xml:space="preserve">Senior recs 1+5: the 15-16 Jul tree is entirely uncommitted and shared by both branches. Commit in logical units (mojibake fix / presentation profile / workspace wiring / docs), tag pre-merge, read the full presentation-&gt;main diff (incl. the parallel-session InteractiveWorkspacePage), run backend+frontend gates, merge, delete branch. One long-lived branch from here.</t>
  </si>
  <si>
    <t xml:space="preserve">git log shows logical commits; tag exists; gates green on merged main; presentation branch deleted; working tree clean.</t>
  </si>
  <si>
    <t xml:space="preserve">NEW 16-Jul (senior recs 1,5)</t>
  </si>
  <si>
    <t xml:space="preserve">M1-19</t>
  </si>
  <si>
    <t xml:space="preserve">G1 Import</t>
  </si>
  <si>
    <t xml:space="preserve">Oracle live FOR REAL: PPIQ_SRC on CP-04/CP-06 + proven test-connect and discovery</t>
  </si>
  <si>
    <t xml:space="preserve">defect fix</t>
  </si>
  <si>
    <t xml:space="preserve">Connectors</t>
  </si>
  <si>
    <t xml:space="preserve">Open since 15-Jul; red banner captured in 16-Jul screenshot. Enter Schema Name PPIQ_SRC on both Oracle profiles, prove test-connect and live table discovery in the HMI. Until green, the phrase 'live Oracle connector' is banned from customer-facing language (senior rec 12).</t>
  </si>
  <si>
    <t xml:space="preserve">Discovery lists PPIQ_SRC tables for both profiles in the UI; dated screenshot; zero red banners on the connections walk.</t>
  </si>
  <si>
    <t xml:space="preserve">NEW 16-Jul (defect #1)</t>
  </si>
  <si>
    <t xml:space="preserve">M1-20</t>
  </si>
  <si>
    <t xml:space="preserve">GOLDEN EVIDENCE CHAIN part 1: execute Import Registration Runsheet A-E into ppiq_presentation</t>
  </si>
  <si>
    <t xml:space="preserve">execution</t>
  </si>
  <si>
    <t xml:space="preserve">Pipeline</t>
  </si>
  <si>
    <t xml:space="preserve">The chain the demo IS (senior rec 6): fresh import batch -&gt; staging -&gt; mapping -&gt; canonical rows -&gt; genealogy, executed live against the fleet sources INTO the presentation DB on top of the restored base. Record every batch ID. Taxonomy-first: definitions views import before facts (absorbs old M1-08 re-import).</t>
  </si>
  <si>
    <t xml:space="preserve">Batch IDs recorded per phase; staging/canonical counts pasted; genealogy walk heat-&gt;slab-&gt;coil resolves from THIS batch's rows; certifier S02/S03/S06 flip green.</t>
  </si>
  <si>
    <t xml:space="preserve">REWRITE v22 M1-08 (4h) + runsheet</t>
  </si>
  <si>
    <t xml:space="preserve">M1-21</t>
  </si>
  <si>
    <t xml:space="preserve">G3 Engine</t>
  </si>
  <si>
    <t xml:space="preserve">GOLDEN EVIDENCE CHAIN part 2: fresh governed run -&gt; 9.3x signal + 1.0x null, linked end-to-end</t>
  </si>
  <si>
    <t xml:space="preserve">Engine</t>
  </si>
  <si>
    <t xml:space="preserve">Senior recs 7+16: historical findings prove nothing about this import. Run the governed learning job over the imported window; the money finding must carry current batch ID, run ID, window, population, effect, q-value, and reject the SCRATCH null control at ~1.0x. Customer wording fixed: 'engine recovered a planted validation signal and rejected a null control - validates the method; ROI is what the pilot measures.'</t>
  </si>
  <si>
    <t xml:space="preserve">results_v2 rows reference the NEW run id; SUPERHEAT-&gt;CRACK_LONG ~9.3x with q&lt;0.01; SCRATCH ~1.0x; evidence record renders in HMI; wording in deck matches.</t>
  </si>
  <si>
    <t xml:space="preserve">NEW 16-Jul (senior recs 6,7,16)</t>
  </si>
  <si>
    <t xml:space="preserve">M1-01</t>
  </si>
  <si>
    <t xml:space="preserve">G2 Assistant</t>
  </si>
  <si>
    <t xml:space="preserve">GOLDEN EVIDENCE CHAIN part 3: assistant cites the imported corpus</t>
  </si>
  <si>
    <t xml:space="preserve">validation</t>
  </si>
  <si>
    <t xml:space="preserve">Assistant</t>
  </si>
  <si>
    <t xml:space="preserve">Infrastructure exists (canon.assistant_chunk, reindex endpoint); what remains is PROOF on the imported plant: reindex, then the grounded-answer walk. Chain terminus: a cited answer about data the customer watched arrive.</t>
  </si>
  <si>
    <t xml:space="preserve">POST /api/assistant/reindex -&gt; 200, chunkCount&gt;=20; 'which source tables are registered?' -&gt; isRefusal=false with &gt;=1 citation resolving in UI; predictive question still refuses.</t>
  </si>
  <si>
    <t xml:space="preserve">REWRITE v22 M1-01 (10h; build done, proof remains)</t>
  </si>
  <si>
    <t xml:space="preserve">M1-03</t>
  </si>
  <si>
    <t xml:space="preserve">Taxonomy-first proven through the chain (definitions arrive by DB-link with provenance)</t>
  </si>
  <si>
    <t xml:space="preserve">Very important</t>
  </si>
  <si>
    <t xml:space="preserve">Clarified Rule 2 stands: defect/parameter taxonomy imported from the source taxonomy views (v_parameter_definitions 26 rows, v_defect_definitions 20, CASTER 4, HSM 7), never hand-inserted. Verified as part of M1-20 Phase A with explicit counts.</t>
  </si>
  <si>
    <t xml:space="preserve">defect_catalogs/parameter_definitions gain rows with connector source_system; counts match the four source views exactly.</t>
  </si>
  <si>
    <t xml:space="preserve">REWRITE v22 M1-03 (3h)</t>
  </si>
  <si>
    <t xml:space="preserve">M1-09</t>
  </si>
  <si>
    <t xml:space="preserve">Finding read hygiene: latest-run dedup view + odds ratio + population surfaced</t>
  </si>
  <si>
    <t xml:space="preserve">enhancement</t>
  </si>
  <si>
    <t xml:space="preserve">results_v2 shows duplicate rows across runs; the engineer will notice. Latest-run-per-job read view (dedup) + OR + population in the finding payload so the fresh 9.3x displays cleanly.</t>
  </si>
  <si>
    <t xml:space="preserve">Finding list shows one row per feature/outcome (latest run); the fresh finding displays OR with q-value and population.</t>
  </si>
  <si>
    <t xml:space="preserve">CARRIED v22 M1-09</t>
  </si>
  <si>
    <t xml:space="preserve">M1-22</t>
  </si>
  <si>
    <t xml:space="preserve">G12 UX</t>
  </si>
  <si>
    <t xml:space="preserve">Step-13 Suggestion 401: map the route or fence the page for the demo</t>
  </si>
  <si>
    <t xml:space="preserve">Frontend</t>
  </si>
  <si>
    <t xml:space="preserve">Red 'SUGGESTION RUNTIME NOT REACHABLE: 401 UNAUTHORIZED' banner captured in screenshot - almost certainly an unmapped route in the deny-by-default access matrix (same class as the M1-05-era POST 403). Fix properly; if not green by Day 3 end, hide from nav - no red banners in the room.</t>
  </si>
  <si>
    <t xml:space="preserve">Page loads clean with a real recommendation path OR page absent from nav; full walk shows zero error banners.</t>
  </si>
  <si>
    <t xml:space="preserve">NEW 16-Jul (defect #2)</t>
  </si>
  <si>
    <t xml:space="preserve">M1-23</t>
  </si>
  <si>
    <t xml:space="preserve">M1-P2 Verify &amp; Rehearse</t>
  </si>
  <si>
    <t xml:space="preserve">Command Dashboard KPI wiring: Quality events + Risk read real values</t>
  </si>
  <si>
    <t xml:space="preserve">Materials KPI reads 40,148 but Quality events and Risk show '-' against 51,691 events - a read-model/key mismatch, screenshot-evidenced. Cosmetic but on the step-7 centerpiece.</t>
  </si>
  <si>
    <t xml:space="preserve">Both KPIs display numbers matching direct SQL counts on ppiq_presentation.</t>
  </si>
  <si>
    <t xml:space="preserve">NEW 16-Jul (defect #3)</t>
  </si>
  <si>
    <t xml:space="preserve">M1-11</t>
  </si>
  <si>
    <t xml:space="preserve">G16 Demo</t>
  </si>
  <si>
    <t xml:space="preserve">Evidence-graded browser certification: 15-step walk + 12 workspaces to [P] grade</t>
  </si>
  <si>
    <t xml:space="preserve">All</t>
  </si>
  <si>
    <t xml:space="preserve">Senior recs 8+9: workspaces are [D]+[B] until a browser proves them. One consolidated pass (absorbs old M1-02 jobs-monitor check): all 15 steps + all 12 workspaces graded [P]/[B]/[T]/[D]/[X] - rendering, drag, resize, min/max, filtering, click-to-filter, layout save, reload persistence. Every FAIL becomes a numbered bug BEFORE rehearsal.</t>
  </si>
  <si>
    <t xml:space="preserve">Graded checklist committed under docs/ with dated screenshots; no [X] on the demo path; each [D] has a spoken sentence.</t>
  </si>
  <si>
    <t xml:space="preserve">REWRITE v22 M1-11+M1-02 (6h)</t>
  </si>
  <si>
    <t xml:space="preserve">M1-24</t>
  </si>
  <si>
    <t xml:space="preserve">G4 Quality</t>
  </si>
  <si>
    <t xml:space="preserve">Review the parallel-session code: InteractiveWorkspacePage + 20:15 pack + journey-professional.css</t>
  </si>
  <si>
    <t xml:space="preserve">review</t>
  </si>
  <si>
    <t xml:space="preserve">Unreviewed code sits on the demo path: the workspace page (origin unknown to this session), five rewritten surfaces, and a 496-line global stylesheet imported first. Read the diff, browser-verify the restyle on every demo screen, fix Sev-1s only.</t>
  </si>
  <si>
    <t xml:space="preserve">Review notes committed; global CSS verified on all demo screens; Sev-1 findings fixed or reverted.</t>
  </si>
  <si>
    <t xml:space="preserve">NEW 16-Jul (defect #8)</t>
  </si>
  <si>
    <t xml:space="preserve">M1-25</t>
  </si>
  <si>
    <t xml:space="preserve">Gate hygiene: delete stale JourneyRail.test.tsx after rail browser check</t>
  </si>
  <si>
    <t xml:space="preserve">Nice to have</t>
  </si>
  <si>
    <t xml:space="preserve">cleanup</t>
  </si>
  <si>
    <t xml:space="preserve">Tests</t>
  </si>
  <si>
    <t xml:space="preserve">Old M1-17 test superseded by the certification suite; red for structural reasons (labels wrapped in nested spans). Verify the rail visually, then delete the stale test - never loosen a matcher to force green.</t>
  </si>
  <si>
    <t xml:space="preserve">Rail visually correct; stale test deleted; full vitest suite green.</t>
  </si>
  <si>
    <t xml:space="preserve">NEW 16-Jul (defect #4)</t>
  </si>
  <si>
    <t xml:space="preserve">M1-26</t>
  </si>
  <si>
    <t xml:space="preserve">Certifier v0.2: S06 offender detail via information_schema; S08 pattern fixed</t>
  </si>
  <si>
    <t xml:space="preserve">tooling</t>
  </si>
  <si>
    <t xml:space="preserve">Tooling</t>
  </si>
  <si>
    <t xml:space="preserve">The go/no-go instrument has two self-defects: S06 detail query guesses a nonexistent column; S08 pattern misses the analysis-job storage (likely job_definitions discriminator). Fix both so every red row names real evidence.</t>
  </si>
  <si>
    <t xml:space="preserve">Certifier report contains zero SQL errors; S08 row cites real storage; re-run archived.</t>
  </si>
  <si>
    <t xml:space="preserve">NEW 16-Jul (defect #7)</t>
  </si>
  <si>
    <t xml:space="preserve">M1-12</t>
  </si>
  <si>
    <t xml:space="preserve">Continuity: fleet assets committed durably (FLEET_RELATIONS + source SQLs + registry proofs)</t>
  </si>
  <si>
    <t xml:space="preserve">Docs</t>
  </si>
  <si>
    <t xml:space="preserve">The repo cleanup deleted ppiq-fleet-3months/ and FLEET_RELATIONS.md from the tree - the planted-relations ground truth existed only in session dumps until rescued. Commit FLEET_RELATIONS.md into docs/emulation/, archive the six source SQLs off-laptop, paste registry truth queries.</t>
  </si>
  <si>
    <t xml:space="preserve">git ls-files shows docs/emulation/FLEET_RELATIONS.md; archive location recorded; registry query outputs pasted.</t>
  </si>
  <si>
    <t xml:space="preserve">REWRITE v22 M1-12 (0.5h; scope grew after deletion)</t>
  </si>
  <si>
    <t xml:space="preserve">M1-06</t>
  </si>
  <si>
    <t xml:space="preserve">Alerting proven live: two rules via UI-4 + evaluation writes the plant data log</t>
  </si>
  <si>
    <t xml:space="preserve">AlertingPage is built and test-covered ([B]); alert_rules=0. Create two rules in the UI (e.g. thermal superheat &gt; 36), run evaluation, watch rigged high-superheat rows log.</t>
  </si>
  <si>
    <t xml:space="preserve">Rules visible in UI; evaluation writes plant_data_log rows&gt;0; alert list renders them; graded [P].</t>
  </si>
  <si>
    <t xml:space="preserve">REWRITE v22 M1-06 (6h; UI done, proof remains)</t>
  </si>
  <si>
    <t xml:space="preserve">M1-05</t>
  </si>
  <si>
    <t xml:space="preserve">Supervisor step-14 honest state: verify the EXISTING page/endpoints, then render-or-script decision</t>
  </si>
  <si>
    <t xml:space="preserve">Senior rec 11 correction adopted: SupervisorReportPage exists in-tree with certification tests; ml_knowledge_base_items table exists (0 rows). Verify what renders against live data. If a real report row is one honest step away, take it; otherwise the scripted sentence stands. NO fabricated report content.</t>
  </si>
  <si>
    <t xml:space="preserve">Either: page renders one real report row in the walk; or: documented scripted sentence + page graded [B] honestly. Decision recorded.</t>
  </si>
  <si>
    <t xml:space="preserve">REWRITE v22 M1-05 (4h; senior rec 11)</t>
  </si>
  <si>
    <t xml:space="preserve">M1-14</t>
  </si>
  <si>
    <t xml:space="preserve">Dress rehearsal x2: full 15-step journey on ppiq_presentation (:5063), timed, with contingency sheet</t>
  </si>
  <si>
    <t xml:space="preserve">The exact meeting script twice end-to-end on the presentation profile: golden chain narration, one live dashboard build, the framing sentence, the 9.3x wording, fallback notes per step (source-down / API-down).</t>
  </si>
  <si>
    <t xml:space="preserve">Two clean timed runs; contingency sheet exists; certifier run archived same day (~12-13/16 honest greens expected); no code changes after.</t>
  </si>
  <si>
    <t xml:space="preserve">REWRITE v22 M1-14 (3h)</t>
  </si>
  <si>
    <t xml:space="preserve">M1-15</t>
  </si>
  <si>
    <t xml:space="preserve">G6 Docs</t>
  </si>
  <si>
    <t xml:space="preserve">Website + deck updated to the PROVEN story with evidence-linked claims</t>
  </si>
  <si>
    <t xml:space="preserve">content</t>
  </si>
  <si>
    <t xml:space="preserve">Website</t>
  </si>
  <si>
    <t xml:space="preserve">Senior recs 15+16: every commercial claim names its evidence (batch ID, run ID, screenshot, cert report). Money slide uses the fresh chain finding with the validated-method wording. Workspace screenshots from the [P]-graded pass. Honesty-lint stays green.</t>
  </si>
  <si>
    <t xml:space="preserve">Deck walk matches rehearsal exactly; each claim has a named evidence artifact; honesty-lint green; website carries rules + discovery.</t>
  </si>
  <si>
    <t xml:space="preserve">REWRITE v22 M1-15 (4h)</t>
  </si>
  <si>
    <t xml:space="preserve">M2-01</t>
  </si>
  <si>
    <t xml:space="preserve">M2</t>
  </si>
  <si>
    <t xml:space="preserve">M2-P1</t>
  </si>
  <si>
    <t xml:space="preserve">Supervisor engine (step-14 keystone): jobs improve each other + weekly deep revision</t>
  </si>
  <si>
    <t xml:space="preserve">new feature</t>
  </si>
  <si>
    <t xml:space="preserve">Full implementation with guardrails: may tune job configs/feature windows/thresholds; must NEVER weaken readiness gates, refusal logic or evidence; every change logged with justification. Builds on the M1-05 verified v0 state.</t>
  </si>
  <si>
    <t xml:space="preserve">After two supervised cycles, at least one job config adjusted with logged justification and measurably improved metric; gates untouched.</t>
  </si>
  <si>
    <t xml:space="preserve">CARRIED v22 M2-01</t>
  </si>
  <si>
    <t xml:space="preserve">M2-02</t>
  </si>
  <si>
    <t xml:space="preserve">Real LLM binding behind IAssistantModel (on-prem Ollama + optional hosted)</t>
  </si>
  <si>
    <t xml:space="preserve">Swap-in implementations beside ExtractiveAssistantModel; config-selected per install; answers remain retrieval-grounded + cited; refusal-first preserved.</t>
  </si>
  <si>
    <t xml:space="preserve">Same eval set answered by both models; citations still resolve; predictive questions still refuse; latency budget documented.</t>
  </si>
  <si>
    <t xml:space="preserve">CARRIED v22 M2-02</t>
  </si>
  <si>
    <t xml:space="preserve">M2-03</t>
  </si>
  <si>
    <t xml:space="preserve">Bounded-parallelism job executor (100+ jobs)</t>
  </si>
  <si>
    <t xml:space="preserve">Backend</t>
  </si>
  <si>
    <t xml:space="preserve">Channel&lt;JobRequest&gt; + N consumers; per-class pools (import/analysis/ML); statement timeouts + per-class work_mem; NOTIFY wakeups; job telemetry.</t>
  </si>
  <si>
    <t xml:space="preserve">100 defined jobs across classes complete a full cycle with bounded drift; no pool exhaustion; telemetry populated.</t>
  </si>
  <si>
    <t xml:space="preserve">CARRIED v22 M2-03</t>
  </si>
  <si>
    <t xml:space="preserve">M2-04</t>
  </si>
  <si>
    <t xml:space="preserve">Statistics method registry: Spearman, chi-square, ANOVA/Mann-Whitney + Surface-3 picker</t>
  </si>
  <si>
    <t xml:space="preserve">Registry of methods with applicability rules; Surface-3 lets the user pick; all results keep the evidence contract.</t>
  </si>
  <si>
    <t xml:space="preserve">Each method produces a verified result on the rigged set (chi-square finds a planted categorical driver; Spearman survives monotone).</t>
  </si>
  <si>
    <t xml:space="preserve">CARRIED v22 M2-04</t>
  </si>
  <si>
    <t xml:space="preserve">M2-05</t>
  </si>
  <si>
    <t xml:space="preserve">G10 Surface-1</t>
  </si>
  <si>
    <t xml:space="preserve">Step-4 full no-code data preparation (per-view Loading jobs + prep/load unification)</t>
  </si>
  <si>
    <t xml:space="preserve">Productize the demo path: visual field-map editor, filters/linking/grouping, SchemaView-&gt;MappingDefinition relationship decided, per-view jobs.</t>
  </si>
  <si>
    <t xml:space="preserve">A non-developer maps a NEW source to canonical entirely in the HMI incl. schedule; steps 4-6 clickable start to finish.</t>
  </si>
  <si>
    <t xml:space="preserve">CARRIED v22 M2-05</t>
  </si>
  <si>
    <t xml:space="preserve">M2-06</t>
  </si>
  <si>
    <t xml:space="preserve">4th UI complete: routing-deviation + chemistry-range rules, email/webhook delivery</t>
  </si>
  <si>
    <t xml:space="preserve">Extend v0: rule types (threshold / routing deviation vs genealogy / chemistry range vs expected_min_max), delivery channels, ack workflow.</t>
  </si>
  <si>
    <t xml:space="preserve">Each rule type fires on a crafted case; email+webhook delivered; ack recorded.</t>
  </si>
  <si>
    <t xml:space="preserve">CARRIED v22 M2-06</t>
  </si>
  <si>
    <t xml:space="preserve">M2-16</t>
  </si>
  <si>
    <t xml:space="preserve">Interactive Workspace Doctrine epic P1: S5 components + S6 builder entry + S4/S7 gap fixes</t>
  </si>
  <si>
    <t xml:space="preserve">Amendment-7 conformance slice: conditional-format tables, list component, date-time-range filter (S5); re-mount Add-widget builder on workspace pages (S6); close every S4 min/max and S7 drag/persistence gap the M1-11 grading found; real heatmap widget row (config proven by Widget Drift).</t>
  </si>
  <si>
    <t xml:space="preserve">All 12 workspaces graded [P] on every doctrine standard; a user adds a widget through the builder on a workspace page.</t>
  </si>
  <si>
    <t xml:space="preserve">NEW 16-Jul (doctrine gap matrix ~70h, P1 slice)</t>
  </si>
  <si>
    <t xml:space="preserve">M2-17</t>
  </si>
  <si>
    <t xml:space="preserve">Amendment 7 committed + interactiveWorkspaceContract architecture gate installed</t>
  </si>
  <si>
    <t xml:space="preserve">The doctrine document into docs/doctrine/ on main; the gate per its section 5: frozen legacy allowlist, ratchet semantics, widget-query-contract enforcement. A doctrine without a gate is a wish.</t>
  </si>
  <si>
    <t xml:space="preserve">Gate red on an injected non-conforming page, green on main; allowlist snapshot committed; doctrine in git log.</t>
  </si>
  <si>
    <t xml:space="preserve">NEW 16-Jul (Amendment 7)</t>
  </si>
  <si>
    <t xml:space="preserve">M2-07</t>
  </si>
  <si>
    <t xml:space="preserve">M2-P2</t>
  </si>
  <si>
    <t xml:space="preserve">Range validation on ingest (expected_min/max) + time-series observation support</t>
  </si>
  <si>
    <t xml:space="preserve">Validate observations against parameter_definitions ranges (typed warning, not silent); prove multi-reading-per-unit series through the pipeline.</t>
  </si>
  <si>
    <t xml:space="preserve">Out-of-range reading produces a visible data-quality issue; 10-readings/heat series imports+projects+correlates.</t>
  </si>
  <si>
    <t xml:space="preserve">CARRIED v22 M2-07</t>
  </si>
  <si>
    <t xml:space="preserve">M2-08</t>
  </si>
  <si>
    <t xml:space="preserve">Scale foundations: partitions (monthly+BRIN), incremental feature refresh, PgBouncer, restore drill</t>
  </si>
  <si>
    <t xml:space="preserve">infrastructure</t>
  </si>
  <si>
    <t xml:space="preserve">Pre-pilot infra musts from sizing model v1.</t>
  </si>
  <si>
    <t xml:space="preserve">Medium-profile synthetic load (7.5M obs) refreshes incrementally in bounded time; restore drill signed off.</t>
  </si>
  <si>
    <t xml:space="preserve">CARRIED v22 M2-08</t>
  </si>
  <si>
    <t xml:space="preserve">M2-09</t>
  </si>
  <si>
    <t xml:space="preserve">G14 Security</t>
  </si>
  <si>
    <t xml:space="preserve">Roles/users vs journey: role catalog, named policies, MFA verify, SCIM finish-or-fence</t>
  </si>
  <si>
    <t xml:space="preserve">security</t>
  </si>
  <si>
    <t xml:space="preserve">Replace '?? viewer' fallback + literals with a role catalog; verify MFA enrolment; finish or fence SSO/SCIM; user flows match journey.</t>
  </si>
  <si>
    <t xml:space="preserve">Role matrix documented+tested per surface; MFA walk recorded; SCIM passing or disabled behind a flag.</t>
  </si>
  <si>
    <t xml:space="preserve">CARRIED v22 M2-09</t>
  </si>
  <si>
    <t xml:space="preserve">M2-10</t>
  </si>
  <si>
    <t xml:space="preserve">Licensing production-grade: tier-&gt;feature matrix, production Ed25519 keypair, gated-endpoint tests</t>
  </si>
  <si>
    <t xml:space="preserve">Document tier -&gt; LicenseFeature codes; rotate off the dev keypair (Option 3); test one gated endpoint per tier incl. ML/assistant gates.</t>
  </si>
  <si>
    <t xml:space="preserve">Matrix published; dev token rejected in prod mode; per-tier tests green.</t>
  </si>
  <si>
    <t xml:space="preserve">CARRIED v22 M2-10</t>
  </si>
  <si>
    <t xml:space="preserve">M2-11</t>
  </si>
  <si>
    <t xml:space="preserve">G15 Governance</t>
  </si>
  <si>
    <t xml:space="preserve">Close out-of-band paths: staging-reset endpoint, purge audit, source_system allow-list, retention, deletion UX</t>
  </si>
  <si>
    <t xml:space="preserve">Everything an auditor flagged: admin endpoint replaces psql resets; projector accepts only registered connector source_systems; retention job visible.</t>
  </si>
  <si>
    <t xml:space="preserve">No documented workflow requires psql; allow-list test rejects a foreign source_system; retention job in monitor.</t>
  </si>
  <si>
    <t xml:space="preserve">CARRIED v22 M2-11</t>
  </si>
  <si>
    <t xml:space="preserve">M2-18</t>
  </si>
  <si>
    <t xml:space="preserve">One-command demo environment: Rebuild-PresentationDb.ps1 committed under scripts/demo/</t>
  </si>
  <si>
    <t xml:space="preserve">Senior rec 4: the presentation DB is a reproducible artifact, never truth. Consolidate this week's proven scripts (clone -&gt; restore -&gt; Rule-1 reapply -&gt; provenance neutralize -&gt; dashboards+widgets) into one committed, idempotent rebuild command with the snapshot as input fixture.</t>
  </si>
  <si>
    <t xml:space="preserve">From zero: one command rebuilds ppiq_presentation byte-equivalent in counts; README in scripts/demo/; snapshot location recorded.</t>
  </si>
  <si>
    <t xml:space="preserve">NEW 16-Jul (senior rec 4)</t>
  </si>
  <si>
    <t xml:space="preserve">M2-19</t>
  </si>
  <si>
    <t xml:space="preserve">ppiq_acceptance_empty: third database + profile + Rule-2 acceptance run</t>
  </si>
  <si>
    <t xml:space="preserve">Infra</t>
  </si>
  <si>
    <t xml:space="preserve">Senior rec 3: 'starts empty' is untestable without a permanently-empty instance. Create DB + profile; the Rule-2 acceptance (fresh install shows zero content everywhere) runs against it in CI cadence.</t>
  </si>
  <si>
    <t xml:space="preserve">Profile works; acceptance walk on the empty DB shows zero demo content on every surface; documented in Identity &amp; Topology.</t>
  </si>
  <si>
    <t xml:space="preserve">NEW 16-Jul (senior rec 3)</t>
  </si>
  <si>
    <t xml:space="preserve">M2-20</t>
  </si>
  <si>
    <t xml:space="preserve">M2-P3</t>
  </si>
  <si>
    <t xml:space="preserve">Eradication epic: every Rule-1-violating installer/endpoint/page out of the product</t>
  </si>
  <si>
    <t xml:space="preserve">Consolidates old M1-07 residue + the standing list: TwoStageImportEndpoints.cs, CustomerDemoReportEndpoints.cs, /demo* routes, installer scripts 110/111/140/142/665 + seed/ violations on fresh install, 4 unrouted pages, drifted duplicate scanners, MaskSecrets default.</t>
  </si>
  <si>
    <t xml:space="preserve">Fresh install on ppiq_acceptance_empty is 100% generic; grep gates clean; endpoints absent from Swagger.</t>
  </si>
  <si>
    <t xml:space="preserve">REWRITE v22 M1-07 residue + eradication list</t>
  </si>
  <si>
    <t xml:space="preserve">M2-21</t>
  </si>
  <si>
    <t xml:space="preserve">Journey certification suite completion: backend contracts hardened, MSW fixture layer, Playwright specs green, skippables mandatory</t>
  </si>
  <si>
    <t xml:space="preserve">tests</t>
  </si>
  <si>
    <t xml:space="preserve">The adopted framework's test expansion, P1 slice: the 3 backend contract suites to green against real contracts, a real MSW fixture layer, the 2 journey Playwright specs passing in CI, SkippableFacts converted (live-Postgres path in CI), test isolation via PPIQ_TEST_PG_CONNSTRING.</t>
  </si>
  <si>
    <t xml:space="preserve">test:journey:* all green in CI; skipped count = 0 for critical suites; Phase3GoldenThread isolated from dev DB.</t>
  </si>
  <si>
    <t xml:space="preserve">NEW 15-Jul (certification framework P1)</t>
  </si>
  <si>
    <t xml:space="preserve">M2-13</t>
  </si>
  <si>
    <t xml:space="preserve">CI truth gates + test debt: same-table CREATE gate, seed NOT-NULL gate, register/const/binding tests</t>
  </si>
  <si>
    <t xml:space="preserve">The two deferred gates plus uncovered seams (register upsert, const: branch, execute query-binding, AddAssistant guard + factory tests).</t>
  </si>
  <si>
    <t xml:space="preserve">All gates red on injected violations, green on main; new tests in CI.</t>
  </si>
  <si>
    <t xml:space="preserve">CARRIED v22 M2-13</t>
  </si>
  <si>
    <t xml:space="preserve">M2-14</t>
  </si>
  <si>
    <t xml:space="preserve">Journey UX hardening: mapping surfaces renamed by outcome, i18n/RTL verified, widget lite-SQL click-tools</t>
  </si>
  <si>
    <t xml:space="preserve">'Prepare views' vs 'Load to plant data' naming; real Arabic RTL pass; group-by/filter click-builders in the widget wizard. (Progress guide DONE as M1-17 - clause removed.)</t>
  </si>
  <si>
    <t xml:space="preserve">New-user walk without verbal guidance reaches step 10; RTL screenshots approved.</t>
  </si>
  <si>
    <t xml:space="preserve">REWRITE v22 M2-14 (6h; M1-17 clause done)</t>
  </si>
  <si>
    <t xml:space="preserve">M2-15</t>
  </si>
  <si>
    <t xml:space="preserve">Ops/security residue: secrets story, mail/Spamhaus remediation, backend mojibake, phase-dir renames</t>
  </si>
  <si>
    <t xml:space="preserve">Ops</t>
  </si>
  <si>
    <t xml:space="preserve">Src-tree mojibake DONE 16-Jul (gate green); remaining: 6 backend .cs files, Phase8/9 dir renames, SPF/DKIM/PTR + relay 587, secrets manager pattern.</t>
  </si>
  <si>
    <t xml:space="preserve">Deliverability test passes; noMojibake backend list empty; grep clean on phase tokens; no plaintext secrets.</t>
  </si>
  <si>
    <t xml:space="preserve">REWRITE v22 M2-15 (4h; src mojibake done)</t>
  </si>
  <si>
    <t xml:space="preserve">M2-22</t>
  </si>
  <si>
    <t xml:space="preserve">UI debt burn-down wave 1: ratchet 161/112 -&gt; demo-path zero</t>
  </si>
  <si>
    <t xml:space="preserve">Frozen debt under the monotonic ratchet: AdminDbConfigurationTab (18), AnalysisJobConfigPage (18+25), widget-builder (20), Alerting (10), ImportPrep (9+13) converted to Standard* primitives; baseline lowered accordingly.</t>
  </si>
  <si>
    <t xml:space="preserve">Ratchet baseline reduced by &gt;=100 D1; demo-path pages at 0 raw controls; suite green.</t>
  </si>
  <si>
    <t xml:space="preserve">NEW 15-Jul (conformance scan)</t>
  </si>
  <si>
    <t xml:space="preserve">M2-23</t>
  </si>
  <si>
    <t xml:space="preserve">Purge the 5 provenance-NULL units in ppiq_app + root-cause note</t>
  </si>
  <si>
    <t xml:space="preserve">Data</t>
  </si>
  <si>
    <t xml:space="preserve">The dev DB's only Rule-2 breach (certifier catch): five units with NULL source_system/source_record_id, created outside the import path. Identify origin, delete, note the seam.</t>
  </si>
  <si>
    <t xml:space="preserve">Certifier S06 nullProv=0 on ppiq_app; origin documented.</t>
  </si>
  <si>
    <t xml:space="preserve">NEW 16-Jul (defect #5)</t>
  </si>
  <si>
    <t xml:space="preserve">M2-24</t>
  </si>
  <si>
    <t xml:space="preserve">Register page final step: explicit job binding (from-mapping + schedule-now)</t>
  </si>
  <si>
    <t xml:space="preserve">Small remainder: wire the page's final step to import-jobs/from-mapping + schedule-now (register already schedules implicitly).</t>
  </si>
  <si>
    <t xml:space="preserve">Clicking finish shows the scheduled job and next-run time.</t>
  </si>
  <si>
    <t xml:space="preserve">MOVED from v22 M1-16 (senior rec 17: not demo-critical)</t>
  </si>
  <si>
    <t xml:space="preserve">M3-01</t>
  </si>
  <si>
    <t xml:space="preserve">M3</t>
  </si>
  <si>
    <t xml:space="preserve">M3-P1</t>
  </si>
  <si>
    <t xml:space="preserve">G5 Feedback</t>
  </si>
  <si>
    <t xml:space="preserve">Customer-comment intake from the meeting: log, triage, re-prioritize M3</t>
  </si>
  <si>
    <t xml:space="preserve">Every comment becomes a numbered row with severity and owner; M3 scope finalized within 48h of the meeting.</t>
  </si>
  <si>
    <t xml:space="preserve">Comment log committed; M3 plan v1 published.</t>
  </si>
  <si>
    <t xml:space="preserve">CARRIED v22 M3-01</t>
  </si>
  <si>
    <t xml:space="preserve">M3-02</t>
  </si>
  <si>
    <t xml:space="preserve">Visual mapper polish + mapping templates library</t>
  </si>
  <si>
    <t xml:space="preserve">Drag-drop field mapping, per-industry starter templates shipped as emulation fixtures (never code branches).</t>
  </si>
  <si>
    <t xml:space="preserve">A new industry source mapped from a template in &lt;10 min by a non-developer.</t>
  </si>
  <si>
    <t xml:space="preserve">CARRIED v22 M3-02</t>
  </si>
  <si>
    <t xml:space="preserve">M3-03</t>
  </si>
  <si>
    <t xml:space="preserve">3rd UI drag-and-drop analysis toolbox</t>
  </si>
  <si>
    <t xml:space="preserve">Draggable method/parameter components over the M2 method registry; saved analyses shareable; conforms to Amendment 7 workspace primitives.</t>
  </si>
  <si>
    <t xml:space="preserve">User composes a two-method analysis by drag-drop; result matches scripted equivalent; doctrine gate green.</t>
  </si>
  <si>
    <t xml:space="preserve">REWRITE v22 M3-03 (doctrine ref added)</t>
  </si>
  <si>
    <t xml:space="preserve">M3-04</t>
  </si>
  <si>
    <t xml:space="preserve">Large-profile scale: analytics read replica, partition automation, load test at 60M obs/yr</t>
  </si>
  <si>
    <t xml:space="preserve">Per sizing model v1 Large row; automated partition creation; correlation on replica.</t>
  </si>
  <si>
    <t xml:space="preserve">Synthetic Large load meets documented latency budgets.</t>
  </si>
  <si>
    <t xml:space="preserve">CARRIED v22 M3-04</t>
  </si>
  <si>
    <t xml:space="preserve">M3-05</t>
  </si>
  <si>
    <t xml:space="preserve">Connector expansion per customer landscape (files/API/historians as required)</t>
  </si>
  <si>
    <t xml:space="preserve">Scoped from customer comments: CSV/file drop, REST, OPC-UA historian - each as a new IDataSourceReader family, zero core changes.</t>
  </si>
  <si>
    <t xml:space="preserve">New connector imports through the unchanged pipeline.</t>
  </si>
  <si>
    <t xml:space="preserve">CARRIED v22 M3-05</t>
  </si>
  <si>
    <t xml:space="preserve">M3-06</t>
  </si>
  <si>
    <t xml:space="preserve">G13 Deploy</t>
  </si>
  <si>
    <t xml:space="preserve">HA + multi-plant deployment hardening</t>
  </si>
  <si>
    <t xml:space="preserve">Deploy</t>
  </si>
  <si>
    <t xml:space="preserve">Failover story, per-plant isolation review, installer runbook (sysadmin auto-provision, Customer Admin manual per Golden Rule).</t>
  </si>
  <si>
    <t xml:space="preserve">Documented install executes on a clean VM end-to-end.</t>
  </si>
  <si>
    <t xml:space="preserve">CARRIED v22 M3-06</t>
  </si>
  <si>
    <t xml:space="preserve">PHASE SUMMARY - PPIQ Backlog v23 (formulas over the Backlog sheet)</t>
  </si>
  <si>
    <t xml:space="preserve">Tasks</t>
  </si>
  <si>
    <t xml:space="preserve">Hours</t>
  </si>
  <si>
    <t xml:space="preserve">M1 TOTAL</t>
  </si>
  <si>
    <t xml:space="preserve">M2 TOTAL</t>
  </si>
  <si>
    <t xml:space="preserve">M3 TOTAL</t>
  </si>
  <si>
    <t xml:space="preserve">GRAND TOTAL</t>
  </si>
  <si>
    <t xml:space="preserve">REMOVED FROM v22 - traceability (nothing silently deleted)</t>
  </si>
  <si>
    <t xml:space="preserve">v22 ID</t>
  </si>
  <si>
    <t xml:space="preserve">Disposition</t>
  </si>
  <si>
    <t xml:space="preserve">Task</t>
  </si>
  <si>
    <t xml:space="preserve">Evidence / destination</t>
  </si>
  <si>
    <t xml:space="preserve">M1-04</t>
  </si>
  <si>
    <t xml:space="preserve">DONE</t>
  </si>
  <si>
    <t xml:space="preserve">Step-4 mapping UI authors MappingDefinition through the HMI</t>
  </si>
  <si>
    <t xml:space="preserve">Proven in walk + certification tests (failedRows contract fixed 16-Jul). Evidence: walk doc [V] rows; suite green.</t>
  </si>
  <si>
    <t xml:space="preserve">M1-10</t>
  </si>
  <si>
    <t xml:space="preserve">Production error shape (no stack traces to clients)</t>
  </si>
  <si>
    <t xml:space="preserve">Walk P6/P10 verify the {title,errorCode,traceId} shape live [V].</t>
  </si>
  <si>
    <t xml:space="preserve">M1-13</t>
  </si>
  <si>
    <t xml:space="preserve">ppiq.ps1 API readiness poll</t>
  </si>
  <si>
    <t xml:space="preserve">Walk P2 cites the M1-13 line as live [V].</t>
  </si>
  <si>
    <t xml:space="preserve">M1-17</t>
  </si>
  <si>
    <t xml:space="preserve">Journey progress rail (step X of 15)</t>
  </si>
  <si>
    <t xml:space="preserve">Rail live in 16-Jul screenshots; certification test green; stale old test removal = new M1-25.</t>
  </si>
  <si>
    <t xml:space="preserve">M1-07</t>
  </si>
  <si>
    <t xml:space="preserve">DONE (frontend)</t>
  </si>
  <si>
    <t xml:space="preserve">Arch-B frontend removal</t>
  </si>
  <si>
    <t xml:space="preserve">Two-Stage ghost card excised 15-Jul (SHA-confirmed). Backend residue folded into M2-20 eradication epic.</t>
  </si>
  <si>
    <t xml:space="preserve">M1-02</t>
  </si>
  <si>
    <t xml:space="preserve">MERGED</t>
  </si>
  <si>
    <t xml:space="preserve">Jobs Monitor four job types honest</t>
  </si>
  <si>
    <t xml:space="preserve">Merged into M1-11 evidence-graded certification (one browser pass, one checklist).</t>
  </si>
  <si>
    <t xml:space="preserve">M1-08</t>
  </si>
  <si>
    <t xml:space="preserve">SUPERSEDED</t>
  </si>
  <si>
    <t xml:space="preserve">Purge + re-import into ppiq_app</t>
  </si>
  <si>
    <t xml:space="preserve">Purge done 14-Jul. Re-import superseded by M1-20 golden chain into ppiq_presentation (strategy: senior recs 2,3).</t>
  </si>
  <si>
    <t xml:space="preserve">M1-16</t>
  </si>
  <si>
    <t xml:space="preserve">MOVED</t>
  </si>
  <si>
    <t xml:space="preserve">Register page explicit job binding</t>
  </si>
  <si>
    <t xml:space="preserve">Not customer-critical (senior rec 17). Now M2-24.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</si>
</sst>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8BDF8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sz val="10"/>
      <color rgb="FFE6EDF3"/>
      <name val="Arial"/>
      <family val="0"/>
      <charset val="1"/>
    </font>
    <font>
      <b val="true"/>
      <sz val="10"/>
      <color rgb="FFF8717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3D"/>
        <bgColor rgb="FF111C2A"/>
      </patternFill>
    </fill>
    <fill>
      <patternFill patternType="solid">
        <fgColor rgb="FF111C2A"/>
        <bgColor rgb="FF0E1621"/>
      </patternFill>
    </fill>
    <fill>
      <patternFill patternType="solid">
        <fgColor rgb="FF0E1621"/>
        <bgColor rgb="FF111C2A"/>
      </patternFill>
    </fill>
    <fill>
      <patternFill patternType="solid">
        <fgColor rgb="FF1E3A5F"/>
        <bgColor rgb="FF1B2A3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E3A5F"/>
      </left>
      <right/>
      <top style="thin">
        <color rgb="FF1E3A5F"/>
      </top>
      <bottom style="thin">
        <color rgb="FF1E3A5F"/>
      </bottom>
      <diagonal/>
    </border>
    <border diagonalUp="false" diagonalDown="false"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E1621"/>
          <bgColor rgb="FF000000"/>
        </patternFill>
      </fill>
    </dxf>
    <dxf>
      <fill>
        <patternFill patternType="solid">
          <fgColor rgb="FF111C2A"/>
          <bgColor rgb="FF000000"/>
        </patternFill>
      </fill>
    </dxf>
    <dxf>
      <fill>
        <patternFill patternType="solid">
          <fgColor rgb="FF1B2A3D"/>
          <bgColor rgb="FF000000"/>
        </patternFill>
      </fill>
    </dxf>
    <dxf>
      <fill>
        <patternFill patternType="solid">
          <fgColor rgb="FF38BDF8"/>
          <bgColor rgb="FF000000"/>
        </patternFill>
      </fill>
    </dxf>
    <dxf>
      <fill>
        <patternFill patternType="solid">
          <fgColor rgb="FFE6EDF3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A78BFA"/>
          <bgColor rgb="FF000000"/>
        </patternFill>
      </fill>
    </dxf>
    <dxf>
      <fill>
        <patternFill patternType="solid">
          <fgColor rgb="FF34D399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8717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E6EDF3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F59E0B"/>
      <rgbColor rgb="FFFF6600"/>
      <rgbColor rgb="FF64748B"/>
      <rgbColor rgb="FF969696"/>
      <rgbColor rgb="FF1E3A5F"/>
      <rgbColor rgb="FF339966"/>
      <rgbColor rgb="FF111C2A"/>
      <rgbColor rgb="FF0E1621"/>
      <rgbColor rgb="FF993300"/>
      <rgbColor rgb="FF993366"/>
      <rgbColor rgb="FF333399"/>
      <rgbColor rgb="FF1B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L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62"/>
    <col collapsed="false" customWidth="true" hidden="false" outlineLevel="0" max="10" min="10" style="0" width="50"/>
    <col collapsed="false" customWidth="true" hidden="false" outlineLevel="0" max="11" min="11" style="0" width="7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68.65" hidden="false" customHeight="false" outlineLevel="0" collapsed="false">
      <c r="A3" s="3" t="s">
        <v>13</v>
      </c>
      <c r="B3" s="4" t="s">
        <v>14</v>
      </c>
      <c r="C3" s="3" t="s">
        <v>15</v>
      </c>
      <c r="D3" s="3" t="s">
        <v>16</v>
      </c>
      <c r="E3" s="3" t="s">
        <v>17</v>
      </c>
      <c r="F3" s="5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6" t="n">
        <v>1</v>
      </c>
      <c r="L3" s="3" t="s">
        <v>23</v>
      </c>
    </row>
    <row r="4" customFormat="false" ht="46.25" hidden="false" customHeight="false" outlineLevel="0" collapsed="false">
      <c r="A4" s="7" t="s">
        <v>24</v>
      </c>
      <c r="B4" s="8" t="s">
        <v>14</v>
      </c>
      <c r="C4" s="7" t="s">
        <v>15</v>
      </c>
      <c r="D4" s="7" t="s">
        <v>25</v>
      </c>
      <c r="E4" s="7" t="s">
        <v>26</v>
      </c>
      <c r="F4" s="9" t="s">
        <v>18</v>
      </c>
      <c r="G4" s="7" t="s">
        <v>27</v>
      </c>
      <c r="H4" s="7" t="s">
        <v>28</v>
      </c>
      <c r="I4" s="7" t="s">
        <v>29</v>
      </c>
      <c r="J4" s="7" t="s">
        <v>30</v>
      </c>
      <c r="K4" s="10" t="n">
        <v>0.5</v>
      </c>
      <c r="L4" s="7" t="s">
        <v>31</v>
      </c>
    </row>
    <row r="5" customFormat="false" ht="57.45" hidden="false" customHeight="false" outlineLevel="0" collapsed="false">
      <c r="A5" s="3" t="s">
        <v>32</v>
      </c>
      <c r="B5" s="4" t="s">
        <v>14</v>
      </c>
      <c r="C5" s="3" t="s">
        <v>15</v>
      </c>
      <c r="D5" s="3" t="s">
        <v>25</v>
      </c>
      <c r="E5" s="3" t="s">
        <v>33</v>
      </c>
      <c r="F5" s="5" t="s">
        <v>18</v>
      </c>
      <c r="G5" s="3" t="s">
        <v>34</v>
      </c>
      <c r="H5" s="3" t="s">
        <v>35</v>
      </c>
      <c r="I5" s="3" t="s">
        <v>36</v>
      </c>
      <c r="J5" s="3" t="s">
        <v>37</v>
      </c>
      <c r="K5" s="6" t="n">
        <v>6</v>
      </c>
      <c r="L5" s="3" t="s">
        <v>38</v>
      </c>
    </row>
    <row r="6" customFormat="false" ht="68.65" hidden="false" customHeight="false" outlineLevel="0" collapsed="false">
      <c r="A6" s="7" t="s">
        <v>39</v>
      </c>
      <c r="B6" s="8" t="s">
        <v>14</v>
      </c>
      <c r="C6" s="7" t="s">
        <v>15</v>
      </c>
      <c r="D6" s="7" t="s">
        <v>40</v>
      </c>
      <c r="E6" s="7" t="s">
        <v>41</v>
      </c>
      <c r="F6" s="9" t="s">
        <v>18</v>
      </c>
      <c r="G6" s="7" t="s">
        <v>34</v>
      </c>
      <c r="H6" s="7" t="s">
        <v>42</v>
      </c>
      <c r="I6" s="7" t="s">
        <v>43</v>
      </c>
      <c r="J6" s="7" t="s">
        <v>44</v>
      </c>
      <c r="K6" s="10" t="n">
        <v>3</v>
      </c>
      <c r="L6" s="7" t="s">
        <v>45</v>
      </c>
    </row>
    <row r="7" customFormat="false" ht="46.25" hidden="false" customHeight="false" outlineLevel="0" collapsed="false">
      <c r="A7" s="3" t="s">
        <v>46</v>
      </c>
      <c r="B7" s="4" t="s">
        <v>14</v>
      </c>
      <c r="C7" s="3" t="s">
        <v>15</v>
      </c>
      <c r="D7" s="3" t="s">
        <v>47</v>
      </c>
      <c r="E7" s="3" t="s">
        <v>48</v>
      </c>
      <c r="F7" s="5" t="s">
        <v>18</v>
      </c>
      <c r="G7" s="3" t="s">
        <v>49</v>
      </c>
      <c r="H7" s="3" t="s">
        <v>50</v>
      </c>
      <c r="I7" s="3" t="s">
        <v>51</v>
      </c>
      <c r="J7" s="3" t="s">
        <v>52</v>
      </c>
      <c r="K7" s="6" t="n">
        <v>3</v>
      </c>
      <c r="L7" s="3" t="s">
        <v>53</v>
      </c>
    </row>
    <row r="8" customFormat="false" ht="46.25" hidden="false" customHeight="false" outlineLevel="0" collapsed="false">
      <c r="A8" s="7" t="s">
        <v>54</v>
      </c>
      <c r="B8" s="8" t="s">
        <v>14</v>
      </c>
      <c r="C8" s="7" t="s">
        <v>15</v>
      </c>
      <c r="D8" s="7" t="s">
        <v>25</v>
      </c>
      <c r="E8" s="7" t="s">
        <v>55</v>
      </c>
      <c r="F8" s="11" t="s">
        <v>56</v>
      </c>
      <c r="G8" s="7" t="s">
        <v>49</v>
      </c>
      <c r="H8" s="7" t="s">
        <v>35</v>
      </c>
      <c r="I8" s="7" t="s">
        <v>57</v>
      </c>
      <c r="J8" s="7" t="s">
        <v>58</v>
      </c>
      <c r="K8" s="10" t="n">
        <v>2</v>
      </c>
      <c r="L8" s="7" t="s">
        <v>59</v>
      </c>
    </row>
    <row r="9" customFormat="false" ht="35.05" hidden="false" customHeight="false" outlineLevel="0" collapsed="false">
      <c r="A9" s="3" t="s">
        <v>60</v>
      </c>
      <c r="B9" s="4" t="s">
        <v>14</v>
      </c>
      <c r="C9" s="3" t="s">
        <v>15</v>
      </c>
      <c r="D9" s="3" t="s">
        <v>40</v>
      </c>
      <c r="E9" s="3" t="s">
        <v>61</v>
      </c>
      <c r="F9" s="12" t="s">
        <v>56</v>
      </c>
      <c r="G9" s="3" t="s">
        <v>62</v>
      </c>
      <c r="H9" s="3" t="s">
        <v>42</v>
      </c>
      <c r="I9" s="3" t="s">
        <v>63</v>
      </c>
      <c r="J9" s="3" t="s">
        <v>64</v>
      </c>
      <c r="K9" s="6" t="n">
        <v>2</v>
      </c>
      <c r="L9" s="3" t="s">
        <v>65</v>
      </c>
    </row>
    <row r="10" customFormat="false" ht="57.45" hidden="false" customHeight="false" outlineLevel="0" collapsed="false">
      <c r="A10" s="7" t="s">
        <v>66</v>
      </c>
      <c r="B10" s="8" t="s">
        <v>14</v>
      </c>
      <c r="C10" s="7" t="s">
        <v>15</v>
      </c>
      <c r="D10" s="7" t="s">
        <v>67</v>
      </c>
      <c r="E10" s="7" t="s">
        <v>68</v>
      </c>
      <c r="F10" s="9" t="s">
        <v>18</v>
      </c>
      <c r="G10" s="7" t="s">
        <v>27</v>
      </c>
      <c r="H10" s="7" t="s">
        <v>69</v>
      </c>
      <c r="I10" s="7" t="s">
        <v>70</v>
      </c>
      <c r="J10" s="7" t="s">
        <v>71</v>
      </c>
      <c r="K10" s="10" t="n">
        <v>2</v>
      </c>
      <c r="L10" s="7" t="s">
        <v>72</v>
      </c>
    </row>
    <row r="11" customFormat="false" ht="35.05" hidden="false" customHeight="false" outlineLevel="0" collapsed="false">
      <c r="A11" s="3" t="s">
        <v>73</v>
      </c>
      <c r="B11" s="4" t="s">
        <v>14</v>
      </c>
      <c r="C11" s="3" t="s">
        <v>74</v>
      </c>
      <c r="D11" s="3" t="s">
        <v>67</v>
      </c>
      <c r="E11" s="3" t="s">
        <v>75</v>
      </c>
      <c r="F11" s="12" t="s">
        <v>56</v>
      </c>
      <c r="G11" s="3" t="s">
        <v>27</v>
      </c>
      <c r="H11" s="3" t="s">
        <v>69</v>
      </c>
      <c r="I11" s="3" t="s">
        <v>76</v>
      </c>
      <c r="J11" s="3" t="s">
        <v>77</v>
      </c>
      <c r="K11" s="6" t="n">
        <v>2</v>
      </c>
      <c r="L11" s="3" t="s">
        <v>78</v>
      </c>
    </row>
    <row r="12" customFormat="false" ht="57.45" hidden="false" customHeight="false" outlineLevel="0" collapsed="false">
      <c r="A12" s="7" t="s">
        <v>79</v>
      </c>
      <c r="B12" s="8" t="s">
        <v>14</v>
      </c>
      <c r="C12" s="7" t="s">
        <v>74</v>
      </c>
      <c r="D12" s="7" t="s">
        <v>80</v>
      </c>
      <c r="E12" s="7" t="s">
        <v>81</v>
      </c>
      <c r="F12" s="9" t="s">
        <v>18</v>
      </c>
      <c r="G12" s="7" t="s">
        <v>49</v>
      </c>
      <c r="H12" s="7" t="s">
        <v>82</v>
      </c>
      <c r="I12" s="7" t="s">
        <v>83</v>
      </c>
      <c r="J12" s="7" t="s">
        <v>84</v>
      </c>
      <c r="K12" s="10" t="n">
        <v>4</v>
      </c>
      <c r="L12" s="7" t="s">
        <v>85</v>
      </c>
    </row>
    <row r="13" customFormat="false" ht="46.25" hidden="false" customHeight="false" outlineLevel="0" collapsed="false">
      <c r="A13" s="3" t="s">
        <v>86</v>
      </c>
      <c r="B13" s="4" t="s">
        <v>14</v>
      </c>
      <c r="C13" s="3" t="s">
        <v>74</v>
      </c>
      <c r="D13" s="3" t="s">
        <v>87</v>
      </c>
      <c r="E13" s="3" t="s">
        <v>88</v>
      </c>
      <c r="F13" s="12" t="s">
        <v>56</v>
      </c>
      <c r="G13" s="3" t="s">
        <v>89</v>
      </c>
      <c r="H13" s="3" t="s">
        <v>69</v>
      </c>
      <c r="I13" s="3" t="s">
        <v>90</v>
      </c>
      <c r="J13" s="3" t="s">
        <v>91</v>
      </c>
      <c r="K13" s="6" t="n">
        <v>1</v>
      </c>
      <c r="L13" s="3" t="s">
        <v>92</v>
      </c>
    </row>
    <row r="14" customFormat="false" ht="35.05" hidden="false" customHeight="false" outlineLevel="0" collapsed="false">
      <c r="A14" s="7" t="s">
        <v>93</v>
      </c>
      <c r="B14" s="8" t="s">
        <v>14</v>
      </c>
      <c r="C14" s="7" t="s">
        <v>74</v>
      </c>
      <c r="D14" s="7" t="s">
        <v>87</v>
      </c>
      <c r="E14" s="7" t="s">
        <v>94</v>
      </c>
      <c r="F14" s="13" t="s">
        <v>95</v>
      </c>
      <c r="G14" s="7" t="s">
        <v>96</v>
      </c>
      <c r="H14" s="7" t="s">
        <v>97</v>
      </c>
      <c r="I14" s="7" t="s">
        <v>98</v>
      </c>
      <c r="J14" s="7" t="s">
        <v>99</v>
      </c>
      <c r="K14" s="10" t="n">
        <v>0.5</v>
      </c>
      <c r="L14" s="7" t="s">
        <v>100</v>
      </c>
    </row>
    <row r="15" customFormat="false" ht="46.25" hidden="false" customHeight="false" outlineLevel="0" collapsed="false">
      <c r="A15" s="3" t="s">
        <v>101</v>
      </c>
      <c r="B15" s="4" t="s">
        <v>14</v>
      </c>
      <c r="C15" s="3" t="s">
        <v>74</v>
      </c>
      <c r="D15" s="3" t="s">
        <v>87</v>
      </c>
      <c r="E15" s="3" t="s">
        <v>102</v>
      </c>
      <c r="F15" s="14" t="s">
        <v>95</v>
      </c>
      <c r="G15" s="3" t="s">
        <v>103</v>
      </c>
      <c r="H15" s="3" t="s">
        <v>104</v>
      </c>
      <c r="I15" s="3" t="s">
        <v>105</v>
      </c>
      <c r="J15" s="3" t="s">
        <v>106</v>
      </c>
      <c r="K15" s="6" t="n">
        <v>1</v>
      </c>
      <c r="L15" s="3" t="s">
        <v>107</v>
      </c>
    </row>
    <row r="16" customFormat="false" ht="46.25" hidden="false" customHeight="false" outlineLevel="0" collapsed="false">
      <c r="A16" s="7" t="s">
        <v>108</v>
      </c>
      <c r="B16" s="8" t="s">
        <v>14</v>
      </c>
      <c r="C16" s="7" t="s">
        <v>74</v>
      </c>
      <c r="D16" s="7" t="s">
        <v>16</v>
      </c>
      <c r="E16" s="7" t="s">
        <v>109</v>
      </c>
      <c r="F16" s="9" t="s">
        <v>18</v>
      </c>
      <c r="G16" s="7" t="s">
        <v>19</v>
      </c>
      <c r="H16" s="7" t="s">
        <v>110</v>
      </c>
      <c r="I16" s="7" t="s">
        <v>111</v>
      </c>
      <c r="J16" s="7" t="s">
        <v>112</v>
      </c>
      <c r="K16" s="10" t="n">
        <v>1</v>
      </c>
      <c r="L16" s="7" t="s">
        <v>113</v>
      </c>
    </row>
    <row r="17" customFormat="false" ht="35.05" hidden="false" customHeight="false" outlineLevel="0" collapsed="false">
      <c r="A17" s="3" t="s">
        <v>114</v>
      </c>
      <c r="B17" s="4" t="s">
        <v>14</v>
      </c>
      <c r="C17" s="3" t="s">
        <v>74</v>
      </c>
      <c r="D17" s="3" t="s">
        <v>67</v>
      </c>
      <c r="E17" s="3" t="s">
        <v>115</v>
      </c>
      <c r="F17" s="12" t="s">
        <v>56</v>
      </c>
      <c r="G17" s="3" t="s">
        <v>49</v>
      </c>
      <c r="H17" s="3" t="s">
        <v>69</v>
      </c>
      <c r="I17" s="3" t="s">
        <v>116</v>
      </c>
      <c r="J17" s="3" t="s">
        <v>117</v>
      </c>
      <c r="K17" s="6" t="n">
        <v>1.5</v>
      </c>
      <c r="L17" s="3" t="s">
        <v>118</v>
      </c>
    </row>
    <row r="18" customFormat="false" ht="46.25" hidden="false" customHeight="false" outlineLevel="0" collapsed="false">
      <c r="A18" s="7" t="s">
        <v>119</v>
      </c>
      <c r="B18" s="8" t="s">
        <v>14</v>
      </c>
      <c r="C18" s="7" t="s">
        <v>74</v>
      </c>
      <c r="D18" s="7" t="s">
        <v>40</v>
      </c>
      <c r="E18" s="7" t="s">
        <v>120</v>
      </c>
      <c r="F18" s="11" t="s">
        <v>56</v>
      </c>
      <c r="G18" s="7" t="s">
        <v>49</v>
      </c>
      <c r="H18" s="7" t="s">
        <v>42</v>
      </c>
      <c r="I18" s="7" t="s">
        <v>121</v>
      </c>
      <c r="J18" s="7" t="s">
        <v>122</v>
      </c>
      <c r="K18" s="10" t="n">
        <v>3</v>
      </c>
      <c r="L18" s="7" t="s">
        <v>123</v>
      </c>
    </row>
    <row r="19" customFormat="false" ht="35.05" hidden="false" customHeight="false" outlineLevel="0" collapsed="false">
      <c r="A19" s="3" t="s">
        <v>124</v>
      </c>
      <c r="B19" s="4" t="s">
        <v>14</v>
      </c>
      <c r="C19" s="3" t="s">
        <v>74</v>
      </c>
      <c r="D19" s="3" t="s">
        <v>80</v>
      </c>
      <c r="E19" s="3" t="s">
        <v>125</v>
      </c>
      <c r="F19" s="5" t="s">
        <v>18</v>
      </c>
      <c r="G19" s="3" t="s">
        <v>34</v>
      </c>
      <c r="H19" s="3" t="s">
        <v>82</v>
      </c>
      <c r="I19" s="3" t="s">
        <v>126</v>
      </c>
      <c r="J19" s="3" t="s">
        <v>127</v>
      </c>
      <c r="K19" s="6" t="n">
        <v>3</v>
      </c>
      <c r="L19" s="3" t="s">
        <v>128</v>
      </c>
    </row>
    <row r="20" customFormat="false" ht="46.25" hidden="false" customHeight="false" outlineLevel="0" collapsed="false">
      <c r="A20" s="7" t="s">
        <v>129</v>
      </c>
      <c r="B20" s="8" t="s">
        <v>14</v>
      </c>
      <c r="C20" s="7" t="s">
        <v>74</v>
      </c>
      <c r="D20" s="7" t="s">
        <v>130</v>
      </c>
      <c r="E20" s="7" t="s">
        <v>131</v>
      </c>
      <c r="F20" s="9" t="s">
        <v>18</v>
      </c>
      <c r="G20" s="7" t="s">
        <v>132</v>
      </c>
      <c r="H20" s="7" t="s">
        <v>133</v>
      </c>
      <c r="I20" s="7" t="s">
        <v>134</v>
      </c>
      <c r="J20" s="7" t="s">
        <v>135</v>
      </c>
      <c r="K20" s="10" t="n">
        <v>4</v>
      </c>
      <c r="L20" s="7" t="s">
        <v>136</v>
      </c>
    </row>
    <row r="21" customFormat="false" ht="46.25" hidden="false" customHeight="false" outlineLevel="0" collapsed="false">
      <c r="A21" s="3" t="s">
        <v>137</v>
      </c>
      <c r="B21" s="15" t="s">
        <v>138</v>
      </c>
      <c r="C21" s="3" t="s">
        <v>139</v>
      </c>
      <c r="D21" s="3" t="s">
        <v>40</v>
      </c>
      <c r="E21" s="3" t="s">
        <v>140</v>
      </c>
      <c r="F21" s="5" t="s">
        <v>18</v>
      </c>
      <c r="G21" s="3" t="s">
        <v>141</v>
      </c>
      <c r="H21" s="3" t="s">
        <v>42</v>
      </c>
      <c r="I21" s="3" t="s">
        <v>142</v>
      </c>
      <c r="J21" s="3" t="s">
        <v>143</v>
      </c>
      <c r="K21" s="6" t="n">
        <v>16</v>
      </c>
      <c r="L21" s="3" t="s">
        <v>144</v>
      </c>
    </row>
    <row r="22" customFormat="false" ht="35.05" hidden="false" customHeight="false" outlineLevel="0" collapsed="false">
      <c r="A22" s="7" t="s">
        <v>145</v>
      </c>
      <c r="B22" s="16" t="s">
        <v>138</v>
      </c>
      <c r="C22" s="7" t="s">
        <v>139</v>
      </c>
      <c r="D22" s="7" t="s">
        <v>47</v>
      </c>
      <c r="E22" s="7" t="s">
        <v>146</v>
      </c>
      <c r="F22" s="9" t="s">
        <v>18</v>
      </c>
      <c r="G22" s="7" t="s">
        <v>141</v>
      </c>
      <c r="H22" s="7" t="s">
        <v>50</v>
      </c>
      <c r="I22" s="7" t="s">
        <v>147</v>
      </c>
      <c r="J22" s="7" t="s">
        <v>148</v>
      </c>
      <c r="K22" s="10" t="n">
        <v>10</v>
      </c>
      <c r="L22" s="7" t="s">
        <v>149</v>
      </c>
    </row>
    <row r="23" customFormat="false" ht="35.05" hidden="false" customHeight="false" outlineLevel="0" collapsed="false">
      <c r="A23" s="3" t="s">
        <v>150</v>
      </c>
      <c r="B23" s="15" t="s">
        <v>138</v>
      </c>
      <c r="C23" s="3" t="s">
        <v>139</v>
      </c>
      <c r="D23" s="3" t="s">
        <v>16</v>
      </c>
      <c r="E23" s="3" t="s">
        <v>151</v>
      </c>
      <c r="F23" s="5" t="s">
        <v>18</v>
      </c>
      <c r="G23" s="3" t="s">
        <v>141</v>
      </c>
      <c r="H23" s="3" t="s">
        <v>152</v>
      </c>
      <c r="I23" s="3" t="s">
        <v>153</v>
      </c>
      <c r="J23" s="3" t="s">
        <v>154</v>
      </c>
      <c r="K23" s="6" t="n">
        <v>12</v>
      </c>
      <c r="L23" s="3" t="s">
        <v>155</v>
      </c>
    </row>
    <row r="24" customFormat="false" ht="35.05" hidden="false" customHeight="false" outlineLevel="0" collapsed="false">
      <c r="A24" s="7" t="s">
        <v>156</v>
      </c>
      <c r="B24" s="16" t="s">
        <v>138</v>
      </c>
      <c r="C24" s="7" t="s">
        <v>139</v>
      </c>
      <c r="D24" s="7" t="s">
        <v>40</v>
      </c>
      <c r="E24" s="7" t="s">
        <v>157</v>
      </c>
      <c r="F24" s="9" t="s">
        <v>18</v>
      </c>
      <c r="G24" s="7" t="s">
        <v>141</v>
      </c>
      <c r="H24" s="7" t="s">
        <v>42</v>
      </c>
      <c r="I24" s="7" t="s">
        <v>158</v>
      </c>
      <c r="J24" s="7" t="s">
        <v>159</v>
      </c>
      <c r="K24" s="10" t="n">
        <v>10</v>
      </c>
      <c r="L24" s="7" t="s">
        <v>160</v>
      </c>
    </row>
    <row r="25" customFormat="false" ht="23.85" hidden="false" customHeight="false" outlineLevel="0" collapsed="false">
      <c r="A25" s="3" t="s">
        <v>161</v>
      </c>
      <c r="B25" s="15" t="s">
        <v>138</v>
      </c>
      <c r="C25" s="3" t="s">
        <v>139</v>
      </c>
      <c r="D25" s="3" t="s">
        <v>162</v>
      </c>
      <c r="E25" s="3" t="s">
        <v>163</v>
      </c>
      <c r="F25" s="5" t="s">
        <v>18</v>
      </c>
      <c r="G25" s="3" t="s">
        <v>141</v>
      </c>
      <c r="H25" s="3" t="s">
        <v>69</v>
      </c>
      <c r="I25" s="3" t="s">
        <v>164</v>
      </c>
      <c r="J25" s="3" t="s">
        <v>165</v>
      </c>
      <c r="K25" s="6" t="n">
        <v>12</v>
      </c>
      <c r="L25" s="3" t="s">
        <v>166</v>
      </c>
    </row>
    <row r="26" customFormat="false" ht="23.85" hidden="false" customHeight="false" outlineLevel="0" collapsed="false">
      <c r="A26" s="7" t="s">
        <v>167</v>
      </c>
      <c r="B26" s="16" t="s">
        <v>138</v>
      </c>
      <c r="C26" s="7" t="s">
        <v>139</v>
      </c>
      <c r="D26" s="7" t="s">
        <v>67</v>
      </c>
      <c r="E26" s="7" t="s">
        <v>168</v>
      </c>
      <c r="F26" s="9" t="s">
        <v>18</v>
      </c>
      <c r="G26" s="7" t="s">
        <v>141</v>
      </c>
      <c r="H26" s="7" t="s">
        <v>69</v>
      </c>
      <c r="I26" s="7" t="s">
        <v>169</v>
      </c>
      <c r="J26" s="7" t="s">
        <v>170</v>
      </c>
      <c r="K26" s="10" t="n">
        <v>12</v>
      </c>
      <c r="L26" s="7" t="s">
        <v>171</v>
      </c>
    </row>
    <row r="27" customFormat="false" ht="46.25" hidden="false" customHeight="false" outlineLevel="0" collapsed="false">
      <c r="A27" s="3" t="s">
        <v>172</v>
      </c>
      <c r="B27" s="15" t="s">
        <v>138</v>
      </c>
      <c r="C27" s="3" t="s">
        <v>139</v>
      </c>
      <c r="D27" s="3" t="s">
        <v>67</v>
      </c>
      <c r="E27" s="3" t="s">
        <v>173</v>
      </c>
      <c r="F27" s="5" t="s">
        <v>18</v>
      </c>
      <c r="G27" s="3" t="s">
        <v>141</v>
      </c>
      <c r="H27" s="3" t="s">
        <v>69</v>
      </c>
      <c r="I27" s="3" t="s">
        <v>174</v>
      </c>
      <c r="J27" s="3" t="s">
        <v>175</v>
      </c>
      <c r="K27" s="6" t="n">
        <v>24</v>
      </c>
      <c r="L27" s="3" t="s">
        <v>176</v>
      </c>
    </row>
    <row r="28" customFormat="false" ht="35.05" hidden="false" customHeight="false" outlineLevel="0" collapsed="false">
      <c r="A28" s="7" t="s">
        <v>177</v>
      </c>
      <c r="B28" s="16" t="s">
        <v>138</v>
      </c>
      <c r="C28" s="7" t="s">
        <v>139</v>
      </c>
      <c r="D28" s="7" t="s">
        <v>87</v>
      </c>
      <c r="E28" s="7" t="s">
        <v>178</v>
      </c>
      <c r="F28" s="9" t="s">
        <v>18</v>
      </c>
      <c r="G28" s="7" t="s">
        <v>19</v>
      </c>
      <c r="H28" s="7" t="s">
        <v>97</v>
      </c>
      <c r="I28" s="7" t="s">
        <v>179</v>
      </c>
      <c r="J28" s="7" t="s">
        <v>180</v>
      </c>
      <c r="K28" s="10" t="n">
        <v>6</v>
      </c>
      <c r="L28" s="7" t="s">
        <v>181</v>
      </c>
    </row>
    <row r="29" customFormat="false" ht="35.05" hidden="false" customHeight="false" outlineLevel="0" collapsed="false">
      <c r="A29" s="3" t="s">
        <v>182</v>
      </c>
      <c r="B29" s="15" t="s">
        <v>138</v>
      </c>
      <c r="C29" s="3" t="s">
        <v>183</v>
      </c>
      <c r="D29" s="3" t="s">
        <v>25</v>
      </c>
      <c r="E29" s="3" t="s">
        <v>184</v>
      </c>
      <c r="F29" s="12" t="s">
        <v>56</v>
      </c>
      <c r="G29" s="3" t="s">
        <v>62</v>
      </c>
      <c r="H29" s="3" t="s">
        <v>35</v>
      </c>
      <c r="I29" s="3" t="s">
        <v>185</v>
      </c>
      <c r="J29" s="3" t="s">
        <v>186</v>
      </c>
      <c r="K29" s="6" t="n">
        <v>5</v>
      </c>
      <c r="L29" s="3" t="s">
        <v>187</v>
      </c>
    </row>
    <row r="30" customFormat="false" ht="35.05" hidden="false" customHeight="false" outlineLevel="0" collapsed="false">
      <c r="A30" s="7" t="s">
        <v>188</v>
      </c>
      <c r="B30" s="16" t="s">
        <v>138</v>
      </c>
      <c r="C30" s="7" t="s">
        <v>183</v>
      </c>
      <c r="D30" s="7" t="s">
        <v>16</v>
      </c>
      <c r="E30" s="7" t="s">
        <v>189</v>
      </c>
      <c r="F30" s="9" t="s">
        <v>18</v>
      </c>
      <c r="G30" s="7" t="s">
        <v>190</v>
      </c>
      <c r="H30" s="7" t="s">
        <v>152</v>
      </c>
      <c r="I30" s="7" t="s">
        <v>191</v>
      </c>
      <c r="J30" s="7" t="s">
        <v>192</v>
      </c>
      <c r="K30" s="10" t="n">
        <v>10</v>
      </c>
      <c r="L30" s="7" t="s">
        <v>193</v>
      </c>
    </row>
    <row r="31" customFormat="false" ht="23.85" hidden="false" customHeight="false" outlineLevel="0" collapsed="false">
      <c r="A31" s="3" t="s">
        <v>194</v>
      </c>
      <c r="B31" s="15" t="s">
        <v>138</v>
      </c>
      <c r="C31" s="3" t="s">
        <v>183</v>
      </c>
      <c r="D31" s="3" t="s">
        <v>195</v>
      </c>
      <c r="E31" s="3" t="s">
        <v>196</v>
      </c>
      <c r="F31" s="5" t="s">
        <v>18</v>
      </c>
      <c r="G31" s="3" t="s">
        <v>197</v>
      </c>
      <c r="H31" s="3" t="s">
        <v>152</v>
      </c>
      <c r="I31" s="3" t="s">
        <v>198</v>
      </c>
      <c r="J31" s="3" t="s">
        <v>199</v>
      </c>
      <c r="K31" s="6" t="n">
        <v>8</v>
      </c>
      <c r="L31" s="3" t="s">
        <v>200</v>
      </c>
    </row>
    <row r="32" customFormat="false" ht="35.05" hidden="false" customHeight="false" outlineLevel="0" collapsed="false">
      <c r="A32" s="7" t="s">
        <v>201</v>
      </c>
      <c r="B32" s="16" t="s">
        <v>138</v>
      </c>
      <c r="C32" s="7" t="s">
        <v>183</v>
      </c>
      <c r="D32" s="7" t="s">
        <v>195</v>
      </c>
      <c r="E32" s="7" t="s">
        <v>202</v>
      </c>
      <c r="F32" s="9" t="s">
        <v>18</v>
      </c>
      <c r="G32" s="7" t="s">
        <v>197</v>
      </c>
      <c r="H32" s="7" t="s">
        <v>152</v>
      </c>
      <c r="I32" s="7" t="s">
        <v>203</v>
      </c>
      <c r="J32" s="7" t="s">
        <v>204</v>
      </c>
      <c r="K32" s="10" t="n">
        <v>5</v>
      </c>
      <c r="L32" s="7" t="s">
        <v>205</v>
      </c>
    </row>
    <row r="33" customFormat="false" ht="35.05" hidden="false" customHeight="false" outlineLevel="0" collapsed="false">
      <c r="A33" s="3" t="s">
        <v>206</v>
      </c>
      <c r="B33" s="15" t="s">
        <v>138</v>
      </c>
      <c r="C33" s="3" t="s">
        <v>183</v>
      </c>
      <c r="D33" s="3" t="s">
        <v>207</v>
      </c>
      <c r="E33" s="3" t="s">
        <v>208</v>
      </c>
      <c r="F33" s="12" t="s">
        <v>56</v>
      </c>
      <c r="G33" s="3" t="s">
        <v>19</v>
      </c>
      <c r="H33" s="3" t="s">
        <v>152</v>
      </c>
      <c r="I33" s="3" t="s">
        <v>209</v>
      </c>
      <c r="J33" s="3" t="s">
        <v>210</v>
      </c>
      <c r="K33" s="6" t="n">
        <v>5</v>
      </c>
      <c r="L33" s="3" t="s">
        <v>211</v>
      </c>
    </row>
    <row r="34" customFormat="false" ht="46.25" hidden="false" customHeight="false" outlineLevel="0" collapsed="false">
      <c r="A34" s="7" t="s">
        <v>212</v>
      </c>
      <c r="B34" s="16" t="s">
        <v>138</v>
      </c>
      <c r="C34" s="7" t="s">
        <v>183</v>
      </c>
      <c r="D34" s="7" t="s">
        <v>80</v>
      </c>
      <c r="E34" s="7" t="s">
        <v>213</v>
      </c>
      <c r="F34" s="11" t="s">
        <v>56</v>
      </c>
      <c r="G34" s="7" t="s">
        <v>103</v>
      </c>
      <c r="H34" s="7" t="s">
        <v>104</v>
      </c>
      <c r="I34" s="7" t="s">
        <v>214</v>
      </c>
      <c r="J34" s="7" t="s">
        <v>215</v>
      </c>
      <c r="K34" s="10" t="n">
        <v>4</v>
      </c>
      <c r="L34" s="7" t="s">
        <v>216</v>
      </c>
    </row>
    <row r="35" customFormat="false" ht="35.05" hidden="false" customHeight="false" outlineLevel="0" collapsed="false">
      <c r="A35" s="3" t="s">
        <v>217</v>
      </c>
      <c r="B35" s="15" t="s">
        <v>138</v>
      </c>
      <c r="C35" s="3" t="s">
        <v>183</v>
      </c>
      <c r="D35" s="3" t="s">
        <v>207</v>
      </c>
      <c r="E35" s="3" t="s">
        <v>218</v>
      </c>
      <c r="F35" s="12" t="s">
        <v>56</v>
      </c>
      <c r="G35" s="3" t="s">
        <v>19</v>
      </c>
      <c r="H35" s="3" t="s">
        <v>219</v>
      </c>
      <c r="I35" s="3" t="s">
        <v>220</v>
      </c>
      <c r="J35" s="3" t="s">
        <v>221</v>
      </c>
      <c r="K35" s="6" t="n">
        <v>1</v>
      </c>
      <c r="L35" s="3" t="s">
        <v>222</v>
      </c>
    </row>
    <row r="36" customFormat="false" ht="46.25" hidden="false" customHeight="false" outlineLevel="0" collapsed="false">
      <c r="A36" s="7" t="s">
        <v>223</v>
      </c>
      <c r="B36" s="16" t="s">
        <v>138</v>
      </c>
      <c r="C36" s="7" t="s">
        <v>224</v>
      </c>
      <c r="D36" s="7" t="s">
        <v>80</v>
      </c>
      <c r="E36" s="7" t="s">
        <v>225</v>
      </c>
      <c r="F36" s="9" t="s">
        <v>18</v>
      </c>
      <c r="G36" s="7" t="s">
        <v>96</v>
      </c>
      <c r="H36" s="7" t="s">
        <v>82</v>
      </c>
      <c r="I36" s="7" t="s">
        <v>226</v>
      </c>
      <c r="J36" s="7" t="s">
        <v>227</v>
      </c>
      <c r="K36" s="10" t="n">
        <v>8</v>
      </c>
      <c r="L36" s="7" t="s">
        <v>228</v>
      </c>
    </row>
    <row r="37" customFormat="false" ht="46.25" hidden="false" customHeight="false" outlineLevel="0" collapsed="false">
      <c r="A37" s="3" t="s">
        <v>229</v>
      </c>
      <c r="B37" s="15" t="s">
        <v>138</v>
      </c>
      <c r="C37" s="3" t="s">
        <v>224</v>
      </c>
      <c r="D37" s="3" t="s">
        <v>87</v>
      </c>
      <c r="E37" s="3" t="s">
        <v>230</v>
      </c>
      <c r="F37" s="12" t="s">
        <v>56</v>
      </c>
      <c r="G37" s="3" t="s">
        <v>231</v>
      </c>
      <c r="H37" s="3" t="s">
        <v>97</v>
      </c>
      <c r="I37" s="3" t="s">
        <v>232</v>
      </c>
      <c r="J37" s="3" t="s">
        <v>233</v>
      </c>
      <c r="K37" s="6" t="n">
        <v>12</v>
      </c>
      <c r="L37" s="3" t="s">
        <v>234</v>
      </c>
    </row>
    <row r="38" customFormat="false" ht="35.05" hidden="false" customHeight="false" outlineLevel="0" collapsed="false">
      <c r="A38" s="7" t="s">
        <v>235</v>
      </c>
      <c r="B38" s="16" t="s">
        <v>138</v>
      </c>
      <c r="C38" s="7" t="s">
        <v>224</v>
      </c>
      <c r="D38" s="7" t="s">
        <v>87</v>
      </c>
      <c r="E38" s="7" t="s">
        <v>236</v>
      </c>
      <c r="F38" s="11" t="s">
        <v>56</v>
      </c>
      <c r="G38" s="7" t="s">
        <v>231</v>
      </c>
      <c r="H38" s="7" t="s">
        <v>97</v>
      </c>
      <c r="I38" s="7" t="s">
        <v>237</v>
      </c>
      <c r="J38" s="7" t="s">
        <v>238</v>
      </c>
      <c r="K38" s="10" t="n">
        <v>6</v>
      </c>
      <c r="L38" s="7" t="s">
        <v>239</v>
      </c>
    </row>
    <row r="39" customFormat="false" ht="35.05" hidden="false" customHeight="false" outlineLevel="0" collapsed="false">
      <c r="A39" s="3" t="s">
        <v>240</v>
      </c>
      <c r="B39" s="15" t="s">
        <v>138</v>
      </c>
      <c r="C39" s="3" t="s">
        <v>224</v>
      </c>
      <c r="D39" s="3" t="s">
        <v>67</v>
      </c>
      <c r="E39" s="3" t="s">
        <v>241</v>
      </c>
      <c r="F39" s="12" t="s">
        <v>56</v>
      </c>
      <c r="G39" s="3" t="s">
        <v>62</v>
      </c>
      <c r="H39" s="3" t="s">
        <v>69</v>
      </c>
      <c r="I39" s="3" t="s">
        <v>242</v>
      </c>
      <c r="J39" s="3" t="s">
        <v>243</v>
      </c>
      <c r="K39" s="6" t="n">
        <v>5</v>
      </c>
      <c r="L39" s="3" t="s">
        <v>244</v>
      </c>
    </row>
    <row r="40" customFormat="false" ht="35.05" hidden="false" customHeight="false" outlineLevel="0" collapsed="false">
      <c r="A40" s="7" t="s">
        <v>245</v>
      </c>
      <c r="B40" s="16" t="s">
        <v>138</v>
      </c>
      <c r="C40" s="7" t="s">
        <v>224</v>
      </c>
      <c r="D40" s="7" t="s">
        <v>195</v>
      </c>
      <c r="E40" s="7" t="s">
        <v>246</v>
      </c>
      <c r="F40" s="13" t="s">
        <v>95</v>
      </c>
      <c r="G40" s="7" t="s">
        <v>96</v>
      </c>
      <c r="H40" s="7" t="s">
        <v>247</v>
      </c>
      <c r="I40" s="7" t="s">
        <v>248</v>
      </c>
      <c r="J40" s="7" t="s">
        <v>249</v>
      </c>
      <c r="K40" s="10" t="n">
        <v>3</v>
      </c>
      <c r="L40" s="7" t="s">
        <v>250</v>
      </c>
    </row>
    <row r="41" customFormat="false" ht="46.25" hidden="false" customHeight="false" outlineLevel="0" collapsed="false">
      <c r="A41" s="3" t="s">
        <v>251</v>
      </c>
      <c r="B41" s="15" t="s">
        <v>138</v>
      </c>
      <c r="C41" s="3" t="s">
        <v>224</v>
      </c>
      <c r="D41" s="3" t="s">
        <v>67</v>
      </c>
      <c r="E41" s="3" t="s">
        <v>252</v>
      </c>
      <c r="F41" s="12" t="s">
        <v>56</v>
      </c>
      <c r="G41" s="3" t="s">
        <v>96</v>
      </c>
      <c r="H41" s="3" t="s">
        <v>69</v>
      </c>
      <c r="I41" s="3" t="s">
        <v>253</v>
      </c>
      <c r="J41" s="3" t="s">
        <v>254</v>
      </c>
      <c r="K41" s="6" t="n">
        <v>10</v>
      </c>
      <c r="L41" s="3" t="s">
        <v>255</v>
      </c>
    </row>
    <row r="42" customFormat="false" ht="35.05" hidden="false" customHeight="false" outlineLevel="0" collapsed="false">
      <c r="A42" s="7" t="s">
        <v>256</v>
      </c>
      <c r="B42" s="16" t="s">
        <v>138</v>
      </c>
      <c r="C42" s="7" t="s">
        <v>224</v>
      </c>
      <c r="D42" s="7" t="s">
        <v>207</v>
      </c>
      <c r="E42" s="7" t="s">
        <v>257</v>
      </c>
      <c r="F42" s="13" t="s">
        <v>95</v>
      </c>
      <c r="G42" s="7" t="s">
        <v>96</v>
      </c>
      <c r="H42" s="7" t="s">
        <v>258</v>
      </c>
      <c r="I42" s="7" t="s">
        <v>259</v>
      </c>
      <c r="J42" s="7" t="s">
        <v>260</v>
      </c>
      <c r="K42" s="10" t="n">
        <v>0.5</v>
      </c>
      <c r="L42" s="7" t="s">
        <v>261</v>
      </c>
    </row>
    <row r="43" customFormat="false" ht="35.05" hidden="false" customHeight="false" outlineLevel="0" collapsed="false">
      <c r="A43" s="3" t="s">
        <v>262</v>
      </c>
      <c r="B43" s="15" t="s">
        <v>138</v>
      </c>
      <c r="C43" s="3" t="s">
        <v>224</v>
      </c>
      <c r="D43" s="3" t="s">
        <v>162</v>
      </c>
      <c r="E43" s="3" t="s">
        <v>263</v>
      </c>
      <c r="F43" s="14" t="s">
        <v>95</v>
      </c>
      <c r="G43" s="3" t="s">
        <v>62</v>
      </c>
      <c r="H43" s="3" t="s">
        <v>69</v>
      </c>
      <c r="I43" s="3" t="s">
        <v>264</v>
      </c>
      <c r="J43" s="3" t="s">
        <v>265</v>
      </c>
      <c r="K43" s="6" t="n">
        <v>1</v>
      </c>
      <c r="L43" s="3" t="s">
        <v>266</v>
      </c>
    </row>
    <row r="44" customFormat="false" ht="23.85" hidden="false" customHeight="false" outlineLevel="0" collapsed="false">
      <c r="A44" s="7" t="s">
        <v>267</v>
      </c>
      <c r="B44" s="17" t="s">
        <v>268</v>
      </c>
      <c r="C44" s="7" t="s">
        <v>269</v>
      </c>
      <c r="D44" s="7" t="s">
        <v>270</v>
      </c>
      <c r="E44" s="7" t="s">
        <v>271</v>
      </c>
      <c r="F44" s="9" t="s">
        <v>18</v>
      </c>
      <c r="G44" s="7" t="s">
        <v>19</v>
      </c>
      <c r="H44" s="7" t="s">
        <v>110</v>
      </c>
      <c r="I44" s="7" t="s">
        <v>272</v>
      </c>
      <c r="J44" s="7" t="s">
        <v>273</v>
      </c>
      <c r="K44" s="10" t="n">
        <v>2</v>
      </c>
      <c r="L44" s="7" t="s">
        <v>274</v>
      </c>
    </row>
    <row r="45" customFormat="false" ht="23.85" hidden="false" customHeight="false" outlineLevel="0" collapsed="false">
      <c r="A45" s="3" t="s">
        <v>275</v>
      </c>
      <c r="B45" s="18" t="s">
        <v>268</v>
      </c>
      <c r="C45" s="3" t="s">
        <v>269</v>
      </c>
      <c r="D45" s="3" t="s">
        <v>162</v>
      </c>
      <c r="E45" s="3" t="s">
        <v>276</v>
      </c>
      <c r="F45" s="12" t="s">
        <v>56</v>
      </c>
      <c r="G45" s="3" t="s">
        <v>141</v>
      </c>
      <c r="H45" s="3" t="s">
        <v>69</v>
      </c>
      <c r="I45" s="3" t="s">
        <v>277</v>
      </c>
      <c r="J45" s="3" t="s">
        <v>278</v>
      </c>
      <c r="K45" s="6" t="n">
        <v>8</v>
      </c>
      <c r="L45" s="3" t="s">
        <v>279</v>
      </c>
    </row>
    <row r="46" customFormat="false" ht="23.85" hidden="false" customHeight="false" outlineLevel="0" collapsed="false">
      <c r="A46" s="7" t="s">
        <v>280</v>
      </c>
      <c r="B46" s="17" t="s">
        <v>268</v>
      </c>
      <c r="C46" s="7" t="s">
        <v>269</v>
      </c>
      <c r="D46" s="7" t="s">
        <v>40</v>
      </c>
      <c r="E46" s="7" t="s">
        <v>281</v>
      </c>
      <c r="F46" s="11" t="s">
        <v>56</v>
      </c>
      <c r="G46" s="7" t="s">
        <v>141</v>
      </c>
      <c r="H46" s="7" t="s">
        <v>69</v>
      </c>
      <c r="I46" s="7" t="s">
        <v>282</v>
      </c>
      <c r="J46" s="7" t="s">
        <v>283</v>
      </c>
      <c r="K46" s="10" t="n">
        <v>10</v>
      </c>
      <c r="L46" s="7" t="s">
        <v>284</v>
      </c>
    </row>
    <row r="47" customFormat="false" ht="23.85" hidden="false" customHeight="false" outlineLevel="0" collapsed="false">
      <c r="A47" s="3" t="s">
        <v>285</v>
      </c>
      <c r="B47" s="18" t="s">
        <v>268</v>
      </c>
      <c r="C47" s="3" t="s">
        <v>269</v>
      </c>
      <c r="D47" s="3" t="s">
        <v>16</v>
      </c>
      <c r="E47" s="3" t="s">
        <v>286</v>
      </c>
      <c r="F47" s="12" t="s">
        <v>56</v>
      </c>
      <c r="G47" s="3" t="s">
        <v>190</v>
      </c>
      <c r="H47" s="3" t="s">
        <v>152</v>
      </c>
      <c r="I47" s="3" t="s">
        <v>287</v>
      </c>
      <c r="J47" s="3" t="s">
        <v>288</v>
      </c>
      <c r="K47" s="6" t="n">
        <v>10</v>
      </c>
      <c r="L47" s="3" t="s">
        <v>289</v>
      </c>
    </row>
    <row r="48" customFormat="false" ht="23.85" hidden="false" customHeight="false" outlineLevel="0" collapsed="false">
      <c r="A48" s="7" t="s">
        <v>290</v>
      </c>
      <c r="B48" s="17" t="s">
        <v>268</v>
      </c>
      <c r="C48" s="7" t="s">
        <v>269</v>
      </c>
      <c r="D48" s="7" t="s">
        <v>25</v>
      </c>
      <c r="E48" s="7" t="s">
        <v>291</v>
      </c>
      <c r="F48" s="11" t="s">
        <v>56</v>
      </c>
      <c r="G48" s="7" t="s">
        <v>141</v>
      </c>
      <c r="H48" s="7" t="s">
        <v>28</v>
      </c>
      <c r="I48" s="7" t="s">
        <v>292</v>
      </c>
      <c r="J48" s="7" t="s">
        <v>293</v>
      </c>
      <c r="K48" s="10" t="n">
        <v>8</v>
      </c>
      <c r="L48" s="7" t="s">
        <v>294</v>
      </c>
    </row>
    <row r="49" customFormat="false" ht="23.85" hidden="false" customHeight="false" outlineLevel="0" collapsed="false">
      <c r="A49" s="3" t="s">
        <v>295</v>
      </c>
      <c r="B49" s="18" t="s">
        <v>268</v>
      </c>
      <c r="C49" s="3" t="s">
        <v>269</v>
      </c>
      <c r="D49" s="3" t="s">
        <v>296</v>
      </c>
      <c r="E49" s="3" t="s">
        <v>297</v>
      </c>
      <c r="F49" s="14" t="s">
        <v>95</v>
      </c>
      <c r="G49" s="3" t="s">
        <v>190</v>
      </c>
      <c r="H49" s="3" t="s">
        <v>298</v>
      </c>
      <c r="I49" s="3" t="s">
        <v>299</v>
      </c>
      <c r="J49" s="3" t="s">
        <v>300</v>
      </c>
      <c r="K49" s="6" t="n">
        <v>8</v>
      </c>
      <c r="L49" s="3" t="s">
        <v>301</v>
      </c>
    </row>
  </sheetData>
  <autoFilter ref="A2:L49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9"/>
  </cols>
  <sheetData>
    <row r="1" customFormat="false" ht="26.85" hidden="false" customHeight="true" outlineLevel="0" collapsed="false">
      <c r="A1" s="1" t="s">
        <v>302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303</v>
      </c>
      <c r="D2" s="2" t="s">
        <v>304</v>
      </c>
      <c r="E2" s="2" t="s">
        <v>18</v>
      </c>
    </row>
    <row r="3" customFormat="false" ht="15" hidden="false" customHeight="false" outlineLevel="0" collapsed="false">
      <c r="A3" s="4" t="s">
        <v>14</v>
      </c>
      <c r="B3" s="3" t="s">
        <v>15</v>
      </c>
      <c r="C3" s="19" t="n">
        <f aca="false">COUNTIFS(Backlog!$C$3:$C$49,B3)</f>
        <v>8</v>
      </c>
      <c r="D3" s="19" t="n">
        <f aca="false">SUMIFS(Backlog!$K$3:$K$49,Backlog!$C$3:$C$49,B3)</f>
        <v>19.5</v>
      </c>
      <c r="E3" s="19" t="n">
        <f aca="false">COUNTIFS(Backlog!$C$3:$C$49,B3,Backlog!$F$3:$F$49,"Critical")</f>
        <v>6</v>
      </c>
    </row>
    <row r="4" customFormat="false" ht="15" hidden="false" customHeight="false" outlineLevel="0" collapsed="false">
      <c r="A4" s="8" t="s">
        <v>14</v>
      </c>
      <c r="B4" s="7" t="s">
        <v>74</v>
      </c>
      <c r="C4" s="20" t="n">
        <f aca="false">COUNTIFS(Backlog!$C$3:$C$49,B4)</f>
        <v>10</v>
      </c>
      <c r="D4" s="20" t="n">
        <f aca="false">SUMIFS(Backlog!$K$3:$K$49,Backlog!$C$3:$C$49,B4)</f>
        <v>21</v>
      </c>
      <c r="E4" s="20" t="n">
        <f aca="false">COUNTIFS(Backlog!$C$3:$C$49,B4,Backlog!$F$3:$F$49,"Critical")</f>
        <v>4</v>
      </c>
    </row>
    <row r="5" customFormat="false" ht="15" hidden="false" customHeight="false" outlineLevel="0" collapsed="false">
      <c r="A5" s="15" t="s">
        <v>138</v>
      </c>
      <c r="B5" s="3" t="s">
        <v>139</v>
      </c>
      <c r="C5" s="19" t="n">
        <f aca="false">COUNTIFS(Backlog!$C$3:$C$49,B5)</f>
        <v>8</v>
      </c>
      <c r="D5" s="19" t="n">
        <f aca="false">SUMIFS(Backlog!$K$3:$K$49,Backlog!$C$3:$C$49,B5)</f>
        <v>102</v>
      </c>
      <c r="E5" s="19" t="n">
        <f aca="false">COUNTIFS(Backlog!$C$3:$C$49,B5,Backlog!$F$3:$F$49,"Critical")</f>
        <v>8</v>
      </c>
    </row>
    <row r="6" customFormat="false" ht="15" hidden="false" customHeight="false" outlineLevel="0" collapsed="false">
      <c r="A6" s="16" t="s">
        <v>138</v>
      </c>
      <c r="B6" s="7" t="s">
        <v>183</v>
      </c>
      <c r="C6" s="20" t="n">
        <f aca="false">COUNTIFS(Backlog!$C$3:$C$49,B6)</f>
        <v>7</v>
      </c>
      <c r="D6" s="20" t="n">
        <f aca="false">SUMIFS(Backlog!$K$3:$K$49,Backlog!$C$3:$C$49,B6)</f>
        <v>38</v>
      </c>
      <c r="E6" s="20" t="n">
        <f aca="false">COUNTIFS(Backlog!$C$3:$C$49,B6,Backlog!$F$3:$F$49,"Critical")</f>
        <v>3</v>
      </c>
    </row>
    <row r="7" customFormat="false" ht="15" hidden="false" customHeight="false" outlineLevel="0" collapsed="false">
      <c r="A7" s="15" t="s">
        <v>138</v>
      </c>
      <c r="B7" s="3" t="s">
        <v>224</v>
      </c>
      <c r="C7" s="19" t="n">
        <f aca="false">COUNTIFS(Backlog!$C$3:$C$49,B7)</f>
        <v>8</v>
      </c>
      <c r="D7" s="19" t="n">
        <f aca="false">SUMIFS(Backlog!$K$3:$K$49,Backlog!$C$3:$C$49,B7)</f>
        <v>45.5</v>
      </c>
      <c r="E7" s="19" t="n">
        <f aca="false">COUNTIFS(Backlog!$C$3:$C$49,B7,Backlog!$F$3:$F$49,"Critical")</f>
        <v>1</v>
      </c>
    </row>
    <row r="8" customFormat="false" ht="15" hidden="false" customHeight="false" outlineLevel="0" collapsed="false">
      <c r="A8" s="17" t="s">
        <v>268</v>
      </c>
      <c r="B8" s="7" t="s">
        <v>269</v>
      </c>
      <c r="C8" s="20" t="n">
        <f aca="false">COUNTIFS(Backlog!$C$3:$C$49,B8)</f>
        <v>6</v>
      </c>
      <c r="D8" s="20" t="n">
        <f aca="false">SUMIFS(Backlog!$K$3:$K$49,Backlog!$C$3:$C$49,B8)</f>
        <v>46</v>
      </c>
      <c r="E8" s="20" t="n">
        <f aca="false">COUNTIFS(Backlog!$C$3:$C$49,B8,Backlog!$F$3:$F$49,"Critical")</f>
        <v>1</v>
      </c>
    </row>
    <row r="9" customFormat="false" ht="15" hidden="false" customHeight="false" outlineLevel="0" collapsed="false">
      <c r="A9" s="21" t="s">
        <v>305</v>
      </c>
      <c r="B9" s="21"/>
      <c r="C9" s="2" t="n">
        <f aca="false">COUNTIFS(Backlog!$B$3:$B$49,"M1")</f>
        <v>18</v>
      </c>
      <c r="D9" s="2" t="n">
        <f aca="false">SUMIFS(Backlog!$K$3:$K$49,Backlog!$B$3:$B$49,"M1")</f>
        <v>40.5</v>
      </c>
      <c r="E9" s="2" t="n">
        <f aca="false">COUNTIFS(Backlog!$B$3:$B$49,"M1",Backlog!$F$3:$F$49,"Critical")</f>
        <v>10</v>
      </c>
    </row>
    <row r="10" customFormat="false" ht="15" hidden="false" customHeight="false" outlineLevel="0" collapsed="false">
      <c r="A10" s="21" t="s">
        <v>306</v>
      </c>
      <c r="B10" s="21"/>
      <c r="C10" s="2" t="n">
        <f aca="false">COUNTIFS(Backlog!$B$3:$B$49,"M2")</f>
        <v>23</v>
      </c>
      <c r="D10" s="2" t="n">
        <f aca="false">SUMIFS(Backlog!$K$3:$K$49,Backlog!$B$3:$B$49,"M2")</f>
        <v>185.5</v>
      </c>
      <c r="E10" s="2" t="n">
        <f aca="false">COUNTIFS(Backlog!$B$3:$B$49,"M2",Backlog!$F$3:$F$49,"Critical")</f>
        <v>12</v>
      </c>
    </row>
    <row r="11" customFormat="false" ht="15" hidden="false" customHeight="false" outlineLevel="0" collapsed="false">
      <c r="A11" s="21" t="s">
        <v>307</v>
      </c>
      <c r="B11" s="21"/>
      <c r="C11" s="2" t="n">
        <f aca="false">COUNTIFS(Backlog!$B$3:$B$49,"M3")</f>
        <v>6</v>
      </c>
      <c r="D11" s="2" t="n">
        <f aca="false">SUMIFS(Backlog!$K$3:$K$49,Backlog!$B$3:$B$49,"M3")</f>
        <v>46</v>
      </c>
      <c r="E11" s="2" t="n">
        <f aca="false">COUNTIFS(Backlog!$B$3:$B$49,"M3",Backlog!$F$3:$F$49,"Critical")</f>
        <v>1</v>
      </c>
    </row>
    <row r="12" customFormat="false" ht="23.85" hidden="false" customHeight="false" outlineLevel="0" collapsed="false">
      <c r="A12" s="22" t="s">
        <v>308</v>
      </c>
      <c r="B12" s="22"/>
      <c r="C12" s="23" t="n">
        <f aca="false">COUNTA(Backlog!$A$3:$A$49)</f>
        <v>47</v>
      </c>
      <c r="D12" s="23" t="n">
        <f aca="false">SUM(Backlog!$K$3:$K$49)</f>
        <v>272</v>
      </c>
      <c r="E12" s="23" t="n">
        <f aca="false">COUNTIFS(Backlog!$F$3:$F$49,"Critical")</f>
        <v>23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BDF8"/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66"/>
  </cols>
  <sheetData>
    <row r="1" customFormat="false" ht="15" hidden="false" customHeight="true" outlineLevel="0" collapsed="false">
      <c r="A1" s="1" t="s">
        <v>309</v>
      </c>
      <c r="B1" s="1"/>
      <c r="C1" s="1"/>
      <c r="D1" s="1"/>
    </row>
    <row r="2" customFormat="false" ht="15" hidden="false" customHeight="false" outlineLevel="0" collapsed="false">
      <c r="A2" s="21" t="s">
        <v>310</v>
      </c>
      <c r="B2" s="21" t="s">
        <v>311</v>
      </c>
      <c r="C2" s="21" t="s">
        <v>312</v>
      </c>
      <c r="D2" s="21" t="s">
        <v>313</v>
      </c>
    </row>
    <row r="3" customFormat="false" ht="23.85" hidden="false" customHeight="false" outlineLevel="0" collapsed="false">
      <c r="A3" s="3" t="s">
        <v>314</v>
      </c>
      <c r="B3" s="14" t="s">
        <v>315</v>
      </c>
      <c r="C3" s="3" t="s">
        <v>316</v>
      </c>
      <c r="D3" s="3" t="s">
        <v>317</v>
      </c>
    </row>
    <row r="4" customFormat="false" ht="15" hidden="false" customHeight="false" outlineLevel="0" collapsed="false">
      <c r="A4" s="7" t="s">
        <v>318</v>
      </c>
      <c r="B4" s="13" t="s">
        <v>315</v>
      </c>
      <c r="C4" s="7" t="s">
        <v>319</v>
      </c>
      <c r="D4" s="7" t="s">
        <v>320</v>
      </c>
    </row>
    <row r="5" customFormat="false" ht="15" hidden="false" customHeight="false" outlineLevel="0" collapsed="false">
      <c r="A5" s="3" t="s">
        <v>321</v>
      </c>
      <c r="B5" s="14" t="s">
        <v>315</v>
      </c>
      <c r="C5" s="3" t="s">
        <v>322</v>
      </c>
      <c r="D5" s="3" t="s">
        <v>323</v>
      </c>
    </row>
    <row r="6" customFormat="false" ht="23.85" hidden="false" customHeight="false" outlineLevel="0" collapsed="false">
      <c r="A6" s="7" t="s">
        <v>324</v>
      </c>
      <c r="B6" s="13" t="s">
        <v>315</v>
      </c>
      <c r="C6" s="7" t="s">
        <v>325</v>
      </c>
      <c r="D6" s="7" t="s">
        <v>326</v>
      </c>
    </row>
    <row r="7" customFormat="false" ht="23.85" hidden="false" customHeight="false" outlineLevel="0" collapsed="false">
      <c r="A7" s="3" t="s">
        <v>327</v>
      </c>
      <c r="B7" s="14" t="s">
        <v>328</v>
      </c>
      <c r="C7" s="3" t="s">
        <v>329</v>
      </c>
      <c r="D7" s="3" t="s">
        <v>330</v>
      </c>
    </row>
    <row r="8" customFormat="false" ht="23.85" hidden="false" customHeight="false" outlineLevel="0" collapsed="false">
      <c r="A8" s="7" t="s">
        <v>331</v>
      </c>
      <c r="B8" s="11" t="s">
        <v>332</v>
      </c>
      <c r="C8" s="7" t="s">
        <v>333</v>
      </c>
      <c r="D8" s="7" t="s">
        <v>334</v>
      </c>
    </row>
    <row r="9" customFormat="false" ht="23.85" hidden="false" customHeight="false" outlineLevel="0" collapsed="false">
      <c r="A9" s="3" t="s">
        <v>335</v>
      </c>
      <c r="B9" s="15" t="s">
        <v>336</v>
      </c>
      <c r="C9" s="3" t="s">
        <v>337</v>
      </c>
      <c r="D9" s="3" t="s">
        <v>338</v>
      </c>
    </row>
    <row r="10" customFormat="false" ht="15" hidden="false" customHeight="false" outlineLevel="0" collapsed="false">
      <c r="A10" s="7" t="s">
        <v>339</v>
      </c>
      <c r="B10" s="11" t="s">
        <v>340</v>
      </c>
      <c r="C10" s="7" t="s">
        <v>341</v>
      </c>
      <c r="D10" s="7" t="s">
        <v>342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2026-07-16T20:06:36Z</dcterms:created>
  <dc:creator>openpyxl</dc:creator>
  <dc:description/>
  <dc:language>en-US</dc:language>
  <cp:lastModifiedBy/>
  <dcterms:modified xsi:type="dcterms:W3CDTF">2026-07-16T20:06:37Z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