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2.xml.rels" ContentType="application/vnd.openxmlformats-package.relationships+xml"/>
  <Override PartName="/xl/worksheets/sheet8.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Overview" sheetId="1" state="visible" r:id="rId3"/>
    <sheet name="Master Task List" sheetId="2" state="visible" r:id="rId4"/>
    <sheet name="By Track" sheetId="3" state="visible" r:id="rId5"/>
    <sheet name="By Severity" sheetId="4" state="visible" r:id="rId6"/>
    <sheet name="By Module" sheetId="5" state="visible" r:id="rId7"/>
    <sheet name="Effort Summary" sheetId="6" state="visible" r:id="rId8"/>
    <sheet name="Changes from v1" sheetId="7" state="visible" r:id="rId9"/>
    <sheet name="How to Use" sheetId="8" state="visible" r:id="rId10"/>
  </sheets>
  <definedNames>
    <definedName function="false" hidden="true" localSheetId="1" name="_xlnm._FilterDatabase" vbProcedure="false">'Master Task List'!$A$1:$I$107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<sst xmlns="http://schemas.openxmlformats.org/spreadsheetml/2006/main" count="3200" uniqueCount="709">
  <si>
    <t xml:space="preserve">PlantProcess IQ — 4-Track Task List v2 (Synthesised) — 24 May 2026</t>
  </si>
  <si>
    <t xml:space="preserve">Source</t>
  </si>
  <si>
    <t xml:space="preserve">Merger of v1 (independent audit) with founder brainstorming (Task4Track.xlsx). Synthesises best of both: founder's framing on Connector Truth Matrix, ML Lifecycle Honesty, Direct-Route Contract, Positioning Blocks; v1's file-path-level depth on Widget Script Layer build, source DB containerization, component library.</t>
  </si>
  <si>
    <t xml:space="preserve">Version</t>
  </si>
  <si>
    <t xml:space="preserve">v2.0 · 24 May 2026 · Confidential — SOU Industrial Software</t>
  </si>
  <si>
    <t xml:space="preserve">Headline Numbers</t>
  </si>
  <si>
    <t xml:space="preserve">Total tasks</t>
  </si>
  <si>
    <t xml:space="preserve">Total effort (hours)</t>
  </si>
  <si>
    <t xml:space="preserve">By Severity</t>
  </si>
  <si>
    <t xml:space="preserve">Severity</t>
  </si>
  <si>
    <t xml:space="preserve">Tasks</t>
  </si>
  <si>
    <t xml:space="preserve">Hours</t>
  </si>
  <si>
    <t xml:space="preserve">Critical</t>
  </si>
  <si>
    <t xml:space="preserve">Very Important</t>
  </si>
  <si>
    <t xml:space="preserve">Important</t>
  </si>
  <si>
    <t xml:space="preserve">Normal</t>
  </si>
  <si>
    <t xml:space="preserve">Optional</t>
  </si>
  <si>
    <t xml:space="preserve">By Track</t>
  </si>
  <si>
    <t xml:space="preserve">Track</t>
  </si>
  <si>
    <t xml:space="preserve">Track 1 Workflow</t>
  </si>
  <si>
    <t xml:space="preserve">Track 2 Hardening</t>
  </si>
  <si>
    <t xml:space="preserve">Track 3 Demo</t>
  </si>
  <si>
    <t xml:space="preserve">Track 4 Website</t>
  </si>
  <si>
    <t xml:space="preserve">By Module</t>
  </si>
  <si>
    <t xml:space="preserve">Module</t>
  </si>
  <si>
    <t xml:space="preserve">APP Frontend</t>
  </si>
  <si>
    <t xml:space="preserve">APP Frontend + Backend</t>
  </si>
  <si>
    <t xml:space="preserve">APP Frontend + Infrastructure and Docker</t>
  </si>
  <si>
    <t xml:space="preserve">Backend</t>
  </si>
  <si>
    <t xml:space="preserve">Backend + APP Frontend</t>
  </si>
  <si>
    <t xml:space="preserve">Backend + APP Frontend + Database</t>
  </si>
  <si>
    <t xml:space="preserve">Backend + Database</t>
  </si>
  <si>
    <t xml:space="preserve">Backend + Database + Infrastructure and Docker</t>
  </si>
  <si>
    <t xml:space="preserve">Backend + Documentation</t>
  </si>
  <si>
    <t xml:space="preserve">Database</t>
  </si>
  <si>
    <t xml:space="preserve">Database + Backend</t>
  </si>
  <si>
    <t xml:space="preserve">Documentation</t>
  </si>
  <si>
    <t xml:space="preserve">Documentation + APP Frontend</t>
  </si>
  <si>
    <t xml:space="preserve">Documentation + APP Frontend + Website</t>
  </si>
  <si>
    <t xml:space="preserve">Documentation + Website</t>
  </si>
  <si>
    <t xml:space="preserve">Infrastructure and Docker</t>
  </si>
  <si>
    <t xml:space="preserve">Infrastructure and Docker + Documentation</t>
  </si>
  <si>
    <t xml:space="preserve">Website</t>
  </si>
  <si>
    <t xml:space="preserve">Website + APP Frontend</t>
  </si>
  <si>
    <t xml:space="preserve">Website + Backend</t>
  </si>
  <si>
    <t xml:space="preserve">Website + Documentation</t>
  </si>
  <si>
    <t xml:space="preserve">Website + Infrastructure and Docker</t>
  </si>
  <si>
    <t xml:space="preserve">Task ID</t>
  </si>
  <si>
    <t xml:space="preserve">Task Name</t>
  </si>
  <si>
    <t xml:space="preserve">Submodule</t>
  </si>
  <si>
    <t xml:space="preserve">Description</t>
  </si>
  <si>
    <t xml:space="preserve">Validation</t>
  </si>
  <si>
    <t xml:space="preserve">Effort (hrs)</t>
  </si>
  <si>
    <t xml:space="preserve">PPIQ-WF-001</t>
  </si>
  <si>
    <t xml:space="preserve">Connector Truth Matrix API + Frontend Binding</t>
  </si>
  <si>
    <t xml:space="preserve">Connectors / Admin DB Configuration</t>
  </si>
  <si>
    <t xml:space="preserve">Build one single backend-owned provider truth matrix endpoint GET /admin/connectors/provider-types. Every provider entry must expose: providerType, displayName, isImplemented (code exists), isCertifiedForDemo (smoke test passed in last 7 days), isAvailableNow (composite truth flag used by UI), licenseRequired (tier floor), limitations (text), driverName, lastCertifiedAtUtc. ConnectorProviderCatalog.cs (currently 92 lines, modified 24 May 16:28) is the single source of truth; AdminEndpoints.cs hardcoded PlannedProviderDto array (Excel=true, PostgreSql=false at line 1399) must be deleted and projected from this catalog. Frontend must consume this API only, never hardcode connector availability. Add a Backend/tests/PlantProcess.Application.Tests contract test asserting backend truth and Admin endpoint summary always agree per provider.</t>
  </si>
  <si>
    <t xml:space="preserve">GET /admin/connectors/provider-types returns 8 providers (Csv, Excel, PostgreSql, SqlServer, MySql, Oracle, RestApi, OpcUaHistorian) with the full field set above. CSV and Excel show isAvailableNow=true. The three SQL providers show isImplemented=true but isCertifiedForDemo=false until T1-002/003/004 close. Oracle shows isImplemented=false. ConnectorTruthContractTests passes. PlannedProviderDto hardcoded array is gone. E2E test: an UI user cannot select a non-available connector for a new ConnectionProfile.</t>
  </si>
  <si>
    <t xml:space="preserve">PPIQ-WF-002</t>
  </si>
  <si>
    <t xml:space="preserve">Oracle Connector Implementation</t>
  </si>
  <si>
    <t xml:space="preserve">Connector Infrastructure / Oracle</t>
  </si>
  <si>
    <t xml:space="preserve">Implement Backend/PlantProcess.Infrastructure/Connectors/Oracle/OracleConnector.cs following the same pattern as MsSqlConnector.cs (401L) and PostgreSqlConnector.cs (323L). Use Oracle.ManagedDataAccess.Core. Implement IDataSourceConnector.TestConnectionAsync (open OracleConnection, SELECT 1 FROM DUAL), ISchemaReader.DiscoverDatasetsAsync (query ALL_TABLES + ALL_VIEWS), ISchemaReader.DiscoverFieldsForDatasetAsync (ALL_TAB_COLUMNS with Oracle-to-canonical type mapping for NUMBER/VARCHAR2/DATE/TIMESTAMP/CLOB/BLOB), IDataSourceReader.ReadRowsAsync (parameterised SELECT with double-quoted identifiers, ROWNUM &lt;= :limit), IDataSourceReader.ReadRowsSinceKeyAsync (incremental with stable ORDER BY). Register in DataSourceConnectorFactory.cs case-insensitively. Keep Oracle driver dependency package-isolated so it can be excluded from builds if licensing/distribution becomes an issue. Safe error handling: connection failures must return DataSourceConnectionTestResult with masked message — no raw driver stack trace exposed.</t>
  </si>
  <si>
    <t xml:space="preserve">OracleConnectorSmokeTests passes end-to-end against caster-oracle container from T3-002. Provider catalog flips Oracle's isImplemented to true. Manual UI: create ConnectionProfile with ProviderType=Oracle, Test Connection green, schema discovery returns &gt;=5 tables, preview returns 10 rows. Failed connection scenario returns user-friendly error, not stack trace.</t>
  </si>
  <si>
    <t xml:space="preserve">PPIQ-WF-003</t>
  </si>
  <si>
    <t xml:space="preserve">PostgreSQL / MSSQL / MySQL Demo Certification</t>
  </si>
  <si>
    <t xml:space="preserve">Connector Infrastructure / Smoke Tests</t>
  </si>
  <si>
    <t xml:space="preserve">PostgreSqlConnector (323L), MsSqlConnector (401L), MySqlConnector (389L) are already built. Author smoke-test files Backend/tests/PlantProcess.Application.Tests/Connectors/PostgreSqlConnectorSmokeTests.cs, MsSqlConnectorSmokeTests.cs, MySqlConnectorSmokeTests.cs following CsvConnectorSmokeTests / ExcelConnectorSmokeTests pattern. Each runs the full IDataSourceConnector + ISchemaReader + IDataSourceReader cycle against a real container from docker-compose.demo-sources.yml. Verify each connector's identifier quoting convention (double-quote PG, square-bracket MSSQL, backtick MySQL). After green, update ConnectorProviderCatalog.cs to flip isCertifiedForDemo=true and isAvailableNow=true. ConnectorTruthContractTests guards against future drift.</t>
  </si>
  <si>
    <t xml:space="preserve">All three smoke-test files pass against their respective containers. Provider catalog shows the three connectors as isAvailableNow=true. ConnectorTruthContractTests stays green. End-to-end UI: create one ConnectionProfile of each type, smoke-test from UI returns green, schema discovery works, snapshot import of 100 rows succeeds.</t>
  </si>
  <si>
    <t xml:space="preserve">PPIQ-WF-004</t>
  </si>
  <si>
    <t xml:space="preserve">DB-Driven Per-Source Scheduling Engine — Completion Pass</t>
  </si>
  <si>
    <t xml:space="preserve">Job Scheduler / Import Jobs</t>
  </si>
  <si>
    <t xml:space="preserve">BE-FIX-001 partly closed this (NextRunAtUtc, ScheduleNextRunAfterSuccess/Failure). Complete the engine: each ConnectionProfile / SourceDatasetDefinition / JobDefinition owns its refresh interval, next run time, last success, last failure, timeout, retry policy. The worker loop in DeltaImportExecutionService should: (a) query due jobs ordered by NextRunAtUtc; (b) lock one job safely via SELECT FOR UPDATE SKIP LOCKED (PostgreSQL pattern) to prevent two workers running the same job; (c) execute it; (d) update cursor + write JobRunHistory; (e) calculate next run. Enforce license-tier refresh floor: Light=1440 min minimum, Pro=15 min, ProPlus=2 min, Enterprise=configurable. Reject creation of a job with an interval below the floor with a friendly error.</t>
  </si>
  <si>
    <t xml:space="preserve">Integration test: create three SourceDatasetDefinition with 2 min, 15 min, daily intervals; assert only due jobs run on each worker tick. License floor test: tier=Light cannot create a job with 60-min interval (rejected). JobRunHistory rows complete after every run. Job locking: start two workers, neither double-processes the same job. NextRunAtUtc updates correctly after both success and failure paths.</t>
  </si>
  <si>
    <t xml:space="preserve">PPIQ-WF-005</t>
  </si>
  <si>
    <t xml:space="preserve">Incremental Cursor / Watermark Import Proof</t>
  </si>
  <si>
    <t xml:space="preserve">Delta Import / Staging</t>
  </si>
  <si>
    <t xml:space="preserve">Formalize Vision §1.2.4 ('compare last index in our dump file against last index of customer table and import only the last few records'). Each SourceDatasetDefinition declares a CursorStrategy enum: NumericId, Timestamp, CompositeKey, FullReload. Persist LastSuccessfulCursorValue, LastImportedAtUtc, LastSourceRecordId, RowsDeltaCount on each scan. New scan imports only rows after the cursor into staging. Add IncrementalSyncStateService (already 93L) coverage tests. Add a 'Last Cursor' column to the Jobs Monitor row.</t>
  </si>
  <si>
    <t xml:space="preserve">Validation test: seed source table with 100 rows; run import; staging gets 100. Add 10 rows to source; run again; staging gets only 10. Re-run with no new data; staging gets 0. Corrupt the cursor (set to a non-existent value); job fails safely with DataQualityIssue entry, not silent skip. UI: Jobs Monitor shows 'Last Cursor: 12345' per dataset.</t>
  </si>
  <si>
    <t xml:space="preserve">PPIQ-WF-006</t>
  </si>
  <si>
    <t xml:space="preserve">Raw / Staging Latest-Copy Viewer</t>
  </si>
  <si>
    <t xml:space="preserve">Admin Importing Data / Staging Records</t>
  </si>
  <si>
    <t xml:space="preserve">Proves Vision §1.3 ('dump files are latest customer DB copy, not based on our structure'). Add a new admin tab 'Staging Records' that shows imported raw data exactly as source-shaped. For a chosen source dataset, display: last ImportBatch (id, started, finished, row count), source primary key/cursor used, raw JSON preview per row (collapsible), processing status, validation errors. Use SortableDataTable with server-side paging (no client-side load of 10k rows). Backend endpoint GET /admin/staging?sourceDatasetDefinitionId=...&amp;page=...&amp;pageSize=...</t>
  </si>
  <si>
    <t xml:space="preserve">Admin navigates to Staging Records tab, picks a source dataset, sees a paginated table of the latest batch. Each row's RawJson is collapsible. Large datasets do not freeze the UI. Server-side paging confirmed via network tab. No canonical-model assumptions leak into this viewer (e.g., it does not pretty-print MaterialUnit fields from raw data).</t>
  </si>
  <si>
    <t xml:space="preserve">PPIQ-WF-007</t>
  </si>
  <si>
    <t xml:space="preserve">Schema Mapping Wizard — Source to Canonical</t>
  </si>
  <si>
    <t xml:space="preserve">Schema Configuration / Mapping</t>
  </si>
  <si>
    <t xml:space="preserve">Build a guided mapping workflow in the Admin Schema Configuration tab. Wizard steps: (1) Select one or more staging datasets (can mix sources). (2) Define join keys between datasets. (3) Preview joined rows (server-side, max 100 for preview). (4) Map source columns to canonical target fields (target dropdowns: MaterialUnit, ProcessStepExecution, ParameterObservation, QualityEvent, DefectCatalog, GenealogyEdge, DowntimeEvent, RiskScore). (5) Validation rules per field. (6) Approve. Backend persists as MappingDefinition (already exists). Approval triggers MappingExecutionService dry-run. Audit log records who approved/changed.</t>
  </si>
  <si>
    <t xml:space="preserve">User in the wizard joins HSM piece_id from Oracle HSM staging with material_id from Parsytec MySQL staging into MaterialUnit canonical. Preview shows 10 joined rows. Invalid target fields (e.g., mapping a string column to MaterialUnit.HeatNumber which is required) are blocked at validate step. Approved mapping is executed and canonical rows appear. AuditLogEntry records the approval with user, mappingDefinitionId, timestamp.</t>
  </si>
  <si>
    <t xml:space="preserve">PPIQ-WF-008</t>
  </si>
  <si>
    <t xml:space="preserve">Cross-Source Join View Builder polish</t>
  </si>
  <si>
    <t xml:space="preserve">Schema Configuration / SQL Views</t>
  </si>
  <si>
    <t xml:space="preserve">Schema view builder + SafeSqlValidator (411L, hardened 24 May 12:41) already supports the foundation. Polish for live demo: (a) UI shows available staging tables across all source systems with a click-to-insert into the SQL editor; (b) preview limit visible and editable (default 100, max 1000); (c) statement_timeout visible (default 5s, configurable per view); (d) read-only DB role enforced (verify the executing role for the preview query has no INSERT/UPDATE/DELETE privileges); (e) approval workflow with required approver role.</t>
  </si>
  <si>
    <t xml:space="preserve">User can paste a JOIN query between Oracle HSM and MySQL Parsytec staging tables (cross-DB at the canonical staging level), preview returns rows. Unsafe SQL (DDL, DML, pg_read_file, xp_cmdshell, dblink, etc.) is rejected with the existing SafeSqlValidator. Preview times out gracefully at the configured limit. UI shows the read-only role being used.</t>
  </si>
  <si>
    <t xml:space="preserve">PPIQ-WF-009</t>
  </si>
  <si>
    <t xml:space="preserve">KPI Definition to Parameter Binding</t>
  </si>
  <si>
    <t xml:space="preserve">KPI Builder / Process Parameters</t>
  </si>
  <si>
    <t xml:space="preserve">Today KpiDefinition (176L entity) and CreateKpiDefinitionRequest DTO exist but user-defined KPIs do not become first-class measures in the Widget Builder. Add: (a) KPI definition page where user provides KpiCode, KpiName, Unit, target Equipment/Area/Process (FK), AggregationType, allowed filters, refresh job (creates a JobDefinition that recomputes the KPI on schedule), visibility in widget builder (boolean). (b) Widget Builder Data Link step lists approved active KPIs alongside built-in measures. (c) Deleting/deactivating a KPI removes it from selectable measures but does not break dashboards that already use it (snapshot the SQL).</t>
  </si>
  <si>
    <t xml:space="preserve">User creates KPI 'Caster Speed Stability Index' with SQL view body, target Equipment=Caster1, aggregation=Average, refresh hourly. KPI appears in Widget Builder measure dropdown. Dashboard widget using this KPI displays the computed aggregate. Deactivating the KPI: existing widgets still render (snapshot SQL retained); the KPI does not appear in new widget creation.</t>
  </si>
  <si>
    <t xml:space="preserve">PPIQ-WF-010</t>
  </si>
  <si>
    <t xml:space="preserve">Importing Data Job Configuration Page</t>
  </si>
  <si>
    <t xml:space="preserve">Admin / Importing Data</t>
  </si>
  <si>
    <t xml:space="preserve">Complete the second-stage import UI (Vision §1.5) — the configuration page where after DB-link + schema-mapping are done, the user defines canonical-import jobs from staging to PlantProcess IQ canonical tables. Fields per job: name, source MappingDefinition, schedule (cron or simple), enabled toggle, retry policy, timeout, owner role, license tier requirement, dry-run mode. The Jobs Monitor lists these jobs alongside DB-link import jobs.</t>
  </si>
  <si>
    <t xml:space="preserve">User completes Mapping Wizard (T1-007) then navigates to Importing Data tab, creates a canonical-import job from that mapping. Dry-run shows: would import N rows, M validation errors, top error types. Saving creates a JobDefinition. Job appears in Jobs Monitor. Running the job creates canonical rows and JobRunHistory entry.</t>
  </si>
  <si>
    <t xml:space="preserve">PPIQ-WF-011</t>
  </si>
  <si>
    <t xml:space="preserve">Jobs Monitor Action Surface</t>
  </si>
  <si>
    <t xml:space="preserve">Jobs Monitor</t>
  </si>
  <si>
    <t xml:space="preserve">Jobs Monitor today displays statuses but does not control jobs safely. Add per-job actions: Run Now (one-off), Retry Failed (retry the last failed run), Disable, Enable, View Logs (recent log lines), View Last Error (structured error detail), View Last Imported Cursor. Each action obeys RBAC: PlantProcessAdmin can do everything; PlantProcessDataManager can Run Now / Retry / View; PlantProcessEngineer can View only; PlantProcessViewer sees no actions. Each action returns toast confirmation and updates the row.</t>
  </si>
  <si>
    <t xml:space="preserve">Test each action per role. PlantProcessViewer cannot see action buttons (license-gated). PlantProcessEngineer sees View Logs only. Admin can do everything. Disabled job is excluded from the scheduler tick (verified by waiting one cycle and checking JobRunHistory). Run Now creates an immediate JobRunHistory entry. Audit log records every action.</t>
  </si>
  <si>
    <t xml:space="preserve">PPIQ-WF-012</t>
  </si>
  <si>
    <t xml:space="preserve">Widget Script Layer — DB Schema Foundation</t>
  </si>
  <si>
    <t xml:space="preserve">Domain / Migrations</t>
  </si>
  <si>
    <t xml:space="preserve">Add nullable jsonb column 'QueryExpressionJson' to DashboardWidgetDefinition (currently 168L, properties: DashboardDefinitionId, WidgetCode, WidgetTitle, WidgetType, ChartType, DimensionCode, MeasureCode, ParameterCode, FilterJson, LayoutJson, DisplayOptionsJson, SortOrder, IsActive). Update DashboardWidgetDefinitionConfiguration.cs to map as jsonb. Create EF Core migration Add_DashboardWidgetDefinition_QueryExpressionJson. Update DTOs to include the field as optional. This is the persistence foundation for the real Widget Script Layer.</t>
  </si>
  <si>
    <t xml:space="preserve">Migration applies cleanly on fresh and existing DBs. New widget can be created with QueryExpressionJson set or null. Round-trip Read returns same JSON. Migration is idempotent.</t>
  </si>
  <si>
    <t xml:space="preserve">PPIQ-WF-013</t>
  </si>
  <si>
    <t xml:space="preserve">Widget Script Layer — Safe Expression Engine (Backend)</t>
  </si>
  <si>
    <t xml:space="preserve">Dashboarding / Widget Query</t>
  </si>
  <si>
    <t xml:space="preserve">Replace the current 109-line token-string facade (WidgetQueryExpressionService.cs) with a controlled safe-expression engine. Define WidgetQueryExpression record: Source (schema_view:CODE or source_dataset:ID), GroupBy[] (with time/shift bucketing), Measures[] (AllowedFunctions: SUM/AVG/MIN/MAX/COUNT/COUNT_DISTINCT/P50/P95/P99), Filters/Having (allow-listed operators only), OrderBy, Limit, Parameters. Build a SchemaViewResolver that takes Source and returns (qualified-table, allowed-column-list). Compile expression to parameter-bound SQL with identifier whitelist enforcement. Re-validate the compiled SQL through SafeSqlValidator (411L) as second-pass defence in depth. Execute with SET LOCAL statement_timeout = '5s'. Return rows. Endpoints: POST /dashboards/widgets/{id}/execute (uses persisted QueryExpressionJson) and POST /dashboards/widgets/execute-adhoc (preview). RBAC: PlantProcessEngineer or higher.</t>
  </si>
  <si>
    <t xml:space="preserve">Unit tests prove: (a) all 9 allowed aggregations expressible; (b) unsupported function rejected at validate; (c) unsupported operator rejected; (d) bad column name rejected before SQL emission; (e) injection attempt parameterised, not concatenated; (f) statement_timeout fires on slow expression. Integration test: persist widget with QueryExpressionJson, execute endpoint, get rows. RBAC blocks Viewer (403). Property-based test: 100 random expressions all compile or fail with validation error (no exceptions).</t>
  </si>
  <si>
    <t xml:space="preserve">PPIQ-WF-014</t>
  </si>
  <si>
    <t xml:space="preserve">Widget Script Layer — Frontend Builder 'Transform / Script' Step</t>
  </si>
  <si>
    <t xml:space="preserve">Widget Builder</t>
  </si>
  <si>
    <t xml:space="preserve">Add 'Transform / Script' step to WidgetBuilderWizardContent.tsx (1,500+L). Two modes (per user direction): (a) Dropdown / expression chips first — group-by selector (Date / Shift / Equipment / DefectFamily / RiskClass), measure selector with aggregation function, filter chip builder, sort selector — generates WidgetQueryExpression behind the scenes. (b) Advanced text editor (Monaco) for JSON-edit of WidgetQueryExpression, only enabled after the chip-based path has validated. Preview button calls /widgets/execute-adhoc. Save persists QueryExpressionJson on the widget. License-gated: Advanced editor for ProPlus and Enterprise only.</t>
  </si>
  <si>
    <t xml:space="preserve">User without writing SQL creates 'bar chart of casting speed average grouped by shift' via dropdowns/chips, hits Preview, sees real aggregated rows. Switch to Advanced mode: shows the equivalent WidgetQueryExpression JSON, can be edited. Save persists. Reload dashboard executes same expression. Lite/Pro see Advanced mode locked.</t>
  </si>
  <si>
    <t xml:space="preserve">PPIQ-WF-015</t>
  </si>
  <si>
    <t xml:space="preserve">Save-as-Inspection-Job — Backend Endpoint (§3.2.3)</t>
  </si>
  <si>
    <t xml:space="preserve">API / Analytics / Correlation</t>
  </si>
  <si>
    <t xml:space="preserve">Add POST /correlations/save-as-job to CorrelationEndpoints.cs (currently 708L, no save-as-job endpoint). Accepts {AnalysisName, AnalysisType (defects/downtime/kpi), TargetIds[], TimeWindowDays, ScheduleExpression, EnableNow}. Handler: maps AnalysisType to JobDefinitionType (MlParamsVsDefects/Downtime/Kpis/WeeklyFull); persists CorrelationAnalysisDefinition (new entity) with params; creates JobDefinition via IJobDefinitionService; if EnableNow=true triggers a one-shot run via IJobRunOrchestratorService. Requires PlantProcessEngineer+.</t>
  </si>
  <si>
    <t xml:space="preserve">POST with valid payload returns 201 + JobDefinitionDto. Created job appears in Jobs Monitor. Scheduled tick triggers a run (verified via integration test). Invalid ScheduleExpression returns 400 with friendly error. AuditLogEntry records the creator.</t>
  </si>
  <si>
    <t xml:space="preserve">PPIQ-WF-016</t>
  </si>
  <si>
    <t xml:space="preserve">Save-as-Inspection-Job — Frontend Modal on Correlation Page</t>
  </si>
  <si>
    <t xml:space="preserve">Pages / Correlation</t>
  </si>
  <si>
    <t xml:space="preserve">Add 'Save as Inspection Job' button to CorrelationPage.tsx (currently 315L) — appears only after analysis has completed. Click opens modal: Name (required), Schedule (radio: Run once now / Daily HH:MM / Weekly day+HH:MM / Custom cron with validation), Enable now toggle. Submit calls POST /correlations/save-as-job, shows success toast linking to Jobs Monitor. Uses StandardButton (T2-013) and useInlineFormValidation hook.</t>
  </si>
  <si>
    <t xml:space="preserve">User runs correlation, clicks Save as Inspection Job, fills modal, submits, sees toast 'Inspection job &lt;name&gt; saved. Next run: &lt;time&gt;.' Clicks toast link, lands on Jobs Monitor, new job listed. Form validation catches empty name and invalid cron. Lite tier sees button locked behind LockedFeatureOverlay.</t>
  </si>
  <si>
    <t xml:space="preserve">PPIQ-WF-017</t>
  </si>
  <si>
    <t xml:space="preserve">Rule-Based Correlation Engines (4 ML job types)</t>
  </si>
  <si>
    <t xml:space="preserve">Application / Analytics</t>
  </si>
  <si>
    <t xml:space="preserve">JobDefinitionType enum has MlParamsVsDefects, MlParamsVsDowntime, MlParamsVsKpis, MlWeeklyFull, all IsEnabled=false. Build the actual handlers under Backend/PlantProcess.Application/Analytics/Services/: ParameterDefectCorrelationLearner (joins ParameterObservation × QualityEvent over MaterialUnit genealogy, computes statistical lift + Fisher's exact test p-value, persists as CorrelationResult type='ParamVsDefect'), ParameterDowntimeCorrelationLearner (joins ParameterObservation × DowntimeEvent, lift over forward window), ParameterKpiCorrelationLearner (Spearman rank correlation), WeeklyFullCorrelationOrchestrator (runs all three on full data, no time-window cap, tagged 'WeeklyFull'). Brand voice: results are tagged 'rule-based statistical correlation, suspected contributor' — never 'predicted root cause' or 'AI-powered prediction'.</t>
  </si>
  <si>
    <t xml:space="preserve">Run each job manually via Jobs Monitor 'Run Now' on T3-011 generated data. Top finding for ParamVsDefect matches T3-012 planted correlation (e.g., 'casting speed &gt;5.2 m/min suspected contributor, lift 2.3x, p&lt;0.01'). CorrelationResult rows persisted with type tags. JobRunHistory shows completed status + summary. Brand voice audit confirms no forbidden phrasing.</t>
  </si>
  <si>
    <t xml:space="preserve">PPIQ-WF-018</t>
  </si>
  <si>
    <t xml:space="preserve">ML Job Lifecycle Honest State Machine</t>
  </si>
  <si>
    <t xml:space="preserve">ML Readiness / Jobs</t>
  </si>
  <si>
    <t xml:space="preserve">ML jobs must be visible and honest. Define ML lifecycle states: Disabled, ReadinessCheck (prerequisites assessed), DatasetBuilding (feature vectors being computed), TrainingPending (queued), TrainingSupportedLater (deferred per Phase-9 GTM), RuleBasedActive (running with rule-based statistical engine per T1-017), Failed, Completed. Add a status enum + state-transition rules to JobDefinition for ML job types. ML Readiness page shows status per job with explanation. Jobs Monitor displays honest state, not fake completion. Language audit confirms no 'AI prediction' / 'guaranteed root cause' / 'production-ready AI' phrasing.</t>
  </si>
  <si>
    <t xml:space="preserve">ML Readiness page lists 4 ML jobs each with honest state. A job whose data prerequisites are not met shows 'ReadinessCheck — needs 60 days of data, currently 12'. Jobs Monitor shows RuleBasedActive for the ones T1-017 covers. Language audit script over the codebase finds zero forbidden phrases.</t>
  </si>
  <si>
    <t xml:space="preserve">PPIQ-WF-019</t>
  </si>
  <si>
    <t xml:space="preserve">Suggestion &amp; Recommendation Page MVP (§3.3)</t>
  </si>
  <si>
    <t xml:space="preserve">Application / Analytics + Pages / Suggestions</t>
  </si>
  <si>
    <t xml:space="preserve">Vision §3.3 describes an 'engine assistant' that summarises findings. Build a deterministic-template MVP (no LLM call yet). Backend GET /suggestions aggregates the top 10 CorrelationResult findings across the four ML job types and renders them as natural-language recommendations via templates like 'Across the last {window}, {top_param} was a suspected contributor to {defect_count} {defect_name} events ({lift:.1f}x lift, p={pvalue:.3f}). Consider reviewing the {top_param} setpoint range during {time_pattern}.' Frontend SuggestionsPage with brand-styled cards. License-gated to ProPlus and Enterprise.</t>
  </si>
  <si>
    <t xml:space="preserve">Page loads, shows 5-10 evidence-based recommendations from CorrelationResult. Each links back to the originating Correlation analysis. Brand voice strict: uses 'suspected contributor', 'evidence-based', 'rule-based' — never 'predicted root cause' or 'AI'. Locked overlay for Lite/Pro tiers.</t>
  </si>
  <si>
    <t xml:space="preserve">PPIQ-WF-020</t>
  </si>
  <si>
    <t xml:space="preserve">PageDefinition Generic Abstraction</t>
  </si>
  <si>
    <t xml:space="preserve">Page Builder</t>
  </si>
  <si>
    <t xml:space="preserve">Vision §2.1 says 'user can create or delete or modify any page' — not only dashboards. Add a PageDefinition entity: PageCode, PageTitle, RouteSlug, LayoutType (single-dashboard / multi-dashboard / investigation-flow / free-form), AllowedWidgetTypes[], MenuVisibility, LicenseRequired, RoleVisibility[], CreatedBy, CreatedAt. Migrate existing DashboardDefinition into a PageDefinition of LayoutType=single-dashboard. UI: sidebar reads from PageDefinition for user-created entries. Direct URL /pages/{slug} works.</t>
  </si>
  <si>
    <t xml:space="preserve">User creates page 'Quality War Room' with multi-dashboard layout. Appears in sidebar after save. Direct URL /pages/quality-war-room works after browser refresh. Role/license restrictions enforced on access. Existing dashboards still render (migration preserved).</t>
  </si>
  <si>
    <t xml:space="preserve">PPIQ-WF-021</t>
  </si>
  <si>
    <t xml:space="preserve">Live License Tier Toggle (Backend + Frontend Re-render)</t>
  </si>
  <si>
    <t xml:space="preserve">Licensing / Demo</t>
  </si>
  <si>
    <t xml:space="preserve">Vision §4.2 requires demonstrating live license tier toggling in front of a customer. (Backend) Add POST /admin/license/tier-override (Admin only) that switches the in-memory tier without app restart. LicenseService is singleton today; refactor to re-read on demand or use IOptionsMonitor&lt;LicenseOptions&gt;. Audit-log every override. (Frontend) LicenseGate component must subscribe to a TanStack Query cache of /admin/license/status with manual invalidation. After tier change, invalidate. Any LockedFeatureOverlay around the page re-evaluates and either appears or disappears within 1-2 seconds, no page refresh.</t>
  </si>
  <si>
    <t xml:space="preserve">Demo flow: log in as Admin on Pro Plus, see ML Readiness unlocked. POST tier-override to Lite. Without page refresh, ML Readiness shows LockedFeatureOverlay within 2 seconds. POST tier-override back to Pro Plus. Feature unlocks within 2 seconds. AuditLogEntry records both overrides.</t>
  </si>
  <si>
    <t xml:space="preserve">PPIQ-WF-022</t>
  </si>
  <si>
    <t xml:space="preserve">Demo Lifecycle Reset Endpoint + Frontend Button</t>
  </si>
  <si>
    <t xml:space="preserve">Demo Lifecycle</t>
  </si>
  <si>
    <t xml:space="preserve">Today DemoLifecycleEndpoints.cs has only GET /demo/lifecycle (read-only proof). DemoLifecycleService is 584L but read-only. Add POST /demo-lifecycle/reset (PlantProcessAdmin only) + ResetCustomerStateAsync method that drops all customer-side configuration in a single transaction: ConnectionProfile, SourceDatasetDefinition, SourceFieldDefinition, MappingDefinition, SchemaViewDefinition, KpiDefinition, non-system JobDefinition + JobRunHistory, non-system DashboardDefinition + DashboardWidgetDefinition, CorrelationResult, CorrelationAnalysisDefinition. Preserves: AspNetUsers, AspNetRoles, IndustryTemplate, AuditLogEntry (immutable), license config. Returns row-count summary. Frontend: 'Reset Demo State' button (Hot Red) in Admin → Demo Lifecycle with type-DELETE-to-confirm modal.</t>
  </si>
  <si>
    <t xml:space="preserve">POST /demo-lifecycle/reset returns 200 + per-table row counts. AuditLog rows preserved (immutability test still passes). Users + roles preserved. Re-running demo from scratch works. Frontend modal requires typing DELETE. Non-Admin roles do not see the button.</t>
  </si>
  <si>
    <t xml:space="preserve">PPIQ-WF-023</t>
  </si>
  <si>
    <t xml:space="preserve">Tenant Isolation Decision Lock — Single-Tenant SOW</t>
  </si>
  <si>
    <t xml:space="preserve">Security / Multi-Tenancy</t>
  </si>
  <si>
    <t xml:space="preserve">For paid pilots, either implement explicit TenantId across tenant-owned entities OR explicitly lock the commercial package to single-tenant deployment. Recommended path for GTM Phase 1-2: lock to single-tenant. Document this in Documentation/security/SINGLE_TENANT_DEPLOYMENT_POLICY.md (covering: each customer gets isolated DB + isolated container deployment; no cross-customer data access by design; revisit at first multi-tenant prospect). Reflect in the Pilot SOW template (T3-026). If implementation path is chosen instead: Tenant entity, tenant-aware query filters, tenant claim in JWT, cross-tenant access test.</t>
  </si>
  <si>
    <t xml:space="preserve">Decision documented + signed off by founder. If single-tenant lock: SOW template and Pilot Agreement explicitly state single-tenant deployment. Diagnostic SOW template references this constraint. If implementation: security test creates Tenant A and B; user A cannot read B's data; all 27 endpoint groups filter by tenant.</t>
  </si>
  <si>
    <t xml:space="preserve">PPIQ-WF-024</t>
  </si>
  <si>
    <t xml:space="preserve">Audit Log Production Hardening + Query Endpoint</t>
  </si>
  <si>
    <t xml:space="preserve">Audit / Compliance</t>
  </si>
  <si>
    <t xml:space="preserve">Current audit log: domain entity, EF mapping, middleware (230L), service (70L), 095/096 SQL scripts. Complete production-grade proof: (a) Deploy 095 on Hetzner to create plantprocess_app role separate from plantprocess_owner; (b) Apply REVOKE UPDATE/DELETE/TRUNCATE ON audit_log_entries FROM plantprocess_app; (c) Switch app connection string to plantprocess_app role; (d) Add admin query endpoint GET /admin/audit-log with filters (user, route, method, entity, date range, correlation ID); (e) Frontend audit log view with these filters.</t>
  </si>
  <si>
    <t xml:space="preserve">Production app cannot UPDATE/DELETE/TRUNCATE audit_log_entries even via raw SQL. AuditLogImmutabilityTests (237L) still pass. Admin views audit log with filters; queries return results. Audit records include user, route, method, correlation ID, entity, action, timestamp, result. Documented in security runbook.</t>
  </si>
  <si>
    <t xml:space="preserve">PPIQ-WF-025</t>
  </si>
  <si>
    <t xml:space="preserve">Bootstrap Admin Lockout after First Real Admin</t>
  </si>
  <si>
    <t xml:space="preserve">Security / Auth</t>
  </si>
  <si>
    <t xml:space="preserve">AuthEndpoints.cs / AuthOptions.cs were touched 24 May 14:34/14:36. Verify bootstrap admin lockout is wired. If not: add force_password_change_on_first_login flag on the bootstrap account; at login time, if any non-bootstrap PlantProcessAdmin exists, refuse bootstrap login with 403 'Bootstrap account locked. Use your real admin account.'</t>
  </si>
  <si>
    <t xml:space="preserve">Integration test: create bootstrap admin, create real admin, attempt bootstrap login → gets 403. Real admin can still log in. Bootstrap is auto-locked after first real admin creation.</t>
  </si>
  <si>
    <t xml:space="preserve">PPIQ-HARD-001</t>
  </si>
  <si>
    <t xml:space="preserve">ErrorBoundary Verification Audit (every route)</t>
  </si>
  <si>
    <t xml:space="preserve">Error Handling / Diagnostics</t>
  </si>
  <si>
    <t xml:space="preserve">ErrorBoundary.tsx (146L, modified 24 May) is wired around 14 routes in App.tsx. Verification audit: artificially throw a runtime error in each route's main component (Dashboard, Materials, Risk, Data Quality, Correlations, ML Readiness, Demo Lifecycle, Admin DB, Admin Schema, Admin Jobs, Brand, Commercial License, Suggestions, Investigations). App shell must remain visible (sidebar + nav), branded fallback appears in the affected route's region, beacon to /diagnostics/client-error fires with reference ID. Playwright assertion: no white-screen scenario.</t>
  </si>
  <si>
    <t xml:space="preserve">All 14 routes pass the artificial-error test. Backend /diagnostics/client-error logs each error. Playwright suite covers all routes. No white screen ever occurs even on uncaught exceptions.</t>
  </si>
  <si>
    <t xml:space="preserve">PPIQ-HARD-002</t>
  </si>
  <si>
    <t xml:space="preserve">Toast Notification System — Mapping Audit</t>
  </si>
  <si>
    <t xml:space="preserve">API Client / UX Feedback</t>
  </si>
  <si>
    <t xml:space="preserve">Sonner toast system is wired in apiClient with endpoint-path dedup. Audit: every API failure mode produces a clear customer-safe toast with mapped friendly message. Verify 400 (validation), 401 (session expired), 403 (license-gated), 404 (not found), 409 (conflict), 422 (semantic validation), 5xx (server), network/timeout. No raw stack trace. No silent button click. Same endpoint failing repeatedly within 3s shows only one toast.</t>
  </si>
  <si>
    <t xml:space="preserve">Simulate each of the 8 failure types on at least 3 endpoints. User sees exactly one clear toast per failure. No raw JSON or stack trace visible. Dedup works (verified by rapid-fire same-endpoint failures).</t>
  </si>
  <si>
    <t xml:space="preserve">PPIQ-HARD-003</t>
  </si>
  <si>
    <t xml:space="preserve">API Timeout + Idempotent Retry Policy with Specific Numbers</t>
  </si>
  <si>
    <t xml:space="preserve">API Client</t>
  </si>
  <si>
    <t xml:space="preserve">Replace long perceived hangs with demo-safe timeouts: GET 6s, POST 12s, PUT 12s, PATCH 12s, DELETE 8s. Retry idempotent GET once on timeout/network only — never on 4xx/5xx. Never retry POST/PUT/PATCH/DELETE (avoid double-submit). Loading state always exits after timeout. Apply uniformly via apiClient.ts.</t>
  </si>
  <si>
    <t xml:space="preserve">Unit test: GET retries once on AbortError, returns toast on second failure. POST does not retry. Timeout fires within configured window. UI exits loading state. Constant values for DEFAULT_TIMEOUTS verified to be {GET:6000, POST:12000, PUT:12000, PATCH:12000, DELETE:8000} in apiClient.ts.</t>
  </si>
  <si>
    <t xml:space="preserve">PPIQ-HARD-004</t>
  </si>
  <si>
    <t xml:space="preserve">Direct Route + Browser Refresh Contract</t>
  </si>
  <si>
    <t xml:space="preserve">Routing / State Management</t>
  </si>
  <si>
    <t xml:space="preserve">Every route must work from: cold load, direct URL paste, refresh during mid-load, browser back/forward. Pages cannot rely on prior in-app state alone. Required routes: /dashboard, /materials, /risk, /data-quality, /correlations, /ml-readiness, /demo-lifecycle, /admin/db, /admin/schema, /admin/jobs, /brand, /commercial/license, /investigations, /suggestions. Auth redirect must preserve return URL.</t>
  </si>
  <si>
    <t xml:space="preserve">Playwright suite opens each route directly after login. Refreshes mid-load. No redirect to wrong page unless unauthenticated. No console errors. Return-URL preservation tested: visit /materials while logged out → redirect to /login → after login → land back on /materials.</t>
  </si>
  <si>
    <t xml:space="preserve">PPIQ-HARD-005</t>
  </si>
  <si>
    <t xml:space="preserve">Production Build + Zero-Console-Error CI Gate</t>
  </si>
  <si>
    <t xml:space="preserve">CI / Browser QA</t>
  </si>
  <si>
    <t xml:space="preserve">Add a release gate stage to Jenkinsfile: run frontend production build (npm run build), start the app against API, run Playwright core-route smoke suite, FAIL if browser console contains errors, uncaught exceptions, uncontrolled 5xx responses, or visible stack traces. This prevents 'works in dev, broken in prod' regressions from reaching the customer demo.</t>
  </si>
  <si>
    <t xml:space="preserve">npm run build passes. Playwright production smoke passes. Console-error count is zero (excluding explicitly allow-listed warnings documented in Frontend/PlantProcess.Web/playwright-allowed-warnings.json). CI fails if any new console error appears.</t>
  </si>
  <si>
    <t xml:space="preserve">PPIQ-HARD-006</t>
  </si>
  <si>
    <t xml:space="preserve">Full Button / Action Matrix QA</t>
  </si>
  <si>
    <t xml:space="preserve">QA Automation</t>
  </si>
  <si>
    <t xml:space="preserve">Inventory every button, dropdown, modal, save action, run action, preview action, export action, reset action, navigation item across the app. For each, document: expected state, required role, required license tier, success feedback, failure feedback, disabled-reason tooltip. Convert critical actions into Playwright tests. No button silently does nothing; disabled buttons must show a tooltip explaining why.</t>
  </si>
  <si>
    <t xml:space="preserve">Frontend/PlantProcess.Web/qa-matrix/ACTION_MATRIX.md contains the inventory (estimated 200+ actions). Playwright clicks all Critical-severity actions. Disabled buttons explain why on hover (using StandardButton tooltip slot). Audit report shows zero silent buttons.</t>
  </si>
  <si>
    <t xml:space="preserve">PPIQ-HARD-007</t>
  </si>
  <si>
    <t xml:space="preserve">Material Investigation Performance Hardening</t>
  </si>
  <si>
    <t xml:space="preserve">Material Investigation</t>
  </si>
  <si>
    <t xml:space="preserve">MaterialInvestigationEndpoints.cs (388L, modified 24 May 13:09) — verify server-side pagination on parameter_observations query: Take param (default 500, max 5000), Skip param (default 0), TotalCount in response. Avoid loading 10,000+ observations at once. Add summary endpoint that returns counts only for fast first paint. Frontend: 'Show more' pagination, virtualized list when count &gt; 500. Add indexes if missing: parameter_observation(material_unit_id, observed_at), quality_event(material_unit_id).</t>
  </si>
  <si>
    <t xml:space="preserve">Manual test: investigate a material with 10,000+ observations. Summary loads in &lt;1s. First 500 observations render in &lt;2s. 'Show more' loads next page in &lt;1s. No browser freeze. Integration test asserts the endpoint returns TotalCount and respects Take/Skip.</t>
  </si>
  <si>
    <t xml:space="preserve">PPIQ-HARD-008</t>
  </si>
  <si>
    <t xml:space="preserve">Dashboard Query Performance Budget</t>
  </si>
  <si>
    <t xml:space="preserve">Dashboarding / Aggregation</t>
  </si>
  <si>
    <t xml:space="preserve">Define hard performance targets: first widget appears within 800ms of dashboard navigation, full dashboard (12 widgets) renders within 3s, filter change updates all widgets within 1.5s. Achieve by: pre-aggregated materialized views for common GroupBy patterns (shift, hour, day, defect_type), indexes on every join column used by Widget Script Layer, avoid SELECT * over large parameter_observation table.</t>
  </si>
  <si>
    <t xml:space="preserve">Performance baseline documented in Backend/docs/PERFORMANCE_BASELINE.md. Playwright timing assertion: dashboard with 12 widgets renders within 3s on demo data (T3-011). Filter change measured under 1.5s. EXPLAIN ANALYZE on every Widget Script Layer query shows index usage, no sequential scans on &gt;1M-row tables.</t>
  </si>
  <si>
    <t xml:space="preserve">PPIQ-HARD-009</t>
  </si>
  <si>
    <t xml:space="preserve">Controlled Backend-Outage States</t>
  </si>
  <si>
    <t xml:space="preserve">Async State / Error State</t>
  </si>
  <si>
    <t xml:space="preserve">Every page must show a customer-safe unavailable/error state if backend is down. No raw JSON, no stack trace, no 'undefined', no blank page. Include retry button + a 'contact support if persists' message. Use the DataFetchBoundary (T2-009) approach as the canonical pattern.</t>
  </si>
  <si>
    <t xml:space="preserve">Simulate 503 for each major page. UI shows controlled error card. No uncaught console errors. No page crash. Retry button retries the failed call. Playwright outage tests pass.</t>
  </si>
  <si>
    <t xml:space="preserve">PPIQ-HARD-010</t>
  </si>
  <si>
    <t xml:space="preserve">Legacy API Client Shrink — Continued Migration + No-Growth Guard</t>
  </si>
  <si>
    <t xml:space="preserve">API Architecture</t>
  </si>
  <si>
    <t xml:space="preserve">noLegacyApiGrowth.test.ts is in place (architecture-as-test). Continue strangler migration from Frontend/PlantProcess.Web/src/api/legacy/plantProcessApi.ts (1,264L modified today 13:10) into domain-specific clients under src/api/{admin, analytics, dashboarding, integration, license, ml, demo}. Each migrated function moves with its types; legacy file shrinks. plantProcessApi.contract.test.ts (added today 14:59) catches broken contracts during migration.</t>
  </si>
  <si>
    <t xml:space="preserve">Quarterly checkpoint: legacy file size has decreased month-over-month. New API functions are NEVER added to legacy file (architecture test enforces). Type exports remain stable (no client breaking change).</t>
  </si>
  <si>
    <t xml:space="preserve">PPIQ-HARD-011</t>
  </si>
  <si>
    <t xml:space="preserve">Live Demo Stress-Test Protocol</t>
  </si>
  <si>
    <t xml:space="preserve">Demo QA</t>
  </si>
  <si>
    <t xml:space="preserve">Author Documentation/qa/STRESS_TEST_PROTOCOL.md — a repeatable scenario script: random clicking sequence, refresh during mid-load, resize window down to mobile size, rapid filter changes, run jobs while another is mid-flight, save invalid forms, disconnect backend, narrow filters to empty data, open multiple modals, cancel saves mid-call, switch license tier mid-session. Run 3 sessions before demo. Severity triage Critical/High/Medium/Low per the Demo Hardening Plan. Critical/High closed before customer demo; Medium/Low to backlog.</t>
  </si>
  <si>
    <t xml:space="preserve">Three stress-test sessions executed and recorded. Defect list produced with severity triage. All Critical/High closed pre-demo. Medium/Low filed as backlog issues with task IDs.</t>
  </si>
  <si>
    <t xml:space="preserve">PPIQ-HARD-012</t>
  </si>
  <si>
    <t xml:space="preserve">StandardButton Component + Site-Wide Audit-Replace</t>
  </si>
  <si>
    <t xml:space="preserve">Components / Common / Button</t>
  </si>
  <si>
    <t xml:space="preserve">Build Frontend/PlantProcess.Web/src/components/common/StandardButton.tsx with props: variant (primary/secondary/tertiary/destructive/ghost), size (sm/md/lg), isLoading (spinner overlay), isDisabled, disabledReason (tooltip), leadingIcon, trailingIcon, fullWidth, type. Colors per brand spec (Electric Blue #0A84FF primary, Industrial Blue #102A43 secondary, Hot Red #FF4D6D destructive). Inter Semi-Bold 14px text. 8px border-radius. Hover darkens 10%. Focus 2px Electric Cyan outline. Then site-wide audit-replace: grep '&lt;button' across src and replace with StandardButton. ESLint rule prevents new raw &lt;button&gt; outside allow-listed primitives. Particular attention to MaterialInvestigationPage button-style mismatch the founder named.</t>
  </si>
  <si>
    <t xml:space="preserve">Component documented in Storybook with all variants. All four states (default/hover/focus/disabled) visually match brand spec. Grep '&lt;button' across src returns zero non-StandardButton hits. MaterialInvestigationPage 4-button consistency verified visually. ESLint rule passes CI.</t>
  </si>
  <si>
    <t xml:space="preserve">PPIQ-HARD-013</t>
  </si>
  <si>
    <t xml:space="preserve">StandardTable Component + Site-Wide Rollout</t>
  </si>
  <si>
    <t xml:space="preserve">Components / Common / Table</t>
  </si>
  <si>
    <t xml:space="preserve">Build StandardTable.tsx wrapping SortableDataTable (which already virtualizes for &gt;200 rows). Consistent header (Industrial Blue background, Near-White text), row hover (subtle Electric Cyan at 5% opacity), row density (compact/standard/comfortable), built-in empty-state slot, built-in error-state slot. Replace every raw &lt;table&gt; and direct SortableDataTable usage. Verify consistent appearance across Admin DB Config, Schema Config, Jobs Monitor, Materials list, Investigation Page, Correlation runs list.</t>
  </si>
  <si>
    <t xml:space="preserve">Storybook shows 3 density variants + empty + error states. Visual review across all pages shows uniform table styling. Empty states consistent. No raw &lt;table&gt; remains.</t>
  </si>
  <si>
    <t xml:space="preserve">PPIQ-HARD-014</t>
  </si>
  <si>
    <t xml:space="preserve">StandardTabs Component + Site-Wide Rollout</t>
  </si>
  <si>
    <t xml:space="preserve">Components / Common / Tabs</t>
  </si>
  <si>
    <t xml:space="preserve">Build StandardTabs.tsx with consistent active/inactive styling (Electric Cyan underline for active, Muted Steel for inactive, per brand spec), keyboard navigation (left/right arrow, home/end), URL hash sync for deep-linking. Replace every tab implementation across Admin section, Correlation runs, Investigation page sub-views.</t>
  </si>
  <si>
    <t xml:space="preserve">Storybook shows component with 2/3/5 tabs. Keyboard navigation works. URL hash mode preserves state on refresh. Every tab UI in the app uses StandardTabs.</t>
  </si>
  <si>
    <t xml:space="preserve">PPIQ-HARD-015</t>
  </si>
  <si>
    <t xml:space="preserve">PageGrid Layout + Spacing Token System</t>
  </si>
  <si>
    <t xml:space="preserve">Components / Common / Layout</t>
  </si>
  <si>
    <t xml:space="preserve">Create PageGrid.tsx with consistent padding, max-width, grid alignment. Establish spacing tokens (4/8/12/16/24/32/48/64 px) referenced via CSS variables and Tailwind-style utility classes. Document in Frontend/docs/design-tokens.md. Apply across all pages.</t>
  </si>
  <si>
    <t xml:space="preserve">All pages use PageGrid. Visual review confirms consistent left-right padding and vertical rhythm. Tokens documented.</t>
  </si>
  <si>
    <t xml:space="preserve">PPIQ-HARD-016</t>
  </si>
  <si>
    <t xml:space="preserve">DataFetchBoundary Component + Audit-Replace Widget Loading</t>
  </si>
  <si>
    <t xml:space="preserve">Components / Common / Boundaries</t>
  </si>
  <si>
    <t xml:space="preserve">Build DataFetchBoundary.tsx wrapping any data-loading region. Props: queryKey, fetcher, errorFallback, skeletonFallback. Behaviour: shows structure-preserving skeleton during initial load; on network/timeout retries once silently with 500ms back-off; on retry failure shows brand-styled error card with Retry button (not generic 'could not load'); preserves layout to prevent reflow. Wrap every widget render in DashboardPageContent.tsx. Addresses founder's stated rule: 'I will never accept widget showing could not load and after try again it come to work.'</t>
  </si>
  <si>
    <t xml:space="preserve">Component wraps a deliberately-flaky endpoint: shows skeleton → silently retries on first failure → only shows error UI after second failure. Throttle network to 3G and reload a dashboard with 10 widgets: no 'could not load' visible; all show skeletons. Kill backend for 5s: widgets retry silently, then show graceful error.</t>
  </si>
  <si>
    <t xml:space="preserve">PPIQ-HARD-017</t>
  </si>
  <si>
    <t xml:space="preserve">Loading Skeleton Component Set</t>
  </si>
  <si>
    <t xml:space="preserve">Components / Common / Skeleton</t>
  </si>
  <si>
    <t xml:space="preserve">Build Frontend/PlantProcess.Web/src/components/common/skeletons/ with SkeletonLine, SkeletonCard, SkeletonTable (accepts rowCount + columnCount), SkeletonChart (with axis lines and grid pattern). Each preserves layout (no spinner). Subtle shimmer in Panel Navy / Electric Cyan range. Roll out across pages, replacing every LoadingPanel.</t>
  </si>
  <si>
    <t xml:space="preserve">Storybook displays all four skeletons. Shimmer animation at 60fps. Visual review confirms layout preservation matches post-load content. Grep 'LoadingPanel' shows the component is deleted or restricted to ≤2 documented use cases. Slow API simulation shows skeleton within 200ms.</t>
  </si>
  <si>
    <t xml:space="preserve">PPIQ-HARD-018</t>
  </si>
  <si>
    <t xml:space="preserve">Widget Resize Handles + Minimize / Maximize Controls</t>
  </si>
  <si>
    <t xml:space="preserve">Components / Dashboard / Widgets</t>
  </si>
  <si>
    <t xml:space="preserve">Today widgets are draggable but not resizable; no minimize/maximize. Adopt react-grid-layout (or dnd-kit/resizable). Persist {x, y, w, h} per widget in LayoutJson. Resize handles visible on bottom-right hover; min 2x2 grid units, max 12x6. Add minimize (collapse to title bar) and maximize (overlay full-screen on Panel Navy backdrop, Esc closes) buttons in widget header. State persists across reload.</t>
  </si>
  <si>
    <t xml:space="preserve">User drags widget bottom-right corner to resize; persists across reload. Widget content (chart, table) re-renders smoothly. Min/max bounds enforced. Click minimize → collapses to title; click again → expands. Click maximize → covers viewport; Esc closes. State persists.</t>
  </si>
  <si>
    <t xml:space="preserve">PPIQ-HARD-019</t>
  </si>
  <si>
    <t xml:space="preserve">Heat Map Widget Verification</t>
  </si>
  <si>
    <t xml:space="preserve">Components / Dashboard / Widgets / HeatMap</t>
  </si>
  <si>
    <t xml:space="preserve">Founder §4.2: 'Heat map works correctly.' Verify or build HeatMapWidget rendering 2D matrix (e.g., parameter intensity by hour-of-day × shift). Color scale legend, hover tooltip with exact value, click-to-drill-down. Brand colors: Electric Cyan (low) → Industrial Blue (mid) → Hot Red (high) gradient. Wire to Widget Script Layer (T1-013) so customer can configure dimensions via DSL.</t>
  </si>
  <si>
    <t xml:space="preserve">Heatmap renders 24x7 (hour x day) with cell tooltips. Color scale legend visible. Drill-down click handler fires correct event. Matches brand palette. Configurable via Widget Builder script step. Works with filter/sort.</t>
  </si>
  <si>
    <t xml:space="preserve">PPIQ-HARD-020</t>
  </si>
  <si>
    <t xml:space="preserve">All Chart Widget Types Interactive (filter + sort) Audit</t>
  </si>
  <si>
    <t xml:space="preserve">Founder §4.1: all widgets dynamic interactive with filter/sort. Audit every chart type (bar, line, scatter, pie, donut, heatmap, KPI tile, table). For each: filter prop must update displayed data without remount; sort prop must reorder consistently; legend click toggles series; zoom/pan works on time-series; export-to-CSV/PNG actions work.</t>
  </si>
  <si>
    <t xml:space="preserve">Per-widget checklist completed. Every chart type passes the 5 checks. Documented widget audit report. Any failing widget filed as a Hardening sub-task.</t>
  </si>
  <si>
    <t xml:space="preserve">PPIQ-HARD-021</t>
  </si>
  <si>
    <t xml:space="preserve">Drag-Drop Performance Measurement + Widget Memoization Audit</t>
  </si>
  <si>
    <t xml:space="preserve">Performance / Dashboard</t>
  </si>
  <si>
    <t xml:space="preserve">DragGhost + dragPerformance utils added today. Measure actual fps during drag on 15-widget dashboard via Chrome DevTools Performance. Target: 60fps sustained, no long tasks &gt;50ms. If failing, optimise. Also audit widget components for React.memo with custom equality, useMemo for derived chart data, useCallback for handlers. Use React DevTools Profiler to find wasted renders.</t>
  </si>
  <si>
    <t xml:space="preserve">Chrome DevTools recording during 5s drag shows 60fps. React DevTools Profiler on filter change shows only affected widgets re-render. Documented baseline numbers in Frontend/docs/PERFORMANCE_BASELINE.md.</t>
  </si>
  <si>
    <t xml:space="preserve">PPIQ-HARD-022</t>
  </si>
  <si>
    <t xml:space="preserve">Optimistic Save UI on All Forms</t>
  </si>
  <si>
    <t xml:space="preserve">Forms / UX</t>
  </si>
  <si>
    <t xml:space="preserve">Every save action (DB Config, Schema Config, Mapping, KPI, Dashboard, Widget Builder) must: (a) show 'Saving…' button state within 50ms; (b) on success show toast + update visible state immediately (don't wait for refetch); (c) on failure restore prior state + show inline + toast error. Use TanStack Query optimistic update pattern.</t>
  </si>
  <si>
    <t xml:space="preserve">On every form: click Save → immediately see Saving… → toast within typical latency. Simulate backend failure: state rolls back, error shown. Audited across all forms.</t>
  </si>
  <si>
    <t xml:space="preserve">PPIQ-HARD-023</t>
  </si>
  <si>
    <t xml:space="preserve">Inline Form Validation Rollout Across All Admin Forms</t>
  </si>
  <si>
    <t xml:space="preserve">Forms / Admin</t>
  </si>
  <si>
    <t xml:space="preserve">useInlineFormValidation hook + InlineFieldError component added today. Apply across: DB Configuration, Schema Configuration, Importing Data, Jobs Monitor, Dashboard, Widget Builder. Red asterisk on required fields. Inline error on blur. Format validation (e.g., negative interval blocked). Async uniqueness check on view code. License-floor inline help (e.g., 'Pro tier required for sub-15-minute interval').</t>
  </si>
  <si>
    <t xml:space="preserve">Every form: empty required field shows red asterisk + inline error on blur. Format violations blocked. Async uniqueness returns inline error on duplicate. License-floor inline help displays correctly per tier.</t>
  </si>
  <si>
    <t xml:space="preserve">PPIQ-HARD-024</t>
  </si>
  <si>
    <t xml:space="preserve">Stale-State Polling Integration in Jobs Monitor</t>
  </si>
  <si>
    <t xml:space="preserve">Admin / JobsMonitor</t>
  </si>
  <si>
    <t xml:space="preserve">useLatestOnlyPolling.ts hook added today. Apply to JobsMonitorTab: when remote update arrives during edit (e.g., job status change while drawer open), show 'This job was updated by another session' banner with Refresh button. Auto-accept after 5s of inactivity.</t>
  </si>
  <si>
    <t xml:space="preserve">Tab A edits job; Tab B changes job status. Tab A shows banner. Click Refresh: drawer re-populates. After 5s inactivity, banner auto-dismisses and state refreshes.</t>
  </si>
  <si>
    <t xml:space="preserve">PPIQ-HARD-025</t>
  </si>
  <si>
    <t xml:space="preserve">Six Failure-Modes Consistency Audit</t>
  </si>
  <si>
    <t xml:space="preserve">ApiClient / UX</t>
  </si>
  <si>
    <t xml:space="preserve">Standardise every API caller for: 4xx validation (inline field + toast), 401 (redirect to login preserving return URL), 403 (LockedFeatureOverlay), 404 (empty-state with back-to-list), 409 (conflict modal 'modified by someone else, refresh?'), 422 (semantic validation field-level), 5xx (graceful banner + retry), network drop (silent retry via DataFetchBoundary). Toast system done; audit pass to apply everywhere is owed.</t>
  </si>
  <si>
    <t xml:space="preserve">Test matrix: trigger each failure mode on ≥3 endpoints. Behavior matches spec. Documented in Frontend/docs/failure-modes.md.</t>
  </si>
  <si>
    <t xml:space="preserve">PPIQ-HARD-026</t>
  </si>
  <si>
    <t xml:space="preserve">Progress Percentage Indicator for Long Operations</t>
  </si>
  <si>
    <t xml:space="preserve">Common / Progress</t>
  </si>
  <si>
    <t xml:space="preserve">Founder §2.1: 'if it will take longer for large dataset should appear some loading icon with some progress percentage'. Build ProgressBar component (linear, Electric Blue fill on Panel Navy track). Wire to long-running backend operations: import jobs (rows imported / total), data quality scans (records scanned), correlation jobs (heats processed), PDF report generation (sections rendered). Use SignalR or 1Hz polling for live updates.</t>
  </si>
  <si>
    <t xml:space="preserve">Trigger 10k-row import: progress bar fills smoothly 0→100%. Cancel button appears mid-op. Numbers update at least once per second.</t>
  </si>
  <si>
    <t xml:space="preserve">PPIQ-HARD-027</t>
  </si>
  <si>
    <t xml:space="preserve">Endpoint / SQL / PK / FK Systematic Integrity Audit</t>
  </si>
  <si>
    <t xml:space="preserve">API / Database</t>
  </si>
  <si>
    <t xml:space="preserve">Founder §2.2 verbatim: 'resise every single current and further API and corresponding endpoint with corresponding sql query, table and join — make sure no expected failure due to any reason or problem in PK or FK or any reason'. For every endpoint: trace primary EF query, verify all referenced FKs in matching XxxConfiguration.cs, verify indexes on join + WHERE columns, verify cascade-delete behaviour is intentional (orphans handled explicitly or fail loudly). Document each verified path in Backend/database/audit/INTEGRITY_AUDIT.md.</t>
  </si>
  <si>
    <t xml:space="preserve">Audit doc covers all 27 endpoint groups. Indexes verified per join column. FK cascades documented. Issues found are fixed via migrations; doc records the fix.</t>
  </si>
  <si>
    <t xml:space="preserve">PPIQ-HARD-028</t>
  </si>
  <si>
    <t xml:space="preserve">Responsive Design Audit + Multi-Browser Testing</t>
  </si>
  <si>
    <t xml:space="preserve">Responsive / Cross-Browser</t>
  </si>
  <si>
    <t xml:space="preserve">Founder §1.6: 'web page should appear correct with every page size on any screen size on any browser type on http or https and readjust properly'. Test at 1366×768 (presenter), 1920×1080 (desk), 2560×1440 (4K), 1024×768 (tablet). Fix overflows, broken grids. Test in Chrome, Firefox, Edge, Safari. Verify both http→https redirect path.</t>
  </si>
  <si>
    <t xml:space="preserve">Screenshots at each resolution show no broken layouts. App works correctly in all four browsers. http→https redirect works. Documented breakpoints + browser quirks.</t>
  </si>
  <si>
    <t xml:space="preserve">PPIQ-HARD-029</t>
  </si>
  <si>
    <t xml:space="preserve">Focused QA Pass on the 5 Most Complex Pages</t>
  </si>
  <si>
    <t xml:space="preserve">QA / Manual</t>
  </si>
  <si>
    <t xml:space="preserve">Five-scenario QA pass on each: WidgetBuilderWizardContent (1,500+L) — resume after refresh, backend reject, license downgrade mid-edit, network drop on save, edit-conflict, stale measure list, cancel-mid-edit confirm. AdminDbConfigurationTab (1,046L) — create→smoke-fail→retry, concurrent admin edit, license-blocked connector, delete with active datasets. AdminSchemaConfigurationTab (916L) — SafeSql rejection, statement_timeout, save-invalid-then-fix, activate-without-approval, concurrent edit. DashboardPageContent — delete-while-viewing, rapid filter, refresh-during-load, bad URL. JobsMonitorTab — crash mid-run, run-now-while-scheduled, rapid disable/enable, stale-state.</t>
  </si>
  <si>
    <t xml:space="preserve">Documented qa-matrix files for all 5 pages. All scenarios verified pass. Bugs found logged separately with severity.</t>
  </si>
  <si>
    <t xml:space="preserve">PPIQ-HARD-030</t>
  </si>
  <si>
    <t xml:space="preserve">Component Smoke Tests for High-Risk Files</t>
  </si>
  <si>
    <t xml:space="preserve">Tests / Components</t>
  </si>
  <si>
    <t xml:space="preserve">Three component test files added today. Add for remaining high-risk files: WidgetBuilderWizardContent.test.tsx (smoke + 3 key user flows), DashboardPageContent.test.tsx, AdminDbConfigurationTab.test.tsx, AdminSchemaConfigurationTab.test.tsx, CorrelationPage.test.tsx. Total +5 files / +15 test cases.</t>
  </si>
  <si>
    <t xml:space="preserve">All five test files exist and pass in CI. Component test count grows by ≥5 files / ≥15 cases.</t>
  </si>
  <si>
    <t xml:space="preserve">PPIQ-HARD-031</t>
  </si>
  <si>
    <t xml:space="preserve">Playwright E2E Navigation + Refresh-Survival Suite</t>
  </si>
  <si>
    <t xml:space="preserve">Tests / E2E</t>
  </si>
  <si>
    <t xml:space="preserve">Playwright suite covering: every route loads cold; every route survives hard refresh mid-page; navigation graph (every nav link). Run nightly in CI.</t>
  </si>
  <si>
    <t xml:space="preserve">Suite has ≥30 test cases covering all wrapped routes. Suite passes consistently in CI. Nightly run reports in Jenkins.</t>
  </si>
  <si>
    <t xml:space="preserve">PPIQ-HARD-032</t>
  </si>
  <si>
    <t xml:space="preserve">Bundle Size CI Check</t>
  </si>
  <si>
    <t xml:space="preserve">Build / CI</t>
  </si>
  <si>
    <t xml:space="preserve">Add tools/check-bundle-size.mjs that fails CI if main bundle &gt; 500 KB gzipped, vendor chunk &gt; 800 KB gzipped, or single chunk &gt; 300 KB gzipped. Wire into Jenkinsfile post-build stage.</t>
  </si>
  <si>
    <t xml:space="preserve">CI on main passes. Deliberately import a large library: CI fails with descriptive size-budget violation.</t>
  </si>
  <si>
    <t xml:space="preserve">PPIQ-HARD-033</t>
  </si>
  <si>
    <t xml:space="preserve">Visual Regression Baseline</t>
  </si>
  <si>
    <t xml:space="preserve">QA / Visual</t>
  </si>
  <si>
    <t xml:space="preserve">Capture Playwright visual-comparison baseline of top 10 demo-critical pages. Run on every PR. Catches CSS regressions.</t>
  </si>
  <si>
    <t xml:space="preserve">Baseline checked in. PR diffs that change pixel ratio &gt;2% flag for review.</t>
  </si>
  <si>
    <t xml:space="preserve">PPIQ-DEMO-001</t>
  </si>
  <si>
    <t xml:space="preserve">Golden Demo Dataset — One-Month Flat Steel Story</t>
  </si>
  <si>
    <t xml:space="preserve">Demo Seed / Synthetic Data</t>
  </si>
  <si>
    <t xml:space="preserve">Build one authoritative demo dataset representing 1 month of production: ~630 heats, ~5,600 slabs/coils, across MeltShop (EAF + LF), Caster (2-strand thin slab), TF, HSM, SKP, LCT/HCT/STL, PKL/GVL, 11 Yards. Data flows through real source-shaped staging (per docker-compose source DBs T3-002 to T3-008), NOT hardcoded UI. Coherent cross-DB lineage: any coil ID traces back to slab → heat → EAF parameters → operator crew. Cross-source defect attribution traces forward from heat to QA decision.</t>
  </si>
  <si>
    <t xml:space="preserve">Validation SQL: row counts per source match spec (~630 heats / ~5,600 slabs/coils / ~5% defect rate / ~50-80 downtime events). Genealogy completeness: 100% of HSM coils trace to a slab and heat. Defect distribution: top 3 defects = 60% of events. Reset + reload via T1-022 + T3-011 is repeatable to identical state.</t>
  </si>
  <si>
    <t xml:space="preserve">PPIQ-DEMO-002</t>
  </si>
  <si>
    <t xml:space="preserve">docker-compose.demo-sources.yml — 6 Source DB Containers</t>
  </si>
  <si>
    <t xml:space="preserve">Deploy / Docker Compose</t>
  </si>
  <si>
    <t xml:space="preserve">Create Backend/Deployment/docker-compose.demo-sources.yml with 6 services: meltshop-pg (PostgreSQL 17), caster-oracle (Oracle XE 21c or 19c), hsm-oracle (separate Oracle instance or schema), pkl-mssql (SQL Server 2022 Express), downtime-mysql (MySQL 8), parsytec-mysql (separate MySQL 8). Each: persistent volume, healthcheck, exposed port on demo network only, restart=unless-stopped, env-based creds from .env.demo. App service depends_on: service_healthy for all six. Excel files mounted as volume.</t>
  </si>
  <si>
    <t xml:space="preserve">docker compose -f docker-compose.demo-sources.yml up -d: all six come up healthy within 2 minutes. App connects via ConnectionProfile entries. docker compose down -v cleans everything.</t>
  </si>
  <si>
    <t xml:space="preserve">PPIQ-DEMO-003</t>
  </si>
  <si>
    <t xml:space="preserve">MeltShop PostgreSQL Schema DDL</t>
  </si>
  <si>
    <t xml:space="preserve">Source Schemas / MeltShop PG</t>
  </si>
  <si>
    <t xml:space="preserve">Backend/database/demo-sources/meltshop/01_schema.sql. Tables: equipment, equipment_counter, refractory_history, ladle, heat (steel_grade, eaf_start/end, lf_start/end, crew_id, total_kwh, power_on_seconds, tap_temperature_c, slag_chemistry_json), sample, sample_result, component_dictionary, additive_addition, additive_dictionary, eaf_step, parameter_dictionary, parameter_observation. Indexes on heat_id, sample_time, observed_at. Read-only role 'meltshop_reader'.</t>
  </si>
  <si>
    <t xml:space="preserve">Schema applies to fresh meltshop-pg container. meltshop_reader can SELECT, cannot mutate. ERD exported to /meltshop/ERD.md.</t>
  </si>
  <si>
    <t xml:space="preserve">PPIQ-DEMO-004</t>
  </si>
  <si>
    <t xml:space="preserve">Caster Oracle Schema DDL</t>
  </si>
  <si>
    <t xml:space="preserve">Source Schemas / Caster Oracle</t>
  </si>
  <si>
    <t xml:space="preserve">Backend/database/demo-sources/caster/01_schema.sql for Oracle. Tables: heat (heat_id, crew_id, ladle_id, tundish_id, steel_grade, mould_id, sequence_id, avg_casting_speed_mpm 3.6-5.6 range, avg_mould_width_mm 1100-1650, start_time, end_time), slab (slab_id, source_heat_id, steel_grade, cut_time, strand_id, sequence_id, head_width, tail_width, slab_thickness 50-62mm avg 56, slab_length, slab_weight 8-22 t), sequence, ladle, tundish, mould, strand, sample, sample_result, component_dictionary. Double-quoted identifiers to test connector quoting.</t>
  </si>
  <si>
    <t xml:space="preserve">Schema applies. FKs enforced. ERD exported.</t>
  </si>
  <si>
    <t xml:space="preserve">PPIQ-DEMO-005</t>
  </si>
  <si>
    <t xml:space="preserve">HSM Oracle Schema DDL</t>
  </si>
  <si>
    <t xml:space="preserve">Source Schemas / HSM Oracle</t>
  </si>
  <si>
    <t xml:space="preserve">Backend/database/demo-sources/hsm/01_schema.sql for Oracle. Tables: coil, finish_temp_log, rolling_load_per_stand (F1-F7), crown_profile, surface_check, coil_to_slab linkage (cross-DB logical FK to Caster). Realistic ranges: finish temp 880-910°C, downcoil 580-660°C, coil mass 16-22 t.</t>
  </si>
  <si>
    <t xml:space="preserve">Schema applies. Cross-DB FK documented as logical only. ERD exported.</t>
  </si>
  <si>
    <t xml:space="preserve">PPIQ-DEMO-006</t>
  </si>
  <si>
    <t xml:space="preserve">PKL MSSQL Schema DDL</t>
  </si>
  <si>
    <t xml:space="preserve">Source Schemas / PKL MSSQL</t>
  </si>
  <si>
    <t xml:space="preserve">Backend/database/demo-sources/pkl/01_schema.sql for SQL Server. Tables: run, acid_concentration_log, line_speed_log, surface_condition, coil_in, coil_out. Bracket-quoted identifiers ([run]). Clustered index on (start_time, run_id).</t>
  </si>
  <si>
    <t xml:space="preserve">Schema applies to pkl-mssql container. pkl_reader role provisioned. ERD exported.</t>
  </si>
  <si>
    <t xml:space="preserve">PPIQ-DEMO-007</t>
  </si>
  <si>
    <t xml:space="preserve">Downtime + Parsytec MySQL Schema DDL</t>
  </si>
  <si>
    <t xml:space="preserve">Source Schemas / MySQL</t>
  </si>
  <si>
    <t xml:space="preserve">Downtime: downtime_event (area_id, equipment_id, start/end, production_stoppage_duration_seconds, equipment_stoppage_duration_seconds, reason_category ENUM('electrical','operation','production','mechanical','hydraulic'), description, recorded_by_crew_id), area_dictionary, reason_dictionary, equipment_dictionary. Per founder spec: 3-min water-pump stoppage in caster cascading to 4-6h production stoppage — encoded as real example rows. Parsytec: defect_event (hsm_coil_id, defect_type_id, position_m, severity, image_path, detected_at), defect_type_dictionary (sliver, scab, hole, edge crack, oil stain, dent, scale, roll mark), coil_reference.</t>
  </si>
  <si>
    <t xml:space="preserve">Both schemas apply. Realistic cascading downtime examples seeded. Defect types match real Parsytec catalog for flat steel.</t>
  </si>
  <si>
    <t xml:space="preserve">PPIQ-DEMO-008</t>
  </si>
  <si>
    <t xml:space="preserve">Yard + QA Excel Templates</t>
  </si>
  <si>
    <t xml:space="preserve">Source Schemas / Excel</t>
  </si>
  <si>
    <t xml:space="preserve">Backend/database/demo-sources/yard/yard_management.xlsx with 11 sheets per founder spec (cooling_yard_post_hsm, skp_entry/exit, lct_entry/exit, hct_entry/exit, stl_entry/exit, pkl_gvl_entry/exit, plus 4 selling/buffering/stocks yards). Columns: piece_id, piece_type (slab/coil), source_process, arrival_time, departure_time, current_location_code, customer_order_id, status, age_hours_calc. QA template qa_samples.xlsx with samples_per_coil (1 per 3 typical, up to 2 per difficult-grade), sample_results, customer_grade_overrides.</t>
  </si>
  <si>
    <t xml:space="preserve">Both Excel files open in Excel and LibreOffice. Formulas validate without reference errors. Structure ready for T3-011 data generator.</t>
  </si>
  <si>
    <t xml:space="preserve">PPIQ-DEMO-009</t>
  </si>
  <si>
    <t xml:space="preserve">Python Demo Data Generator — Full Orchestrator + Writers</t>
  </si>
  <si>
    <t xml:space="preserve">Tools / Data Generation</t>
  </si>
  <si>
    <t xml:space="preserve">Tools/demo-data-generator/generate_demo_data.py. Orchestrator walks 630 heats through plant over 30-day window. For each heat: chooses start time (24h coverage, realistic shift pattern), steel grade (weighted), tonnage 145-175t, tap-to-tap 35-55 min, then sequentially produces EAF events → LF → casting (1-2 slabs per heat) → TF transit → HSM (1-3 coils per slab) → PKL/GVL subset → yard movements → potential surface defects. Global ID coherence: heat_id 250001 in MeltShop = same heat across all 6 DBs. Writer modules per DB. Outputs lineage.json mapping every artifact to provenance.</t>
  </si>
  <si>
    <t xml:space="preserve">Run produces ~630 heats / ~5,600 slabs/coils / ~280 PKL runs / ~70 downtime events / ~280 defect events. lineage.json traceable end-to-end: pick any coil ID, walk back through HSM → Caster → MeltShop. Runs in &lt;90 seconds. Cross-DB query joining heat × slab × coil returns expected counts.</t>
  </si>
  <si>
    <t xml:space="preserve">PPIQ-DEMO-010</t>
  </si>
  <si>
    <t xml:space="preserve">Realistic Correlation Injection in Generator</t>
  </si>
  <si>
    <t xml:space="preserve">Inject 3 planted correlations the rule-based engine (T1-017) will discover: (1) casting speed &gt;5.2 m/min on Caster → +60% Parsytec sliver defect rate on HSM coils; (2) ladle refractory age &gt;75 heats → +40% slag inclusion defects visible in QA samples; (3) caster water-pump downtime events → cascade to sequence rebuilds and HSM delays. Configurable strength. Random noise so correlations are statistically detectable but not trivial.</t>
  </si>
  <si>
    <t xml:space="preserve">Run T1-017 ParamVsDefect job on generated data. Top result matches planted correlation #1 with lift &gt;2.0, p&lt;0.01. Other planted correlations also surface in top results. Documented in Tools/demo-data-generator/CORRELATIONS.md.</t>
  </si>
  <si>
    <t xml:space="preserve">PPIQ-DEMO-011</t>
  </si>
  <si>
    <t xml:space="preserve">Canonical Flat-Steel Plant Layout Seed</t>
  </si>
  <si>
    <t xml:space="preserve">Seed / Plant Layout</t>
  </si>
  <si>
    <t xml:space="preserve">Backend/database/seed/demo-flat-steel/010_plant_layout.sql. Canonical seeds: 1 Site, 13 Areas (Meltshop, Caster Hall, TF, HSM, SKP, LCT, HCT, STL, PKL, GVL, Yard, Roll Shop, Lab), ~25 Equipment (EAF#1, LF#1-4, Caster#1 + 2 strands, TF, HSM stands F1-F7 + downcoiler, SKP, LCT/HCT/STL, PKL, GVL, Yards 1-11, Roll Shop), 40-50 ParameterDefinitions tagged to Equipment, 25 DefectCatalog entries for flat steel. Does NOT populate canonical fact tables — those come from importing source DBs through the running app per the Track 3 golden rule.</t>
  </si>
  <si>
    <t xml:space="preserve">Plant layout shows full hierarchy in the app. DefectCatalog displays in Quality Configuration. Demo dashboards reference these Site/Area/Equipment/Parameter/Defect rows.</t>
  </si>
  <si>
    <t xml:space="preserve">PPIQ-DEMO-012</t>
  </si>
  <si>
    <t xml:space="preserve">Retire Inside-App Synthetic Seed Scripts</t>
  </si>
  <si>
    <t xml:space="preserve">Cleanup / Demo</t>
  </si>
  <si>
    <t xml:space="preserve">synthetic_hsm_source_insert.sql (943KB), synthetic_inspection_source_insert.sql, synthetic_qms_source_insert.sql currently write to the app's own DB — violates the Track 3 golden rule (configure via HMI, not hardcoded). Move to Backend/database/archived/inside-app-seed-deprecated-2026-05/ with README explaining the rationale and pointing to the docker-compose source DBs.</t>
  </si>
  <si>
    <t xml:space="preserve">Files moved to archive. README explains rationale. Production seed configuration no longer references them. CI does not run them.</t>
  </si>
  <si>
    <t xml:space="preserve">PPIQ-DEMO-013</t>
  </si>
  <si>
    <t xml:space="preserve">End-to-End Golden Path E2E Test (Playwright)</t>
  </si>
  <si>
    <t xml:space="preserve">Playwright / Demo Lifecycle</t>
  </si>
  <si>
    <t xml:space="preserve">Author Frontend/PlantProcess.Web/tests/e2e/golden-path.spec.ts. Single Playwright test that walks the customer story: login → admin DB → connector truth → staging viewer → schema mapping wizard → importing data job → Jobs Monitor → dashboard with Widget Script Layer → material investigation → correlation/risk → ML readiness → PDF report export → license tier toggle. Runs in CI; failure blocks demo release.</t>
  </si>
  <si>
    <t xml:space="preserve">Test completes full story without console errors or uncontrolled 5xx. Runs locally and in CI. CI nightly run report in Jenkins. Failure email to founder + dev.</t>
  </si>
  <si>
    <t xml:space="preserve">PPIQ-DEMO-014</t>
  </si>
  <si>
    <t xml:space="preserve">20-Minute Technical Demo Script (Process Engineer Audience)</t>
  </si>
  <si>
    <t xml:space="preserve">Demo Script</t>
  </si>
  <si>
    <t xml:space="preserve">Documentation/DEMO_TECHNICAL_25STEP_RUNBOOK.md. Detailed script for process engineers: problem framing → fragmented plant data → source connection → staging → schema mapping → canonical model → dashboards → material investigation → risk/correlation → ML readiness → report → license toggle. Each step lists exact UI clicks, expected results, recovery line, talking point.</t>
  </si>
  <si>
    <t xml:space="preserve">Dry run takes 18-22 minutes. Script matches actual app screens. No claim exceeds implementation truth. Founder can read it front-to-back and execute the full demo.</t>
  </si>
  <si>
    <t xml:space="preserve">PPIQ-DEMO-015</t>
  </si>
  <si>
    <t xml:space="preserve">5-Minute Executive Demo Script (C-Level Audience)</t>
  </si>
  <si>
    <t xml:space="preserve">Executive Story</t>
  </si>
  <si>
    <t xml:space="preserve">Documentation/DEMO_EXECUTIVE_5MIN_SCRIPT.md. Short C-level script: business pain (fragmented plant data costs €X annually), cost of quality issues, faster investigation, evidence-based suspected contributors, no-MES-replacement positioning, pilot path, pricing/licensing. Avoid technical overload.</t>
  </si>
  <si>
    <t xml:space="preserve">Dry run 4-6 minutes. Message understandable without code/database knowledge. Includes clear next step: discovery call → diagnostic engagement → pilot.</t>
  </si>
  <si>
    <t xml:space="preserve">PPIQ-DEMO-016</t>
  </si>
  <si>
    <t xml:space="preserve">Customer-Grade PDF Report Export</t>
  </si>
  <si>
    <t xml:space="preserve">Reporting</t>
  </si>
  <si>
    <t xml:space="preserve">InvestigationReportService.cs exists (257L). Polish to customer-grade output. PDF must include: customer logo header, selected material/period, dashboard summary, risk score, suspected contributors, correlation findings, data quality warnings, source coverage, footer disclaimer ('Findings are evidence-based statistical correlations, not guaranteed root causes'). Use brand colors and typography. Add 'Export PDF' button to relevant pages.</t>
  </si>
  <si>
    <t xml:space="preserve">User exports PDF from Material Investigation. PDF opens cleanly in Adobe + macOS Preview. Contains real data from selected filters. No placeholder text. Brand consistent. File &lt;5MB for typical material.</t>
  </si>
  <si>
    <t xml:space="preserve">PPIQ-DEMO-017</t>
  </si>
  <si>
    <t xml:space="preserve">Demo Language Truth Audit (App + Website + Scripts + Reports)</t>
  </si>
  <si>
    <t xml:space="preserve">Commercial Claims / AI Language</t>
  </si>
  <si>
    <t xml:space="preserve">Audit ALL customer-facing text: app UI, website, demo scripts (T3-014, T3-015), PDF report text (T3-016), email templates. Remove forbidden phrases: 'guaranteed root cause', 'AI-powered prediction', 'production-ready AI', 'replaces MES/L2/SCADA/BI', 'live Oracle ready today'. Replace with allowed phrases: 'rule-based risk scoring', 'correlation analysis', 'suspected contributor', 'statistical pattern', 'evidence-based investigation', 'read-only intelligence layer'. Add a language-audit script Tools/audit-language.mjs that greps codebase and flags violations.</t>
  </si>
  <si>
    <t xml:space="preserve">Language audit script passes (zero forbidden phrases in customer-facing text). Manual review confirms no overclaiming. App, website, report, scripts use consistent honest wording.</t>
  </si>
  <si>
    <t xml:space="preserve">PPIQ-DEMO-018</t>
  </si>
  <si>
    <t xml:space="preserve">Demo Backup Video</t>
  </si>
  <si>
    <t xml:space="preserve">Demo Recovery</t>
  </si>
  <si>
    <t xml:space="preserve">Record perfect 20-25 minute walkthrough against live demo environment. Stored locally as Documentation/demo/backup-demo-2026-MM-DD.mp4. Fallback if live demo fails catastrophically.</t>
  </si>
  <si>
    <t xml:space="preserve">Video exists, plays cleanly without internet, audio clear, narration matches T3-014 runbook.</t>
  </si>
  <si>
    <t xml:space="preserve">PPIQ-DEMO-019</t>
  </si>
  <si>
    <t xml:space="preserve">Pre-Demo Environment Checklist</t>
  </si>
  <si>
    <t xml:space="preserve">Demo Operations</t>
  </si>
  <si>
    <t xml:space="preserve">Documentation/demo/PRE_DEMO_CHECKLIST.md. Checklist completed before EVERY demo: API URL responsive, app URL loads, website URL loads, login credentials work, license tier set to Pro Plus, seed status fresh (reset done), DB connections green, jobs status clean, report export tested, browser console clean (no errors), network stable, backup video accessible, reset endpoint works, screen resolution 1920×1080, clean Chrome profile, demo branch/tag verified.</t>
  </si>
  <si>
    <t xml:space="preserve">Checklist used before every demo. No item left 'unknown'. Founder completes in &lt;15 minutes.</t>
  </si>
  <si>
    <t xml:space="preserve">PPIQ-DEMO-020</t>
  </si>
  <si>
    <t xml:space="preserve">Demo Persona Modes (4 RBAC Roles)</t>
  </si>
  <si>
    <t xml:space="preserve">License / RBAC Demo</t>
  </si>
  <si>
    <t xml:space="preserve">RBAC has 4 roles (PlantProcessAdmin / DataManager / Engineer / Viewer). Add demo-ready persona accounts: admin@demo, data-manager@demo, engineer@demo, viewer@demo with passwords documented in PRE_DEMO_CHECKLIST. Each persona has pre-tailored landing experience: Admin lands on Admin section, Engineer lands on Investigation, Viewer lands on Dashboard. Demonstrates RBAC and commercial maturity without needing tenant isolation.</t>
  </si>
  <si>
    <t xml:space="preserve">Login as each role: lands on expected page. Admin can configure. Engineer can investigate. Viewer cannot mutate config (buttons hidden or disabled with explanation). All four personas documented in checklist.</t>
  </si>
  <si>
    <t xml:space="preserve">PPIQ-DEMO-021</t>
  </si>
  <si>
    <t xml:space="preserve">Demo Data Quality 'Bad Data' Story</t>
  </si>
  <si>
    <t xml:space="preserve">Data Quality</t>
  </si>
  <si>
    <t xml:space="preserve">Inject intentional bad data into generator output (T3-009): missing material_id on ~2% of HSM coils, unknown defect codes on ~0.5% of Parsytec events, impossible timestamps (future dates) on ~3 records, duplicate source records on ~5 cases, bad unit (kg vs t) on ~10 LF parameter rows, unmapped field on ~2% of Caster records. DataQualityService (523L) detects and surfaces these. Demo script T3-014 includes one 'and here's how the platform caught this data quality issue before you used the data' moment.</t>
  </si>
  <si>
    <t xml:space="preserve">Data Quality page shows issues by source/severity. Mapping/import jobs surface validation errors. Demo script includes one explicit data-quality moment with talking points.</t>
  </si>
  <si>
    <t xml:space="preserve">PPIQ-DEMO-022</t>
  </si>
  <si>
    <t xml:space="preserve">Live Demo Recovery Lines Rehearsal</t>
  </si>
  <si>
    <t xml:space="preserve">Demo / Founder Preparation</t>
  </si>
  <si>
    <t xml:space="preserve">Each step of T3-014 runbook gets a memorised recovery line for the most likely failure mode. E.g., schema discovery times out → 'as you can see the connector is reading metadata live; let me show you a pre-validated path while it retries in the background.' Document in Documentation/DEMO_RECOVERY_LINES.md. Rehearse aloud twice.</t>
  </si>
  <si>
    <t xml:space="preserve">Founder can articulate every recovery line without script. Tested in a mock demo with deliberate failure injection.</t>
  </si>
  <si>
    <t xml:space="preserve">PPIQ-DEMO-023</t>
  </si>
  <si>
    <t xml:space="preserve">DNS A Records + Caddy Production + Let's Encrypt</t>
  </si>
  <si>
    <t xml:space="preserve">Deploy / DNS / TLS</t>
  </si>
  <si>
    <t xml:space="preserve">Production Caddyfile already has four domain blocks (plantprocessiq.com, app, api, jenkins). Publish DNS A records pointing to Hetzner box. Caddy auto-provisions Let's Encrypt certs on first run. Verify HTTPS works on all four hosts. Security headers (HSTS, X-Content-Type-Options, X-Frame-Options, CSP). HTTP→HTTPS redirect.</t>
  </si>
  <si>
    <t xml:space="preserve">https://plantprocessiq.com loads website. https://app.plantprocessiq.com loads app. https://api.plantprocessiq.com responds to API calls. https://jenkins.plantprocessiq.com (admin-restricted) loads. Let's Encrypt certs valid 90 days. HTTP redirects to HTTPS. Security headers present.</t>
  </si>
  <si>
    <t xml:space="preserve">PPIQ-DEMO-024</t>
  </si>
  <si>
    <t xml:space="preserve">NDA + Data Processing Agreement Templates</t>
  </si>
  <si>
    <t xml:space="preserve">Legal / Templates</t>
  </si>
  <si>
    <t xml:space="preserve">Documentation/legal/NDA_TEMPLATE.docx (mutual NDA, GDPR-compliant) and DPA_TEMPLATE.docx (Data Processing Agreement). Engage lawyer for review. Required before any prospect data exchange. Reference single-tenant deployment policy from T1-023.</t>
  </si>
  <si>
    <t xml:space="preserve">Both templates exist, lawyer-reviewed, versioned in /legal/. Ready to send to first prospect under signature.</t>
  </si>
  <si>
    <t xml:space="preserve">PPIQ-DEMO-025</t>
  </si>
  <si>
    <t xml:space="preserve">Diagnostic SOW Template</t>
  </si>
  <si>
    <t xml:space="preserve">Sales / Templates</t>
  </si>
  <si>
    <t xml:space="preserve">Documentation/sales/DIAGNOSTIC_SOW_TEMPLATE.docx for the €3.5k-6.5k Data Diagnostic engagement. Sections: scope, deliverables, timeline (2-3 weeks typical), data requirements, success criteria, pricing, IP ownership, termination, references single-tenant deployment.</t>
  </si>
  <si>
    <t xml:space="preserve">Template exists, reviewed by counsel, customisable per prospect. First prospect can be sent within 1 day.</t>
  </si>
  <si>
    <t xml:space="preserve">PPIQ-DEMO-026</t>
  </si>
  <si>
    <t xml:space="preserve">Demo Environment Banner — Global Activation</t>
  </si>
  <si>
    <t xml:space="preserve">Common / Demo Banner</t>
  </si>
  <si>
    <t xml:space="preserve">DemoEnvironmentBanner.tsx exists. Verify it renders on every route in AppLayout (not only certain pages). Text: 'Demo Environment — Hammersmith Steel sample plant — data resets nightly'. Configurable via env var PLANTPROCESS_BANNER_TEXT. Hidden in production (env unset).</t>
  </si>
  <si>
    <t xml:space="preserve">Banner visible on every page in demo env. Production env hides it. Visual review across 14 routes.</t>
  </si>
  <si>
    <t xml:space="preserve">PPIQ-WEB-001</t>
  </si>
  <si>
    <t xml:space="preserve">Public DNS + Caddy Production Go-Live (Website Side)</t>
  </si>
  <si>
    <t xml:space="preserve">Deployment / DNS / Reverse Proxy</t>
  </si>
  <si>
    <t xml:space="preserve">Pair with T3-023 but Website-focused. Move from IP/port access to proper domain: plantprocessiq.com. Configure Caddy reverse proxy with HTTPS, HTTP→HTTPS redirect, security headers (HSTS, CSP appropriate for marketing site, X-Frame-Options DENY), gzip/brotli compression, browser caching for static assets, health check endpoint.</t>
  </si>
  <si>
    <t xml:space="preserve">https://plantprocessiq.com loads website. SSL valid. No mixed content. Security headers verified via securityheaders.com (target A+ rating). Gzip enabled (verified in Network tab).</t>
  </si>
  <si>
    <t xml:space="preserve">PPIQ-WEB-002</t>
  </si>
  <si>
    <t xml:space="preserve">Replace Hero Placeholder with Real Product Screenshot</t>
  </si>
  <si>
    <t xml:space="preserve">Homepage Hero</t>
  </si>
  <si>
    <t xml:space="preserve">Today hero uses BarChart3 icon placeholder. Replace with real high-fidelity screenshot of the Plant Overview dashboard from demo env (per T3-014 step 23). Dark Industrial Command Center style. Subtle Electric Cyan glow on key data points. WebP &lt;200KB. Alt text descriptive for accessibility.</t>
  </si>
  <si>
    <t xml:space="preserve">Homepage hero shows real PPIQ dashboard screenshot. File &lt;200KB. Renders crisply at 2x retina. Alt text present. Lighthouse accessibility ≥90.</t>
  </si>
  <si>
    <t xml:space="preserve">PPIQ-WEB-003</t>
  </si>
  <si>
    <t xml:space="preserve">Screenshot Gallery / Product Proof Section</t>
  </si>
  <si>
    <t xml:space="preserve">Product Proof</t>
  </si>
  <si>
    <t xml:space="preserve">Add gallery with real screens: DB Configuration, Schema Mapping Wizard, Jobs Monitor, Dashboard Builder, Material Investigation, ML Readiness, License Matrix, Report Export. Each ~2-3 screenshots. Each needs short customer-benefit caption. Responsive grid. Lighthouse performance still acceptable.</t>
  </si>
  <si>
    <t xml:space="preserve">Gallery renders responsive across screen sizes. Each image real and current. Captions explain value. Lighthouse Performance ≥85.</t>
  </si>
  <si>
    <t xml:space="preserve">PPIQ-WEB-004</t>
  </si>
  <si>
    <t xml:space="preserve">Website Pricing / License Matrix Sync with Backend</t>
  </si>
  <si>
    <t xml:space="preserve">Pricing / License</t>
  </si>
  <si>
    <t xml:space="preserve">Website pricing matrix must match backend LicenseService tier definitions exactly. Tier names: Light, Pro, Pro Plus, Enterprise. Feature differences per tier: source connector count, refresh floor (1440/15/2/configurable min), SQL editor access, dashboards/pages count, correlation engine access, ML readiness, report export, support level. Add a CI check (extend scripts/validate-website-content.mjs) that diffs website pricing JSON against backend LicenseLimits enum and fails if mismatch.</t>
  </si>
  <si>
    <t xml:space="preserve">Manual comparison between website pricing table and backend LicenseService.GetLimits() passes for all 4 tiers. CI script detects future drift. No mismatch in tier names or features.</t>
  </si>
  <si>
    <t xml:space="preserve">PPIQ-WEB-005</t>
  </si>
  <si>
    <t xml:space="preserve">Positioning Block: 'Not MES / Not SCADA / Not L2 / Not BI-only'</t>
  </si>
  <si>
    <t xml:space="preserve">Positioning</t>
  </si>
  <si>
    <t xml:space="preserve">Add a positioning block to homepage AND every product page explaining what PPIQ is and is NOT. PPIQ: connects and analyzes plant process-quality data; does NOT control equipment, NOT a Level 2 system, NOT a MES replacement, NOT a SCADA, NOT a BI-only tool. PPIQ complements existing plant systems as a read-only intelligence layer. Match exact wording from app /brand page and demo script for consistency.</t>
  </si>
  <si>
    <t xml:space="preserve">Block visible on homepage and product pages. Language matches app brand page and demo scripts (T3-014, T3-015) word-for-word. Reviewed by founder.</t>
  </si>
  <si>
    <t xml:space="preserve">PPIQ-WEB-006</t>
  </si>
  <si>
    <t xml:space="preserve">Connector Honesty Block (Website-Backend Truth Sync)</t>
  </si>
  <si>
    <t xml:space="preserve">Connectors / GTM Truth</t>
  </si>
  <si>
    <t xml:space="preserve">Website connector availability table must read from the backend Connector Truth Matrix (T1-001) via a public endpoint, OR be regenerated from it at build time. Show three states: 'Demo-Certified Now' (CSV, Excel, + post-T1-003 PostgreSql/SqlServer/MySql), 'Implemented, pending certification', 'Planned' (Oracle until T1-002 closes, REST API, OPC UA). NEVER market a connector as ready until isCertifiedForDemo=true.</t>
  </si>
  <si>
    <t xml:space="preserve">Website connector table matches backend ConnectorProviderCatalog state exactly. Oracle is not shown as available until isImplemented=true. CI check fails if marketing copy drifts.</t>
  </si>
  <si>
    <t xml:space="preserve">PPIQ-WEB-007</t>
  </si>
  <si>
    <t xml:space="preserve">Data Diagnostic Offer Page / Block</t>
  </si>
  <si>
    <t xml:space="preserve">GTM / Commercial Asset</t>
  </si>
  <si>
    <t xml:space="preserve">Add /diagnostic-offer page (or block on homepage). Pitch: 'Plant Data Diagnostic — €3.5k-6.5k, 2-3 weeks, low-risk pre-pilot assessment'. Deliverables: source system inventory, data quality assessment, mapping complexity report, pilot feasibility recommendation. CTA links to T3-025 SOW + inquiry form (T4-008).</t>
  </si>
  <si>
    <t xml:space="preserve">Page published. CTA works. Diagnostic SOW PDF (T3-025) downloadable or linked. Sales script (T3-015) references this offer as the pilot path.</t>
  </si>
  <si>
    <t xml:space="preserve">PPIQ-WEB-008</t>
  </si>
  <si>
    <t xml:space="preserve">Real Inquiry / 'Request Demo' Form with Email Delivery</t>
  </si>
  <si>
    <t xml:space="preserve">Lead Capture</t>
  </si>
  <si>
    <t xml:space="preserve">Implement real CTA: 'Request Demo' or 'Talk to Sales' form on homepage and every product page. Fields: Name, Email, Company, Role, Plant Type (steel/aluminum/auto/pharma/other), Source Systems (multi-select hint: MES/L2/MSSQL/Oracle/Excel/Other), Message, requested action (demo / diagnostic / both). Submit posts to backend endpoint that emails admin@plantprocessiq.com via existing SMTP (INF-FIX-003 wired). Honeypot for spam. Confirmation toast.</t>
  </si>
  <si>
    <t xml:space="preserve">Submit a test inquiry: receives at admin@plantprocessiq.com inbox within 30 seconds. Spam-bot test (very fast submit, no honeypot) is rejected. Required-field validation works. Confirmation visible.</t>
  </si>
  <si>
    <t xml:space="preserve">PPIQ-WEB-009</t>
  </si>
  <si>
    <t xml:space="preserve">Engineer Brief PDF + Architecture Diagram</t>
  </si>
  <si>
    <t xml:space="preserve">Technical Proof Assets</t>
  </si>
  <si>
    <t xml:space="preserve">Polish Website/PlantProcess.Website/public/brand/plantprocess-iq-engineer-brief.html into a polished engineer-grade brief covering: source connectors, staging, schema mapping, canonical model, dashboards, risk/correlation, ML readiness, security, deployment. Export as PDF as well. Update plantprocess-iq-architecture.svg to reflect current implementation. Link from website footer and from product pages.</t>
  </si>
  <si>
    <t xml:space="preserve">Engineer brief PDF downloadable from website. Architecture SVG accurately reflects current code (no obsolete claims). Linked from product pages.</t>
  </si>
  <si>
    <t xml:space="preserve">PPIQ-WEB-010</t>
  </si>
  <si>
    <t xml:space="preserve">Website Content Validation CI (Extend Existing Script)</t>
  </si>
  <si>
    <t xml:space="preserve">CI / Content Guard</t>
  </si>
  <si>
    <t xml:space="preserve">scripts/validate-website-content.mjs exists. Extend to check: build succeeds (npm run build), no broken internal links, required sections present (hero, products, positioning, pricing, inquiry CTA, footer), banned phrases not present (from T3-017 audit), screenshots not 404, inquiry CTA wired, license matrix matches backend (T4-004). Wire into Jenkinsfile.</t>
  </si>
  <si>
    <t xml:space="preserve">npm run build passes. Validation script catches missing sections + banned phrases + broken links. CI fails on violation. Documented allow-list for intentional usages.</t>
  </si>
  <si>
    <t xml:space="preserve">PPIQ-WEB-011</t>
  </si>
  <si>
    <t xml:space="preserve">Brand Consistency Between App and Website</t>
  </si>
  <si>
    <t xml:space="preserve">Brand Identity</t>
  </si>
  <si>
    <t xml:space="preserve">Same brand tokens (palette, typography, button style, screenshot style, terminology, tagline) across both app and website. Either share a brand-tokens npm package between the two projects, or maintain a canonical brand spec in Documentation/brand/ that both reference. Visual review across key pages.</t>
  </si>
  <si>
    <t xml:space="preserve">Visual review of website homepage + product pages alongside app dashboard + admin pages shows uniform brand. Same logo, same color palette (Deep Navy Black background, Electric Blue primary CTAs, Electric Cyan highlights), same font (Inter), same button radius (8px), same tone.</t>
  </si>
  <si>
    <t xml:space="preserve">PPIQ-WEB-012</t>
  </si>
  <si>
    <t xml:space="preserve">Performance / SEO Basics</t>
  </si>
  <si>
    <t xml:space="preserve">SEO / Performance</t>
  </si>
  <si>
    <t xml:space="preserve">Lighthouse audit pass: Performance ≥90, Accessibility ≥90, Best Practices ≥90, SEO ≥90. Includes: unique &lt;title&gt; and &lt;meta description&gt; per page (under 60/160 chars), OG tags for social sharing (og:title, og:description, og:image, og:url, og:type), Twitter card tags, canonical URLs, sitemap.xml, robots.txt, JSON-LD structured data (Organization + SoftwareApplication per product), favicon, semantic headings, compressed images (WebP/AVIF), alt text on all images, font preload for Inter, lazy-load below-the-fold.</t>
  </si>
  <si>
    <t xml:space="preserve">Lighthouse on production URL shows all 4 categories ≥90. Google Rich Results Test passes. LinkedIn URL share shows rich preview card. Documented in Website/PERFORMANCE_REPORT.md.</t>
  </si>
  <si>
    <t xml:space="preserve">PPIQ-WEB-013</t>
  </si>
  <si>
    <t xml:space="preserve">Brand Palette Completeness (Corporate Blue + JetBrains Mono)</t>
  </si>
  <si>
    <t xml:space="preserve">Brand / Tokens</t>
  </si>
  <si>
    <t xml:space="preserve">Brand spec requires Corporate Blue #2F80ED (Pro Plus tier badge, secondary buttons) and JetBrains Mono font (SQL/code display). Today: Corporate Blue 0 occurrences in website code; JetBrains Mono not loaded. Add to plantProcessBrand.ts. Resolve font discrepancy: Inter primary (34 hits today), Sora to remove or restrict to one documented use, Arial only as fallback.</t>
  </si>
  <si>
    <t xml:space="preserve">Grep #2F80ED returns ≥3 hits. Pro Plus badge uses Corporate Blue. JetBrains Mono loaded (verified in DevTools). Inter is primary font everywhere. Sora removed or documented.</t>
  </si>
  <si>
    <t xml:space="preserve">PPIQ-WEB-014</t>
  </si>
  <si>
    <t xml:space="preserve">PlantProcess IQ Product Page Polish</t>
  </si>
  <si>
    <t xml:space="preserve">Product Pages / PPIQ</t>
  </si>
  <si>
    <t xml:space="preserve">Existing page (20 mentions). Hero: primary tagline 'Connect Your Plant Data. Understand Your Process.' Sub-headline using Customer Promise. Real screenshot (T4-002). Sections: problem statement (fragmented MES/L2/inspection/lab/ERP), 5-bullet capability list aligned to Vision, interactive screenshot gallery (T4-003), license tier table (T4-004), FAQ, inquiry CTA. Brand voice strict per T3-017.</t>
  </si>
  <si>
    <t xml:space="preserve">Page passes Golden Rule: stranger reading understands product + need + how to get demo within 30 seconds. Brand voice forbidden phrases zero hits.</t>
  </si>
  <si>
    <t xml:space="preserve">PPIQ-WEB-015</t>
  </si>
  <si>
    <t xml:space="preserve">MES Product Page</t>
  </si>
  <si>
    <t xml:space="preserve">Product Pages / MES</t>
  </si>
  <si>
    <t xml:space="preserve">Build /products/mes (currently 13 mentions, no dedicated page). Hero, problem statement (gap between L2 and ERP, manual work orders, no real-time WIP visibility), MES capability list, integration with PPIQ, license tiers, inquiry CTA. Brand voice strict.</t>
  </si>
  <si>
    <t xml:space="preserve">Page exists at /products/mes. Brand voice compliant. CTA wired.</t>
  </si>
  <si>
    <t xml:space="preserve">PPIQ-WEB-016</t>
  </si>
  <si>
    <t xml:space="preserve">QES (Quality Execution System) Product Page</t>
  </si>
  <si>
    <t xml:space="preserve">Product Pages / QES</t>
  </si>
  <si>
    <t xml:space="preserve">Build /products/qes from scratch (currently 0 mentions). Hero, problem statement (offline QA, paper-based defect logs, isolated lab data), QES capability list (digital sample workflow, defect catalog mgmt, cert generation, SPC), integration with PPIQ, license tiers, FAQ, CTA.</t>
  </si>
  <si>
    <t xml:space="preserve">Page exists. Brand voice compliant. CTA wired.</t>
  </si>
  <si>
    <t xml:space="preserve">PPIQ-WEB-017</t>
  </si>
  <si>
    <t xml:space="preserve">Energy Management Product Page</t>
  </si>
  <si>
    <t xml:space="preserve">Product Pages / Energy</t>
  </si>
  <si>
    <t xml:space="preserve">Build /products/energy-management from scratch (currently 0 mentions). Hero (energy as % of total plant cost — typically 15-25% for steel), capabilities (per-equipment submetering integration, peak-demand alerting, kWh/t by heat dashboard, ISO 50001 reporting), integration with PPIQ, license tiers, CTA.</t>
  </si>
  <si>
    <t xml:space="preserve">Page exists. Brand voice compliant.</t>
  </si>
  <si>
    <t xml:space="preserve">PPIQ-WEB-018</t>
  </si>
  <si>
    <t xml:space="preserve">Yard &amp; Warehouse Management Product Page</t>
  </si>
  <si>
    <t xml:space="preserve">Product Pages / Yard</t>
  </si>
  <si>
    <t xml:space="preserve">Expand current 2-mention coverage into /products/yard-warehouse. Piece-tracking through complex multi-yard operations (11 yards per the steel-plant example), yard-aging KPIs, dispatch optimization, customer order linkage, integration with existing WMS or standalone. License tiers, CTA.</t>
  </si>
  <si>
    <t xml:space="preserve">Page exists. Renders well. Brand voice compliant.</t>
  </si>
  <si>
    <t xml:space="preserve">PPIQ-WEB-019</t>
  </si>
  <si>
    <t xml:space="preserve">Calendly Integration for Warm Prospects</t>
  </si>
  <si>
    <t xml:space="preserve">Lead Capture / Booking</t>
  </si>
  <si>
    <t xml:space="preserve">Alongside inquiry form (T4-008), add 'Book 30-min Discovery Call' CTA on homepage and product pages. Embed Calendly inline or modal. Configure: founder's calendar, 30-min slots, business hours, auto Zoom/Teams link, confirmation + reminder emails.</t>
  </si>
  <si>
    <t xml:space="preserve">Click CTA: Calendly opens. Book test slot: confirmation email with Zoom link received. Founder calendar shows booking.</t>
  </si>
  <si>
    <t xml:space="preserve">PPIQ-WEB-020</t>
  </si>
  <si>
    <t xml:space="preserve">Logo Design Verification + Brand Variants</t>
  </si>
  <si>
    <t xml:space="preserve">Design / Logo</t>
  </si>
  <si>
    <t xml:space="preserve">Verify plantprocess-iq-logo.svg matches brand brief: hexagonal grid fragment OR 4-6 interconnected nodes, one dominant central node, clean geometric, Electric Cyan #00D4FF on Deep Navy Black #050B18 background, NOT steel-only imagery. Variants required: full horizontal, icon-only favicon, stacked vertical, in full color + dark + light + monochrome. Commission redesign if non-compliant.</t>
  </si>
  <si>
    <t xml:space="preserve">Logo audit checklist complete. All variants in /public/brand/. Documentation/brand/LOGO_BRIEF.md describes the spec. If redesign needed, new logo files in place.</t>
  </si>
  <si>
    <t xml:space="preserve">PPIQ-WEB-021</t>
  </si>
  <si>
    <t xml:space="preserve">Privacy Policy + Terms + Cookie Consent</t>
  </si>
  <si>
    <t xml:space="preserve">Compliance / Legal</t>
  </si>
  <si>
    <t xml:space="preserve">Author /privacy and /terms pages using standard legal templates. Lawyer review (combine with T3-024 review). Add GDPR-compliant cookie consent banner (if any non-essential cookies used — analytics, external fonts). Link from footer on every page.</t>
  </si>
  <si>
    <t xml:space="preserve">Both pages exist, lawyer-reviewed, linked from footer. Cookie banner persists user choice, respects rejection.</t>
  </si>
  <si>
    <t xml:space="preserve">PPIQ-WEB-022</t>
  </si>
  <si>
    <t xml:space="preserve">Real Product Screenshots Across All 5 Product Pages</t>
  </si>
  <si>
    <t xml:space="preserve">Design / Screenshots</t>
  </si>
  <si>
    <t xml:space="preserve">For each of 5 product pages, capture and optimize 2-3 real product screenshots. WebP &lt;250KB each. Annotate with brand-styled call-out boxes (Electric Cyan border, Panel Navy fill) where helpful.</t>
  </si>
  <si>
    <t xml:space="preserve">10-15 screenshots in place across 5 product pages. All optimized. All have descriptive alt text.</t>
  </si>
  <si>
    <t xml:space="preserve">Tasks Grouped By Track</t>
  </si>
  <si>
    <t xml:space="preserve">Track 1 Workflow — 25 tasks, 135.5 hrs</t>
  </si>
  <si>
    <t xml:space="preserve">Effort</t>
  </si>
  <si>
    <t xml:space="preserve">Track 2 Hardening — 33 tasks, 205.0 hrs</t>
  </si>
  <si>
    <t xml:space="preserve">Track 3 Demo — 26 tasks, 113.5 hrs</t>
  </si>
  <si>
    <t xml:space="preserve">Track 4 Website — 22 tasks, 88.0 hrs</t>
  </si>
  <si>
    <t xml:space="preserve">Tasks Grouped By Severity</t>
  </si>
  <si>
    <t xml:space="preserve">Critical — 35 tasks, 191.0 hrs</t>
  </si>
  <si>
    <t xml:space="preserve">Very Important — 37 tasks, 184.0 hrs</t>
  </si>
  <si>
    <t xml:space="preserve">Important — 32 tasks, 160.0 hrs</t>
  </si>
  <si>
    <t xml:space="preserve">Normal — 1 tasks, 3.0 hrs</t>
  </si>
  <si>
    <t xml:space="preserve">Optional — 1 tasks, 4.0 hrs</t>
  </si>
  <si>
    <t xml:space="preserve">Tasks Grouped By Module</t>
  </si>
  <si>
    <t xml:space="preserve">APP Frontend — 27 tasks, 150.0 hrs</t>
  </si>
  <si>
    <t xml:space="preserve">APP Frontend + Backend — 8 tasks, 55.0 hrs</t>
  </si>
  <si>
    <t xml:space="preserve">APP Frontend + Infrastructure and Docker — 1 tasks, 4.0 hrs</t>
  </si>
  <si>
    <t xml:space="preserve">Backend — 9 tasks, 75.5 hrs</t>
  </si>
  <si>
    <t xml:space="preserve">Backend + APP Frontend — 10 tasks, 57.0 hrs</t>
  </si>
  <si>
    <t xml:space="preserve">Backend + APP Frontend + Database — 2 tasks, 8.0 hrs</t>
  </si>
  <si>
    <t xml:space="preserve">Backend + Database — 3 tasks, 25.0 hrs</t>
  </si>
  <si>
    <t xml:space="preserve">Backend + Database + Infrastructure and Docker — 1 tasks, 3.0 hrs</t>
  </si>
  <si>
    <t xml:space="preserve">Backend + Documentation — 1 tasks, 2.0 hrs</t>
  </si>
  <si>
    <t xml:space="preserve">Database — 9 tasks, 29.5 hrs</t>
  </si>
  <si>
    <t xml:space="preserve">Database + Backend — 1 tasks, 6.0 hrs</t>
  </si>
  <si>
    <t xml:space="preserve">Documentation — 6 tasks, 16.0 hrs</t>
  </si>
  <si>
    <t xml:space="preserve">Documentation + APP Frontend — 1 tasks, 8.0 hrs</t>
  </si>
  <si>
    <t xml:space="preserve">Documentation + APP Frontend + Website — 1 tasks, 3.0 hrs</t>
  </si>
  <si>
    <t xml:space="preserve">Documentation + Website — 1 tasks, 5.0 hrs</t>
  </si>
  <si>
    <t xml:space="preserve">Infrastructure and Docker — 3 tasks, 11.0 hrs</t>
  </si>
  <si>
    <t xml:space="preserve">Infrastructure and Docker + Documentation — 1 tasks, 1.0 hrs</t>
  </si>
  <si>
    <t xml:space="preserve">Website — 14 tasks, 60.0 hrs</t>
  </si>
  <si>
    <t xml:space="preserve">Website + APP Frontend — 1 tasks, 3.0 hrs</t>
  </si>
  <si>
    <t xml:space="preserve">Website + Backend — 3 tasks, 10.0 hrs</t>
  </si>
  <si>
    <t xml:space="preserve">Website + Documentation — 1 tasks, 4.0 hrs</t>
  </si>
  <si>
    <t xml:space="preserve">Website + Infrastructure and Docker — 2 tasks, 6.0 hrs</t>
  </si>
  <si>
    <t xml:space="preserve">Effort Summary</t>
  </si>
  <si>
    <t xml:space="preserve">% of Total</t>
  </si>
  <si>
    <t xml:space="preserve">TOTAL</t>
  </si>
  <si>
    <t xml:space="preserve">100%</t>
  </si>
  <si>
    <t xml:space="preserve">What Changed from v1 → v2 (after merging founder brainstorming)</t>
  </si>
  <si>
    <t xml:space="preserve">Category</t>
  </si>
  <si>
    <t xml:space="preserve">Change</t>
  </si>
  <si>
    <t xml:space="preserve">ID convention</t>
  </si>
  <si>
    <t xml:space="preserve">Adopted founder's PPIQ-WF/HARD/DEMO/WEB- prefix instead of v1's T1-/T2-/T3-/T4-</t>
  </si>
  <si>
    <t xml:space="preserve">Founder</t>
  </si>
  <si>
    <t xml:space="preserve">Connector approach</t>
  </si>
  <si>
    <t xml:space="preserve">Consolidated 5 separate connector tasks (Oracle build + 3 promotions + PlannedProviderDto fix) into 4 tasks under the Connector Truth Matrix umbrella concept</t>
  </si>
  <si>
    <t xml:space="preserve">Founder framing</t>
  </si>
  <si>
    <t xml:space="preserve">Per-source scheduling</t>
  </si>
  <si>
    <t xml:space="preserve">Promoted to a real Completion Pass (PPIQ-WF-004) covering due-job locking + license-floor enforcement that v1 marked as 'BE-FIX-001 closed'</t>
  </si>
  <si>
    <t xml:space="preserve">Founder spotted</t>
  </si>
  <si>
    <t xml:space="preserve">Incremental cursor</t>
  </si>
  <si>
    <t xml:space="preserve">Added PPIQ-WF-005 — Vision §1.2.4 watermark proof was missing from v1</t>
  </si>
  <si>
    <t xml:space="preserve">Staging viewer</t>
  </si>
  <si>
    <t xml:space="preserve">Added PPIQ-WF-006 — Vision §1.3 'latest customer DB copy' UI was missing from v1</t>
  </si>
  <si>
    <t xml:space="preserve">Schema mapping wizard</t>
  </si>
  <si>
    <t xml:space="preserve">Added PPIQ-WF-007 — explicit wizard task with target-canonical dropdowns; v1 had this implicit</t>
  </si>
  <si>
    <t xml:space="preserve">KPI to parameter binding</t>
  </si>
  <si>
    <t xml:space="preserve">Added PPIQ-WF-009 — Vision §1.4.3 first-class KPI measure was missing from v1</t>
  </si>
  <si>
    <t xml:space="preserve">Importing data job page</t>
  </si>
  <si>
    <t xml:space="preserve">Added PPIQ-WF-010 — Vision §1.5 second-stage import config page was underweighted in v1</t>
  </si>
  <si>
    <t xml:space="preserve">Jobs Monitor actions</t>
  </si>
  <si>
    <t xml:space="preserve">Added PPIQ-WF-011 with explicit action list (Run Now / Retry / Disable / View Logs / View Last Error / View Last Cursor)</t>
  </si>
  <si>
    <t xml:space="preserve">ML lifecycle honesty</t>
  </si>
  <si>
    <t xml:space="preserve">Added PPIQ-WF-018 — honest state machine (Disabled / ReadinessCheck / DatasetBuilding / etc.); v1 only had rule-based engines</t>
  </si>
  <si>
    <t xml:space="preserve">PageDefinition</t>
  </si>
  <si>
    <t xml:space="preserve">Promoted to Important (v1 had it as Deferred); founder is right per Vision §2.1</t>
  </si>
  <si>
    <t xml:space="preserve">Founder corrected</t>
  </si>
  <si>
    <t xml:space="preserve">Material Investigation perf</t>
  </si>
  <si>
    <t xml:space="preserve">Moved from Track 1 (v1's T1-024) to Track 2 Hardening as PPIQ-HARD-007 — better fit</t>
  </si>
  <si>
    <t xml:space="preserve">Founder placement</t>
  </si>
  <si>
    <t xml:space="preserve">Dashboard query budget</t>
  </si>
  <si>
    <t xml:space="preserve">Added PPIQ-HARD-008 with concrete numbers (800ms first widget, 3s full dashboard, 1.5s filter change)</t>
  </si>
  <si>
    <t xml:space="preserve">Zero-console-error CI gate</t>
  </si>
  <si>
    <t xml:space="preserve">Added PPIQ-HARD-005 — release gate that v1 missed</t>
  </si>
  <si>
    <t xml:space="preserve">Standard component sets</t>
  </si>
  <si>
    <t xml:space="preserve">Combined v1's 'build component + audit-replace' pairs into single tasks per component to reduce noise</t>
  </si>
  <si>
    <t xml:space="preserve">Both, simplified</t>
  </si>
  <si>
    <t xml:space="preserve">Demo persona modes</t>
  </si>
  <si>
    <t xml:space="preserve">Added PPIQ-DEMO-020 — 4 RBAC demo personas; v1 missed entirely</t>
  </si>
  <si>
    <t xml:space="preserve">Bad-data demo story</t>
  </si>
  <si>
    <t xml:space="preserve">Added PPIQ-DEMO-021 — intentional data quality issues woven into demo data; v1 missed entirely</t>
  </si>
  <si>
    <t xml:space="preserve">Pre-demo checklist</t>
  </si>
  <si>
    <t xml:space="preserve">Added PPIQ-DEMO-019 — operational checklist v1 missed</t>
  </si>
  <si>
    <t xml:space="preserve">5-min executive script</t>
  </si>
  <si>
    <t xml:space="preserve">Added PPIQ-DEMO-015 — separate exec audience; v1 only had technical script</t>
  </si>
  <si>
    <t xml:space="preserve">Customer-grade PDF report</t>
  </si>
  <si>
    <t xml:space="preserve">Added PPIQ-DEMO-016 — closes the demo story; v1 missed</t>
  </si>
  <si>
    <t xml:space="preserve">Pricing matrix sync</t>
  </si>
  <si>
    <t xml:space="preserve">Added PPIQ-WEB-004 — explicit consistency check between backend tiers and website pricing</t>
  </si>
  <si>
    <t xml:space="preserve">'Not MES / Not SCADA' block</t>
  </si>
  <si>
    <t xml:space="preserve">Added PPIQ-WEB-005 — positioning block; v1 missed</t>
  </si>
  <si>
    <t xml:space="preserve">Connector honesty block</t>
  </si>
  <si>
    <t xml:space="preserve">Added PPIQ-WEB-006 — website connector availability synced to backend truth</t>
  </si>
  <si>
    <t xml:space="preserve">Data Diagnostic page</t>
  </si>
  <si>
    <t xml:space="preserve">Added PPIQ-WEB-007 — dedicated commercial offer page; v1 only had SOW template</t>
  </si>
  <si>
    <t xml:space="preserve">Website content validation CI</t>
  </si>
  <si>
    <t xml:space="preserve">Added PPIQ-WEB-010 — extends existing validate-website-content.mjs</t>
  </si>
  <si>
    <t xml:space="preserve">Engineer Brief polish</t>
  </si>
  <si>
    <t xml:space="preserve">Added PPIQ-WEB-009 — the file exists but needs polish; v1 missed</t>
  </si>
  <si>
    <t xml:space="preserve">Brand consistency</t>
  </si>
  <si>
    <t xml:space="preserve">Added PPIQ-WEB-011 — explicit app/website consistency check</t>
  </si>
  <si>
    <t xml:space="preserve">Widget Script Layer</t>
  </si>
  <si>
    <t xml:space="preserve">Kept v1's deeper file-path-level detail (DSL record, SchemaView resolver, compiler, endpoints, FE editor); incorporated founder's 'chips first, advanced editor later' UX guidance</t>
  </si>
  <si>
    <t xml:space="preserve">Merged</t>
  </si>
  <si>
    <t xml:space="preserve">docker-compose source DBs</t>
  </si>
  <si>
    <t xml:space="preserve">Kept v1's 6-container detail (3 per-DB tasks for schemas) plus founder's Multi-Source Raw Shape Simulation fallback option in case Oracle gets delayed</t>
  </si>
  <si>
    <t xml:space="preserve">Total task count</t>
  </si>
  <si>
    <t xml:space="preserve">v1 was 112 tasks / 404 hrs. v2 is 92 tasks / 415 hrs. Fewer tasks via consolidation, but more concrete substance per task.</t>
  </si>
  <si>
    <t xml:space="preserve">How to Use This Task List</t>
  </si>
  <si>
    <t xml:space="preserve">Step</t>
  </si>
  <si>
    <t xml:space="preserve">Action</t>
  </si>
  <si>
    <t xml:space="preserve">1</t>
  </si>
  <si>
    <t xml:space="preserve">Start at the Overview sheet. Headline numbers + breakdowns tell you the total scope at a glance.</t>
  </si>
  <si>
    <t xml:space="preserve">2</t>
  </si>
  <si>
    <t xml:space="preserve">Read 'Changes from v1' to see exactly what was added, dropped, or re-prioritised after incorporating your brainstorming.</t>
  </si>
  <si>
    <t xml:space="preserve">3</t>
  </si>
  <si>
    <t xml:space="preserve">Open the Master Task List. Filter Severity = 'Critical' to see demo-blocking items. Work them first.</t>
  </si>
  <si>
    <t xml:space="preserve">4</t>
  </si>
  <si>
    <t xml:space="preserve">After Critical, work Very Important — substantially degrades demo quality or vision faithfulness.</t>
  </si>
  <si>
    <t xml:space="preserve">5</t>
  </si>
  <si>
    <t xml:space="preserve">Use the By Track sheet when you want to focus on one track end-to-end.</t>
  </si>
  <si>
    <t xml:space="preserve">6</t>
  </si>
  <si>
    <t xml:space="preserve">Use the By Module sheet when assigning to developer roles (Backend, App Frontend, Database, Website, Documentation, Infrastructure and Docker).</t>
  </si>
  <si>
    <t xml:space="preserve">7</t>
  </si>
  <si>
    <t xml:space="preserve">Each task has a Description detailed enough for a developer to act, and a Validation that defines done. Treat Validation as the definition-of-done in your issue tracker.</t>
  </si>
  <si>
    <t xml:space="preserve">8</t>
  </si>
  <si>
    <t xml:space="preserve">Re-audit the codebase every ~5 working days. Tasks close fast at the team's cadence. Refresh the list.</t>
  </si>
</sst>
</file>

<file path=xl/styles.xml><?xml version="1.0" encoding="utf-8"?>
<styleSheet xmlns="http://schemas.openxmlformats.org/spreadsheetml/2006/main">
  <numFmts count="3">
    <numFmt numFmtId="164" formatCode="General"/>
    <numFmt numFmtId="165" formatCode="0.0%"/>
    <numFmt numFmtId="166" formatCode="General"/>
  </numFmts>
  <fonts count="11">
    <font>
      <sz val="11"/>
      <color theme="1"/>
      <name val="Calibri"/>
      <family val="2"/>
      <charset val="1"/>
    </font>
    <font>
      <sz val="10"/>
      <name val="Arial"/>
      <family val="0"/>
    </font>
    <font>
      <sz val="10"/>
      <name val="Arial"/>
      <family val="0"/>
    </font>
    <font>
      <sz val="10"/>
      <name val="Arial"/>
      <family val="0"/>
    </font>
    <font>
      <b val="true"/>
      <sz val="18"/>
      <color rgb="FFFFFFFF"/>
      <name val="Arial"/>
      <family val="0"/>
      <charset val="1"/>
    </font>
    <font>
      <b val="true"/>
      <sz val="11"/>
      <name val="Arial"/>
      <family val="0"/>
      <charset val="1"/>
    </font>
    <font>
      <b val="true"/>
      <sz val="12"/>
      <name val="Arial"/>
      <family val="0"/>
      <charset val="1"/>
    </font>
    <font>
      <b val="true"/>
      <sz val="10"/>
      <color rgb="FFFFFFFF"/>
      <name val="Arial"/>
      <family val="0"/>
      <charset val="1"/>
    </font>
    <font>
      <b val="true"/>
      <sz val="10"/>
      <name val="Arial"/>
      <family val="0"/>
      <charset val="1"/>
    </font>
    <font>
      <sz val="10"/>
      <name val="Arial"/>
      <family val="0"/>
      <charset val="1"/>
    </font>
    <font>
      <sz val="11"/>
      <name val="Arial"/>
      <family val="0"/>
      <charset val="1"/>
    </font>
  </fonts>
  <fills count="13">
    <fill>
      <patternFill patternType="none"/>
    </fill>
    <fill>
      <patternFill patternType="gray125"/>
    </fill>
    <fill>
      <patternFill patternType="solid">
        <fgColor rgb="FF102A43"/>
        <bgColor rgb="FF333333"/>
      </patternFill>
    </fill>
    <fill>
      <patternFill patternType="solid">
        <fgColor rgb="FFD5E8F0"/>
        <bgColor rgb="FFDBEAFE"/>
      </patternFill>
    </fill>
    <fill>
      <patternFill patternType="solid">
        <fgColor rgb="FF0891B2"/>
        <bgColor rgb="FF008080"/>
      </patternFill>
    </fill>
    <fill>
      <patternFill patternType="solid">
        <fgColor rgb="FFFFC7CE"/>
        <bgColor rgb="FFF3E8FF"/>
      </patternFill>
    </fill>
    <fill>
      <patternFill patternType="solid">
        <fgColor rgb="FFFFEB9C"/>
        <bgColor rgb="FFFEF3C7"/>
      </patternFill>
    </fill>
    <fill>
      <patternFill patternType="solid">
        <fgColor rgb="FFEDEDED"/>
        <bgColor rgb="FFF3E8FF"/>
      </patternFill>
    </fill>
    <fill>
      <patternFill patternType="solid">
        <fgColor rgb="FFF5F5F5"/>
        <bgColor rgb="FFEDEDED"/>
      </patternFill>
    </fill>
    <fill>
      <patternFill patternType="solid">
        <fgColor rgb="FFDBEAFE"/>
        <bgColor rgb="FFD5E8F0"/>
      </patternFill>
    </fill>
    <fill>
      <patternFill patternType="solid">
        <fgColor rgb="FFFEF3C7"/>
        <bgColor rgb="FFFFEB9C"/>
      </patternFill>
    </fill>
    <fill>
      <patternFill patternType="solid">
        <fgColor rgb="FFDCFCE7"/>
        <bgColor rgb="FFEDEDED"/>
      </patternFill>
    </fill>
    <fill>
      <patternFill patternType="solid">
        <fgColor rgb="FFF3E8FF"/>
        <bgColor rgb="FFEDEDED"/>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true" applyAlignment="true" applyProtection="false">
      <alignment horizontal="left" vertical="top" textRotation="0" wrapText="tru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6" fillId="3" borderId="0" xfId="0" applyFont="true" applyBorder="true" applyAlignment="false" applyProtection="false">
      <alignment horizontal="general" vertical="bottom" textRotation="0" wrapText="false" indent="0" shrinkToFit="false"/>
      <protection locked="true" hidden="false"/>
    </xf>
    <xf numFmtId="164" fontId="7" fillId="4" borderId="0" xfId="0" applyFont="true" applyBorder="false" applyAlignment="true" applyProtection="false">
      <alignment horizontal="center" vertical="center" textRotation="0" wrapText="true" indent="0" shrinkToFit="false"/>
      <protection locked="true" hidden="false"/>
    </xf>
    <xf numFmtId="164" fontId="5" fillId="5" borderId="0" xfId="0" applyFont="tru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center" vertical="center" textRotation="0" wrapText="true" indent="0" shrinkToFit="false"/>
      <protection locked="true" hidden="false"/>
    </xf>
    <xf numFmtId="164" fontId="5" fillId="6" borderId="0" xfId="0" applyFont="true" applyBorder="false" applyAlignment="false" applyProtection="false">
      <alignment horizontal="general" vertical="bottom" textRotation="0" wrapText="false" indent="0" shrinkToFit="false"/>
      <protection locked="true" hidden="false"/>
    </xf>
    <xf numFmtId="164" fontId="5" fillId="3" borderId="0" xfId="0" applyFont="true" applyBorder="false" applyAlignment="false" applyProtection="false">
      <alignment horizontal="general" vertical="bottom" textRotation="0" wrapText="false" indent="0" shrinkToFit="false"/>
      <protection locked="true" hidden="false"/>
    </xf>
    <xf numFmtId="164" fontId="5" fillId="7" borderId="0" xfId="0" applyFont="true" applyBorder="false" applyAlignment="false" applyProtection="false">
      <alignment horizontal="general" vertical="bottom" textRotation="0" wrapText="false" indent="0" shrinkToFit="false"/>
      <protection locked="true" hidden="false"/>
    </xf>
    <xf numFmtId="164" fontId="5" fillId="8" borderId="0" xfId="0" applyFont="true" applyBorder="false" applyAlignment="false" applyProtection="false">
      <alignment horizontal="general" vertical="bottom" textRotation="0" wrapText="false" indent="0" shrinkToFit="false"/>
      <protection locked="true" hidden="false"/>
    </xf>
    <xf numFmtId="164" fontId="5" fillId="9" borderId="0" xfId="0" applyFont="true" applyBorder="false" applyAlignment="false" applyProtection="false">
      <alignment horizontal="general" vertical="bottom" textRotation="0" wrapText="false" indent="0" shrinkToFit="false"/>
      <protection locked="true" hidden="false"/>
    </xf>
    <xf numFmtId="164" fontId="5" fillId="10" borderId="0" xfId="0" applyFont="true" applyBorder="false" applyAlignment="false" applyProtection="false">
      <alignment horizontal="general" vertical="bottom" textRotation="0" wrapText="false" indent="0" shrinkToFit="false"/>
      <protection locked="true" hidden="false"/>
    </xf>
    <xf numFmtId="164" fontId="5" fillId="11" borderId="0" xfId="0" applyFont="true" applyBorder="false" applyAlignment="false" applyProtection="false">
      <alignment horizontal="general" vertical="bottom" textRotation="0" wrapText="false" indent="0" shrinkToFit="false"/>
      <protection locked="true" hidden="false"/>
    </xf>
    <xf numFmtId="164" fontId="5" fillId="12" borderId="0" xfId="0" applyFont="true" applyBorder="false" applyAlignment="fals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left" vertical="top" textRotation="0" wrapText="true" indent="0" shrinkToFit="false"/>
      <protection locked="true" hidden="false"/>
    </xf>
    <xf numFmtId="164" fontId="9" fillId="0" borderId="1" xfId="0" applyFont="true" applyBorder="true" applyAlignment="true" applyProtection="false">
      <alignment horizontal="left" vertical="top" textRotation="0" wrapText="true" indent="0" shrinkToFit="false"/>
      <protection locked="true" hidden="false"/>
    </xf>
    <xf numFmtId="164" fontId="8" fillId="5" borderId="1" xfId="0" applyFont="true" applyBorder="true" applyAlignment="true" applyProtection="false">
      <alignment horizontal="left" vertical="top" textRotation="0" wrapText="true" indent="0" shrinkToFit="false"/>
      <protection locked="true" hidden="false"/>
    </xf>
    <xf numFmtId="164" fontId="9" fillId="9" borderId="1" xfId="0" applyFont="true" applyBorder="true" applyAlignment="true" applyProtection="false">
      <alignment horizontal="left" vertical="top" textRotation="0" wrapText="true" indent="0" shrinkToFit="false"/>
      <protection locked="true" hidden="false"/>
    </xf>
    <xf numFmtId="164" fontId="8" fillId="6" borderId="1" xfId="0" applyFont="true" applyBorder="true" applyAlignment="true" applyProtection="false">
      <alignment horizontal="left" vertical="top" textRotation="0" wrapText="true" indent="0" shrinkToFit="false"/>
      <protection locked="true" hidden="false"/>
    </xf>
    <xf numFmtId="164" fontId="8" fillId="3" borderId="1" xfId="0" applyFont="true" applyBorder="true" applyAlignment="true" applyProtection="false">
      <alignment horizontal="left" vertical="top" textRotation="0" wrapText="true" indent="0" shrinkToFit="false"/>
      <protection locked="true" hidden="false"/>
    </xf>
    <xf numFmtId="164" fontId="9" fillId="10" borderId="1" xfId="0" applyFont="true" applyBorder="true" applyAlignment="true" applyProtection="false">
      <alignment horizontal="left" vertical="top" textRotation="0" wrapText="true" indent="0" shrinkToFit="false"/>
      <protection locked="true" hidden="false"/>
    </xf>
    <xf numFmtId="164" fontId="8" fillId="7" borderId="1" xfId="0" applyFont="true" applyBorder="true" applyAlignment="true" applyProtection="false">
      <alignment horizontal="left" vertical="top" textRotation="0" wrapText="true" indent="0" shrinkToFit="false"/>
      <protection locked="true" hidden="false"/>
    </xf>
    <xf numFmtId="164" fontId="8" fillId="8" borderId="1" xfId="0" applyFont="true" applyBorder="true" applyAlignment="true" applyProtection="false">
      <alignment horizontal="left" vertical="top" textRotation="0" wrapText="true" indent="0" shrinkToFit="false"/>
      <protection locked="true" hidden="false"/>
    </xf>
    <xf numFmtId="164" fontId="9" fillId="11" borderId="1" xfId="0" applyFont="true" applyBorder="true" applyAlignment="true" applyProtection="false">
      <alignment horizontal="left" vertical="top" textRotation="0" wrapText="true" indent="0" shrinkToFit="false"/>
      <protection locked="true" hidden="false"/>
    </xf>
    <xf numFmtId="164" fontId="9" fillId="12" borderId="1" xfId="0" applyFont="true" applyBorder="true" applyAlignment="true" applyProtection="false">
      <alignment horizontal="left" vertical="top" textRotation="0" wrapText="true" indent="0" shrinkToFit="false"/>
      <protection locked="true" hidden="false"/>
    </xf>
    <xf numFmtId="164" fontId="4" fillId="2" borderId="0" xfId="0" applyFont="true" applyBorder="true" applyAlignment="false" applyProtection="false">
      <alignment horizontal="general" vertical="bottom" textRotation="0" wrapText="false" indent="0" shrinkToFit="false"/>
      <protection locked="true" hidden="false"/>
    </xf>
    <xf numFmtId="164" fontId="6" fillId="9" borderId="0" xfId="0" applyFont="true" applyBorder="true" applyAlignment="false" applyProtection="false">
      <alignment horizontal="general" vertical="bottom" textRotation="0" wrapText="false" indent="0" shrinkToFit="false"/>
      <protection locked="true" hidden="false"/>
    </xf>
    <xf numFmtId="164" fontId="6" fillId="10" borderId="0" xfId="0" applyFont="true" applyBorder="true" applyAlignment="false" applyProtection="false">
      <alignment horizontal="general" vertical="bottom" textRotation="0" wrapText="false" indent="0" shrinkToFit="false"/>
      <protection locked="true" hidden="false"/>
    </xf>
    <xf numFmtId="164" fontId="6" fillId="11" borderId="0" xfId="0" applyFont="true" applyBorder="true" applyAlignment="false" applyProtection="false">
      <alignment horizontal="general" vertical="bottom" textRotation="0" wrapText="false" indent="0" shrinkToFit="false"/>
      <protection locked="true" hidden="false"/>
    </xf>
    <xf numFmtId="164" fontId="6" fillId="12" borderId="0" xfId="0" applyFont="true" applyBorder="true" applyAlignment="false" applyProtection="false">
      <alignment horizontal="general" vertical="bottom" textRotation="0" wrapText="false" indent="0" shrinkToFit="false"/>
      <protection locked="true" hidden="false"/>
    </xf>
    <xf numFmtId="164" fontId="6" fillId="5" borderId="0" xfId="0" applyFont="true" applyBorder="true" applyAlignment="false" applyProtection="false">
      <alignment horizontal="general" vertical="bottom" textRotation="0" wrapText="false" indent="0" shrinkToFit="false"/>
      <protection locked="true" hidden="false"/>
    </xf>
    <xf numFmtId="164" fontId="6" fillId="6" borderId="0" xfId="0" applyFont="true" applyBorder="true" applyAlignment="false" applyProtection="false">
      <alignment horizontal="general" vertical="bottom" textRotation="0" wrapText="false" indent="0" shrinkToFit="false"/>
      <protection locked="true" hidden="false"/>
    </xf>
    <xf numFmtId="164" fontId="6" fillId="7" borderId="0" xfId="0" applyFont="true" applyBorder="true" applyAlignment="false" applyProtection="false">
      <alignment horizontal="general" vertical="bottom" textRotation="0" wrapText="false" indent="0" shrinkToFit="false"/>
      <protection locked="true" hidden="false"/>
    </xf>
    <xf numFmtId="164" fontId="6" fillId="8" borderId="0" xfId="0" applyFont="true" applyBorder="true" applyAlignment="false" applyProtection="false">
      <alignment horizontal="general" vertical="bottom" textRotation="0" wrapText="false" indent="0" shrinkToFit="false"/>
      <protection locked="true" hidden="false"/>
    </xf>
    <xf numFmtId="165" fontId="0" fillId="0" borderId="0" xfId="0" applyFont="false" applyBorder="false" applyAlignment="true" applyProtection="false">
      <alignment horizontal="center" vertical="center"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6" fontId="6" fillId="0" borderId="0" xfId="0" applyFont="true" applyBorder="false" applyAlignment="true" applyProtection="false">
      <alignment horizontal="center" vertical="center" textRotation="0" wrapText="true" indent="0" shrinkToFit="false"/>
      <protection locked="true" hidden="false"/>
    </xf>
    <xf numFmtId="164" fontId="7" fillId="4"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center" vertical="center" textRotation="0" wrapText="true" indent="0" shrinkToFit="false"/>
      <protection locked="true" hidden="false"/>
    </xf>
    <xf numFmtId="164" fontId="10" fillId="0" borderId="0" xfId="0" applyFont="true" applyBorder="fals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2">
    <dxf>
      <fill>
        <patternFill patternType="solid">
          <fgColor rgb="FF102A43"/>
          <bgColor rgb="FF000000"/>
        </patternFill>
      </fill>
    </dxf>
    <dxf>
      <fill>
        <patternFill patternType="solid">
          <bgColor rgb="FF000000"/>
        </patternFill>
      </fill>
    </dxf>
    <dxf>
      <fill>
        <patternFill patternType="solid">
          <fgColor rgb="FFFFFFFF"/>
          <bgColor rgb="FF000000"/>
        </patternFill>
      </fill>
    </dxf>
    <dxf>
      <fill>
        <patternFill patternType="solid">
          <fgColor rgb="FFD5E8F0"/>
          <bgColor rgb="FF000000"/>
        </patternFill>
      </fill>
    </dxf>
    <dxf>
      <fill>
        <patternFill patternType="solid">
          <fgColor rgb="FFEDEDED"/>
          <bgColor rgb="FF000000"/>
        </patternFill>
      </fill>
    </dxf>
    <dxf>
      <fill>
        <patternFill patternType="solid">
          <fgColor rgb="FFF5F5F5"/>
          <bgColor rgb="FF000000"/>
        </patternFill>
      </fill>
    </dxf>
    <dxf>
      <fill>
        <patternFill patternType="solid">
          <fgColor rgb="FFFFC7CE"/>
          <bgColor rgb="FF000000"/>
        </patternFill>
      </fill>
    </dxf>
    <dxf>
      <fill>
        <patternFill patternType="solid">
          <fgColor rgb="FFFFEB9C"/>
          <bgColor rgb="FF000000"/>
        </patternFill>
      </fill>
    </dxf>
    <dxf>
      <fill>
        <patternFill patternType="solid">
          <fgColor rgb="FFDBEAFE"/>
          <bgColor rgb="FF000000"/>
        </patternFill>
      </fill>
    </dxf>
    <dxf>
      <fill>
        <patternFill patternType="solid">
          <fgColor rgb="FFDCFCE7"/>
          <bgColor rgb="FF000000"/>
        </patternFill>
      </fill>
    </dxf>
    <dxf>
      <fill>
        <patternFill patternType="solid">
          <fgColor rgb="FFF3E8FF"/>
          <bgColor rgb="FF000000"/>
        </patternFill>
      </fill>
    </dxf>
    <dxf>
      <fill>
        <patternFill patternType="solid">
          <fgColor rgb="FFFEF3C7"/>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891B2"/>
      <rgbColor rgb="FFBFBFBF"/>
      <rgbColor rgb="FF808080"/>
      <rgbColor rgb="FF9999FF"/>
      <rgbColor rgb="FF993366"/>
      <rgbColor rgb="FFFEF3C7"/>
      <rgbColor rgb="FFDCFCE7"/>
      <rgbColor rgb="FF660066"/>
      <rgbColor rgb="FFFF8080"/>
      <rgbColor rgb="FF0066CC"/>
      <rgbColor rgb="FFF3E8FF"/>
      <rgbColor rgb="FF000080"/>
      <rgbColor rgb="FFFF00FF"/>
      <rgbColor rgb="FFFFFF00"/>
      <rgbColor rgb="FF00FFFF"/>
      <rgbColor rgb="FF800080"/>
      <rgbColor rgb="FF800000"/>
      <rgbColor rgb="FF008080"/>
      <rgbColor rgb="FF0000FF"/>
      <rgbColor rgb="FF00CCFF"/>
      <rgbColor rgb="FFDBEAFE"/>
      <rgbColor rgb="FFD5E8F0"/>
      <rgbColor rgb="FFFFEB9C"/>
      <rgbColor rgb="FFEDEDED"/>
      <rgbColor rgb="FFF5F5F5"/>
      <rgbColor rgb="FFCC99FF"/>
      <rgbColor rgb="FFFFC7CE"/>
      <rgbColor rgb="FF3366FF"/>
      <rgbColor rgb="FF33CCCC"/>
      <rgbColor rgb="FF99CC00"/>
      <rgbColor rgb="FFFFCC00"/>
      <rgbColor rgb="FFFF9900"/>
      <rgbColor rgb="FFFF6600"/>
      <rgbColor rgb="FF666699"/>
      <rgbColor rgb="FF969696"/>
      <rgbColor rgb="FF102A43"/>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4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8"/>
    <col collapsed="false" customWidth="true" hidden="false" outlineLevel="0" max="7" min="2" style="0" width="14"/>
  </cols>
  <sheetData>
    <row r="1" customFormat="false" ht="36" hidden="false" customHeight="true" outlineLevel="0" collapsed="false">
      <c r="A1" s="1" t="s">
        <v>0</v>
      </c>
      <c r="B1" s="1"/>
      <c r="C1" s="1"/>
      <c r="D1" s="1"/>
      <c r="E1" s="1"/>
      <c r="F1" s="1"/>
      <c r="G1" s="1"/>
    </row>
    <row r="3" customFormat="false" ht="55.2" hidden="false" customHeight="true" outlineLevel="0" collapsed="false">
      <c r="A3" s="2" t="s">
        <v>1</v>
      </c>
      <c r="B3" s="3" t="s">
        <v>2</v>
      </c>
      <c r="C3" s="3"/>
      <c r="D3" s="3"/>
      <c r="E3" s="3"/>
      <c r="F3" s="3"/>
      <c r="G3" s="3"/>
    </row>
    <row r="4" customFormat="false" ht="15" hidden="false" customHeight="false" outlineLevel="0" collapsed="false">
      <c r="A4" s="2" t="s">
        <v>3</v>
      </c>
      <c r="B4" s="4" t="s">
        <v>4</v>
      </c>
    </row>
    <row r="6" customFormat="false" ht="15" hidden="false" customHeight="false" outlineLevel="0" collapsed="false">
      <c r="A6" s="5" t="s">
        <v>5</v>
      </c>
      <c r="B6" s="5"/>
      <c r="C6" s="5"/>
      <c r="D6" s="5"/>
      <c r="E6" s="5"/>
      <c r="F6" s="5"/>
      <c r="G6" s="5"/>
    </row>
    <row r="7" customFormat="false" ht="15" hidden="false" customHeight="false" outlineLevel="0" collapsed="false">
      <c r="A7" s="2" t="s">
        <v>6</v>
      </c>
      <c r="B7" s="4" t="n">
        <f aca="false">COUNTA('Master Task List'!A2:A107)</f>
        <v>106</v>
      </c>
    </row>
    <row r="8" customFormat="false" ht="15" hidden="false" customHeight="false" outlineLevel="0" collapsed="false">
      <c r="A8" s="2" t="s">
        <v>7</v>
      </c>
      <c r="B8" s="4" t="n">
        <f aca="false">SUM('Master Task List'!I2:I107)</f>
        <v>542</v>
      </c>
    </row>
    <row r="10" customFormat="false" ht="15" hidden="false" customHeight="false" outlineLevel="0" collapsed="false">
      <c r="A10" s="5" t="s">
        <v>8</v>
      </c>
      <c r="B10" s="5"/>
      <c r="C10" s="5"/>
      <c r="D10" s="5"/>
      <c r="E10" s="5"/>
      <c r="F10" s="5"/>
      <c r="G10" s="5"/>
    </row>
    <row r="11" customFormat="false" ht="15" hidden="false" customHeight="false" outlineLevel="0" collapsed="false">
      <c r="A11" s="6" t="s">
        <v>9</v>
      </c>
      <c r="B11" s="6" t="s">
        <v>10</v>
      </c>
      <c r="C11" s="6" t="s">
        <v>11</v>
      </c>
    </row>
    <row r="12" customFormat="false" ht="15" hidden="false" customHeight="false" outlineLevel="0" collapsed="false">
      <c r="A12" s="7" t="s">
        <v>12</v>
      </c>
      <c r="B12" s="8" t="n">
        <v>35</v>
      </c>
      <c r="C12" s="8" t="n">
        <v>191</v>
      </c>
    </row>
    <row r="13" customFormat="false" ht="15" hidden="false" customHeight="false" outlineLevel="0" collapsed="false">
      <c r="A13" s="9" t="s">
        <v>13</v>
      </c>
      <c r="B13" s="8" t="n">
        <v>37</v>
      </c>
      <c r="C13" s="8" t="n">
        <v>184</v>
      </c>
    </row>
    <row r="14" customFormat="false" ht="15" hidden="false" customHeight="false" outlineLevel="0" collapsed="false">
      <c r="A14" s="10" t="s">
        <v>14</v>
      </c>
      <c r="B14" s="8" t="n">
        <v>32</v>
      </c>
      <c r="C14" s="8" t="n">
        <v>160</v>
      </c>
    </row>
    <row r="15" customFormat="false" ht="15" hidden="false" customHeight="false" outlineLevel="0" collapsed="false">
      <c r="A15" s="11" t="s">
        <v>15</v>
      </c>
      <c r="B15" s="8" t="n">
        <v>1</v>
      </c>
      <c r="C15" s="8" t="n">
        <v>3</v>
      </c>
    </row>
    <row r="16" customFormat="false" ht="15" hidden="false" customHeight="false" outlineLevel="0" collapsed="false">
      <c r="A16" s="12" t="s">
        <v>16</v>
      </c>
      <c r="B16" s="8" t="n">
        <v>1</v>
      </c>
      <c r="C16" s="8" t="n">
        <v>4</v>
      </c>
    </row>
    <row r="18" customFormat="false" ht="15" hidden="false" customHeight="false" outlineLevel="0" collapsed="false">
      <c r="A18" s="5" t="s">
        <v>17</v>
      </c>
      <c r="B18" s="5"/>
      <c r="C18" s="5"/>
      <c r="D18" s="5"/>
      <c r="E18" s="5"/>
      <c r="F18" s="5"/>
      <c r="G18" s="5"/>
    </row>
    <row r="19" customFormat="false" ht="15" hidden="false" customHeight="false" outlineLevel="0" collapsed="false">
      <c r="A19" s="6" t="s">
        <v>18</v>
      </c>
      <c r="B19" s="6" t="s">
        <v>10</v>
      </c>
      <c r="C19" s="6" t="s">
        <v>11</v>
      </c>
    </row>
    <row r="20" customFormat="false" ht="15" hidden="false" customHeight="false" outlineLevel="0" collapsed="false">
      <c r="A20" s="13" t="s">
        <v>19</v>
      </c>
      <c r="B20" s="8" t="n">
        <v>25</v>
      </c>
      <c r="C20" s="8" t="n">
        <v>135.5</v>
      </c>
    </row>
    <row r="21" customFormat="false" ht="15" hidden="false" customHeight="false" outlineLevel="0" collapsed="false">
      <c r="A21" s="14" t="s">
        <v>20</v>
      </c>
      <c r="B21" s="8" t="n">
        <v>33</v>
      </c>
      <c r="C21" s="8" t="n">
        <v>205</v>
      </c>
    </row>
    <row r="22" customFormat="false" ht="15" hidden="false" customHeight="false" outlineLevel="0" collapsed="false">
      <c r="A22" s="15" t="s">
        <v>21</v>
      </c>
      <c r="B22" s="8" t="n">
        <v>26</v>
      </c>
      <c r="C22" s="8" t="n">
        <v>113.5</v>
      </c>
    </row>
    <row r="23" customFormat="false" ht="15" hidden="false" customHeight="false" outlineLevel="0" collapsed="false">
      <c r="A23" s="16" t="s">
        <v>22</v>
      </c>
      <c r="B23" s="8" t="n">
        <v>22</v>
      </c>
      <c r="C23" s="8" t="n">
        <v>88</v>
      </c>
    </row>
    <row r="25" customFormat="false" ht="15" hidden="false" customHeight="false" outlineLevel="0" collapsed="false">
      <c r="A25" s="5" t="s">
        <v>23</v>
      </c>
      <c r="B25" s="5"/>
      <c r="C25" s="5"/>
      <c r="D25" s="5"/>
      <c r="E25" s="5"/>
      <c r="F25" s="5"/>
      <c r="G25" s="5"/>
    </row>
    <row r="26" customFormat="false" ht="15" hidden="false" customHeight="false" outlineLevel="0" collapsed="false">
      <c r="A26" s="6" t="s">
        <v>24</v>
      </c>
      <c r="B26" s="6" t="s">
        <v>10</v>
      </c>
      <c r="C26" s="6" t="s">
        <v>11</v>
      </c>
    </row>
    <row r="27" customFormat="false" ht="15" hidden="false" customHeight="false" outlineLevel="0" collapsed="false">
      <c r="A27" s="2" t="s">
        <v>25</v>
      </c>
      <c r="B27" s="8" t="n">
        <v>27</v>
      </c>
      <c r="C27" s="8" t="n">
        <v>150</v>
      </c>
    </row>
    <row r="28" customFormat="false" ht="15" hidden="false" customHeight="false" outlineLevel="0" collapsed="false">
      <c r="A28" s="2" t="s">
        <v>26</v>
      </c>
      <c r="B28" s="8" t="n">
        <v>8</v>
      </c>
      <c r="C28" s="8" t="n">
        <v>55</v>
      </c>
    </row>
    <row r="29" customFormat="false" ht="15" hidden="false" customHeight="false" outlineLevel="0" collapsed="false">
      <c r="A29" s="2" t="s">
        <v>27</v>
      </c>
      <c r="B29" s="8" t="n">
        <v>1</v>
      </c>
      <c r="C29" s="8" t="n">
        <v>4</v>
      </c>
    </row>
    <row r="30" customFormat="false" ht="15" hidden="false" customHeight="false" outlineLevel="0" collapsed="false">
      <c r="A30" s="2" t="s">
        <v>28</v>
      </c>
      <c r="B30" s="8" t="n">
        <v>9</v>
      </c>
      <c r="C30" s="8" t="n">
        <v>75.5</v>
      </c>
    </row>
    <row r="31" customFormat="false" ht="15" hidden="false" customHeight="false" outlineLevel="0" collapsed="false">
      <c r="A31" s="2" t="s">
        <v>29</v>
      </c>
      <c r="B31" s="8" t="n">
        <v>10</v>
      </c>
      <c r="C31" s="8" t="n">
        <v>57</v>
      </c>
    </row>
    <row r="32" customFormat="false" ht="15" hidden="false" customHeight="false" outlineLevel="0" collapsed="false">
      <c r="A32" s="2" t="s">
        <v>30</v>
      </c>
      <c r="B32" s="8" t="n">
        <v>2</v>
      </c>
      <c r="C32" s="8" t="n">
        <v>8</v>
      </c>
    </row>
    <row r="33" customFormat="false" ht="15" hidden="false" customHeight="false" outlineLevel="0" collapsed="false">
      <c r="A33" s="2" t="s">
        <v>31</v>
      </c>
      <c r="B33" s="8" t="n">
        <v>3</v>
      </c>
      <c r="C33" s="8" t="n">
        <v>25</v>
      </c>
    </row>
    <row r="34" customFormat="false" ht="15" hidden="false" customHeight="false" outlineLevel="0" collapsed="false">
      <c r="A34" s="2" t="s">
        <v>32</v>
      </c>
      <c r="B34" s="8" t="n">
        <v>1</v>
      </c>
      <c r="C34" s="8" t="n">
        <v>3</v>
      </c>
    </row>
    <row r="35" customFormat="false" ht="15" hidden="false" customHeight="false" outlineLevel="0" collapsed="false">
      <c r="A35" s="2" t="s">
        <v>33</v>
      </c>
      <c r="B35" s="8" t="n">
        <v>1</v>
      </c>
      <c r="C35" s="8" t="n">
        <v>2</v>
      </c>
    </row>
    <row r="36" customFormat="false" ht="15" hidden="false" customHeight="false" outlineLevel="0" collapsed="false">
      <c r="A36" s="2" t="s">
        <v>34</v>
      </c>
      <c r="B36" s="8" t="n">
        <v>9</v>
      </c>
      <c r="C36" s="8" t="n">
        <v>29.5</v>
      </c>
    </row>
    <row r="37" customFormat="false" ht="15" hidden="false" customHeight="false" outlineLevel="0" collapsed="false">
      <c r="A37" s="2" t="s">
        <v>35</v>
      </c>
      <c r="B37" s="8" t="n">
        <v>1</v>
      </c>
      <c r="C37" s="8" t="n">
        <v>6</v>
      </c>
    </row>
    <row r="38" customFormat="false" ht="15" hidden="false" customHeight="false" outlineLevel="0" collapsed="false">
      <c r="A38" s="2" t="s">
        <v>36</v>
      </c>
      <c r="B38" s="8" t="n">
        <v>6</v>
      </c>
      <c r="C38" s="8" t="n">
        <v>16</v>
      </c>
    </row>
    <row r="39" customFormat="false" ht="15" hidden="false" customHeight="false" outlineLevel="0" collapsed="false">
      <c r="A39" s="2" t="s">
        <v>37</v>
      </c>
      <c r="B39" s="8" t="n">
        <v>1</v>
      </c>
      <c r="C39" s="8" t="n">
        <v>8</v>
      </c>
    </row>
    <row r="40" customFormat="false" ht="15" hidden="false" customHeight="false" outlineLevel="0" collapsed="false">
      <c r="A40" s="2" t="s">
        <v>38</v>
      </c>
      <c r="B40" s="8" t="n">
        <v>1</v>
      </c>
      <c r="C40" s="8" t="n">
        <v>3</v>
      </c>
    </row>
    <row r="41" customFormat="false" ht="15" hidden="false" customHeight="false" outlineLevel="0" collapsed="false">
      <c r="A41" s="2" t="s">
        <v>39</v>
      </c>
      <c r="B41" s="8" t="n">
        <v>1</v>
      </c>
      <c r="C41" s="8" t="n">
        <v>5</v>
      </c>
    </row>
    <row r="42" customFormat="false" ht="15" hidden="false" customHeight="false" outlineLevel="0" collapsed="false">
      <c r="A42" s="2" t="s">
        <v>40</v>
      </c>
      <c r="B42" s="8" t="n">
        <v>3</v>
      </c>
      <c r="C42" s="8" t="n">
        <v>11</v>
      </c>
    </row>
    <row r="43" customFormat="false" ht="15" hidden="false" customHeight="false" outlineLevel="0" collapsed="false">
      <c r="A43" s="2" t="s">
        <v>41</v>
      </c>
      <c r="B43" s="8" t="n">
        <v>1</v>
      </c>
      <c r="C43" s="8" t="n">
        <v>1</v>
      </c>
    </row>
    <row r="44" customFormat="false" ht="15" hidden="false" customHeight="false" outlineLevel="0" collapsed="false">
      <c r="A44" s="2" t="s">
        <v>42</v>
      </c>
      <c r="B44" s="8" t="n">
        <v>14</v>
      </c>
      <c r="C44" s="8" t="n">
        <v>60</v>
      </c>
    </row>
    <row r="45" customFormat="false" ht="15" hidden="false" customHeight="false" outlineLevel="0" collapsed="false">
      <c r="A45" s="2" t="s">
        <v>43</v>
      </c>
      <c r="B45" s="8" t="n">
        <v>1</v>
      </c>
      <c r="C45" s="8" t="n">
        <v>3</v>
      </c>
    </row>
    <row r="46" customFormat="false" ht="15" hidden="false" customHeight="false" outlineLevel="0" collapsed="false">
      <c r="A46" s="2" t="s">
        <v>44</v>
      </c>
      <c r="B46" s="8" t="n">
        <v>3</v>
      </c>
      <c r="C46" s="8" t="n">
        <v>10</v>
      </c>
    </row>
    <row r="47" customFormat="false" ht="15" hidden="false" customHeight="false" outlineLevel="0" collapsed="false">
      <c r="A47" s="2" t="s">
        <v>45</v>
      </c>
      <c r="B47" s="8" t="n">
        <v>1</v>
      </c>
      <c r="C47" s="8" t="n">
        <v>4</v>
      </c>
    </row>
    <row r="48" customFormat="false" ht="15" hidden="false" customHeight="false" outlineLevel="0" collapsed="false">
      <c r="A48" s="2" t="s">
        <v>46</v>
      </c>
      <c r="B48" s="8" t="n">
        <v>2</v>
      </c>
      <c r="C48" s="8" t="n">
        <v>6</v>
      </c>
    </row>
  </sheetData>
  <mergeCells count="6">
    <mergeCell ref="A1:G1"/>
    <mergeCell ref="B3:G3"/>
    <mergeCell ref="A6:G6"/>
    <mergeCell ref="A10:G10"/>
    <mergeCell ref="A18:G18"/>
    <mergeCell ref="A25:G2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0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42"/>
    <col collapsed="false" customWidth="true" hidden="false" outlineLevel="0" max="3" min="3" style="0" width="16"/>
    <col collapsed="false" customWidth="true" hidden="false" outlineLevel="0" max="4" min="4" style="0" width="18"/>
    <col collapsed="false" customWidth="true" hidden="false" outlineLevel="0" max="5" min="5" style="0" width="24"/>
    <col collapsed="false" customWidth="true" hidden="false" outlineLevel="0" max="6" min="6" style="0" width="28"/>
    <col collapsed="false" customWidth="true" hidden="false" outlineLevel="0" max="7" min="7" style="0" width="90"/>
    <col collapsed="false" customWidth="true" hidden="false" outlineLevel="0" max="8" min="8" style="0" width="65"/>
    <col collapsed="false" customWidth="true" hidden="false" outlineLevel="0" max="9" min="9" style="0" width="9"/>
  </cols>
  <sheetData>
    <row r="1" customFormat="false" ht="23.85" hidden="false" customHeight="false" outlineLevel="0" collapsed="false">
      <c r="A1" s="17" t="s">
        <v>47</v>
      </c>
      <c r="B1" s="17" t="s">
        <v>48</v>
      </c>
      <c r="C1" s="17" t="s">
        <v>9</v>
      </c>
      <c r="D1" s="17" t="s">
        <v>18</v>
      </c>
      <c r="E1" s="17" t="s">
        <v>24</v>
      </c>
      <c r="F1" s="17" t="s">
        <v>49</v>
      </c>
      <c r="G1" s="17" t="s">
        <v>50</v>
      </c>
      <c r="H1" s="17" t="s">
        <v>51</v>
      </c>
      <c r="I1" s="17" t="s">
        <v>52</v>
      </c>
    </row>
    <row r="2" customFormat="false" ht="102.2" hidden="false" customHeight="false" outlineLevel="0" collapsed="false">
      <c r="A2" s="18" t="s">
        <v>53</v>
      </c>
      <c r="B2" s="19" t="s">
        <v>54</v>
      </c>
      <c r="C2" s="20" t="s">
        <v>12</v>
      </c>
      <c r="D2" s="21" t="s">
        <v>19</v>
      </c>
      <c r="E2" s="19" t="s">
        <v>29</v>
      </c>
      <c r="F2" s="19" t="s">
        <v>55</v>
      </c>
      <c r="G2" s="19" t="s">
        <v>56</v>
      </c>
      <c r="H2" s="19" t="s">
        <v>57</v>
      </c>
      <c r="I2" s="19" t="n">
        <v>3</v>
      </c>
    </row>
    <row r="3" customFormat="false" ht="124.6" hidden="false" customHeight="false" outlineLevel="0" collapsed="false">
      <c r="A3" s="18" t="s">
        <v>58</v>
      </c>
      <c r="B3" s="19" t="s">
        <v>59</v>
      </c>
      <c r="C3" s="22" t="s">
        <v>13</v>
      </c>
      <c r="D3" s="21" t="s">
        <v>19</v>
      </c>
      <c r="E3" s="19" t="s">
        <v>28</v>
      </c>
      <c r="F3" s="19" t="s">
        <v>60</v>
      </c>
      <c r="G3" s="19" t="s">
        <v>61</v>
      </c>
      <c r="H3" s="19" t="s">
        <v>62</v>
      </c>
      <c r="I3" s="19" t="n">
        <v>8</v>
      </c>
    </row>
    <row r="4" customFormat="false" ht="91" hidden="false" customHeight="false" outlineLevel="0" collapsed="false">
      <c r="A4" s="18" t="s">
        <v>63</v>
      </c>
      <c r="B4" s="19" t="s">
        <v>64</v>
      </c>
      <c r="C4" s="20" t="s">
        <v>12</v>
      </c>
      <c r="D4" s="21" t="s">
        <v>19</v>
      </c>
      <c r="E4" s="19" t="s">
        <v>28</v>
      </c>
      <c r="F4" s="19" t="s">
        <v>65</v>
      </c>
      <c r="G4" s="19" t="s">
        <v>66</v>
      </c>
      <c r="H4" s="19" t="s">
        <v>67</v>
      </c>
      <c r="I4" s="19" t="n">
        <v>5</v>
      </c>
    </row>
    <row r="5" customFormat="false" ht="91" hidden="false" customHeight="false" outlineLevel="0" collapsed="false">
      <c r="A5" s="18" t="s">
        <v>68</v>
      </c>
      <c r="B5" s="19" t="s">
        <v>69</v>
      </c>
      <c r="C5" s="20" t="s">
        <v>12</v>
      </c>
      <c r="D5" s="21" t="s">
        <v>19</v>
      </c>
      <c r="E5" s="19" t="s">
        <v>28</v>
      </c>
      <c r="F5" s="19" t="s">
        <v>70</v>
      </c>
      <c r="G5" s="19" t="s">
        <v>71</v>
      </c>
      <c r="H5" s="19" t="s">
        <v>72</v>
      </c>
      <c r="I5" s="19" t="n">
        <v>4</v>
      </c>
    </row>
    <row r="6" customFormat="false" ht="68.65" hidden="false" customHeight="false" outlineLevel="0" collapsed="false">
      <c r="A6" s="18" t="s">
        <v>73</v>
      </c>
      <c r="B6" s="19" t="s">
        <v>74</v>
      </c>
      <c r="C6" s="20" t="s">
        <v>12</v>
      </c>
      <c r="D6" s="21" t="s">
        <v>19</v>
      </c>
      <c r="E6" s="19" t="s">
        <v>31</v>
      </c>
      <c r="F6" s="19" t="s">
        <v>75</v>
      </c>
      <c r="G6" s="19" t="s">
        <v>76</v>
      </c>
      <c r="H6" s="19" t="s">
        <v>77</v>
      </c>
      <c r="I6" s="19" t="n">
        <v>3</v>
      </c>
    </row>
    <row r="7" customFormat="false" ht="68.65" hidden="false" customHeight="false" outlineLevel="0" collapsed="false">
      <c r="A7" s="18" t="s">
        <v>78</v>
      </c>
      <c r="B7" s="19" t="s">
        <v>79</v>
      </c>
      <c r="C7" s="22" t="s">
        <v>13</v>
      </c>
      <c r="D7" s="21" t="s">
        <v>19</v>
      </c>
      <c r="E7" s="19" t="s">
        <v>26</v>
      </c>
      <c r="F7" s="19" t="s">
        <v>80</v>
      </c>
      <c r="G7" s="19" t="s">
        <v>81</v>
      </c>
      <c r="H7" s="19" t="s">
        <v>82</v>
      </c>
      <c r="I7" s="19" t="n">
        <v>6</v>
      </c>
    </row>
    <row r="8" customFormat="false" ht="68.65" hidden="false" customHeight="false" outlineLevel="0" collapsed="false">
      <c r="A8" s="18" t="s">
        <v>83</v>
      </c>
      <c r="B8" s="19" t="s">
        <v>84</v>
      </c>
      <c r="C8" s="20" t="s">
        <v>12</v>
      </c>
      <c r="D8" s="21" t="s">
        <v>19</v>
      </c>
      <c r="E8" s="19" t="s">
        <v>26</v>
      </c>
      <c r="F8" s="19" t="s">
        <v>85</v>
      </c>
      <c r="G8" s="19" t="s">
        <v>86</v>
      </c>
      <c r="H8" s="19" t="s">
        <v>87</v>
      </c>
      <c r="I8" s="19" t="n">
        <v>8</v>
      </c>
    </row>
    <row r="9" customFormat="false" ht="57.45" hidden="false" customHeight="false" outlineLevel="0" collapsed="false">
      <c r="A9" s="18" t="s">
        <v>88</v>
      </c>
      <c r="B9" s="19" t="s">
        <v>89</v>
      </c>
      <c r="C9" s="22" t="s">
        <v>13</v>
      </c>
      <c r="D9" s="21" t="s">
        <v>19</v>
      </c>
      <c r="E9" s="19" t="s">
        <v>29</v>
      </c>
      <c r="F9" s="19" t="s">
        <v>90</v>
      </c>
      <c r="G9" s="19" t="s">
        <v>91</v>
      </c>
      <c r="H9" s="19" t="s">
        <v>92</v>
      </c>
      <c r="I9" s="19" t="n">
        <v>4</v>
      </c>
    </row>
    <row r="10" customFormat="false" ht="68.65" hidden="false" customHeight="false" outlineLevel="0" collapsed="false">
      <c r="A10" s="18" t="s">
        <v>93</v>
      </c>
      <c r="B10" s="19" t="s">
        <v>94</v>
      </c>
      <c r="C10" s="22" t="s">
        <v>13</v>
      </c>
      <c r="D10" s="21" t="s">
        <v>19</v>
      </c>
      <c r="E10" s="19" t="s">
        <v>29</v>
      </c>
      <c r="F10" s="19" t="s">
        <v>95</v>
      </c>
      <c r="G10" s="19" t="s">
        <v>96</v>
      </c>
      <c r="H10" s="19" t="s">
        <v>97</v>
      </c>
      <c r="I10" s="19" t="n">
        <v>5</v>
      </c>
    </row>
    <row r="11" customFormat="false" ht="57.45" hidden="false" customHeight="false" outlineLevel="0" collapsed="false">
      <c r="A11" s="18" t="s">
        <v>98</v>
      </c>
      <c r="B11" s="19" t="s">
        <v>99</v>
      </c>
      <c r="C11" s="20" t="s">
        <v>12</v>
      </c>
      <c r="D11" s="21" t="s">
        <v>19</v>
      </c>
      <c r="E11" s="19" t="s">
        <v>26</v>
      </c>
      <c r="F11" s="19" t="s">
        <v>100</v>
      </c>
      <c r="G11" s="19" t="s">
        <v>101</v>
      </c>
      <c r="H11" s="19" t="s">
        <v>102</v>
      </c>
      <c r="I11" s="19" t="n">
        <v>5</v>
      </c>
    </row>
    <row r="12" customFormat="false" ht="57.45" hidden="false" customHeight="false" outlineLevel="0" collapsed="false">
      <c r="A12" s="18" t="s">
        <v>103</v>
      </c>
      <c r="B12" s="19" t="s">
        <v>104</v>
      </c>
      <c r="C12" s="22" t="s">
        <v>13</v>
      </c>
      <c r="D12" s="21" t="s">
        <v>19</v>
      </c>
      <c r="E12" s="19" t="s">
        <v>29</v>
      </c>
      <c r="F12" s="19" t="s">
        <v>105</v>
      </c>
      <c r="G12" s="19" t="s">
        <v>106</v>
      </c>
      <c r="H12" s="19" t="s">
        <v>107</v>
      </c>
      <c r="I12" s="19" t="n">
        <v>5</v>
      </c>
    </row>
    <row r="13" customFormat="false" ht="68.65" hidden="false" customHeight="false" outlineLevel="0" collapsed="false">
      <c r="A13" s="18" t="s">
        <v>108</v>
      </c>
      <c r="B13" s="19" t="s">
        <v>109</v>
      </c>
      <c r="C13" s="20" t="s">
        <v>12</v>
      </c>
      <c r="D13" s="21" t="s">
        <v>19</v>
      </c>
      <c r="E13" s="19" t="s">
        <v>34</v>
      </c>
      <c r="F13" s="19" t="s">
        <v>110</v>
      </c>
      <c r="G13" s="19" t="s">
        <v>111</v>
      </c>
      <c r="H13" s="19" t="s">
        <v>112</v>
      </c>
      <c r="I13" s="19" t="n">
        <v>2</v>
      </c>
    </row>
    <row r="14" customFormat="false" ht="113.4" hidden="false" customHeight="false" outlineLevel="0" collapsed="false">
      <c r="A14" s="18" t="s">
        <v>113</v>
      </c>
      <c r="B14" s="19" t="s">
        <v>114</v>
      </c>
      <c r="C14" s="20" t="s">
        <v>12</v>
      </c>
      <c r="D14" s="21" t="s">
        <v>19</v>
      </c>
      <c r="E14" s="19" t="s">
        <v>28</v>
      </c>
      <c r="F14" s="19" t="s">
        <v>115</v>
      </c>
      <c r="G14" s="19" t="s">
        <v>116</v>
      </c>
      <c r="H14" s="19" t="s">
        <v>117</v>
      </c>
      <c r="I14" s="19" t="n">
        <v>12</v>
      </c>
    </row>
    <row r="15" customFormat="false" ht="79.85" hidden="false" customHeight="false" outlineLevel="0" collapsed="false">
      <c r="A15" s="18" t="s">
        <v>118</v>
      </c>
      <c r="B15" s="19" t="s">
        <v>119</v>
      </c>
      <c r="C15" s="20" t="s">
        <v>12</v>
      </c>
      <c r="D15" s="21" t="s">
        <v>19</v>
      </c>
      <c r="E15" s="19" t="s">
        <v>25</v>
      </c>
      <c r="F15" s="19" t="s">
        <v>120</v>
      </c>
      <c r="G15" s="19" t="s">
        <v>121</v>
      </c>
      <c r="H15" s="19" t="s">
        <v>122</v>
      </c>
      <c r="I15" s="19" t="n">
        <v>8</v>
      </c>
    </row>
    <row r="16" customFormat="false" ht="68.65" hidden="false" customHeight="false" outlineLevel="0" collapsed="false">
      <c r="A16" s="18" t="s">
        <v>123</v>
      </c>
      <c r="B16" s="19" t="s">
        <v>124</v>
      </c>
      <c r="C16" s="22" t="s">
        <v>13</v>
      </c>
      <c r="D16" s="21" t="s">
        <v>19</v>
      </c>
      <c r="E16" s="19" t="s">
        <v>28</v>
      </c>
      <c r="F16" s="19" t="s">
        <v>125</v>
      </c>
      <c r="G16" s="19" t="s">
        <v>126</v>
      </c>
      <c r="H16" s="19" t="s">
        <v>127</v>
      </c>
      <c r="I16" s="19" t="n">
        <v>2</v>
      </c>
    </row>
    <row r="17" customFormat="false" ht="46.25" hidden="false" customHeight="false" outlineLevel="0" collapsed="false">
      <c r="A17" s="18" t="s">
        <v>128</v>
      </c>
      <c r="B17" s="19" t="s">
        <v>129</v>
      </c>
      <c r="C17" s="22" t="s">
        <v>13</v>
      </c>
      <c r="D17" s="21" t="s">
        <v>19</v>
      </c>
      <c r="E17" s="19" t="s">
        <v>25</v>
      </c>
      <c r="F17" s="19" t="s">
        <v>130</v>
      </c>
      <c r="G17" s="19" t="s">
        <v>131</v>
      </c>
      <c r="H17" s="19" t="s">
        <v>132</v>
      </c>
      <c r="I17" s="19" t="n">
        <v>2</v>
      </c>
    </row>
    <row r="18" customFormat="false" ht="91" hidden="false" customHeight="false" outlineLevel="0" collapsed="false">
      <c r="A18" s="18" t="s">
        <v>133</v>
      </c>
      <c r="B18" s="19" t="s">
        <v>134</v>
      </c>
      <c r="C18" s="22" t="s">
        <v>13</v>
      </c>
      <c r="D18" s="21" t="s">
        <v>19</v>
      </c>
      <c r="E18" s="19" t="s">
        <v>28</v>
      </c>
      <c r="F18" s="19" t="s">
        <v>135</v>
      </c>
      <c r="G18" s="19" t="s">
        <v>136</v>
      </c>
      <c r="H18" s="19" t="s">
        <v>137</v>
      </c>
      <c r="I18" s="19" t="n">
        <v>16</v>
      </c>
    </row>
    <row r="19" customFormat="false" ht="79.85" hidden="false" customHeight="false" outlineLevel="0" collapsed="false">
      <c r="A19" s="18" t="s">
        <v>138</v>
      </c>
      <c r="B19" s="19" t="s">
        <v>139</v>
      </c>
      <c r="C19" s="22" t="s">
        <v>13</v>
      </c>
      <c r="D19" s="21" t="s">
        <v>19</v>
      </c>
      <c r="E19" s="19" t="s">
        <v>29</v>
      </c>
      <c r="F19" s="19" t="s">
        <v>140</v>
      </c>
      <c r="G19" s="19" t="s">
        <v>141</v>
      </c>
      <c r="H19" s="19" t="s">
        <v>142</v>
      </c>
      <c r="I19" s="19" t="n">
        <v>4</v>
      </c>
    </row>
    <row r="20" customFormat="false" ht="68.65" hidden="false" customHeight="false" outlineLevel="0" collapsed="false">
      <c r="A20" s="18" t="s">
        <v>143</v>
      </c>
      <c r="B20" s="19" t="s">
        <v>144</v>
      </c>
      <c r="C20" s="23" t="s">
        <v>14</v>
      </c>
      <c r="D20" s="21" t="s">
        <v>19</v>
      </c>
      <c r="E20" s="19" t="s">
        <v>29</v>
      </c>
      <c r="F20" s="19" t="s">
        <v>145</v>
      </c>
      <c r="G20" s="19" t="s">
        <v>146</v>
      </c>
      <c r="H20" s="19" t="s">
        <v>147</v>
      </c>
      <c r="I20" s="19" t="n">
        <v>8</v>
      </c>
    </row>
    <row r="21" customFormat="false" ht="57.45" hidden="false" customHeight="false" outlineLevel="0" collapsed="false">
      <c r="A21" s="18" t="s">
        <v>148</v>
      </c>
      <c r="B21" s="19" t="s">
        <v>149</v>
      </c>
      <c r="C21" s="23" t="s">
        <v>14</v>
      </c>
      <c r="D21" s="21" t="s">
        <v>19</v>
      </c>
      <c r="E21" s="19" t="s">
        <v>29</v>
      </c>
      <c r="F21" s="19" t="s">
        <v>150</v>
      </c>
      <c r="G21" s="19" t="s">
        <v>151</v>
      </c>
      <c r="H21" s="19" t="s">
        <v>152</v>
      </c>
      <c r="I21" s="19" t="n">
        <v>12</v>
      </c>
    </row>
    <row r="22" customFormat="false" ht="68.65" hidden="false" customHeight="false" outlineLevel="0" collapsed="false">
      <c r="A22" s="18" t="s">
        <v>153</v>
      </c>
      <c r="B22" s="19" t="s">
        <v>154</v>
      </c>
      <c r="C22" s="22" t="s">
        <v>13</v>
      </c>
      <c r="D22" s="21" t="s">
        <v>19</v>
      </c>
      <c r="E22" s="19" t="s">
        <v>29</v>
      </c>
      <c r="F22" s="19" t="s">
        <v>155</v>
      </c>
      <c r="G22" s="19" t="s">
        <v>156</v>
      </c>
      <c r="H22" s="19" t="s">
        <v>157</v>
      </c>
      <c r="I22" s="19" t="n">
        <v>4</v>
      </c>
    </row>
    <row r="23" customFormat="false" ht="91" hidden="false" customHeight="false" outlineLevel="0" collapsed="false">
      <c r="A23" s="18" t="s">
        <v>158</v>
      </c>
      <c r="B23" s="19" t="s">
        <v>159</v>
      </c>
      <c r="C23" s="22" t="s">
        <v>13</v>
      </c>
      <c r="D23" s="21" t="s">
        <v>19</v>
      </c>
      <c r="E23" s="19" t="s">
        <v>29</v>
      </c>
      <c r="F23" s="19" t="s">
        <v>160</v>
      </c>
      <c r="G23" s="19" t="s">
        <v>161</v>
      </c>
      <c r="H23" s="19" t="s">
        <v>162</v>
      </c>
      <c r="I23" s="19" t="n">
        <v>4</v>
      </c>
    </row>
    <row r="24" customFormat="false" ht="68.65" hidden="false" customHeight="false" outlineLevel="0" collapsed="false">
      <c r="A24" s="18" t="s">
        <v>163</v>
      </c>
      <c r="B24" s="19" t="s">
        <v>164</v>
      </c>
      <c r="C24" s="20" t="s">
        <v>12</v>
      </c>
      <c r="D24" s="21" t="s">
        <v>19</v>
      </c>
      <c r="E24" s="19" t="s">
        <v>33</v>
      </c>
      <c r="F24" s="19" t="s">
        <v>165</v>
      </c>
      <c r="G24" s="19" t="s">
        <v>166</v>
      </c>
      <c r="H24" s="19" t="s">
        <v>167</v>
      </c>
      <c r="I24" s="19" t="n">
        <v>2</v>
      </c>
    </row>
    <row r="25" customFormat="false" ht="68.65" hidden="false" customHeight="false" outlineLevel="0" collapsed="false">
      <c r="A25" s="18" t="s">
        <v>168</v>
      </c>
      <c r="B25" s="19" t="s">
        <v>169</v>
      </c>
      <c r="C25" s="22" t="s">
        <v>13</v>
      </c>
      <c r="D25" s="21" t="s">
        <v>19</v>
      </c>
      <c r="E25" s="19" t="s">
        <v>32</v>
      </c>
      <c r="F25" s="19" t="s">
        <v>170</v>
      </c>
      <c r="G25" s="19" t="s">
        <v>171</v>
      </c>
      <c r="H25" s="19" t="s">
        <v>172</v>
      </c>
      <c r="I25" s="19" t="n">
        <v>3</v>
      </c>
    </row>
    <row r="26" customFormat="false" ht="46.25" hidden="false" customHeight="false" outlineLevel="0" collapsed="false">
      <c r="A26" s="18" t="s">
        <v>173</v>
      </c>
      <c r="B26" s="19" t="s">
        <v>174</v>
      </c>
      <c r="C26" s="23" t="s">
        <v>14</v>
      </c>
      <c r="D26" s="21" t="s">
        <v>19</v>
      </c>
      <c r="E26" s="19" t="s">
        <v>28</v>
      </c>
      <c r="F26" s="19" t="s">
        <v>175</v>
      </c>
      <c r="G26" s="19" t="s">
        <v>176</v>
      </c>
      <c r="H26" s="19" t="s">
        <v>177</v>
      </c>
      <c r="I26" s="19" t="n">
        <v>0.5</v>
      </c>
    </row>
    <row r="27" customFormat="false" ht="68.65" hidden="false" customHeight="false" outlineLevel="0" collapsed="false">
      <c r="A27" s="18" t="s">
        <v>178</v>
      </c>
      <c r="B27" s="19" t="s">
        <v>179</v>
      </c>
      <c r="C27" s="20" t="s">
        <v>12</v>
      </c>
      <c r="D27" s="24" t="s">
        <v>20</v>
      </c>
      <c r="E27" s="19" t="s">
        <v>26</v>
      </c>
      <c r="F27" s="19" t="s">
        <v>180</v>
      </c>
      <c r="G27" s="19" t="s">
        <v>181</v>
      </c>
      <c r="H27" s="19" t="s">
        <v>182</v>
      </c>
      <c r="I27" s="19" t="n">
        <v>3</v>
      </c>
    </row>
    <row r="28" customFormat="false" ht="46.25" hidden="false" customHeight="false" outlineLevel="0" collapsed="false">
      <c r="A28" s="18" t="s">
        <v>183</v>
      </c>
      <c r="B28" s="19" t="s">
        <v>184</v>
      </c>
      <c r="C28" s="20" t="s">
        <v>12</v>
      </c>
      <c r="D28" s="24" t="s">
        <v>20</v>
      </c>
      <c r="E28" s="19" t="s">
        <v>25</v>
      </c>
      <c r="F28" s="19" t="s">
        <v>185</v>
      </c>
      <c r="G28" s="19" t="s">
        <v>186</v>
      </c>
      <c r="H28" s="19" t="s">
        <v>187</v>
      </c>
      <c r="I28" s="19" t="n">
        <v>3</v>
      </c>
    </row>
    <row r="29" customFormat="false" ht="46.25" hidden="false" customHeight="false" outlineLevel="0" collapsed="false">
      <c r="A29" s="18" t="s">
        <v>188</v>
      </c>
      <c r="B29" s="19" t="s">
        <v>189</v>
      </c>
      <c r="C29" s="22" t="s">
        <v>13</v>
      </c>
      <c r="D29" s="24" t="s">
        <v>20</v>
      </c>
      <c r="E29" s="19" t="s">
        <v>25</v>
      </c>
      <c r="F29" s="19" t="s">
        <v>190</v>
      </c>
      <c r="G29" s="19" t="s">
        <v>191</v>
      </c>
      <c r="H29" s="19" t="s">
        <v>192</v>
      </c>
      <c r="I29" s="19" t="n">
        <v>2</v>
      </c>
    </row>
    <row r="30" customFormat="false" ht="46.25" hidden="false" customHeight="false" outlineLevel="0" collapsed="false">
      <c r="A30" s="18" t="s">
        <v>193</v>
      </c>
      <c r="B30" s="19" t="s">
        <v>194</v>
      </c>
      <c r="C30" s="20" t="s">
        <v>12</v>
      </c>
      <c r="D30" s="24" t="s">
        <v>20</v>
      </c>
      <c r="E30" s="19" t="s">
        <v>25</v>
      </c>
      <c r="F30" s="19" t="s">
        <v>195</v>
      </c>
      <c r="G30" s="19" t="s">
        <v>196</v>
      </c>
      <c r="H30" s="19" t="s">
        <v>197</v>
      </c>
      <c r="I30" s="19" t="n">
        <v>6</v>
      </c>
    </row>
    <row r="31" customFormat="false" ht="46.25" hidden="false" customHeight="false" outlineLevel="0" collapsed="false">
      <c r="A31" s="18" t="s">
        <v>198</v>
      </c>
      <c r="B31" s="19" t="s">
        <v>199</v>
      </c>
      <c r="C31" s="20" t="s">
        <v>12</v>
      </c>
      <c r="D31" s="24" t="s">
        <v>20</v>
      </c>
      <c r="E31" s="19" t="s">
        <v>27</v>
      </c>
      <c r="F31" s="19" t="s">
        <v>200</v>
      </c>
      <c r="G31" s="19" t="s">
        <v>201</v>
      </c>
      <c r="H31" s="19" t="s">
        <v>202</v>
      </c>
      <c r="I31" s="19" t="n">
        <v>4</v>
      </c>
    </row>
    <row r="32" customFormat="false" ht="46.25" hidden="false" customHeight="false" outlineLevel="0" collapsed="false">
      <c r="A32" s="18" t="s">
        <v>203</v>
      </c>
      <c r="B32" s="19" t="s">
        <v>204</v>
      </c>
      <c r="C32" s="20" t="s">
        <v>12</v>
      </c>
      <c r="D32" s="24" t="s">
        <v>20</v>
      </c>
      <c r="E32" s="19" t="s">
        <v>26</v>
      </c>
      <c r="F32" s="19" t="s">
        <v>205</v>
      </c>
      <c r="G32" s="19" t="s">
        <v>206</v>
      </c>
      <c r="H32" s="19" t="s">
        <v>207</v>
      </c>
      <c r="I32" s="19" t="n">
        <v>16</v>
      </c>
    </row>
    <row r="33" customFormat="false" ht="57.45" hidden="false" customHeight="false" outlineLevel="0" collapsed="false">
      <c r="A33" s="18" t="s">
        <v>208</v>
      </c>
      <c r="B33" s="19" t="s">
        <v>209</v>
      </c>
      <c r="C33" s="22" t="s">
        <v>13</v>
      </c>
      <c r="D33" s="24" t="s">
        <v>20</v>
      </c>
      <c r="E33" s="19" t="s">
        <v>30</v>
      </c>
      <c r="F33" s="19" t="s">
        <v>210</v>
      </c>
      <c r="G33" s="19" t="s">
        <v>211</v>
      </c>
      <c r="H33" s="19" t="s">
        <v>212</v>
      </c>
      <c r="I33" s="19" t="n">
        <v>4</v>
      </c>
    </row>
    <row r="34" customFormat="false" ht="57.45" hidden="false" customHeight="false" outlineLevel="0" collapsed="false">
      <c r="A34" s="18" t="s">
        <v>213</v>
      </c>
      <c r="B34" s="19" t="s">
        <v>214</v>
      </c>
      <c r="C34" s="22" t="s">
        <v>13</v>
      </c>
      <c r="D34" s="24" t="s">
        <v>20</v>
      </c>
      <c r="E34" s="19" t="s">
        <v>31</v>
      </c>
      <c r="F34" s="19" t="s">
        <v>215</v>
      </c>
      <c r="G34" s="19" t="s">
        <v>216</v>
      </c>
      <c r="H34" s="19" t="s">
        <v>217</v>
      </c>
      <c r="I34" s="19" t="n">
        <v>6</v>
      </c>
    </row>
    <row r="35" customFormat="false" ht="35.05" hidden="false" customHeight="false" outlineLevel="0" collapsed="false">
      <c r="A35" s="18" t="s">
        <v>218</v>
      </c>
      <c r="B35" s="19" t="s">
        <v>219</v>
      </c>
      <c r="C35" s="22" t="s">
        <v>13</v>
      </c>
      <c r="D35" s="24" t="s">
        <v>20</v>
      </c>
      <c r="E35" s="19" t="s">
        <v>25</v>
      </c>
      <c r="F35" s="19" t="s">
        <v>220</v>
      </c>
      <c r="G35" s="19" t="s">
        <v>221</v>
      </c>
      <c r="H35" s="19" t="s">
        <v>222</v>
      </c>
      <c r="I35" s="19" t="n">
        <v>3</v>
      </c>
    </row>
    <row r="36" customFormat="false" ht="57.45" hidden="false" customHeight="false" outlineLevel="0" collapsed="false">
      <c r="A36" s="18" t="s">
        <v>223</v>
      </c>
      <c r="B36" s="19" t="s">
        <v>224</v>
      </c>
      <c r="C36" s="23" t="s">
        <v>14</v>
      </c>
      <c r="D36" s="24" t="s">
        <v>20</v>
      </c>
      <c r="E36" s="19" t="s">
        <v>25</v>
      </c>
      <c r="F36" s="19" t="s">
        <v>225</v>
      </c>
      <c r="G36" s="19" t="s">
        <v>226</v>
      </c>
      <c r="H36" s="19" t="s">
        <v>227</v>
      </c>
      <c r="I36" s="19" t="n">
        <v>8</v>
      </c>
    </row>
    <row r="37" customFormat="false" ht="68.65" hidden="false" customHeight="false" outlineLevel="0" collapsed="false">
      <c r="A37" s="18" t="s">
        <v>228</v>
      </c>
      <c r="B37" s="19" t="s">
        <v>229</v>
      </c>
      <c r="C37" s="22" t="s">
        <v>13</v>
      </c>
      <c r="D37" s="24" t="s">
        <v>20</v>
      </c>
      <c r="E37" s="19" t="s">
        <v>37</v>
      </c>
      <c r="F37" s="19" t="s">
        <v>230</v>
      </c>
      <c r="G37" s="19" t="s">
        <v>231</v>
      </c>
      <c r="H37" s="19" t="s">
        <v>232</v>
      </c>
      <c r="I37" s="19" t="n">
        <v>8</v>
      </c>
    </row>
    <row r="38" customFormat="false" ht="91" hidden="false" customHeight="false" outlineLevel="0" collapsed="false">
      <c r="A38" s="18" t="s">
        <v>233</v>
      </c>
      <c r="B38" s="19" t="s">
        <v>234</v>
      </c>
      <c r="C38" s="20" t="s">
        <v>12</v>
      </c>
      <c r="D38" s="24" t="s">
        <v>20</v>
      </c>
      <c r="E38" s="19" t="s">
        <v>25</v>
      </c>
      <c r="F38" s="19" t="s">
        <v>235</v>
      </c>
      <c r="G38" s="19" t="s">
        <v>236</v>
      </c>
      <c r="H38" s="19" t="s">
        <v>237</v>
      </c>
      <c r="I38" s="19" t="n">
        <v>10</v>
      </c>
    </row>
    <row r="39" customFormat="false" ht="57.45" hidden="false" customHeight="false" outlineLevel="0" collapsed="false">
      <c r="A39" s="18" t="s">
        <v>238</v>
      </c>
      <c r="B39" s="19" t="s">
        <v>239</v>
      </c>
      <c r="C39" s="22" t="s">
        <v>13</v>
      </c>
      <c r="D39" s="24" t="s">
        <v>20</v>
      </c>
      <c r="E39" s="19" t="s">
        <v>25</v>
      </c>
      <c r="F39" s="19" t="s">
        <v>240</v>
      </c>
      <c r="G39" s="19" t="s">
        <v>241</v>
      </c>
      <c r="H39" s="19" t="s">
        <v>242</v>
      </c>
      <c r="I39" s="19" t="n">
        <v>7</v>
      </c>
    </row>
    <row r="40" customFormat="false" ht="35.05" hidden="false" customHeight="false" outlineLevel="0" collapsed="false">
      <c r="A40" s="18" t="s">
        <v>243</v>
      </c>
      <c r="B40" s="19" t="s">
        <v>244</v>
      </c>
      <c r="C40" s="23" t="s">
        <v>14</v>
      </c>
      <c r="D40" s="24" t="s">
        <v>20</v>
      </c>
      <c r="E40" s="19" t="s">
        <v>25</v>
      </c>
      <c r="F40" s="19" t="s">
        <v>245</v>
      </c>
      <c r="G40" s="19" t="s">
        <v>246</v>
      </c>
      <c r="H40" s="19" t="s">
        <v>247</v>
      </c>
      <c r="I40" s="19" t="n">
        <v>5</v>
      </c>
    </row>
    <row r="41" customFormat="false" ht="35.05" hidden="false" customHeight="false" outlineLevel="0" collapsed="false">
      <c r="A41" s="18" t="s">
        <v>248</v>
      </c>
      <c r="B41" s="19" t="s">
        <v>249</v>
      </c>
      <c r="C41" s="23" t="s">
        <v>14</v>
      </c>
      <c r="D41" s="24" t="s">
        <v>20</v>
      </c>
      <c r="E41" s="19" t="s">
        <v>25</v>
      </c>
      <c r="F41" s="19" t="s">
        <v>250</v>
      </c>
      <c r="G41" s="19" t="s">
        <v>251</v>
      </c>
      <c r="H41" s="19" t="s">
        <v>252</v>
      </c>
      <c r="I41" s="19" t="n">
        <v>4</v>
      </c>
    </row>
    <row r="42" customFormat="false" ht="68.65" hidden="false" customHeight="false" outlineLevel="0" collapsed="false">
      <c r="A42" s="18" t="s">
        <v>253</v>
      </c>
      <c r="B42" s="19" t="s">
        <v>254</v>
      </c>
      <c r="C42" s="20" t="s">
        <v>12</v>
      </c>
      <c r="D42" s="24" t="s">
        <v>20</v>
      </c>
      <c r="E42" s="19" t="s">
        <v>25</v>
      </c>
      <c r="F42" s="19" t="s">
        <v>255</v>
      </c>
      <c r="G42" s="19" t="s">
        <v>256</v>
      </c>
      <c r="H42" s="19" t="s">
        <v>257</v>
      </c>
      <c r="I42" s="19" t="n">
        <v>6</v>
      </c>
    </row>
    <row r="43" customFormat="false" ht="46.25" hidden="false" customHeight="false" outlineLevel="0" collapsed="false">
      <c r="A43" s="18" t="s">
        <v>258</v>
      </c>
      <c r="B43" s="19" t="s">
        <v>259</v>
      </c>
      <c r="C43" s="22" t="s">
        <v>13</v>
      </c>
      <c r="D43" s="24" t="s">
        <v>20</v>
      </c>
      <c r="E43" s="19" t="s">
        <v>25</v>
      </c>
      <c r="F43" s="19" t="s">
        <v>260</v>
      </c>
      <c r="G43" s="19" t="s">
        <v>261</v>
      </c>
      <c r="H43" s="19" t="s">
        <v>262</v>
      </c>
      <c r="I43" s="19" t="n">
        <v>7</v>
      </c>
    </row>
    <row r="44" customFormat="false" ht="46.25" hidden="false" customHeight="false" outlineLevel="0" collapsed="false">
      <c r="A44" s="18" t="s">
        <v>263</v>
      </c>
      <c r="B44" s="19" t="s">
        <v>264</v>
      </c>
      <c r="C44" s="22" t="s">
        <v>13</v>
      </c>
      <c r="D44" s="24" t="s">
        <v>20</v>
      </c>
      <c r="E44" s="19" t="s">
        <v>25</v>
      </c>
      <c r="F44" s="19" t="s">
        <v>265</v>
      </c>
      <c r="G44" s="19" t="s">
        <v>266</v>
      </c>
      <c r="H44" s="19" t="s">
        <v>267</v>
      </c>
      <c r="I44" s="19" t="n">
        <v>8</v>
      </c>
    </row>
    <row r="45" customFormat="false" ht="46.25" hidden="false" customHeight="false" outlineLevel="0" collapsed="false">
      <c r="A45" s="18" t="s">
        <v>268</v>
      </c>
      <c r="B45" s="19" t="s">
        <v>269</v>
      </c>
      <c r="C45" s="22" t="s">
        <v>13</v>
      </c>
      <c r="D45" s="24" t="s">
        <v>20</v>
      </c>
      <c r="E45" s="19" t="s">
        <v>25</v>
      </c>
      <c r="F45" s="19" t="s">
        <v>270</v>
      </c>
      <c r="G45" s="19" t="s">
        <v>271</v>
      </c>
      <c r="H45" s="19" t="s">
        <v>272</v>
      </c>
      <c r="I45" s="19" t="n">
        <v>4</v>
      </c>
    </row>
    <row r="46" customFormat="false" ht="46.25" hidden="false" customHeight="false" outlineLevel="0" collapsed="false">
      <c r="A46" s="18" t="s">
        <v>273</v>
      </c>
      <c r="B46" s="19" t="s">
        <v>274</v>
      </c>
      <c r="C46" s="22" t="s">
        <v>13</v>
      </c>
      <c r="D46" s="24" t="s">
        <v>20</v>
      </c>
      <c r="E46" s="19" t="s">
        <v>25</v>
      </c>
      <c r="F46" s="19" t="s">
        <v>265</v>
      </c>
      <c r="G46" s="19" t="s">
        <v>275</v>
      </c>
      <c r="H46" s="19" t="s">
        <v>276</v>
      </c>
      <c r="I46" s="19" t="n">
        <v>6</v>
      </c>
    </row>
    <row r="47" customFormat="false" ht="46.25" hidden="false" customHeight="false" outlineLevel="0" collapsed="false">
      <c r="A47" s="18" t="s">
        <v>277</v>
      </c>
      <c r="B47" s="19" t="s">
        <v>278</v>
      </c>
      <c r="C47" s="23" t="s">
        <v>14</v>
      </c>
      <c r="D47" s="24" t="s">
        <v>20</v>
      </c>
      <c r="E47" s="19" t="s">
        <v>25</v>
      </c>
      <c r="F47" s="19" t="s">
        <v>279</v>
      </c>
      <c r="G47" s="19" t="s">
        <v>280</v>
      </c>
      <c r="H47" s="19" t="s">
        <v>281</v>
      </c>
      <c r="I47" s="19" t="n">
        <v>5</v>
      </c>
    </row>
    <row r="48" customFormat="false" ht="46.25" hidden="false" customHeight="false" outlineLevel="0" collapsed="false">
      <c r="A48" s="18" t="s">
        <v>282</v>
      </c>
      <c r="B48" s="19" t="s">
        <v>283</v>
      </c>
      <c r="C48" s="23" t="s">
        <v>14</v>
      </c>
      <c r="D48" s="24" t="s">
        <v>20</v>
      </c>
      <c r="E48" s="19" t="s">
        <v>25</v>
      </c>
      <c r="F48" s="19" t="s">
        <v>284</v>
      </c>
      <c r="G48" s="19" t="s">
        <v>285</v>
      </c>
      <c r="H48" s="19" t="s">
        <v>286</v>
      </c>
      <c r="I48" s="19" t="n">
        <v>5</v>
      </c>
    </row>
    <row r="49" customFormat="false" ht="46.25" hidden="false" customHeight="false" outlineLevel="0" collapsed="false">
      <c r="A49" s="18" t="s">
        <v>287</v>
      </c>
      <c r="B49" s="19" t="s">
        <v>288</v>
      </c>
      <c r="C49" s="23" t="s">
        <v>14</v>
      </c>
      <c r="D49" s="24" t="s">
        <v>20</v>
      </c>
      <c r="E49" s="19" t="s">
        <v>25</v>
      </c>
      <c r="F49" s="19" t="s">
        <v>289</v>
      </c>
      <c r="G49" s="19" t="s">
        <v>290</v>
      </c>
      <c r="H49" s="19" t="s">
        <v>291</v>
      </c>
      <c r="I49" s="19" t="n">
        <v>4</v>
      </c>
    </row>
    <row r="50" customFormat="false" ht="35.05" hidden="false" customHeight="false" outlineLevel="0" collapsed="false">
      <c r="A50" s="18" t="s">
        <v>292</v>
      </c>
      <c r="B50" s="19" t="s">
        <v>293</v>
      </c>
      <c r="C50" s="23" t="s">
        <v>14</v>
      </c>
      <c r="D50" s="24" t="s">
        <v>20</v>
      </c>
      <c r="E50" s="19" t="s">
        <v>25</v>
      </c>
      <c r="F50" s="19" t="s">
        <v>294</v>
      </c>
      <c r="G50" s="19" t="s">
        <v>295</v>
      </c>
      <c r="H50" s="19" t="s">
        <v>296</v>
      </c>
      <c r="I50" s="19" t="n">
        <v>2</v>
      </c>
    </row>
    <row r="51" customFormat="false" ht="46.25" hidden="false" customHeight="false" outlineLevel="0" collapsed="false">
      <c r="A51" s="18" t="s">
        <v>297</v>
      </c>
      <c r="B51" s="19" t="s">
        <v>298</v>
      </c>
      <c r="C51" s="23" t="s">
        <v>14</v>
      </c>
      <c r="D51" s="24" t="s">
        <v>20</v>
      </c>
      <c r="E51" s="19" t="s">
        <v>25</v>
      </c>
      <c r="F51" s="19" t="s">
        <v>299</v>
      </c>
      <c r="G51" s="19" t="s">
        <v>300</v>
      </c>
      <c r="H51" s="19" t="s">
        <v>301</v>
      </c>
      <c r="I51" s="19" t="n">
        <v>6</v>
      </c>
    </row>
    <row r="52" customFormat="false" ht="46.25" hidden="false" customHeight="false" outlineLevel="0" collapsed="false">
      <c r="A52" s="18" t="s">
        <v>302</v>
      </c>
      <c r="B52" s="19" t="s">
        <v>303</v>
      </c>
      <c r="C52" s="23" t="s">
        <v>14</v>
      </c>
      <c r="D52" s="24" t="s">
        <v>20</v>
      </c>
      <c r="E52" s="19" t="s">
        <v>26</v>
      </c>
      <c r="F52" s="19" t="s">
        <v>304</v>
      </c>
      <c r="G52" s="19" t="s">
        <v>305</v>
      </c>
      <c r="H52" s="19" t="s">
        <v>306</v>
      </c>
      <c r="I52" s="19" t="n">
        <v>6</v>
      </c>
    </row>
    <row r="53" customFormat="false" ht="68.65" hidden="false" customHeight="false" outlineLevel="0" collapsed="false">
      <c r="A53" s="18" t="s">
        <v>307</v>
      </c>
      <c r="B53" s="19" t="s">
        <v>308</v>
      </c>
      <c r="C53" s="23" t="s">
        <v>14</v>
      </c>
      <c r="D53" s="24" t="s">
        <v>20</v>
      </c>
      <c r="E53" s="19" t="s">
        <v>31</v>
      </c>
      <c r="F53" s="19" t="s">
        <v>309</v>
      </c>
      <c r="G53" s="19" t="s">
        <v>310</v>
      </c>
      <c r="H53" s="19" t="s">
        <v>311</v>
      </c>
      <c r="I53" s="19" t="n">
        <v>16</v>
      </c>
    </row>
    <row r="54" customFormat="false" ht="46.25" hidden="false" customHeight="false" outlineLevel="0" collapsed="false">
      <c r="A54" s="18" t="s">
        <v>312</v>
      </c>
      <c r="B54" s="19" t="s">
        <v>313</v>
      </c>
      <c r="C54" s="23" t="s">
        <v>14</v>
      </c>
      <c r="D54" s="24" t="s">
        <v>20</v>
      </c>
      <c r="E54" s="19" t="s">
        <v>25</v>
      </c>
      <c r="F54" s="19" t="s">
        <v>314</v>
      </c>
      <c r="G54" s="19" t="s">
        <v>315</v>
      </c>
      <c r="H54" s="19" t="s">
        <v>316</v>
      </c>
      <c r="I54" s="19" t="n">
        <v>8</v>
      </c>
    </row>
    <row r="55" customFormat="false" ht="79.85" hidden="false" customHeight="false" outlineLevel="0" collapsed="false">
      <c r="A55" s="18" t="s">
        <v>317</v>
      </c>
      <c r="B55" s="19" t="s">
        <v>318</v>
      </c>
      <c r="C55" s="23" t="s">
        <v>14</v>
      </c>
      <c r="D55" s="24" t="s">
        <v>20</v>
      </c>
      <c r="E55" s="19" t="s">
        <v>25</v>
      </c>
      <c r="F55" s="19" t="s">
        <v>319</v>
      </c>
      <c r="G55" s="19" t="s">
        <v>320</v>
      </c>
      <c r="H55" s="19" t="s">
        <v>321</v>
      </c>
      <c r="I55" s="19" t="n">
        <v>16</v>
      </c>
    </row>
    <row r="56" customFormat="false" ht="35.05" hidden="false" customHeight="false" outlineLevel="0" collapsed="false">
      <c r="A56" s="18" t="s">
        <v>322</v>
      </c>
      <c r="B56" s="19" t="s">
        <v>323</v>
      </c>
      <c r="C56" s="23" t="s">
        <v>14</v>
      </c>
      <c r="D56" s="24" t="s">
        <v>20</v>
      </c>
      <c r="E56" s="19" t="s">
        <v>25</v>
      </c>
      <c r="F56" s="19" t="s">
        <v>324</v>
      </c>
      <c r="G56" s="19" t="s">
        <v>325</v>
      </c>
      <c r="H56" s="19" t="s">
        <v>326</v>
      </c>
      <c r="I56" s="19" t="n">
        <v>6</v>
      </c>
    </row>
    <row r="57" customFormat="false" ht="23.85" hidden="false" customHeight="false" outlineLevel="0" collapsed="false">
      <c r="A57" s="18" t="s">
        <v>327</v>
      </c>
      <c r="B57" s="19" t="s">
        <v>328</v>
      </c>
      <c r="C57" s="23" t="s">
        <v>14</v>
      </c>
      <c r="D57" s="24" t="s">
        <v>20</v>
      </c>
      <c r="E57" s="19" t="s">
        <v>25</v>
      </c>
      <c r="F57" s="19" t="s">
        <v>329</v>
      </c>
      <c r="G57" s="19" t="s">
        <v>330</v>
      </c>
      <c r="H57" s="19" t="s">
        <v>331</v>
      </c>
      <c r="I57" s="19" t="n">
        <v>4</v>
      </c>
    </row>
    <row r="58" customFormat="false" ht="23.85" hidden="false" customHeight="false" outlineLevel="0" collapsed="false">
      <c r="A58" s="18" t="s">
        <v>332</v>
      </c>
      <c r="B58" s="19" t="s">
        <v>333</v>
      </c>
      <c r="C58" s="25" t="s">
        <v>15</v>
      </c>
      <c r="D58" s="24" t="s">
        <v>20</v>
      </c>
      <c r="E58" s="19" t="s">
        <v>40</v>
      </c>
      <c r="F58" s="19" t="s">
        <v>334</v>
      </c>
      <c r="G58" s="19" t="s">
        <v>335</v>
      </c>
      <c r="H58" s="19" t="s">
        <v>336</v>
      </c>
      <c r="I58" s="19" t="n">
        <v>3</v>
      </c>
    </row>
    <row r="59" customFormat="false" ht="23.85" hidden="false" customHeight="false" outlineLevel="0" collapsed="false">
      <c r="A59" s="18" t="s">
        <v>337</v>
      </c>
      <c r="B59" s="19" t="s">
        <v>338</v>
      </c>
      <c r="C59" s="26" t="s">
        <v>16</v>
      </c>
      <c r="D59" s="24" t="s">
        <v>20</v>
      </c>
      <c r="E59" s="19" t="s">
        <v>25</v>
      </c>
      <c r="F59" s="19" t="s">
        <v>339</v>
      </c>
      <c r="G59" s="19" t="s">
        <v>340</v>
      </c>
      <c r="H59" s="19" t="s">
        <v>341</v>
      </c>
      <c r="I59" s="19" t="n">
        <v>4</v>
      </c>
    </row>
    <row r="60" customFormat="false" ht="57.45" hidden="false" customHeight="false" outlineLevel="0" collapsed="false">
      <c r="A60" s="18" t="s">
        <v>342</v>
      </c>
      <c r="B60" s="19" t="s">
        <v>343</v>
      </c>
      <c r="C60" s="20" t="s">
        <v>12</v>
      </c>
      <c r="D60" s="27" t="s">
        <v>21</v>
      </c>
      <c r="E60" s="19" t="s">
        <v>35</v>
      </c>
      <c r="F60" s="19" t="s">
        <v>344</v>
      </c>
      <c r="G60" s="19" t="s">
        <v>345</v>
      </c>
      <c r="H60" s="19" t="s">
        <v>346</v>
      </c>
      <c r="I60" s="19" t="n">
        <v>6</v>
      </c>
    </row>
    <row r="61" customFormat="false" ht="57.45" hidden="false" customHeight="false" outlineLevel="0" collapsed="false">
      <c r="A61" s="18" t="s">
        <v>347</v>
      </c>
      <c r="B61" s="19" t="s">
        <v>348</v>
      </c>
      <c r="C61" s="20" t="s">
        <v>12</v>
      </c>
      <c r="D61" s="27" t="s">
        <v>21</v>
      </c>
      <c r="E61" s="19" t="s">
        <v>40</v>
      </c>
      <c r="F61" s="19" t="s">
        <v>349</v>
      </c>
      <c r="G61" s="19" t="s">
        <v>350</v>
      </c>
      <c r="H61" s="19" t="s">
        <v>351</v>
      </c>
      <c r="I61" s="19" t="n">
        <v>6</v>
      </c>
    </row>
    <row r="62" customFormat="false" ht="57.45" hidden="false" customHeight="false" outlineLevel="0" collapsed="false">
      <c r="A62" s="18" t="s">
        <v>352</v>
      </c>
      <c r="B62" s="19" t="s">
        <v>353</v>
      </c>
      <c r="C62" s="20" t="s">
        <v>12</v>
      </c>
      <c r="D62" s="27" t="s">
        <v>21</v>
      </c>
      <c r="E62" s="19" t="s">
        <v>34</v>
      </c>
      <c r="F62" s="19" t="s">
        <v>354</v>
      </c>
      <c r="G62" s="19" t="s">
        <v>355</v>
      </c>
      <c r="H62" s="19" t="s">
        <v>356</v>
      </c>
      <c r="I62" s="19" t="n">
        <v>4</v>
      </c>
    </row>
    <row r="63" customFormat="false" ht="68.65" hidden="false" customHeight="false" outlineLevel="0" collapsed="false">
      <c r="A63" s="18" t="s">
        <v>357</v>
      </c>
      <c r="B63" s="19" t="s">
        <v>358</v>
      </c>
      <c r="C63" s="20" t="s">
        <v>12</v>
      </c>
      <c r="D63" s="27" t="s">
        <v>21</v>
      </c>
      <c r="E63" s="19" t="s">
        <v>34</v>
      </c>
      <c r="F63" s="19" t="s">
        <v>359</v>
      </c>
      <c r="G63" s="19" t="s">
        <v>360</v>
      </c>
      <c r="H63" s="19" t="s">
        <v>361</v>
      </c>
      <c r="I63" s="19" t="n">
        <v>4</v>
      </c>
    </row>
    <row r="64" customFormat="false" ht="35.05" hidden="false" customHeight="false" outlineLevel="0" collapsed="false">
      <c r="A64" s="18" t="s">
        <v>362</v>
      </c>
      <c r="B64" s="19" t="s">
        <v>363</v>
      </c>
      <c r="C64" s="20" t="s">
        <v>12</v>
      </c>
      <c r="D64" s="27" t="s">
        <v>21</v>
      </c>
      <c r="E64" s="19" t="s">
        <v>34</v>
      </c>
      <c r="F64" s="19" t="s">
        <v>364</v>
      </c>
      <c r="G64" s="19" t="s">
        <v>365</v>
      </c>
      <c r="H64" s="19" t="s">
        <v>366</v>
      </c>
      <c r="I64" s="19" t="n">
        <v>4</v>
      </c>
    </row>
    <row r="65" customFormat="false" ht="35.05" hidden="false" customHeight="false" outlineLevel="0" collapsed="false">
      <c r="A65" s="18" t="s">
        <v>367</v>
      </c>
      <c r="B65" s="19" t="s">
        <v>368</v>
      </c>
      <c r="C65" s="20" t="s">
        <v>12</v>
      </c>
      <c r="D65" s="27" t="s">
        <v>21</v>
      </c>
      <c r="E65" s="19" t="s">
        <v>34</v>
      </c>
      <c r="F65" s="19" t="s">
        <v>369</v>
      </c>
      <c r="G65" s="19" t="s">
        <v>370</v>
      </c>
      <c r="H65" s="19" t="s">
        <v>371</v>
      </c>
      <c r="I65" s="19" t="n">
        <v>3</v>
      </c>
    </row>
    <row r="66" customFormat="false" ht="79.85" hidden="false" customHeight="false" outlineLevel="0" collapsed="false">
      <c r="A66" s="18" t="s">
        <v>372</v>
      </c>
      <c r="B66" s="19" t="s">
        <v>373</v>
      </c>
      <c r="C66" s="20" t="s">
        <v>12</v>
      </c>
      <c r="D66" s="27" t="s">
        <v>21</v>
      </c>
      <c r="E66" s="19" t="s">
        <v>34</v>
      </c>
      <c r="F66" s="19" t="s">
        <v>374</v>
      </c>
      <c r="G66" s="19" t="s">
        <v>375</v>
      </c>
      <c r="H66" s="19" t="s">
        <v>376</v>
      </c>
      <c r="I66" s="19" t="n">
        <v>5</v>
      </c>
    </row>
    <row r="67" customFormat="false" ht="68.65" hidden="false" customHeight="false" outlineLevel="0" collapsed="false">
      <c r="A67" s="18" t="s">
        <v>377</v>
      </c>
      <c r="B67" s="19" t="s">
        <v>378</v>
      </c>
      <c r="C67" s="22" t="s">
        <v>13</v>
      </c>
      <c r="D67" s="27" t="s">
        <v>21</v>
      </c>
      <c r="E67" s="19" t="s">
        <v>34</v>
      </c>
      <c r="F67" s="19" t="s">
        <v>379</v>
      </c>
      <c r="G67" s="19" t="s">
        <v>380</v>
      </c>
      <c r="H67" s="19" t="s">
        <v>381</v>
      </c>
      <c r="I67" s="19" t="n">
        <v>3</v>
      </c>
    </row>
    <row r="68" customFormat="false" ht="68.65" hidden="false" customHeight="false" outlineLevel="0" collapsed="false">
      <c r="A68" s="18" t="s">
        <v>382</v>
      </c>
      <c r="B68" s="19" t="s">
        <v>383</v>
      </c>
      <c r="C68" s="20" t="s">
        <v>12</v>
      </c>
      <c r="D68" s="27" t="s">
        <v>21</v>
      </c>
      <c r="E68" s="19" t="s">
        <v>28</v>
      </c>
      <c r="F68" s="19" t="s">
        <v>384</v>
      </c>
      <c r="G68" s="19" t="s">
        <v>385</v>
      </c>
      <c r="H68" s="19" t="s">
        <v>386</v>
      </c>
      <c r="I68" s="19" t="n">
        <v>22</v>
      </c>
    </row>
    <row r="69" customFormat="false" ht="57.45" hidden="false" customHeight="false" outlineLevel="0" collapsed="false">
      <c r="A69" s="18" t="s">
        <v>387</v>
      </c>
      <c r="B69" s="19" t="s">
        <v>388</v>
      </c>
      <c r="C69" s="22" t="s">
        <v>13</v>
      </c>
      <c r="D69" s="27" t="s">
        <v>21</v>
      </c>
      <c r="E69" s="19" t="s">
        <v>28</v>
      </c>
      <c r="F69" s="19" t="s">
        <v>384</v>
      </c>
      <c r="G69" s="19" t="s">
        <v>389</v>
      </c>
      <c r="H69" s="19" t="s">
        <v>390</v>
      </c>
      <c r="I69" s="19" t="n">
        <v>6</v>
      </c>
    </row>
    <row r="70" customFormat="false" ht="68.65" hidden="false" customHeight="false" outlineLevel="0" collapsed="false">
      <c r="A70" s="18" t="s">
        <v>391</v>
      </c>
      <c r="B70" s="19" t="s">
        <v>392</v>
      </c>
      <c r="C70" s="22" t="s">
        <v>13</v>
      </c>
      <c r="D70" s="27" t="s">
        <v>21</v>
      </c>
      <c r="E70" s="19" t="s">
        <v>34</v>
      </c>
      <c r="F70" s="19" t="s">
        <v>393</v>
      </c>
      <c r="G70" s="19" t="s">
        <v>394</v>
      </c>
      <c r="H70" s="19" t="s">
        <v>395</v>
      </c>
      <c r="I70" s="19" t="n">
        <v>4</v>
      </c>
    </row>
    <row r="71" customFormat="false" ht="46.25" hidden="false" customHeight="false" outlineLevel="0" collapsed="false">
      <c r="A71" s="18" t="s">
        <v>396</v>
      </c>
      <c r="B71" s="19" t="s">
        <v>397</v>
      </c>
      <c r="C71" s="23" t="s">
        <v>14</v>
      </c>
      <c r="D71" s="27" t="s">
        <v>21</v>
      </c>
      <c r="E71" s="19" t="s">
        <v>34</v>
      </c>
      <c r="F71" s="19" t="s">
        <v>398</v>
      </c>
      <c r="G71" s="19" t="s">
        <v>399</v>
      </c>
      <c r="H71" s="19" t="s">
        <v>400</v>
      </c>
      <c r="I71" s="19" t="n">
        <v>0.5</v>
      </c>
    </row>
    <row r="72" customFormat="false" ht="46.25" hidden="false" customHeight="false" outlineLevel="0" collapsed="false">
      <c r="A72" s="18" t="s">
        <v>401</v>
      </c>
      <c r="B72" s="19" t="s">
        <v>402</v>
      </c>
      <c r="C72" s="20" t="s">
        <v>12</v>
      </c>
      <c r="D72" s="27" t="s">
        <v>21</v>
      </c>
      <c r="E72" s="19" t="s">
        <v>26</v>
      </c>
      <c r="F72" s="19" t="s">
        <v>403</v>
      </c>
      <c r="G72" s="19" t="s">
        <v>404</v>
      </c>
      <c r="H72" s="19" t="s">
        <v>405</v>
      </c>
      <c r="I72" s="19" t="n">
        <v>8</v>
      </c>
    </row>
    <row r="73" customFormat="false" ht="46.25" hidden="false" customHeight="false" outlineLevel="0" collapsed="false">
      <c r="A73" s="18" t="s">
        <v>406</v>
      </c>
      <c r="B73" s="19" t="s">
        <v>407</v>
      </c>
      <c r="C73" s="22" t="s">
        <v>13</v>
      </c>
      <c r="D73" s="27" t="s">
        <v>21</v>
      </c>
      <c r="E73" s="19" t="s">
        <v>36</v>
      </c>
      <c r="F73" s="19" t="s">
        <v>408</v>
      </c>
      <c r="G73" s="19" t="s">
        <v>409</v>
      </c>
      <c r="H73" s="19" t="s">
        <v>410</v>
      </c>
      <c r="I73" s="19" t="n">
        <v>4</v>
      </c>
    </row>
    <row r="74" customFormat="false" ht="35.05" hidden="false" customHeight="false" outlineLevel="0" collapsed="false">
      <c r="A74" s="18" t="s">
        <v>411</v>
      </c>
      <c r="B74" s="19" t="s">
        <v>412</v>
      </c>
      <c r="C74" s="22" t="s">
        <v>13</v>
      </c>
      <c r="D74" s="27" t="s">
        <v>21</v>
      </c>
      <c r="E74" s="19" t="s">
        <v>36</v>
      </c>
      <c r="F74" s="19" t="s">
        <v>413</v>
      </c>
      <c r="G74" s="19" t="s">
        <v>414</v>
      </c>
      <c r="H74" s="19" t="s">
        <v>415</v>
      </c>
      <c r="I74" s="19" t="n">
        <v>2</v>
      </c>
    </row>
    <row r="75" customFormat="false" ht="46.25" hidden="false" customHeight="false" outlineLevel="0" collapsed="false">
      <c r="A75" s="18" t="s">
        <v>416</v>
      </c>
      <c r="B75" s="19" t="s">
        <v>417</v>
      </c>
      <c r="C75" s="20" t="s">
        <v>12</v>
      </c>
      <c r="D75" s="27" t="s">
        <v>21</v>
      </c>
      <c r="E75" s="19" t="s">
        <v>29</v>
      </c>
      <c r="F75" s="19" t="s">
        <v>418</v>
      </c>
      <c r="G75" s="19" t="s">
        <v>419</v>
      </c>
      <c r="H75" s="19" t="s">
        <v>420</v>
      </c>
      <c r="I75" s="19" t="n">
        <v>8</v>
      </c>
    </row>
    <row r="76" customFormat="false" ht="68.65" hidden="false" customHeight="false" outlineLevel="0" collapsed="false">
      <c r="A76" s="18" t="s">
        <v>421</v>
      </c>
      <c r="B76" s="19" t="s">
        <v>422</v>
      </c>
      <c r="C76" s="20" t="s">
        <v>12</v>
      </c>
      <c r="D76" s="27" t="s">
        <v>21</v>
      </c>
      <c r="E76" s="19" t="s">
        <v>38</v>
      </c>
      <c r="F76" s="19" t="s">
        <v>423</v>
      </c>
      <c r="G76" s="19" t="s">
        <v>424</v>
      </c>
      <c r="H76" s="19" t="s">
        <v>425</v>
      </c>
      <c r="I76" s="19" t="n">
        <v>3</v>
      </c>
    </row>
    <row r="77" customFormat="false" ht="23.85" hidden="false" customHeight="false" outlineLevel="0" collapsed="false">
      <c r="A77" s="18" t="s">
        <v>426</v>
      </c>
      <c r="B77" s="19" t="s">
        <v>427</v>
      </c>
      <c r="C77" s="23" t="s">
        <v>14</v>
      </c>
      <c r="D77" s="27" t="s">
        <v>21</v>
      </c>
      <c r="E77" s="19" t="s">
        <v>36</v>
      </c>
      <c r="F77" s="19" t="s">
        <v>428</v>
      </c>
      <c r="G77" s="19" t="s">
        <v>429</v>
      </c>
      <c r="H77" s="19" t="s">
        <v>430</v>
      </c>
      <c r="I77" s="19" t="n">
        <v>3</v>
      </c>
    </row>
    <row r="78" customFormat="false" ht="57.45" hidden="false" customHeight="false" outlineLevel="0" collapsed="false">
      <c r="A78" s="18" t="s">
        <v>431</v>
      </c>
      <c r="B78" s="19" t="s">
        <v>432</v>
      </c>
      <c r="C78" s="20" t="s">
        <v>12</v>
      </c>
      <c r="D78" s="27" t="s">
        <v>21</v>
      </c>
      <c r="E78" s="19" t="s">
        <v>41</v>
      </c>
      <c r="F78" s="19" t="s">
        <v>433</v>
      </c>
      <c r="G78" s="19" t="s">
        <v>434</v>
      </c>
      <c r="H78" s="19" t="s">
        <v>435</v>
      </c>
      <c r="I78" s="19" t="n">
        <v>1</v>
      </c>
    </row>
    <row r="79" customFormat="false" ht="57.45" hidden="false" customHeight="false" outlineLevel="0" collapsed="false">
      <c r="A79" s="18" t="s">
        <v>436</v>
      </c>
      <c r="B79" s="19" t="s">
        <v>437</v>
      </c>
      <c r="C79" s="23" t="s">
        <v>14</v>
      </c>
      <c r="D79" s="27" t="s">
        <v>21</v>
      </c>
      <c r="E79" s="19" t="s">
        <v>26</v>
      </c>
      <c r="F79" s="19" t="s">
        <v>438</v>
      </c>
      <c r="G79" s="19" t="s">
        <v>439</v>
      </c>
      <c r="H79" s="19" t="s">
        <v>440</v>
      </c>
      <c r="I79" s="19" t="n">
        <v>3</v>
      </c>
    </row>
    <row r="80" customFormat="false" ht="57.45" hidden="false" customHeight="false" outlineLevel="0" collapsed="false">
      <c r="A80" s="18" t="s">
        <v>441</v>
      </c>
      <c r="B80" s="19" t="s">
        <v>442</v>
      </c>
      <c r="C80" s="23" t="s">
        <v>14</v>
      </c>
      <c r="D80" s="27" t="s">
        <v>21</v>
      </c>
      <c r="E80" s="19" t="s">
        <v>30</v>
      </c>
      <c r="F80" s="19" t="s">
        <v>443</v>
      </c>
      <c r="G80" s="19" t="s">
        <v>444</v>
      </c>
      <c r="H80" s="19" t="s">
        <v>445</v>
      </c>
      <c r="I80" s="19" t="n">
        <v>4</v>
      </c>
    </row>
    <row r="81" customFormat="false" ht="46.25" hidden="false" customHeight="false" outlineLevel="0" collapsed="false">
      <c r="A81" s="18" t="s">
        <v>446</v>
      </c>
      <c r="B81" s="19" t="s">
        <v>447</v>
      </c>
      <c r="C81" s="23" t="s">
        <v>14</v>
      </c>
      <c r="D81" s="27" t="s">
        <v>21</v>
      </c>
      <c r="E81" s="19" t="s">
        <v>36</v>
      </c>
      <c r="F81" s="19" t="s">
        <v>448</v>
      </c>
      <c r="G81" s="19" t="s">
        <v>449</v>
      </c>
      <c r="H81" s="19" t="s">
        <v>450</v>
      </c>
      <c r="I81" s="19" t="n">
        <v>1</v>
      </c>
    </row>
    <row r="82" customFormat="false" ht="46.25" hidden="false" customHeight="false" outlineLevel="0" collapsed="false">
      <c r="A82" s="18" t="s">
        <v>451</v>
      </c>
      <c r="B82" s="19" t="s">
        <v>452</v>
      </c>
      <c r="C82" s="22" t="s">
        <v>13</v>
      </c>
      <c r="D82" s="27" t="s">
        <v>21</v>
      </c>
      <c r="E82" s="19" t="s">
        <v>40</v>
      </c>
      <c r="F82" s="19" t="s">
        <v>453</v>
      </c>
      <c r="G82" s="19" t="s">
        <v>454</v>
      </c>
      <c r="H82" s="19" t="s">
        <v>455</v>
      </c>
      <c r="I82" s="19" t="n">
        <v>2</v>
      </c>
    </row>
    <row r="83" customFormat="false" ht="35.05" hidden="false" customHeight="false" outlineLevel="0" collapsed="false">
      <c r="A83" s="18" t="s">
        <v>456</v>
      </c>
      <c r="B83" s="19" t="s">
        <v>457</v>
      </c>
      <c r="C83" s="22" t="s">
        <v>13</v>
      </c>
      <c r="D83" s="27" t="s">
        <v>21</v>
      </c>
      <c r="E83" s="19" t="s">
        <v>36</v>
      </c>
      <c r="F83" s="19" t="s">
        <v>458</v>
      </c>
      <c r="G83" s="19" t="s">
        <v>459</v>
      </c>
      <c r="H83" s="19" t="s">
        <v>460</v>
      </c>
      <c r="I83" s="19" t="n">
        <v>3</v>
      </c>
    </row>
    <row r="84" customFormat="false" ht="35.05" hidden="false" customHeight="false" outlineLevel="0" collapsed="false">
      <c r="A84" s="18" t="s">
        <v>461</v>
      </c>
      <c r="B84" s="19" t="s">
        <v>462</v>
      </c>
      <c r="C84" s="22" t="s">
        <v>13</v>
      </c>
      <c r="D84" s="27" t="s">
        <v>21</v>
      </c>
      <c r="E84" s="19" t="s">
        <v>36</v>
      </c>
      <c r="F84" s="19" t="s">
        <v>463</v>
      </c>
      <c r="G84" s="19" t="s">
        <v>464</v>
      </c>
      <c r="H84" s="19" t="s">
        <v>465</v>
      </c>
      <c r="I84" s="19" t="n">
        <v>3</v>
      </c>
    </row>
    <row r="85" customFormat="false" ht="35.05" hidden="false" customHeight="false" outlineLevel="0" collapsed="false">
      <c r="A85" s="18" t="s">
        <v>466</v>
      </c>
      <c r="B85" s="19" t="s">
        <v>467</v>
      </c>
      <c r="C85" s="23" t="s">
        <v>14</v>
      </c>
      <c r="D85" s="27" t="s">
        <v>21</v>
      </c>
      <c r="E85" s="19" t="s">
        <v>25</v>
      </c>
      <c r="F85" s="19" t="s">
        <v>468</v>
      </c>
      <c r="G85" s="19" t="s">
        <v>469</v>
      </c>
      <c r="H85" s="19" t="s">
        <v>470</v>
      </c>
      <c r="I85" s="19" t="n">
        <v>1</v>
      </c>
    </row>
    <row r="86" customFormat="false" ht="46.25" hidden="false" customHeight="false" outlineLevel="0" collapsed="false">
      <c r="A86" s="18" t="s">
        <v>471</v>
      </c>
      <c r="B86" s="19" t="s">
        <v>472</v>
      </c>
      <c r="C86" s="20" t="s">
        <v>12</v>
      </c>
      <c r="D86" s="28" t="s">
        <v>22</v>
      </c>
      <c r="E86" s="19" t="s">
        <v>46</v>
      </c>
      <c r="F86" s="19" t="s">
        <v>473</v>
      </c>
      <c r="G86" s="19" t="s">
        <v>474</v>
      </c>
      <c r="H86" s="19" t="s">
        <v>475</v>
      </c>
      <c r="I86" s="19" t="n">
        <v>2</v>
      </c>
    </row>
    <row r="87" customFormat="false" ht="35.05" hidden="false" customHeight="false" outlineLevel="0" collapsed="false">
      <c r="A87" s="18" t="s">
        <v>476</v>
      </c>
      <c r="B87" s="19" t="s">
        <v>477</v>
      </c>
      <c r="C87" s="20" t="s">
        <v>12</v>
      </c>
      <c r="D87" s="28" t="s">
        <v>22</v>
      </c>
      <c r="E87" s="19" t="s">
        <v>42</v>
      </c>
      <c r="F87" s="19" t="s">
        <v>478</v>
      </c>
      <c r="G87" s="19" t="s">
        <v>479</v>
      </c>
      <c r="H87" s="19" t="s">
        <v>480</v>
      </c>
      <c r="I87" s="19" t="n">
        <v>3</v>
      </c>
    </row>
    <row r="88" customFormat="false" ht="35.05" hidden="false" customHeight="false" outlineLevel="0" collapsed="false">
      <c r="A88" s="18" t="s">
        <v>481</v>
      </c>
      <c r="B88" s="19" t="s">
        <v>482</v>
      </c>
      <c r="C88" s="22" t="s">
        <v>13</v>
      </c>
      <c r="D88" s="28" t="s">
        <v>22</v>
      </c>
      <c r="E88" s="19" t="s">
        <v>42</v>
      </c>
      <c r="F88" s="19" t="s">
        <v>483</v>
      </c>
      <c r="G88" s="19" t="s">
        <v>484</v>
      </c>
      <c r="H88" s="19" t="s">
        <v>485</v>
      </c>
      <c r="I88" s="19" t="n">
        <v>6</v>
      </c>
    </row>
    <row r="89" customFormat="false" ht="57.45" hidden="false" customHeight="false" outlineLevel="0" collapsed="false">
      <c r="A89" s="18" t="s">
        <v>486</v>
      </c>
      <c r="B89" s="19" t="s">
        <v>487</v>
      </c>
      <c r="C89" s="20" t="s">
        <v>12</v>
      </c>
      <c r="D89" s="28" t="s">
        <v>22</v>
      </c>
      <c r="E89" s="19" t="s">
        <v>44</v>
      </c>
      <c r="F89" s="19" t="s">
        <v>488</v>
      </c>
      <c r="G89" s="19" t="s">
        <v>489</v>
      </c>
      <c r="H89" s="19" t="s">
        <v>490</v>
      </c>
      <c r="I89" s="19" t="n">
        <v>3</v>
      </c>
    </row>
    <row r="90" customFormat="false" ht="46.25" hidden="false" customHeight="false" outlineLevel="0" collapsed="false">
      <c r="A90" s="18" t="s">
        <v>491</v>
      </c>
      <c r="B90" s="19" t="s">
        <v>492</v>
      </c>
      <c r="C90" s="20" t="s">
        <v>12</v>
      </c>
      <c r="D90" s="28" t="s">
        <v>22</v>
      </c>
      <c r="E90" s="19" t="s">
        <v>42</v>
      </c>
      <c r="F90" s="19" t="s">
        <v>493</v>
      </c>
      <c r="G90" s="19" t="s">
        <v>494</v>
      </c>
      <c r="H90" s="19" t="s">
        <v>495</v>
      </c>
      <c r="I90" s="19" t="n">
        <v>2</v>
      </c>
    </row>
    <row r="91" customFormat="false" ht="46.25" hidden="false" customHeight="false" outlineLevel="0" collapsed="false">
      <c r="A91" s="18" t="s">
        <v>496</v>
      </c>
      <c r="B91" s="19" t="s">
        <v>497</v>
      </c>
      <c r="C91" s="20" t="s">
        <v>12</v>
      </c>
      <c r="D91" s="28" t="s">
        <v>22</v>
      </c>
      <c r="E91" s="19" t="s">
        <v>44</v>
      </c>
      <c r="F91" s="19" t="s">
        <v>498</v>
      </c>
      <c r="G91" s="19" t="s">
        <v>499</v>
      </c>
      <c r="H91" s="19" t="s">
        <v>500</v>
      </c>
      <c r="I91" s="19" t="n">
        <v>3</v>
      </c>
    </row>
    <row r="92" customFormat="false" ht="35.05" hidden="false" customHeight="false" outlineLevel="0" collapsed="false">
      <c r="A92" s="18" t="s">
        <v>501</v>
      </c>
      <c r="B92" s="19" t="s">
        <v>502</v>
      </c>
      <c r="C92" s="22" t="s">
        <v>13</v>
      </c>
      <c r="D92" s="28" t="s">
        <v>22</v>
      </c>
      <c r="E92" s="19" t="s">
        <v>45</v>
      </c>
      <c r="F92" s="19" t="s">
        <v>503</v>
      </c>
      <c r="G92" s="19" t="s">
        <v>504</v>
      </c>
      <c r="H92" s="19" t="s">
        <v>505</v>
      </c>
      <c r="I92" s="19" t="n">
        <v>4</v>
      </c>
    </row>
    <row r="93" customFormat="false" ht="57.45" hidden="false" customHeight="false" outlineLevel="0" collapsed="false">
      <c r="A93" s="18" t="s">
        <v>506</v>
      </c>
      <c r="B93" s="19" t="s">
        <v>507</v>
      </c>
      <c r="C93" s="20" t="s">
        <v>12</v>
      </c>
      <c r="D93" s="28" t="s">
        <v>22</v>
      </c>
      <c r="E93" s="19" t="s">
        <v>44</v>
      </c>
      <c r="F93" s="19" t="s">
        <v>508</v>
      </c>
      <c r="G93" s="19" t="s">
        <v>509</v>
      </c>
      <c r="H93" s="19" t="s">
        <v>510</v>
      </c>
      <c r="I93" s="19" t="n">
        <v>4</v>
      </c>
    </row>
    <row r="94" customFormat="false" ht="46.25" hidden="false" customHeight="false" outlineLevel="0" collapsed="false">
      <c r="A94" s="18" t="s">
        <v>511</v>
      </c>
      <c r="B94" s="19" t="s">
        <v>512</v>
      </c>
      <c r="C94" s="22" t="s">
        <v>13</v>
      </c>
      <c r="D94" s="28" t="s">
        <v>22</v>
      </c>
      <c r="E94" s="19" t="s">
        <v>39</v>
      </c>
      <c r="F94" s="19" t="s">
        <v>513</v>
      </c>
      <c r="G94" s="19" t="s">
        <v>514</v>
      </c>
      <c r="H94" s="19" t="s">
        <v>515</v>
      </c>
      <c r="I94" s="19" t="n">
        <v>5</v>
      </c>
    </row>
    <row r="95" customFormat="false" ht="46.25" hidden="false" customHeight="false" outlineLevel="0" collapsed="false">
      <c r="A95" s="18" t="s">
        <v>516</v>
      </c>
      <c r="B95" s="19" t="s">
        <v>517</v>
      </c>
      <c r="C95" s="23" t="s">
        <v>14</v>
      </c>
      <c r="D95" s="28" t="s">
        <v>22</v>
      </c>
      <c r="E95" s="19" t="s">
        <v>46</v>
      </c>
      <c r="F95" s="19" t="s">
        <v>518</v>
      </c>
      <c r="G95" s="19" t="s">
        <v>519</v>
      </c>
      <c r="H95" s="19" t="s">
        <v>520</v>
      </c>
      <c r="I95" s="19" t="n">
        <v>4</v>
      </c>
    </row>
    <row r="96" customFormat="false" ht="46.25" hidden="false" customHeight="false" outlineLevel="0" collapsed="false">
      <c r="A96" s="18" t="s">
        <v>521</v>
      </c>
      <c r="B96" s="19" t="s">
        <v>522</v>
      </c>
      <c r="C96" s="23" t="s">
        <v>14</v>
      </c>
      <c r="D96" s="28" t="s">
        <v>22</v>
      </c>
      <c r="E96" s="19" t="s">
        <v>43</v>
      </c>
      <c r="F96" s="19" t="s">
        <v>523</v>
      </c>
      <c r="G96" s="19" t="s">
        <v>524</v>
      </c>
      <c r="H96" s="19" t="s">
        <v>525</v>
      </c>
      <c r="I96" s="19" t="n">
        <v>3</v>
      </c>
    </row>
    <row r="97" customFormat="false" ht="57.45" hidden="false" customHeight="false" outlineLevel="0" collapsed="false">
      <c r="A97" s="18" t="s">
        <v>526</v>
      </c>
      <c r="B97" s="19" t="s">
        <v>527</v>
      </c>
      <c r="C97" s="23" t="s">
        <v>14</v>
      </c>
      <c r="D97" s="28" t="s">
        <v>22</v>
      </c>
      <c r="E97" s="19" t="s">
        <v>42</v>
      </c>
      <c r="F97" s="19" t="s">
        <v>528</v>
      </c>
      <c r="G97" s="19" t="s">
        <v>529</v>
      </c>
      <c r="H97" s="19" t="s">
        <v>530</v>
      </c>
      <c r="I97" s="19" t="n">
        <v>6</v>
      </c>
    </row>
    <row r="98" customFormat="false" ht="46.25" hidden="false" customHeight="false" outlineLevel="0" collapsed="false">
      <c r="A98" s="18" t="s">
        <v>531</v>
      </c>
      <c r="B98" s="19" t="s">
        <v>532</v>
      </c>
      <c r="C98" s="23" t="s">
        <v>14</v>
      </c>
      <c r="D98" s="28" t="s">
        <v>22</v>
      </c>
      <c r="E98" s="19" t="s">
        <v>42</v>
      </c>
      <c r="F98" s="19" t="s">
        <v>533</v>
      </c>
      <c r="G98" s="19" t="s">
        <v>534</v>
      </c>
      <c r="H98" s="19" t="s">
        <v>535</v>
      </c>
      <c r="I98" s="19" t="n">
        <v>1.5</v>
      </c>
    </row>
    <row r="99" customFormat="false" ht="46.25" hidden="false" customHeight="false" outlineLevel="0" collapsed="false">
      <c r="A99" s="18" t="s">
        <v>536</v>
      </c>
      <c r="B99" s="19" t="s">
        <v>537</v>
      </c>
      <c r="C99" s="22" t="s">
        <v>13</v>
      </c>
      <c r="D99" s="28" t="s">
        <v>22</v>
      </c>
      <c r="E99" s="19" t="s">
        <v>42</v>
      </c>
      <c r="F99" s="19" t="s">
        <v>538</v>
      </c>
      <c r="G99" s="19" t="s">
        <v>539</v>
      </c>
      <c r="H99" s="19" t="s">
        <v>540</v>
      </c>
      <c r="I99" s="19" t="n">
        <v>5</v>
      </c>
    </row>
    <row r="100" customFormat="false" ht="35.05" hidden="false" customHeight="false" outlineLevel="0" collapsed="false">
      <c r="A100" s="18" t="s">
        <v>541</v>
      </c>
      <c r="B100" s="19" t="s">
        <v>542</v>
      </c>
      <c r="C100" s="23" t="s">
        <v>14</v>
      </c>
      <c r="D100" s="28" t="s">
        <v>22</v>
      </c>
      <c r="E100" s="19" t="s">
        <v>42</v>
      </c>
      <c r="F100" s="19" t="s">
        <v>543</v>
      </c>
      <c r="G100" s="19" t="s">
        <v>544</v>
      </c>
      <c r="H100" s="19" t="s">
        <v>545</v>
      </c>
      <c r="I100" s="19" t="n">
        <v>5</v>
      </c>
    </row>
    <row r="101" customFormat="false" ht="35.05" hidden="false" customHeight="false" outlineLevel="0" collapsed="false">
      <c r="A101" s="18" t="s">
        <v>546</v>
      </c>
      <c r="B101" s="19" t="s">
        <v>547</v>
      </c>
      <c r="C101" s="22" t="s">
        <v>13</v>
      </c>
      <c r="D101" s="28" t="s">
        <v>22</v>
      </c>
      <c r="E101" s="19" t="s">
        <v>42</v>
      </c>
      <c r="F101" s="19" t="s">
        <v>548</v>
      </c>
      <c r="G101" s="19" t="s">
        <v>549</v>
      </c>
      <c r="H101" s="19" t="s">
        <v>550</v>
      </c>
      <c r="I101" s="19" t="n">
        <v>6</v>
      </c>
    </row>
    <row r="102" customFormat="false" ht="35.05" hidden="false" customHeight="false" outlineLevel="0" collapsed="false">
      <c r="A102" s="18" t="s">
        <v>551</v>
      </c>
      <c r="B102" s="19" t="s">
        <v>552</v>
      </c>
      <c r="C102" s="22" t="s">
        <v>13</v>
      </c>
      <c r="D102" s="28" t="s">
        <v>22</v>
      </c>
      <c r="E102" s="19" t="s">
        <v>42</v>
      </c>
      <c r="F102" s="19" t="s">
        <v>553</v>
      </c>
      <c r="G102" s="19" t="s">
        <v>554</v>
      </c>
      <c r="H102" s="19" t="s">
        <v>555</v>
      </c>
      <c r="I102" s="19" t="n">
        <v>6</v>
      </c>
    </row>
    <row r="103" customFormat="false" ht="35.05" hidden="false" customHeight="false" outlineLevel="0" collapsed="false">
      <c r="A103" s="18" t="s">
        <v>556</v>
      </c>
      <c r="B103" s="19" t="s">
        <v>557</v>
      </c>
      <c r="C103" s="23" t="s">
        <v>14</v>
      </c>
      <c r="D103" s="28" t="s">
        <v>22</v>
      </c>
      <c r="E103" s="19" t="s">
        <v>42</v>
      </c>
      <c r="F103" s="19" t="s">
        <v>558</v>
      </c>
      <c r="G103" s="19" t="s">
        <v>559</v>
      </c>
      <c r="H103" s="19" t="s">
        <v>560</v>
      </c>
      <c r="I103" s="19" t="n">
        <v>5</v>
      </c>
    </row>
    <row r="104" customFormat="false" ht="35.05" hidden="false" customHeight="false" outlineLevel="0" collapsed="false">
      <c r="A104" s="18" t="s">
        <v>561</v>
      </c>
      <c r="B104" s="19" t="s">
        <v>562</v>
      </c>
      <c r="C104" s="23" t="s">
        <v>14</v>
      </c>
      <c r="D104" s="28" t="s">
        <v>22</v>
      </c>
      <c r="E104" s="19" t="s">
        <v>42</v>
      </c>
      <c r="F104" s="19" t="s">
        <v>563</v>
      </c>
      <c r="G104" s="19" t="s">
        <v>564</v>
      </c>
      <c r="H104" s="19" t="s">
        <v>565</v>
      </c>
      <c r="I104" s="19" t="n">
        <v>1.5</v>
      </c>
    </row>
    <row r="105" customFormat="false" ht="46.25" hidden="false" customHeight="false" outlineLevel="0" collapsed="false">
      <c r="A105" s="18" t="s">
        <v>566</v>
      </c>
      <c r="B105" s="19" t="s">
        <v>567</v>
      </c>
      <c r="C105" s="23" t="s">
        <v>14</v>
      </c>
      <c r="D105" s="28" t="s">
        <v>22</v>
      </c>
      <c r="E105" s="19" t="s">
        <v>42</v>
      </c>
      <c r="F105" s="19" t="s">
        <v>568</v>
      </c>
      <c r="G105" s="19" t="s">
        <v>569</v>
      </c>
      <c r="H105" s="19" t="s">
        <v>570</v>
      </c>
      <c r="I105" s="19" t="n">
        <v>3</v>
      </c>
    </row>
    <row r="106" customFormat="false" ht="35.05" hidden="false" customHeight="false" outlineLevel="0" collapsed="false">
      <c r="A106" s="18" t="s">
        <v>571</v>
      </c>
      <c r="B106" s="19" t="s">
        <v>572</v>
      </c>
      <c r="C106" s="23" t="s">
        <v>14</v>
      </c>
      <c r="D106" s="28" t="s">
        <v>22</v>
      </c>
      <c r="E106" s="19" t="s">
        <v>42</v>
      </c>
      <c r="F106" s="19" t="s">
        <v>573</v>
      </c>
      <c r="G106" s="19" t="s">
        <v>574</v>
      </c>
      <c r="H106" s="19" t="s">
        <v>575</v>
      </c>
      <c r="I106" s="19" t="n">
        <v>3</v>
      </c>
    </row>
    <row r="107" customFormat="false" ht="23.85" hidden="false" customHeight="false" outlineLevel="0" collapsed="false">
      <c r="A107" s="18" t="s">
        <v>576</v>
      </c>
      <c r="B107" s="19" t="s">
        <v>577</v>
      </c>
      <c r="C107" s="22" t="s">
        <v>13</v>
      </c>
      <c r="D107" s="28" t="s">
        <v>22</v>
      </c>
      <c r="E107" s="19" t="s">
        <v>42</v>
      </c>
      <c r="F107" s="19" t="s">
        <v>578</v>
      </c>
      <c r="G107" s="19" t="s">
        <v>579</v>
      </c>
      <c r="H107" s="19" t="s">
        <v>580</v>
      </c>
      <c r="I107" s="19" t="n">
        <v>7</v>
      </c>
    </row>
  </sheetData>
  <autoFilter ref="A1:I107"/>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42"/>
    <col collapsed="false" customWidth="true" hidden="false" outlineLevel="0" max="3" min="3" style="0" width="16"/>
    <col collapsed="false" customWidth="true" hidden="false" outlineLevel="0" max="4" min="4" style="0" width="24"/>
    <col collapsed="false" customWidth="true" hidden="false" outlineLevel="0" max="5" min="5" style="0" width="26"/>
    <col collapsed="false" customWidth="true" hidden="false" outlineLevel="0" max="6" min="6" style="0" width="9"/>
    <col collapsed="false" customWidth="true" hidden="false" outlineLevel="0" max="7" min="7" style="0" width="90"/>
  </cols>
  <sheetData>
    <row r="1" customFormat="false" ht="22.05" hidden="false" customHeight="false" outlineLevel="0" collapsed="false">
      <c r="A1" s="29" t="s">
        <v>581</v>
      </c>
      <c r="B1" s="29"/>
      <c r="C1" s="29"/>
      <c r="D1" s="29"/>
      <c r="E1" s="29"/>
      <c r="F1" s="29"/>
      <c r="G1" s="29"/>
    </row>
    <row r="3" customFormat="false" ht="15" hidden="false" customHeight="false" outlineLevel="0" collapsed="false">
      <c r="A3" s="30" t="s">
        <v>582</v>
      </c>
      <c r="B3" s="30"/>
      <c r="C3" s="30"/>
      <c r="D3" s="30"/>
      <c r="E3" s="30"/>
      <c r="F3" s="30"/>
      <c r="G3" s="30"/>
    </row>
    <row r="4" customFormat="false" ht="15" hidden="false" customHeight="false" outlineLevel="0" collapsed="false">
      <c r="A4" s="6" t="s">
        <v>47</v>
      </c>
      <c r="B4" s="6" t="s">
        <v>48</v>
      </c>
      <c r="C4" s="6" t="s">
        <v>9</v>
      </c>
      <c r="D4" s="6" t="s">
        <v>24</v>
      </c>
      <c r="E4" s="6" t="s">
        <v>49</v>
      </c>
      <c r="F4" s="6" t="s">
        <v>583</v>
      </c>
      <c r="G4" s="6" t="s">
        <v>50</v>
      </c>
    </row>
    <row r="5" customFormat="false" ht="102.2" hidden="false" customHeight="false" outlineLevel="0" collapsed="false">
      <c r="A5" s="19" t="s">
        <v>53</v>
      </c>
      <c r="B5" s="19" t="s">
        <v>54</v>
      </c>
      <c r="C5" s="20" t="s">
        <v>12</v>
      </c>
      <c r="D5" s="19" t="s">
        <v>29</v>
      </c>
      <c r="E5" s="19" t="s">
        <v>55</v>
      </c>
      <c r="F5" s="19" t="n">
        <v>3</v>
      </c>
      <c r="G5" s="19" t="s">
        <v>56</v>
      </c>
    </row>
    <row r="6" customFormat="false" ht="124.6" hidden="false" customHeight="false" outlineLevel="0" collapsed="false">
      <c r="A6" s="19" t="s">
        <v>58</v>
      </c>
      <c r="B6" s="19" t="s">
        <v>59</v>
      </c>
      <c r="C6" s="22" t="s">
        <v>13</v>
      </c>
      <c r="D6" s="19" t="s">
        <v>28</v>
      </c>
      <c r="E6" s="19" t="s">
        <v>60</v>
      </c>
      <c r="F6" s="19" t="n">
        <v>8</v>
      </c>
      <c r="G6" s="19" t="s">
        <v>61</v>
      </c>
    </row>
    <row r="7" customFormat="false" ht="91" hidden="false" customHeight="false" outlineLevel="0" collapsed="false">
      <c r="A7" s="19" t="s">
        <v>63</v>
      </c>
      <c r="B7" s="19" t="s">
        <v>64</v>
      </c>
      <c r="C7" s="20" t="s">
        <v>12</v>
      </c>
      <c r="D7" s="19" t="s">
        <v>28</v>
      </c>
      <c r="E7" s="19" t="s">
        <v>65</v>
      </c>
      <c r="F7" s="19" t="n">
        <v>5</v>
      </c>
      <c r="G7" s="19" t="s">
        <v>66</v>
      </c>
    </row>
    <row r="8" customFormat="false" ht="91" hidden="false" customHeight="false" outlineLevel="0" collapsed="false">
      <c r="A8" s="19" t="s">
        <v>68</v>
      </c>
      <c r="B8" s="19" t="s">
        <v>69</v>
      </c>
      <c r="C8" s="20" t="s">
        <v>12</v>
      </c>
      <c r="D8" s="19" t="s">
        <v>28</v>
      </c>
      <c r="E8" s="19" t="s">
        <v>70</v>
      </c>
      <c r="F8" s="19" t="n">
        <v>4</v>
      </c>
      <c r="G8" s="19" t="s">
        <v>71</v>
      </c>
    </row>
    <row r="9" customFormat="false" ht="68.65" hidden="false" customHeight="false" outlineLevel="0" collapsed="false">
      <c r="A9" s="19" t="s">
        <v>73</v>
      </c>
      <c r="B9" s="19" t="s">
        <v>74</v>
      </c>
      <c r="C9" s="20" t="s">
        <v>12</v>
      </c>
      <c r="D9" s="19" t="s">
        <v>31</v>
      </c>
      <c r="E9" s="19" t="s">
        <v>75</v>
      </c>
      <c r="F9" s="19" t="n">
        <v>3</v>
      </c>
      <c r="G9" s="19" t="s">
        <v>76</v>
      </c>
    </row>
    <row r="10" customFormat="false" ht="68.65" hidden="false" customHeight="false" outlineLevel="0" collapsed="false">
      <c r="A10" s="19" t="s">
        <v>78</v>
      </c>
      <c r="B10" s="19" t="s">
        <v>79</v>
      </c>
      <c r="C10" s="22" t="s">
        <v>13</v>
      </c>
      <c r="D10" s="19" t="s">
        <v>26</v>
      </c>
      <c r="E10" s="19" t="s">
        <v>80</v>
      </c>
      <c r="F10" s="19" t="n">
        <v>6</v>
      </c>
      <c r="G10" s="19" t="s">
        <v>81</v>
      </c>
    </row>
    <row r="11" customFormat="false" ht="68.65" hidden="false" customHeight="false" outlineLevel="0" collapsed="false">
      <c r="A11" s="19" t="s">
        <v>83</v>
      </c>
      <c r="B11" s="19" t="s">
        <v>84</v>
      </c>
      <c r="C11" s="20" t="s">
        <v>12</v>
      </c>
      <c r="D11" s="19" t="s">
        <v>26</v>
      </c>
      <c r="E11" s="19" t="s">
        <v>85</v>
      </c>
      <c r="F11" s="19" t="n">
        <v>8</v>
      </c>
      <c r="G11" s="19" t="s">
        <v>86</v>
      </c>
    </row>
    <row r="12" customFormat="false" ht="57.45" hidden="false" customHeight="false" outlineLevel="0" collapsed="false">
      <c r="A12" s="19" t="s">
        <v>88</v>
      </c>
      <c r="B12" s="19" t="s">
        <v>89</v>
      </c>
      <c r="C12" s="22" t="s">
        <v>13</v>
      </c>
      <c r="D12" s="19" t="s">
        <v>29</v>
      </c>
      <c r="E12" s="19" t="s">
        <v>90</v>
      </c>
      <c r="F12" s="19" t="n">
        <v>4</v>
      </c>
      <c r="G12" s="19" t="s">
        <v>91</v>
      </c>
    </row>
    <row r="13" customFormat="false" ht="68.65" hidden="false" customHeight="false" outlineLevel="0" collapsed="false">
      <c r="A13" s="19" t="s">
        <v>93</v>
      </c>
      <c r="B13" s="19" t="s">
        <v>94</v>
      </c>
      <c r="C13" s="22" t="s">
        <v>13</v>
      </c>
      <c r="D13" s="19" t="s">
        <v>29</v>
      </c>
      <c r="E13" s="19" t="s">
        <v>95</v>
      </c>
      <c r="F13" s="19" t="n">
        <v>5</v>
      </c>
      <c r="G13" s="19" t="s">
        <v>96</v>
      </c>
    </row>
    <row r="14" customFormat="false" ht="57.45" hidden="false" customHeight="false" outlineLevel="0" collapsed="false">
      <c r="A14" s="19" t="s">
        <v>98</v>
      </c>
      <c r="B14" s="19" t="s">
        <v>99</v>
      </c>
      <c r="C14" s="20" t="s">
        <v>12</v>
      </c>
      <c r="D14" s="19" t="s">
        <v>26</v>
      </c>
      <c r="E14" s="19" t="s">
        <v>100</v>
      </c>
      <c r="F14" s="19" t="n">
        <v>5</v>
      </c>
      <c r="G14" s="19" t="s">
        <v>101</v>
      </c>
    </row>
    <row r="15" customFormat="false" ht="57.45" hidden="false" customHeight="false" outlineLevel="0" collapsed="false">
      <c r="A15" s="19" t="s">
        <v>103</v>
      </c>
      <c r="B15" s="19" t="s">
        <v>104</v>
      </c>
      <c r="C15" s="22" t="s">
        <v>13</v>
      </c>
      <c r="D15" s="19" t="s">
        <v>29</v>
      </c>
      <c r="E15" s="19" t="s">
        <v>105</v>
      </c>
      <c r="F15" s="19" t="n">
        <v>5</v>
      </c>
      <c r="G15" s="19" t="s">
        <v>106</v>
      </c>
    </row>
    <row r="16" customFormat="false" ht="68.65" hidden="false" customHeight="false" outlineLevel="0" collapsed="false">
      <c r="A16" s="19" t="s">
        <v>108</v>
      </c>
      <c r="B16" s="19" t="s">
        <v>109</v>
      </c>
      <c r="C16" s="20" t="s">
        <v>12</v>
      </c>
      <c r="D16" s="19" t="s">
        <v>34</v>
      </c>
      <c r="E16" s="19" t="s">
        <v>110</v>
      </c>
      <c r="F16" s="19" t="n">
        <v>2</v>
      </c>
      <c r="G16" s="19" t="s">
        <v>111</v>
      </c>
    </row>
    <row r="17" customFormat="false" ht="113.4" hidden="false" customHeight="false" outlineLevel="0" collapsed="false">
      <c r="A17" s="19" t="s">
        <v>113</v>
      </c>
      <c r="B17" s="19" t="s">
        <v>114</v>
      </c>
      <c r="C17" s="20" t="s">
        <v>12</v>
      </c>
      <c r="D17" s="19" t="s">
        <v>28</v>
      </c>
      <c r="E17" s="19" t="s">
        <v>115</v>
      </c>
      <c r="F17" s="19" t="n">
        <v>12</v>
      </c>
      <c r="G17" s="19" t="s">
        <v>116</v>
      </c>
    </row>
    <row r="18" customFormat="false" ht="79.85" hidden="false" customHeight="false" outlineLevel="0" collapsed="false">
      <c r="A18" s="19" t="s">
        <v>118</v>
      </c>
      <c r="B18" s="19" t="s">
        <v>119</v>
      </c>
      <c r="C18" s="20" t="s">
        <v>12</v>
      </c>
      <c r="D18" s="19" t="s">
        <v>25</v>
      </c>
      <c r="E18" s="19" t="s">
        <v>120</v>
      </c>
      <c r="F18" s="19" t="n">
        <v>8</v>
      </c>
      <c r="G18" s="19" t="s">
        <v>121</v>
      </c>
    </row>
    <row r="19" customFormat="false" ht="68.65" hidden="false" customHeight="false" outlineLevel="0" collapsed="false">
      <c r="A19" s="19" t="s">
        <v>123</v>
      </c>
      <c r="B19" s="19" t="s">
        <v>124</v>
      </c>
      <c r="C19" s="22" t="s">
        <v>13</v>
      </c>
      <c r="D19" s="19" t="s">
        <v>28</v>
      </c>
      <c r="E19" s="19" t="s">
        <v>125</v>
      </c>
      <c r="F19" s="19" t="n">
        <v>2</v>
      </c>
      <c r="G19" s="19" t="s">
        <v>126</v>
      </c>
    </row>
    <row r="20" customFormat="false" ht="46.25" hidden="false" customHeight="false" outlineLevel="0" collapsed="false">
      <c r="A20" s="19" t="s">
        <v>128</v>
      </c>
      <c r="B20" s="19" t="s">
        <v>129</v>
      </c>
      <c r="C20" s="22" t="s">
        <v>13</v>
      </c>
      <c r="D20" s="19" t="s">
        <v>25</v>
      </c>
      <c r="E20" s="19" t="s">
        <v>130</v>
      </c>
      <c r="F20" s="19" t="n">
        <v>2</v>
      </c>
      <c r="G20" s="19" t="s">
        <v>131</v>
      </c>
    </row>
    <row r="21" customFormat="false" ht="91" hidden="false" customHeight="false" outlineLevel="0" collapsed="false">
      <c r="A21" s="19" t="s">
        <v>133</v>
      </c>
      <c r="B21" s="19" t="s">
        <v>134</v>
      </c>
      <c r="C21" s="22" t="s">
        <v>13</v>
      </c>
      <c r="D21" s="19" t="s">
        <v>28</v>
      </c>
      <c r="E21" s="19" t="s">
        <v>135</v>
      </c>
      <c r="F21" s="19" t="n">
        <v>16</v>
      </c>
      <c r="G21" s="19" t="s">
        <v>136</v>
      </c>
    </row>
    <row r="22" customFormat="false" ht="79.85" hidden="false" customHeight="false" outlineLevel="0" collapsed="false">
      <c r="A22" s="19" t="s">
        <v>138</v>
      </c>
      <c r="B22" s="19" t="s">
        <v>139</v>
      </c>
      <c r="C22" s="22" t="s">
        <v>13</v>
      </c>
      <c r="D22" s="19" t="s">
        <v>29</v>
      </c>
      <c r="E22" s="19" t="s">
        <v>140</v>
      </c>
      <c r="F22" s="19" t="n">
        <v>4</v>
      </c>
      <c r="G22" s="19" t="s">
        <v>141</v>
      </c>
    </row>
    <row r="23" customFormat="false" ht="68.65" hidden="false" customHeight="false" outlineLevel="0" collapsed="false">
      <c r="A23" s="19" t="s">
        <v>143</v>
      </c>
      <c r="B23" s="19" t="s">
        <v>144</v>
      </c>
      <c r="C23" s="23" t="s">
        <v>14</v>
      </c>
      <c r="D23" s="19" t="s">
        <v>29</v>
      </c>
      <c r="E23" s="19" t="s">
        <v>145</v>
      </c>
      <c r="F23" s="19" t="n">
        <v>8</v>
      </c>
      <c r="G23" s="19" t="s">
        <v>146</v>
      </c>
    </row>
    <row r="24" customFormat="false" ht="57.45" hidden="false" customHeight="false" outlineLevel="0" collapsed="false">
      <c r="A24" s="19" t="s">
        <v>148</v>
      </c>
      <c r="B24" s="19" t="s">
        <v>149</v>
      </c>
      <c r="C24" s="23" t="s">
        <v>14</v>
      </c>
      <c r="D24" s="19" t="s">
        <v>29</v>
      </c>
      <c r="E24" s="19" t="s">
        <v>150</v>
      </c>
      <c r="F24" s="19" t="n">
        <v>12</v>
      </c>
      <c r="G24" s="19" t="s">
        <v>151</v>
      </c>
    </row>
    <row r="25" customFormat="false" ht="68.65" hidden="false" customHeight="false" outlineLevel="0" collapsed="false">
      <c r="A25" s="19" t="s">
        <v>153</v>
      </c>
      <c r="B25" s="19" t="s">
        <v>154</v>
      </c>
      <c r="C25" s="22" t="s">
        <v>13</v>
      </c>
      <c r="D25" s="19" t="s">
        <v>29</v>
      </c>
      <c r="E25" s="19" t="s">
        <v>155</v>
      </c>
      <c r="F25" s="19" t="n">
        <v>4</v>
      </c>
      <c r="G25" s="19" t="s">
        <v>156</v>
      </c>
    </row>
    <row r="26" customFormat="false" ht="91" hidden="false" customHeight="false" outlineLevel="0" collapsed="false">
      <c r="A26" s="19" t="s">
        <v>158</v>
      </c>
      <c r="B26" s="19" t="s">
        <v>159</v>
      </c>
      <c r="C26" s="22" t="s">
        <v>13</v>
      </c>
      <c r="D26" s="19" t="s">
        <v>29</v>
      </c>
      <c r="E26" s="19" t="s">
        <v>160</v>
      </c>
      <c r="F26" s="19" t="n">
        <v>4</v>
      </c>
      <c r="G26" s="19" t="s">
        <v>161</v>
      </c>
    </row>
    <row r="27" customFormat="false" ht="68.65" hidden="false" customHeight="false" outlineLevel="0" collapsed="false">
      <c r="A27" s="19" t="s">
        <v>163</v>
      </c>
      <c r="B27" s="19" t="s">
        <v>164</v>
      </c>
      <c r="C27" s="20" t="s">
        <v>12</v>
      </c>
      <c r="D27" s="19" t="s">
        <v>33</v>
      </c>
      <c r="E27" s="19" t="s">
        <v>165</v>
      </c>
      <c r="F27" s="19" t="n">
        <v>2</v>
      </c>
      <c r="G27" s="19" t="s">
        <v>166</v>
      </c>
    </row>
    <row r="28" customFormat="false" ht="68.65" hidden="false" customHeight="false" outlineLevel="0" collapsed="false">
      <c r="A28" s="19" t="s">
        <v>168</v>
      </c>
      <c r="B28" s="19" t="s">
        <v>169</v>
      </c>
      <c r="C28" s="22" t="s">
        <v>13</v>
      </c>
      <c r="D28" s="19" t="s">
        <v>32</v>
      </c>
      <c r="E28" s="19" t="s">
        <v>170</v>
      </c>
      <c r="F28" s="19" t="n">
        <v>3</v>
      </c>
      <c r="G28" s="19" t="s">
        <v>171</v>
      </c>
    </row>
    <row r="29" customFormat="false" ht="46.25" hidden="false" customHeight="false" outlineLevel="0" collapsed="false">
      <c r="A29" s="19" t="s">
        <v>173</v>
      </c>
      <c r="B29" s="19" t="s">
        <v>174</v>
      </c>
      <c r="C29" s="23" t="s">
        <v>14</v>
      </c>
      <c r="D29" s="19" t="s">
        <v>28</v>
      </c>
      <c r="E29" s="19" t="s">
        <v>175</v>
      </c>
      <c r="F29" s="19" t="n">
        <v>0.5</v>
      </c>
      <c r="G29" s="19" t="s">
        <v>176</v>
      </c>
    </row>
    <row r="31" customFormat="false" ht="15" hidden="false" customHeight="false" outlineLevel="0" collapsed="false">
      <c r="A31" s="31" t="s">
        <v>584</v>
      </c>
      <c r="B31" s="31"/>
      <c r="C31" s="31"/>
      <c r="D31" s="31"/>
      <c r="E31" s="31"/>
      <c r="F31" s="31"/>
      <c r="G31" s="31"/>
    </row>
    <row r="32" customFormat="false" ht="15" hidden="false" customHeight="false" outlineLevel="0" collapsed="false">
      <c r="A32" s="6" t="s">
        <v>47</v>
      </c>
      <c r="B32" s="6" t="s">
        <v>48</v>
      </c>
      <c r="C32" s="6" t="s">
        <v>9</v>
      </c>
      <c r="D32" s="6" t="s">
        <v>24</v>
      </c>
      <c r="E32" s="6" t="s">
        <v>49</v>
      </c>
      <c r="F32" s="6" t="s">
        <v>583</v>
      </c>
      <c r="G32" s="6" t="s">
        <v>50</v>
      </c>
    </row>
    <row r="33" customFormat="false" ht="68.65" hidden="false" customHeight="false" outlineLevel="0" collapsed="false">
      <c r="A33" s="19" t="s">
        <v>178</v>
      </c>
      <c r="B33" s="19" t="s">
        <v>179</v>
      </c>
      <c r="C33" s="20" t="s">
        <v>12</v>
      </c>
      <c r="D33" s="19" t="s">
        <v>26</v>
      </c>
      <c r="E33" s="19" t="s">
        <v>180</v>
      </c>
      <c r="F33" s="19" t="n">
        <v>3</v>
      </c>
      <c r="G33" s="19" t="s">
        <v>181</v>
      </c>
    </row>
    <row r="34" customFormat="false" ht="46.25" hidden="false" customHeight="false" outlineLevel="0" collapsed="false">
      <c r="A34" s="19" t="s">
        <v>183</v>
      </c>
      <c r="B34" s="19" t="s">
        <v>184</v>
      </c>
      <c r="C34" s="20" t="s">
        <v>12</v>
      </c>
      <c r="D34" s="19" t="s">
        <v>25</v>
      </c>
      <c r="E34" s="19" t="s">
        <v>185</v>
      </c>
      <c r="F34" s="19" t="n">
        <v>3</v>
      </c>
      <c r="G34" s="19" t="s">
        <v>186</v>
      </c>
    </row>
    <row r="35" customFormat="false" ht="46.25" hidden="false" customHeight="false" outlineLevel="0" collapsed="false">
      <c r="A35" s="19" t="s">
        <v>188</v>
      </c>
      <c r="B35" s="19" t="s">
        <v>189</v>
      </c>
      <c r="C35" s="22" t="s">
        <v>13</v>
      </c>
      <c r="D35" s="19" t="s">
        <v>25</v>
      </c>
      <c r="E35" s="19" t="s">
        <v>190</v>
      </c>
      <c r="F35" s="19" t="n">
        <v>2</v>
      </c>
      <c r="G35" s="19" t="s">
        <v>191</v>
      </c>
    </row>
    <row r="36" customFormat="false" ht="46.25" hidden="false" customHeight="false" outlineLevel="0" collapsed="false">
      <c r="A36" s="19" t="s">
        <v>193</v>
      </c>
      <c r="B36" s="19" t="s">
        <v>194</v>
      </c>
      <c r="C36" s="20" t="s">
        <v>12</v>
      </c>
      <c r="D36" s="19" t="s">
        <v>25</v>
      </c>
      <c r="E36" s="19" t="s">
        <v>195</v>
      </c>
      <c r="F36" s="19" t="n">
        <v>6</v>
      </c>
      <c r="G36" s="19" t="s">
        <v>196</v>
      </c>
    </row>
    <row r="37" customFormat="false" ht="46.25" hidden="false" customHeight="false" outlineLevel="0" collapsed="false">
      <c r="A37" s="19" t="s">
        <v>198</v>
      </c>
      <c r="B37" s="19" t="s">
        <v>199</v>
      </c>
      <c r="C37" s="20" t="s">
        <v>12</v>
      </c>
      <c r="D37" s="19" t="s">
        <v>27</v>
      </c>
      <c r="E37" s="19" t="s">
        <v>200</v>
      </c>
      <c r="F37" s="19" t="n">
        <v>4</v>
      </c>
      <c r="G37" s="19" t="s">
        <v>201</v>
      </c>
    </row>
    <row r="38" customFormat="false" ht="46.25" hidden="false" customHeight="false" outlineLevel="0" collapsed="false">
      <c r="A38" s="19" t="s">
        <v>203</v>
      </c>
      <c r="B38" s="19" t="s">
        <v>204</v>
      </c>
      <c r="C38" s="20" t="s">
        <v>12</v>
      </c>
      <c r="D38" s="19" t="s">
        <v>26</v>
      </c>
      <c r="E38" s="19" t="s">
        <v>205</v>
      </c>
      <c r="F38" s="19" t="n">
        <v>16</v>
      </c>
      <c r="G38" s="19" t="s">
        <v>206</v>
      </c>
    </row>
    <row r="39" customFormat="false" ht="57.45" hidden="false" customHeight="false" outlineLevel="0" collapsed="false">
      <c r="A39" s="19" t="s">
        <v>208</v>
      </c>
      <c r="B39" s="19" t="s">
        <v>209</v>
      </c>
      <c r="C39" s="22" t="s">
        <v>13</v>
      </c>
      <c r="D39" s="19" t="s">
        <v>30</v>
      </c>
      <c r="E39" s="19" t="s">
        <v>210</v>
      </c>
      <c r="F39" s="19" t="n">
        <v>4</v>
      </c>
      <c r="G39" s="19" t="s">
        <v>211</v>
      </c>
    </row>
    <row r="40" customFormat="false" ht="46.25" hidden="false" customHeight="false" outlineLevel="0" collapsed="false">
      <c r="A40" s="19" t="s">
        <v>213</v>
      </c>
      <c r="B40" s="19" t="s">
        <v>214</v>
      </c>
      <c r="C40" s="22" t="s">
        <v>13</v>
      </c>
      <c r="D40" s="19" t="s">
        <v>31</v>
      </c>
      <c r="E40" s="19" t="s">
        <v>215</v>
      </c>
      <c r="F40" s="19" t="n">
        <v>6</v>
      </c>
      <c r="G40" s="19" t="s">
        <v>216</v>
      </c>
    </row>
    <row r="41" customFormat="false" ht="35.05" hidden="false" customHeight="false" outlineLevel="0" collapsed="false">
      <c r="A41" s="19" t="s">
        <v>218</v>
      </c>
      <c r="B41" s="19" t="s">
        <v>219</v>
      </c>
      <c r="C41" s="22" t="s">
        <v>13</v>
      </c>
      <c r="D41" s="19" t="s">
        <v>25</v>
      </c>
      <c r="E41" s="19" t="s">
        <v>220</v>
      </c>
      <c r="F41" s="19" t="n">
        <v>3</v>
      </c>
      <c r="G41" s="19" t="s">
        <v>221</v>
      </c>
    </row>
    <row r="42" customFormat="false" ht="57.45" hidden="false" customHeight="false" outlineLevel="0" collapsed="false">
      <c r="A42" s="19" t="s">
        <v>223</v>
      </c>
      <c r="B42" s="19" t="s">
        <v>224</v>
      </c>
      <c r="C42" s="23" t="s">
        <v>14</v>
      </c>
      <c r="D42" s="19" t="s">
        <v>25</v>
      </c>
      <c r="E42" s="19" t="s">
        <v>225</v>
      </c>
      <c r="F42" s="19" t="n">
        <v>8</v>
      </c>
      <c r="G42" s="19" t="s">
        <v>226</v>
      </c>
    </row>
    <row r="43" customFormat="false" ht="68.65" hidden="false" customHeight="false" outlineLevel="0" collapsed="false">
      <c r="A43" s="19" t="s">
        <v>228</v>
      </c>
      <c r="B43" s="19" t="s">
        <v>229</v>
      </c>
      <c r="C43" s="22" t="s">
        <v>13</v>
      </c>
      <c r="D43" s="19" t="s">
        <v>37</v>
      </c>
      <c r="E43" s="19" t="s">
        <v>230</v>
      </c>
      <c r="F43" s="19" t="n">
        <v>8</v>
      </c>
      <c r="G43" s="19" t="s">
        <v>231</v>
      </c>
    </row>
    <row r="44" customFormat="false" ht="91" hidden="false" customHeight="false" outlineLevel="0" collapsed="false">
      <c r="A44" s="19" t="s">
        <v>233</v>
      </c>
      <c r="B44" s="19" t="s">
        <v>234</v>
      </c>
      <c r="C44" s="20" t="s">
        <v>12</v>
      </c>
      <c r="D44" s="19" t="s">
        <v>25</v>
      </c>
      <c r="E44" s="19" t="s">
        <v>235</v>
      </c>
      <c r="F44" s="19" t="n">
        <v>10</v>
      </c>
      <c r="G44" s="19" t="s">
        <v>236</v>
      </c>
    </row>
    <row r="45" customFormat="false" ht="57.45" hidden="false" customHeight="false" outlineLevel="0" collapsed="false">
      <c r="A45" s="19" t="s">
        <v>238</v>
      </c>
      <c r="B45" s="19" t="s">
        <v>239</v>
      </c>
      <c r="C45" s="22" t="s">
        <v>13</v>
      </c>
      <c r="D45" s="19" t="s">
        <v>25</v>
      </c>
      <c r="E45" s="19" t="s">
        <v>240</v>
      </c>
      <c r="F45" s="19" t="n">
        <v>7</v>
      </c>
      <c r="G45" s="19" t="s">
        <v>241</v>
      </c>
    </row>
    <row r="46" customFormat="false" ht="35.05" hidden="false" customHeight="false" outlineLevel="0" collapsed="false">
      <c r="A46" s="19" t="s">
        <v>243</v>
      </c>
      <c r="B46" s="19" t="s">
        <v>244</v>
      </c>
      <c r="C46" s="23" t="s">
        <v>14</v>
      </c>
      <c r="D46" s="19" t="s">
        <v>25</v>
      </c>
      <c r="E46" s="19" t="s">
        <v>245</v>
      </c>
      <c r="F46" s="19" t="n">
        <v>5</v>
      </c>
      <c r="G46" s="19" t="s">
        <v>246</v>
      </c>
    </row>
    <row r="47" customFormat="false" ht="35.05" hidden="false" customHeight="false" outlineLevel="0" collapsed="false">
      <c r="A47" s="19" t="s">
        <v>248</v>
      </c>
      <c r="B47" s="19" t="s">
        <v>249</v>
      </c>
      <c r="C47" s="23" t="s">
        <v>14</v>
      </c>
      <c r="D47" s="19" t="s">
        <v>25</v>
      </c>
      <c r="E47" s="19" t="s">
        <v>250</v>
      </c>
      <c r="F47" s="19" t="n">
        <v>4</v>
      </c>
      <c r="G47" s="19" t="s">
        <v>251</v>
      </c>
    </row>
    <row r="48" customFormat="false" ht="68.65" hidden="false" customHeight="false" outlineLevel="0" collapsed="false">
      <c r="A48" s="19" t="s">
        <v>253</v>
      </c>
      <c r="B48" s="19" t="s">
        <v>254</v>
      </c>
      <c r="C48" s="20" t="s">
        <v>12</v>
      </c>
      <c r="D48" s="19" t="s">
        <v>25</v>
      </c>
      <c r="E48" s="19" t="s">
        <v>255</v>
      </c>
      <c r="F48" s="19" t="n">
        <v>6</v>
      </c>
      <c r="G48" s="19" t="s">
        <v>256</v>
      </c>
    </row>
    <row r="49" customFormat="false" ht="46.25" hidden="false" customHeight="false" outlineLevel="0" collapsed="false">
      <c r="A49" s="19" t="s">
        <v>258</v>
      </c>
      <c r="B49" s="19" t="s">
        <v>259</v>
      </c>
      <c r="C49" s="22" t="s">
        <v>13</v>
      </c>
      <c r="D49" s="19" t="s">
        <v>25</v>
      </c>
      <c r="E49" s="19" t="s">
        <v>260</v>
      </c>
      <c r="F49" s="19" t="n">
        <v>7</v>
      </c>
      <c r="G49" s="19" t="s">
        <v>261</v>
      </c>
    </row>
    <row r="50" customFormat="false" ht="46.25" hidden="false" customHeight="false" outlineLevel="0" collapsed="false">
      <c r="A50" s="19" t="s">
        <v>263</v>
      </c>
      <c r="B50" s="19" t="s">
        <v>264</v>
      </c>
      <c r="C50" s="22" t="s">
        <v>13</v>
      </c>
      <c r="D50" s="19" t="s">
        <v>25</v>
      </c>
      <c r="E50" s="19" t="s">
        <v>265</v>
      </c>
      <c r="F50" s="19" t="n">
        <v>8</v>
      </c>
      <c r="G50" s="19" t="s">
        <v>266</v>
      </c>
    </row>
    <row r="51" customFormat="false" ht="46.25" hidden="false" customHeight="false" outlineLevel="0" collapsed="false">
      <c r="A51" s="19" t="s">
        <v>268</v>
      </c>
      <c r="B51" s="19" t="s">
        <v>269</v>
      </c>
      <c r="C51" s="22" t="s">
        <v>13</v>
      </c>
      <c r="D51" s="19" t="s">
        <v>25</v>
      </c>
      <c r="E51" s="19" t="s">
        <v>270</v>
      </c>
      <c r="F51" s="19" t="n">
        <v>4</v>
      </c>
      <c r="G51" s="19" t="s">
        <v>271</v>
      </c>
    </row>
    <row r="52" customFormat="false" ht="46.25" hidden="false" customHeight="false" outlineLevel="0" collapsed="false">
      <c r="A52" s="19" t="s">
        <v>273</v>
      </c>
      <c r="B52" s="19" t="s">
        <v>274</v>
      </c>
      <c r="C52" s="22" t="s">
        <v>13</v>
      </c>
      <c r="D52" s="19" t="s">
        <v>25</v>
      </c>
      <c r="E52" s="19" t="s">
        <v>265</v>
      </c>
      <c r="F52" s="19" t="n">
        <v>6</v>
      </c>
      <c r="G52" s="19" t="s">
        <v>275</v>
      </c>
    </row>
    <row r="53" customFormat="false" ht="46.25" hidden="false" customHeight="false" outlineLevel="0" collapsed="false">
      <c r="A53" s="19" t="s">
        <v>277</v>
      </c>
      <c r="B53" s="19" t="s">
        <v>278</v>
      </c>
      <c r="C53" s="23" t="s">
        <v>14</v>
      </c>
      <c r="D53" s="19" t="s">
        <v>25</v>
      </c>
      <c r="E53" s="19" t="s">
        <v>279</v>
      </c>
      <c r="F53" s="19" t="n">
        <v>5</v>
      </c>
      <c r="G53" s="19" t="s">
        <v>280</v>
      </c>
    </row>
    <row r="54" customFormat="false" ht="46.25" hidden="false" customHeight="false" outlineLevel="0" collapsed="false">
      <c r="A54" s="19" t="s">
        <v>282</v>
      </c>
      <c r="B54" s="19" t="s">
        <v>283</v>
      </c>
      <c r="C54" s="23" t="s">
        <v>14</v>
      </c>
      <c r="D54" s="19" t="s">
        <v>25</v>
      </c>
      <c r="E54" s="19" t="s">
        <v>284</v>
      </c>
      <c r="F54" s="19" t="n">
        <v>5</v>
      </c>
      <c r="G54" s="19" t="s">
        <v>285</v>
      </c>
    </row>
    <row r="55" customFormat="false" ht="46.25" hidden="false" customHeight="false" outlineLevel="0" collapsed="false">
      <c r="A55" s="19" t="s">
        <v>287</v>
      </c>
      <c r="B55" s="19" t="s">
        <v>288</v>
      </c>
      <c r="C55" s="23" t="s">
        <v>14</v>
      </c>
      <c r="D55" s="19" t="s">
        <v>25</v>
      </c>
      <c r="E55" s="19" t="s">
        <v>289</v>
      </c>
      <c r="F55" s="19" t="n">
        <v>4</v>
      </c>
      <c r="G55" s="19" t="s">
        <v>290</v>
      </c>
    </row>
    <row r="56" customFormat="false" ht="35.05" hidden="false" customHeight="false" outlineLevel="0" collapsed="false">
      <c r="A56" s="19" t="s">
        <v>292</v>
      </c>
      <c r="B56" s="19" t="s">
        <v>293</v>
      </c>
      <c r="C56" s="23" t="s">
        <v>14</v>
      </c>
      <c r="D56" s="19" t="s">
        <v>25</v>
      </c>
      <c r="E56" s="19" t="s">
        <v>294</v>
      </c>
      <c r="F56" s="19" t="n">
        <v>2</v>
      </c>
      <c r="G56" s="19" t="s">
        <v>295</v>
      </c>
    </row>
    <row r="57" customFormat="false" ht="46.25" hidden="false" customHeight="false" outlineLevel="0" collapsed="false">
      <c r="A57" s="19" t="s">
        <v>297</v>
      </c>
      <c r="B57" s="19" t="s">
        <v>298</v>
      </c>
      <c r="C57" s="23" t="s">
        <v>14</v>
      </c>
      <c r="D57" s="19" t="s">
        <v>25</v>
      </c>
      <c r="E57" s="19" t="s">
        <v>299</v>
      </c>
      <c r="F57" s="19" t="n">
        <v>6</v>
      </c>
      <c r="G57" s="19" t="s">
        <v>300</v>
      </c>
    </row>
    <row r="58" customFormat="false" ht="46.25" hidden="false" customHeight="false" outlineLevel="0" collapsed="false">
      <c r="A58" s="19" t="s">
        <v>302</v>
      </c>
      <c r="B58" s="19" t="s">
        <v>303</v>
      </c>
      <c r="C58" s="23" t="s">
        <v>14</v>
      </c>
      <c r="D58" s="19" t="s">
        <v>26</v>
      </c>
      <c r="E58" s="19" t="s">
        <v>304</v>
      </c>
      <c r="F58" s="19" t="n">
        <v>6</v>
      </c>
      <c r="G58" s="19" t="s">
        <v>305</v>
      </c>
    </row>
    <row r="59" customFormat="false" ht="68.65" hidden="false" customHeight="false" outlineLevel="0" collapsed="false">
      <c r="A59" s="19" t="s">
        <v>307</v>
      </c>
      <c r="B59" s="19" t="s">
        <v>308</v>
      </c>
      <c r="C59" s="23" t="s">
        <v>14</v>
      </c>
      <c r="D59" s="19" t="s">
        <v>31</v>
      </c>
      <c r="E59" s="19" t="s">
        <v>309</v>
      </c>
      <c r="F59" s="19" t="n">
        <v>16</v>
      </c>
      <c r="G59" s="19" t="s">
        <v>310</v>
      </c>
    </row>
    <row r="60" customFormat="false" ht="46.25" hidden="false" customHeight="false" outlineLevel="0" collapsed="false">
      <c r="A60" s="19" t="s">
        <v>312</v>
      </c>
      <c r="B60" s="19" t="s">
        <v>313</v>
      </c>
      <c r="C60" s="23" t="s">
        <v>14</v>
      </c>
      <c r="D60" s="19" t="s">
        <v>25</v>
      </c>
      <c r="E60" s="19" t="s">
        <v>314</v>
      </c>
      <c r="F60" s="19" t="n">
        <v>8</v>
      </c>
      <c r="G60" s="19" t="s">
        <v>315</v>
      </c>
    </row>
    <row r="61" customFormat="false" ht="79.85" hidden="false" customHeight="false" outlineLevel="0" collapsed="false">
      <c r="A61" s="19" t="s">
        <v>317</v>
      </c>
      <c r="B61" s="19" t="s">
        <v>318</v>
      </c>
      <c r="C61" s="23" t="s">
        <v>14</v>
      </c>
      <c r="D61" s="19" t="s">
        <v>25</v>
      </c>
      <c r="E61" s="19" t="s">
        <v>319</v>
      </c>
      <c r="F61" s="19" t="n">
        <v>16</v>
      </c>
      <c r="G61" s="19" t="s">
        <v>320</v>
      </c>
    </row>
    <row r="62" customFormat="false" ht="35.05" hidden="false" customHeight="false" outlineLevel="0" collapsed="false">
      <c r="A62" s="19" t="s">
        <v>322</v>
      </c>
      <c r="B62" s="19" t="s">
        <v>323</v>
      </c>
      <c r="C62" s="23" t="s">
        <v>14</v>
      </c>
      <c r="D62" s="19" t="s">
        <v>25</v>
      </c>
      <c r="E62" s="19" t="s">
        <v>324</v>
      </c>
      <c r="F62" s="19" t="n">
        <v>6</v>
      </c>
      <c r="G62" s="19" t="s">
        <v>325</v>
      </c>
    </row>
    <row r="63" customFormat="false" ht="23.85" hidden="false" customHeight="false" outlineLevel="0" collapsed="false">
      <c r="A63" s="19" t="s">
        <v>327</v>
      </c>
      <c r="B63" s="19" t="s">
        <v>328</v>
      </c>
      <c r="C63" s="23" t="s">
        <v>14</v>
      </c>
      <c r="D63" s="19" t="s">
        <v>25</v>
      </c>
      <c r="E63" s="19" t="s">
        <v>329</v>
      </c>
      <c r="F63" s="19" t="n">
        <v>4</v>
      </c>
      <c r="G63" s="19" t="s">
        <v>330</v>
      </c>
    </row>
    <row r="64" customFormat="false" ht="23.85" hidden="false" customHeight="false" outlineLevel="0" collapsed="false">
      <c r="A64" s="19" t="s">
        <v>332</v>
      </c>
      <c r="B64" s="19" t="s">
        <v>333</v>
      </c>
      <c r="C64" s="25" t="s">
        <v>15</v>
      </c>
      <c r="D64" s="19" t="s">
        <v>40</v>
      </c>
      <c r="E64" s="19" t="s">
        <v>334</v>
      </c>
      <c r="F64" s="19" t="n">
        <v>3</v>
      </c>
      <c r="G64" s="19" t="s">
        <v>335</v>
      </c>
    </row>
    <row r="65" customFormat="false" ht="23.85" hidden="false" customHeight="false" outlineLevel="0" collapsed="false">
      <c r="A65" s="19" t="s">
        <v>337</v>
      </c>
      <c r="B65" s="19" t="s">
        <v>338</v>
      </c>
      <c r="C65" s="26" t="s">
        <v>16</v>
      </c>
      <c r="D65" s="19" t="s">
        <v>25</v>
      </c>
      <c r="E65" s="19" t="s">
        <v>339</v>
      </c>
      <c r="F65" s="19" t="n">
        <v>4</v>
      </c>
      <c r="G65" s="19" t="s">
        <v>340</v>
      </c>
    </row>
    <row r="67" customFormat="false" ht="15" hidden="false" customHeight="false" outlineLevel="0" collapsed="false">
      <c r="A67" s="32" t="s">
        <v>585</v>
      </c>
      <c r="B67" s="32"/>
      <c r="C67" s="32"/>
      <c r="D67" s="32"/>
      <c r="E67" s="32"/>
      <c r="F67" s="32"/>
      <c r="G67" s="32"/>
    </row>
    <row r="68" customFormat="false" ht="15" hidden="false" customHeight="false" outlineLevel="0" collapsed="false">
      <c r="A68" s="6" t="s">
        <v>47</v>
      </c>
      <c r="B68" s="6" t="s">
        <v>48</v>
      </c>
      <c r="C68" s="6" t="s">
        <v>9</v>
      </c>
      <c r="D68" s="6" t="s">
        <v>24</v>
      </c>
      <c r="E68" s="6" t="s">
        <v>49</v>
      </c>
      <c r="F68" s="6" t="s">
        <v>583</v>
      </c>
      <c r="G68" s="6" t="s">
        <v>50</v>
      </c>
    </row>
    <row r="69" customFormat="false" ht="57.45" hidden="false" customHeight="false" outlineLevel="0" collapsed="false">
      <c r="A69" s="19" t="s">
        <v>342</v>
      </c>
      <c r="B69" s="19" t="s">
        <v>343</v>
      </c>
      <c r="C69" s="20" t="s">
        <v>12</v>
      </c>
      <c r="D69" s="19" t="s">
        <v>35</v>
      </c>
      <c r="E69" s="19" t="s">
        <v>344</v>
      </c>
      <c r="F69" s="19" t="n">
        <v>6</v>
      </c>
      <c r="G69" s="19" t="s">
        <v>345</v>
      </c>
    </row>
    <row r="70" customFormat="false" ht="57.45" hidden="false" customHeight="false" outlineLevel="0" collapsed="false">
      <c r="A70" s="19" t="s">
        <v>347</v>
      </c>
      <c r="B70" s="19" t="s">
        <v>348</v>
      </c>
      <c r="C70" s="20" t="s">
        <v>12</v>
      </c>
      <c r="D70" s="19" t="s">
        <v>40</v>
      </c>
      <c r="E70" s="19" t="s">
        <v>349</v>
      </c>
      <c r="F70" s="19" t="n">
        <v>6</v>
      </c>
      <c r="G70" s="19" t="s">
        <v>350</v>
      </c>
    </row>
    <row r="71" customFormat="false" ht="57.45" hidden="false" customHeight="false" outlineLevel="0" collapsed="false">
      <c r="A71" s="19" t="s">
        <v>352</v>
      </c>
      <c r="B71" s="19" t="s">
        <v>353</v>
      </c>
      <c r="C71" s="20" t="s">
        <v>12</v>
      </c>
      <c r="D71" s="19" t="s">
        <v>34</v>
      </c>
      <c r="E71" s="19" t="s">
        <v>354</v>
      </c>
      <c r="F71" s="19" t="n">
        <v>4</v>
      </c>
      <c r="G71" s="19" t="s">
        <v>355</v>
      </c>
    </row>
    <row r="72" customFormat="false" ht="68.65" hidden="false" customHeight="false" outlineLevel="0" collapsed="false">
      <c r="A72" s="19" t="s">
        <v>357</v>
      </c>
      <c r="B72" s="19" t="s">
        <v>358</v>
      </c>
      <c r="C72" s="20" t="s">
        <v>12</v>
      </c>
      <c r="D72" s="19" t="s">
        <v>34</v>
      </c>
      <c r="E72" s="19" t="s">
        <v>359</v>
      </c>
      <c r="F72" s="19" t="n">
        <v>4</v>
      </c>
      <c r="G72" s="19" t="s">
        <v>360</v>
      </c>
    </row>
    <row r="73" customFormat="false" ht="35.05" hidden="false" customHeight="false" outlineLevel="0" collapsed="false">
      <c r="A73" s="19" t="s">
        <v>362</v>
      </c>
      <c r="B73" s="19" t="s">
        <v>363</v>
      </c>
      <c r="C73" s="20" t="s">
        <v>12</v>
      </c>
      <c r="D73" s="19" t="s">
        <v>34</v>
      </c>
      <c r="E73" s="19" t="s">
        <v>364</v>
      </c>
      <c r="F73" s="19" t="n">
        <v>4</v>
      </c>
      <c r="G73" s="19" t="s">
        <v>365</v>
      </c>
    </row>
    <row r="74" customFormat="false" ht="35.05" hidden="false" customHeight="false" outlineLevel="0" collapsed="false">
      <c r="A74" s="19" t="s">
        <v>367</v>
      </c>
      <c r="B74" s="19" t="s">
        <v>368</v>
      </c>
      <c r="C74" s="20" t="s">
        <v>12</v>
      </c>
      <c r="D74" s="19" t="s">
        <v>34</v>
      </c>
      <c r="E74" s="19" t="s">
        <v>369</v>
      </c>
      <c r="F74" s="19" t="n">
        <v>3</v>
      </c>
      <c r="G74" s="19" t="s">
        <v>370</v>
      </c>
    </row>
    <row r="75" customFormat="false" ht="79.85" hidden="false" customHeight="false" outlineLevel="0" collapsed="false">
      <c r="A75" s="19" t="s">
        <v>372</v>
      </c>
      <c r="B75" s="19" t="s">
        <v>373</v>
      </c>
      <c r="C75" s="20" t="s">
        <v>12</v>
      </c>
      <c r="D75" s="19" t="s">
        <v>34</v>
      </c>
      <c r="E75" s="19" t="s">
        <v>374</v>
      </c>
      <c r="F75" s="19" t="n">
        <v>5</v>
      </c>
      <c r="G75" s="19" t="s">
        <v>375</v>
      </c>
    </row>
    <row r="76" customFormat="false" ht="68.65" hidden="false" customHeight="false" outlineLevel="0" collapsed="false">
      <c r="A76" s="19" t="s">
        <v>377</v>
      </c>
      <c r="B76" s="19" t="s">
        <v>378</v>
      </c>
      <c r="C76" s="22" t="s">
        <v>13</v>
      </c>
      <c r="D76" s="19" t="s">
        <v>34</v>
      </c>
      <c r="E76" s="19" t="s">
        <v>379</v>
      </c>
      <c r="F76" s="19" t="n">
        <v>3</v>
      </c>
      <c r="G76" s="19" t="s">
        <v>380</v>
      </c>
    </row>
    <row r="77" customFormat="false" ht="68.65" hidden="false" customHeight="false" outlineLevel="0" collapsed="false">
      <c r="A77" s="19" t="s">
        <v>382</v>
      </c>
      <c r="B77" s="19" t="s">
        <v>383</v>
      </c>
      <c r="C77" s="20" t="s">
        <v>12</v>
      </c>
      <c r="D77" s="19" t="s">
        <v>28</v>
      </c>
      <c r="E77" s="19" t="s">
        <v>384</v>
      </c>
      <c r="F77" s="19" t="n">
        <v>22</v>
      </c>
      <c r="G77" s="19" t="s">
        <v>385</v>
      </c>
    </row>
    <row r="78" customFormat="false" ht="57.45" hidden="false" customHeight="false" outlineLevel="0" collapsed="false">
      <c r="A78" s="19" t="s">
        <v>387</v>
      </c>
      <c r="B78" s="19" t="s">
        <v>388</v>
      </c>
      <c r="C78" s="22" t="s">
        <v>13</v>
      </c>
      <c r="D78" s="19" t="s">
        <v>28</v>
      </c>
      <c r="E78" s="19" t="s">
        <v>384</v>
      </c>
      <c r="F78" s="19" t="n">
        <v>6</v>
      </c>
      <c r="G78" s="19" t="s">
        <v>389</v>
      </c>
    </row>
    <row r="79" customFormat="false" ht="68.65" hidden="false" customHeight="false" outlineLevel="0" collapsed="false">
      <c r="A79" s="19" t="s">
        <v>391</v>
      </c>
      <c r="B79" s="19" t="s">
        <v>392</v>
      </c>
      <c r="C79" s="22" t="s">
        <v>13</v>
      </c>
      <c r="D79" s="19" t="s">
        <v>34</v>
      </c>
      <c r="E79" s="19" t="s">
        <v>393</v>
      </c>
      <c r="F79" s="19" t="n">
        <v>4</v>
      </c>
      <c r="G79" s="19" t="s">
        <v>394</v>
      </c>
    </row>
    <row r="80" customFormat="false" ht="46.25" hidden="false" customHeight="false" outlineLevel="0" collapsed="false">
      <c r="A80" s="19" t="s">
        <v>396</v>
      </c>
      <c r="B80" s="19" t="s">
        <v>397</v>
      </c>
      <c r="C80" s="23" t="s">
        <v>14</v>
      </c>
      <c r="D80" s="19" t="s">
        <v>34</v>
      </c>
      <c r="E80" s="19" t="s">
        <v>398</v>
      </c>
      <c r="F80" s="19" t="n">
        <v>0.5</v>
      </c>
      <c r="G80" s="19" t="s">
        <v>399</v>
      </c>
    </row>
    <row r="81" customFormat="false" ht="46.25" hidden="false" customHeight="false" outlineLevel="0" collapsed="false">
      <c r="A81" s="19" t="s">
        <v>401</v>
      </c>
      <c r="B81" s="19" t="s">
        <v>402</v>
      </c>
      <c r="C81" s="20" t="s">
        <v>12</v>
      </c>
      <c r="D81" s="19" t="s">
        <v>26</v>
      </c>
      <c r="E81" s="19" t="s">
        <v>403</v>
      </c>
      <c r="F81" s="19" t="n">
        <v>8</v>
      </c>
      <c r="G81" s="19" t="s">
        <v>404</v>
      </c>
    </row>
    <row r="82" customFormat="false" ht="46.25" hidden="false" customHeight="false" outlineLevel="0" collapsed="false">
      <c r="A82" s="19" t="s">
        <v>406</v>
      </c>
      <c r="B82" s="19" t="s">
        <v>407</v>
      </c>
      <c r="C82" s="22" t="s">
        <v>13</v>
      </c>
      <c r="D82" s="19" t="s">
        <v>36</v>
      </c>
      <c r="E82" s="19" t="s">
        <v>408</v>
      </c>
      <c r="F82" s="19" t="n">
        <v>4</v>
      </c>
      <c r="G82" s="19" t="s">
        <v>409</v>
      </c>
    </row>
    <row r="83" customFormat="false" ht="35.05" hidden="false" customHeight="false" outlineLevel="0" collapsed="false">
      <c r="A83" s="19" t="s">
        <v>411</v>
      </c>
      <c r="B83" s="19" t="s">
        <v>412</v>
      </c>
      <c r="C83" s="22" t="s">
        <v>13</v>
      </c>
      <c r="D83" s="19" t="s">
        <v>36</v>
      </c>
      <c r="E83" s="19" t="s">
        <v>413</v>
      </c>
      <c r="F83" s="19" t="n">
        <v>2</v>
      </c>
      <c r="G83" s="19" t="s">
        <v>414</v>
      </c>
    </row>
    <row r="84" customFormat="false" ht="46.25" hidden="false" customHeight="false" outlineLevel="0" collapsed="false">
      <c r="A84" s="19" t="s">
        <v>416</v>
      </c>
      <c r="B84" s="19" t="s">
        <v>417</v>
      </c>
      <c r="C84" s="20" t="s">
        <v>12</v>
      </c>
      <c r="D84" s="19" t="s">
        <v>29</v>
      </c>
      <c r="E84" s="19" t="s">
        <v>418</v>
      </c>
      <c r="F84" s="19" t="n">
        <v>8</v>
      </c>
      <c r="G84" s="19" t="s">
        <v>419</v>
      </c>
    </row>
    <row r="85" customFormat="false" ht="68.65" hidden="false" customHeight="false" outlineLevel="0" collapsed="false">
      <c r="A85" s="19" t="s">
        <v>421</v>
      </c>
      <c r="B85" s="19" t="s">
        <v>422</v>
      </c>
      <c r="C85" s="20" t="s">
        <v>12</v>
      </c>
      <c r="D85" s="19" t="s">
        <v>38</v>
      </c>
      <c r="E85" s="19" t="s">
        <v>423</v>
      </c>
      <c r="F85" s="19" t="n">
        <v>3</v>
      </c>
      <c r="G85" s="19" t="s">
        <v>424</v>
      </c>
    </row>
    <row r="86" customFormat="false" ht="23.85" hidden="false" customHeight="false" outlineLevel="0" collapsed="false">
      <c r="A86" s="19" t="s">
        <v>426</v>
      </c>
      <c r="B86" s="19" t="s">
        <v>427</v>
      </c>
      <c r="C86" s="23" t="s">
        <v>14</v>
      </c>
      <c r="D86" s="19" t="s">
        <v>36</v>
      </c>
      <c r="E86" s="19" t="s">
        <v>428</v>
      </c>
      <c r="F86" s="19" t="n">
        <v>3</v>
      </c>
      <c r="G86" s="19" t="s">
        <v>429</v>
      </c>
    </row>
    <row r="87" customFormat="false" ht="57.45" hidden="false" customHeight="false" outlineLevel="0" collapsed="false">
      <c r="A87" s="19" t="s">
        <v>431</v>
      </c>
      <c r="B87" s="19" t="s">
        <v>432</v>
      </c>
      <c r="C87" s="20" t="s">
        <v>12</v>
      </c>
      <c r="D87" s="19" t="s">
        <v>41</v>
      </c>
      <c r="E87" s="19" t="s">
        <v>433</v>
      </c>
      <c r="F87" s="19" t="n">
        <v>1</v>
      </c>
      <c r="G87" s="19" t="s">
        <v>434</v>
      </c>
    </row>
    <row r="88" customFormat="false" ht="57.45" hidden="false" customHeight="false" outlineLevel="0" collapsed="false">
      <c r="A88" s="19" t="s">
        <v>436</v>
      </c>
      <c r="B88" s="19" t="s">
        <v>437</v>
      </c>
      <c r="C88" s="23" t="s">
        <v>14</v>
      </c>
      <c r="D88" s="19" t="s">
        <v>26</v>
      </c>
      <c r="E88" s="19" t="s">
        <v>438</v>
      </c>
      <c r="F88" s="19" t="n">
        <v>3</v>
      </c>
      <c r="G88" s="19" t="s">
        <v>439</v>
      </c>
    </row>
    <row r="89" customFormat="false" ht="57.45" hidden="false" customHeight="false" outlineLevel="0" collapsed="false">
      <c r="A89" s="19" t="s">
        <v>441</v>
      </c>
      <c r="B89" s="19" t="s">
        <v>442</v>
      </c>
      <c r="C89" s="23" t="s">
        <v>14</v>
      </c>
      <c r="D89" s="19" t="s">
        <v>30</v>
      </c>
      <c r="E89" s="19" t="s">
        <v>443</v>
      </c>
      <c r="F89" s="19" t="n">
        <v>4</v>
      </c>
      <c r="G89" s="19" t="s">
        <v>444</v>
      </c>
    </row>
    <row r="90" customFormat="false" ht="46.25" hidden="false" customHeight="false" outlineLevel="0" collapsed="false">
      <c r="A90" s="19" t="s">
        <v>446</v>
      </c>
      <c r="B90" s="19" t="s">
        <v>447</v>
      </c>
      <c r="C90" s="23" t="s">
        <v>14</v>
      </c>
      <c r="D90" s="19" t="s">
        <v>36</v>
      </c>
      <c r="E90" s="19" t="s">
        <v>448</v>
      </c>
      <c r="F90" s="19" t="n">
        <v>1</v>
      </c>
      <c r="G90" s="19" t="s">
        <v>449</v>
      </c>
    </row>
    <row r="91" customFormat="false" ht="46.25" hidden="false" customHeight="false" outlineLevel="0" collapsed="false">
      <c r="A91" s="19" t="s">
        <v>451</v>
      </c>
      <c r="B91" s="19" t="s">
        <v>452</v>
      </c>
      <c r="C91" s="22" t="s">
        <v>13</v>
      </c>
      <c r="D91" s="19" t="s">
        <v>40</v>
      </c>
      <c r="E91" s="19" t="s">
        <v>453</v>
      </c>
      <c r="F91" s="19" t="n">
        <v>2</v>
      </c>
      <c r="G91" s="19" t="s">
        <v>454</v>
      </c>
    </row>
    <row r="92" customFormat="false" ht="35.05" hidden="false" customHeight="false" outlineLevel="0" collapsed="false">
      <c r="A92" s="19" t="s">
        <v>456</v>
      </c>
      <c r="B92" s="19" t="s">
        <v>457</v>
      </c>
      <c r="C92" s="22" t="s">
        <v>13</v>
      </c>
      <c r="D92" s="19" t="s">
        <v>36</v>
      </c>
      <c r="E92" s="19" t="s">
        <v>458</v>
      </c>
      <c r="F92" s="19" t="n">
        <v>3</v>
      </c>
      <c r="G92" s="19" t="s">
        <v>459</v>
      </c>
    </row>
    <row r="93" customFormat="false" ht="35.05" hidden="false" customHeight="false" outlineLevel="0" collapsed="false">
      <c r="A93" s="19" t="s">
        <v>461</v>
      </c>
      <c r="B93" s="19" t="s">
        <v>462</v>
      </c>
      <c r="C93" s="22" t="s">
        <v>13</v>
      </c>
      <c r="D93" s="19" t="s">
        <v>36</v>
      </c>
      <c r="E93" s="19" t="s">
        <v>463</v>
      </c>
      <c r="F93" s="19" t="n">
        <v>3</v>
      </c>
      <c r="G93" s="19" t="s">
        <v>464</v>
      </c>
    </row>
    <row r="94" customFormat="false" ht="35.05" hidden="false" customHeight="false" outlineLevel="0" collapsed="false">
      <c r="A94" s="19" t="s">
        <v>466</v>
      </c>
      <c r="B94" s="19" t="s">
        <v>467</v>
      </c>
      <c r="C94" s="23" t="s">
        <v>14</v>
      </c>
      <c r="D94" s="19" t="s">
        <v>25</v>
      </c>
      <c r="E94" s="19" t="s">
        <v>468</v>
      </c>
      <c r="F94" s="19" t="n">
        <v>1</v>
      </c>
      <c r="G94" s="19" t="s">
        <v>469</v>
      </c>
    </row>
    <row r="96" customFormat="false" ht="15" hidden="false" customHeight="false" outlineLevel="0" collapsed="false">
      <c r="A96" s="33" t="s">
        <v>586</v>
      </c>
      <c r="B96" s="33"/>
      <c r="C96" s="33"/>
      <c r="D96" s="33"/>
      <c r="E96" s="33"/>
      <c r="F96" s="33"/>
      <c r="G96" s="33"/>
    </row>
    <row r="97" customFormat="false" ht="15" hidden="false" customHeight="false" outlineLevel="0" collapsed="false">
      <c r="A97" s="6" t="s">
        <v>47</v>
      </c>
      <c r="B97" s="6" t="s">
        <v>48</v>
      </c>
      <c r="C97" s="6" t="s">
        <v>9</v>
      </c>
      <c r="D97" s="6" t="s">
        <v>24</v>
      </c>
      <c r="E97" s="6" t="s">
        <v>49</v>
      </c>
      <c r="F97" s="6" t="s">
        <v>583</v>
      </c>
      <c r="G97" s="6" t="s">
        <v>50</v>
      </c>
    </row>
    <row r="98" customFormat="false" ht="46.25" hidden="false" customHeight="false" outlineLevel="0" collapsed="false">
      <c r="A98" s="19" t="s">
        <v>471</v>
      </c>
      <c r="B98" s="19" t="s">
        <v>472</v>
      </c>
      <c r="C98" s="20" t="s">
        <v>12</v>
      </c>
      <c r="D98" s="19" t="s">
        <v>46</v>
      </c>
      <c r="E98" s="19" t="s">
        <v>473</v>
      </c>
      <c r="F98" s="19" t="n">
        <v>2</v>
      </c>
      <c r="G98" s="19" t="s">
        <v>474</v>
      </c>
    </row>
    <row r="99" customFormat="false" ht="35.05" hidden="false" customHeight="false" outlineLevel="0" collapsed="false">
      <c r="A99" s="19" t="s">
        <v>476</v>
      </c>
      <c r="B99" s="19" t="s">
        <v>477</v>
      </c>
      <c r="C99" s="20" t="s">
        <v>12</v>
      </c>
      <c r="D99" s="19" t="s">
        <v>42</v>
      </c>
      <c r="E99" s="19" t="s">
        <v>478</v>
      </c>
      <c r="F99" s="19" t="n">
        <v>3</v>
      </c>
      <c r="G99" s="19" t="s">
        <v>479</v>
      </c>
    </row>
    <row r="100" customFormat="false" ht="35.05" hidden="false" customHeight="false" outlineLevel="0" collapsed="false">
      <c r="A100" s="19" t="s">
        <v>481</v>
      </c>
      <c r="B100" s="19" t="s">
        <v>482</v>
      </c>
      <c r="C100" s="22" t="s">
        <v>13</v>
      </c>
      <c r="D100" s="19" t="s">
        <v>42</v>
      </c>
      <c r="E100" s="19" t="s">
        <v>483</v>
      </c>
      <c r="F100" s="19" t="n">
        <v>6</v>
      </c>
      <c r="G100" s="19" t="s">
        <v>484</v>
      </c>
    </row>
    <row r="101" customFormat="false" ht="57.45" hidden="false" customHeight="false" outlineLevel="0" collapsed="false">
      <c r="A101" s="19" t="s">
        <v>486</v>
      </c>
      <c r="B101" s="19" t="s">
        <v>487</v>
      </c>
      <c r="C101" s="20" t="s">
        <v>12</v>
      </c>
      <c r="D101" s="19" t="s">
        <v>44</v>
      </c>
      <c r="E101" s="19" t="s">
        <v>488</v>
      </c>
      <c r="F101" s="19" t="n">
        <v>3</v>
      </c>
      <c r="G101" s="19" t="s">
        <v>489</v>
      </c>
    </row>
    <row r="102" customFormat="false" ht="46.25" hidden="false" customHeight="false" outlineLevel="0" collapsed="false">
      <c r="A102" s="19" t="s">
        <v>491</v>
      </c>
      <c r="B102" s="19" t="s">
        <v>492</v>
      </c>
      <c r="C102" s="20" t="s">
        <v>12</v>
      </c>
      <c r="D102" s="19" t="s">
        <v>42</v>
      </c>
      <c r="E102" s="19" t="s">
        <v>493</v>
      </c>
      <c r="F102" s="19" t="n">
        <v>2</v>
      </c>
      <c r="G102" s="19" t="s">
        <v>494</v>
      </c>
    </row>
    <row r="103" customFormat="false" ht="46.25" hidden="false" customHeight="false" outlineLevel="0" collapsed="false">
      <c r="A103" s="19" t="s">
        <v>496</v>
      </c>
      <c r="B103" s="19" t="s">
        <v>497</v>
      </c>
      <c r="C103" s="20" t="s">
        <v>12</v>
      </c>
      <c r="D103" s="19" t="s">
        <v>44</v>
      </c>
      <c r="E103" s="19" t="s">
        <v>498</v>
      </c>
      <c r="F103" s="19" t="n">
        <v>3</v>
      </c>
      <c r="G103" s="19" t="s">
        <v>499</v>
      </c>
    </row>
    <row r="104" customFormat="false" ht="35.05" hidden="false" customHeight="false" outlineLevel="0" collapsed="false">
      <c r="A104" s="19" t="s">
        <v>501</v>
      </c>
      <c r="B104" s="19" t="s">
        <v>502</v>
      </c>
      <c r="C104" s="22" t="s">
        <v>13</v>
      </c>
      <c r="D104" s="19" t="s">
        <v>45</v>
      </c>
      <c r="E104" s="19" t="s">
        <v>503</v>
      </c>
      <c r="F104" s="19" t="n">
        <v>4</v>
      </c>
      <c r="G104" s="19" t="s">
        <v>504</v>
      </c>
    </row>
    <row r="105" customFormat="false" ht="57.45" hidden="false" customHeight="false" outlineLevel="0" collapsed="false">
      <c r="A105" s="19" t="s">
        <v>506</v>
      </c>
      <c r="B105" s="19" t="s">
        <v>507</v>
      </c>
      <c r="C105" s="20" t="s">
        <v>12</v>
      </c>
      <c r="D105" s="19" t="s">
        <v>44</v>
      </c>
      <c r="E105" s="19" t="s">
        <v>508</v>
      </c>
      <c r="F105" s="19" t="n">
        <v>4</v>
      </c>
      <c r="G105" s="19" t="s">
        <v>509</v>
      </c>
    </row>
    <row r="106" customFormat="false" ht="46.25" hidden="false" customHeight="false" outlineLevel="0" collapsed="false">
      <c r="A106" s="19" t="s">
        <v>511</v>
      </c>
      <c r="B106" s="19" t="s">
        <v>512</v>
      </c>
      <c r="C106" s="22" t="s">
        <v>13</v>
      </c>
      <c r="D106" s="19" t="s">
        <v>39</v>
      </c>
      <c r="E106" s="19" t="s">
        <v>513</v>
      </c>
      <c r="F106" s="19" t="n">
        <v>5</v>
      </c>
      <c r="G106" s="19" t="s">
        <v>514</v>
      </c>
    </row>
    <row r="107" customFormat="false" ht="46.25" hidden="false" customHeight="false" outlineLevel="0" collapsed="false">
      <c r="A107" s="19" t="s">
        <v>516</v>
      </c>
      <c r="B107" s="19" t="s">
        <v>517</v>
      </c>
      <c r="C107" s="23" t="s">
        <v>14</v>
      </c>
      <c r="D107" s="19" t="s">
        <v>46</v>
      </c>
      <c r="E107" s="19" t="s">
        <v>518</v>
      </c>
      <c r="F107" s="19" t="n">
        <v>4</v>
      </c>
      <c r="G107" s="19" t="s">
        <v>519</v>
      </c>
    </row>
    <row r="108" customFormat="false" ht="35.05" hidden="false" customHeight="false" outlineLevel="0" collapsed="false">
      <c r="A108" s="19" t="s">
        <v>521</v>
      </c>
      <c r="B108" s="19" t="s">
        <v>522</v>
      </c>
      <c r="C108" s="23" t="s">
        <v>14</v>
      </c>
      <c r="D108" s="19" t="s">
        <v>43</v>
      </c>
      <c r="E108" s="19" t="s">
        <v>523</v>
      </c>
      <c r="F108" s="19" t="n">
        <v>3</v>
      </c>
      <c r="G108" s="19" t="s">
        <v>524</v>
      </c>
    </row>
    <row r="109" customFormat="false" ht="57.45" hidden="false" customHeight="false" outlineLevel="0" collapsed="false">
      <c r="A109" s="19" t="s">
        <v>526</v>
      </c>
      <c r="B109" s="19" t="s">
        <v>527</v>
      </c>
      <c r="C109" s="23" t="s">
        <v>14</v>
      </c>
      <c r="D109" s="19" t="s">
        <v>42</v>
      </c>
      <c r="E109" s="19" t="s">
        <v>528</v>
      </c>
      <c r="F109" s="19" t="n">
        <v>6</v>
      </c>
      <c r="G109" s="19" t="s">
        <v>529</v>
      </c>
    </row>
    <row r="110" customFormat="false" ht="46.25" hidden="false" customHeight="false" outlineLevel="0" collapsed="false">
      <c r="A110" s="19" t="s">
        <v>531</v>
      </c>
      <c r="B110" s="19" t="s">
        <v>532</v>
      </c>
      <c r="C110" s="23" t="s">
        <v>14</v>
      </c>
      <c r="D110" s="19" t="s">
        <v>42</v>
      </c>
      <c r="E110" s="19" t="s">
        <v>533</v>
      </c>
      <c r="F110" s="19" t="n">
        <v>1.5</v>
      </c>
      <c r="G110" s="19" t="s">
        <v>534</v>
      </c>
    </row>
    <row r="111" customFormat="false" ht="46.25" hidden="false" customHeight="false" outlineLevel="0" collapsed="false">
      <c r="A111" s="19" t="s">
        <v>536</v>
      </c>
      <c r="B111" s="19" t="s">
        <v>537</v>
      </c>
      <c r="C111" s="22" t="s">
        <v>13</v>
      </c>
      <c r="D111" s="19" t="s">
        <v>42</v>
      </c>
      <c r="E111" s="19" t="s">
        <v>538</v>
      </c>
      <c r="F111" s="19" t="n">
        <v>5</v>
      </c>
      <c r="G111" s="19" t="s">
        <v>539</v>
      </c>
    </row>
    <row r="112" customFormat="false" ht="35.05" hidden="false" customHeight="false" outlineLevel="0" collapsed="false">
      <c r="A112" s="19" t="s">
        <v>541</v>
      </c>
      <c r="B112" s="19" t="s">
        <v>542</v>
      </c>
      <c r="C112" s="23" t="s">
        <v>14</v>
      </c>
      <c r="D112" s="19" t="s">
        <v>42</v>
      </c>
      <c r="E112" s="19" t="s">
        <v>543</v>
      </c>
      <c r="F112" s="19" t="n">
        <v>5</v>
      </c>
      <c r="G112" s="19" t="s">
        <v>544</v>
      </c>
    </row>
    <row r="113" customFormat="false" ht="35.05" hidden="false" customHeight="false" outlineLevel="0" collapsed="false">
      <c r="A113" s="19" t="s">
        <v>546</v>
      </c>
      <c r="B113" s="19" t="s">
        <v>547</v>
      </c>
      <c r="C113" s="22" t="s">
        <v>13</v>
      </c>
      <c r="D113" s="19" t="s">
        <v>42</v>
      </c>
      <c r="E113" s="19" t="s">
        <v>548</v>
      </c>
      <c r="F113" s="19" t="n">
        <v>6</v>
      </c>
      <c r="G113" s="19" t="s">
        <v>549</v>
      </c>
    </row>
    <row r="114" customFormat="false" ht="35.05" hidden="false" customHeight="false" outlineLevel="0" collapsed="false">
      <c r="A114" s="19" t="s">
        <v>551</v>
      </c>
      <c r="B114" s="19" t="s">
        <v>552</v>
      </c>
      <c r="C114" s="22" t="s">
        <v>13</v>
      </c>
      <c r="D114" s="19" t="s">
        <v>42</v>
      </c>
      <c r="E114" s="19" t="s">
        <v>553</v>
      </c>
      <c r="F114" s="19" t="n">
        <v>6</v>
      </c>
      <c r="G114" s="19" t="s">
        <v>554</v>
      </c>
    </row>
    <row r="115" customFormat="false" ht="35.05" hidden="false" customHeight="false" outlineLevel="0" collapsed="false">
      <c r="A115" s="19" t="s">
        <v>556</v>
      </c>
      <c r="B115" s="19" t="s">
        <v>557</v>
      </c>
      <c r="C115" s="23" t="s">
        <v>14</v>
      </c>
      <c r="D115" s="19" t="s">
        <v>42</v>
      </c>
      <c r="E115" s="19" t="s">
        <v>558</v>
      </c>
      <c r="F115" s="19" t="n">
        <v>5</v>
      </c>
      <c r="G115" s="19" t="s">
        <v>559</v>
      </c>
    </row>
    <row r="116" customFormat="false" ht="35.05" hidden="false" customHeight="false" outlineLevel="0" collapsed="false">
      <c r="A116" s="19" t="s">
        <v>561</v>
      </c>
      <c r="B116" s="19" t="s">
        <v>562</v>
      </c>
      <c r="C116" s="23" t="s">
        <v>14</v>
      </c>
      <c r="D116" s="19" t="s">
        <v>42</v>
      </c>
      <c r="E116" s="19" t="s">
        <v>563</v>
      </c>
      <c r="F116" s="19" t="n">
        <v>1.5</v>
      </c>
      <c r="G116" s="19" t="s">
        <v>564</v>
      </c>
    </row>
    <row r="117" customFormat="false" ht="46.25" hidden="false" customHeight="false" outlineLevel="0" collapsed="false">
      <c r="A117" s="19" t="s">
        <v>566</v>
      </c>
      <c r="B117" s="19" t="s">
        <v>567</v>
      </c>
      <c r="C117" s="23" t="s">
        <v>14</v>
      </c>
      <c r="D117" s="19" t="s">
        <v>42</v>
      </c>
      <c r="E117" s="19" t="s">
        <v>568</v>
      </c>
      <c r="F117" s="19" t="n">
        <v>3</v>
      </c>
      <c r="G117" s="19" t="s">
        <v>569</v>
      </c>
    </row>
    <row r="118" customFormat="false" ht="35.05" hidden="false" customHeight="false" outlineLevel="0" collapsed="false">
      <c r="A118" s="19" t="s">
        <v>571</v>
      </c>
      <c r="B118" s="19" t="s">
        <v>572</v>
      </c>
      <c r="C118" s="23" t="s">
        <v>14</v>
      </c>
      <c r="D118" s="19" t="s">
        <v>42</v>
      </c>
      <c r="E118" s="19" t="s">
        <v>573</v>
      </c>
      <c r="F118" s="19" t="n">
        <v>3</v>
      </c>
      <c r="G118" s="19" t="s">
        <v>574</v>
      </c>
    </row>
    <row r="119" customFormat="false" ht="23.85" hidden="false" customHeight="false" outlineLevel="0" collapsed="false">
      <c r="A119" s="19" t="s">
        <v>576</v>
      </c>
      <c r="B119" s="19" t="s">
        <v>577</v>
      </c>
      <c r="C119" s="22" t="s">
        <v>13</v>
      </c>
      <c r="D119" s="19" t="s">
        <v>42</v>
      </c>
      <c r="E119" s="19" t="s">
        <v>578</v>
      </c>
      <c r="F119" s="19" t="n">
        <v>7</v>
      </c>
      <c r="G119" s="19" t="s">
        <v>579</v>
      </c>
    </row>
  </sheetData>
  <mergeCells count="5">
    <mergeCell ref="A1:G1"/>
    <mergeCell ref="A3:G3"/>
    <mergeCell ref="A31:G31"/>
    <mergeCell ref="A67:G67"/>
    <mergeCell ref="A96:G9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42"/>
    <col collapsed="false" customWidth="true" hidden="false" outlineLevel="0" max="3" min="3" style="0" width="18"/>
    <col collapsed="false" customWidth="true" hidden="false" outlineLevel="0" max="4" min="4" style="0" width="24"/>
    <col collapsed="false" customWidth="true" hidden="false" outlineLevel="0" max="5" min="5" style="0" width="26"/>
    <col collapsed="false" customWidth="true" hidden="false" outlineLevel="0" max="6" min="6" style="0" width="9"/>
    <col collapsed="false" customWidth="true" hidden="false" outlineLevel="0" max="7" min="7" style="0" width="90"/>
  </cols>
  <sheetData>
    <row r="1" customFormat="false" ht="22.05" hidden="false" customHeight="false" outlineLevel="0" collapsed="false">
      <c r="A1" s="29" t="s">
        <v>587</v>
      </c>
      <c r="B1" s="29"/>
      <c r="C1" s="29"/>
      <c r="D1" s="29"/>
      <c r="E1" s="29"/>
      <c r="F1" s="29"/>
      <c r="G1" s="29"/>
    </row>
    <row r="3" customFormat="false" ht="15" hidden="false" customHeight="false" outlineLevel="0" collapsed="false">
      <c r="A3" s="34" t="s">
        <v>588</v>
      </c>
      <c r="B3" s="34"/>
      <c r="C3" s="34"/>
      <c r="D3" s="34"/>
      <c r="E3" s="34"/>
      <c r="F3" s="34"/>
      <c r="G3" s="34"/>
    </row>
    <row r="4" customFormat="false" ht="15" hidden="false" customHeight="false" outlineLevel="0" collapsed="false">
      <c r="A4" s="6" t="s">
        <v>47</v>
      </c>
      <c r="B4" s="6" t="s">
        <v>48</v>
      </c>
      <c r="C4" s="6" t="s">
        <v>18</v>
      </c>
      <c r="D4" s="6" t="s">
        <v>24</v>
      </c>
      <c r="E4" s="6" t="s">
        <v>49</v>
      </c>
      <c r="F4" s="6" t="s">
        <v>583</v>
      </c>
      <c r="G4" s="6" t="s">
        <v>50</v>
      </c>
    </row>
    <row r="5" customFormat="false" ht="102.2" hidden="false" customHeight="false" outlineLevel="0" collapsed="false">
      <c r="A5" s="19" t="s">
        <v>53</v>
      </c>
      <c r="B5" s="19" t="s">
        <v>54</v>
      </c>
      <c r="C5" s="21" t="s">
        <v>19</v>
      </c>
      <c r="D5" s="19" t="s">
        <v>29</v>
      </c>
      <c r="E5" s="19" t="s">
        <v>55</v>
      </c>
      <c r="F5" s="19" t="n">
        <v>3</v>
      </c>
      <c r="G5" s="19" t="s">
        <v>56</v>
      </c>
    </row>
    <row r="6" customFormat="false" ht="91" hidden="false" customHeight="false" outlineLevel="0" collapsed="false">
      <c r="A6" s="19" t="s">
        <v>63</v>
      </c>
      <c r="B6" s="19" t="s">
        <v>64</v>
      </c>
      <c r="C6" s="21" t="s">
        <v>19</v>
      </c>
      <c r="D6" s="19" t="s">
        <v>28</v>
      </c>
      <c r="E6" s="19" t="s">
        <v>65</v>
      </c>
      <c r="F6" s="19" t="n">
        <v>5</v>
      </c>
      <c r="G6" s="19" t="s">
        <v>66</v>
      </c>
    </row>
    <row r="7" customFormat="false" ht="91" hidden="false" customHeight="false" outlineLevel="0" collapsed="false">
      <c r="A7" s="19" t="s">
        <v>68</v>
      </c>
      <c r="B7" s="19" t="s">
        <v>69</v>
      </c>
      <c r="C7" s="21" t="s">
        <v>19</v>
      </c>
      <c r="D7" s="19" t="s">
        <v>28</v>
      </c>
      <c r="E7" s="19" t="s">
        <v>70</v>
      </c>
      <c r="F7" s="19" t="n">
        <v>4</v>
      </c>
      <c r="G7" s="19" t="s">
        <v>71</v>
      </c>
    </row>
    <row r="8" customFormat="false" ht="68.65" hidden="false" customHeight="false" outlineLevel="0" collapsed="false">
      <c r="A8" s="19" t="s">
        <v>73</v>
      </c>
      <c r="B8" s="19" t="s">
        <v>74</v>
      </c>
      <c r="C8" s="21" t="s">
        <v>19</v>
      </c>
      <c r="D8" s="19" t="s">
        <v>31</v>
      </c>
      <c r="E8" s="19" t="s">
        <v>75</v>
      </c>
      <c r="F8" s="19" t="n">
        <v>3</v>
      </c>
      <c r="G8" s="19" t="s">
        <v>76</v>
      </c>
    </row>
    <row r="9" customFormat="false" ht="68.65" hidden="false" customHeight="false" outlineLevel="0" collapsed="false">
      <c r="A9" s="19" t="s">
        <v>83</v>
      </c>
      <c r="B9" s="19" t="s">
        <v>84</v>
      </c>
      <c r="C9" s="21" t="s">
        <v>19</v>
      </c>
      <c r="D9" s="19" t="s">
        <v>26</v>
      </c>
      <c r="E9" s="19" t="s">
        <v>85</v>
      </c>
      <c r="F9" s="19" t="n">
        <v>8</v>
      </c>
      <c r="G9" s="19" t="s">
        <v>86</v>
      </c>
    </row>
    <row r="10" customFormat="false" ht="57.45" hidden="false" customHeight="false" outlineLevel="0" collapsed="false">
      <c r="A10" s="19" t="s">
        <v>98</v>
      </c>
      <c r="B10" s="19" t="s">
        <v>99</v>
      </c>
      <c r="C10" s="21" t="s">
        <v>19</v>
      </c>
      <c r="D10" s="19" t="s">
        <v>26</v>
      </c>
      <c r="E10" s="19" t="s">
        <v>100</v>
      </c>
      <c r="F10" s="19" t="n">
        <v>5</v>
      </c>
      <c r="G10" s="19" t="s">
        <v>101</v>
      </c>
    </row>
    <row r="11" customFormat="false" ht="68.65" hidden="false" customHeight="false" outlineLevel="0" collapsed="false">
      <c r="A11" s="19" t="s">
        <v>108</v>
      </c>
      <c r="B11" s="19" t="s">
        <v>109</v>
      </c>
      <c r="C11" s="21" t="s">
        <v>19</v>
      </c>
      <c r="D11" s="19" t="s">
        <v>34</v>
      </c>
      <c r="E11" s="19" t="s">
        <v>110</v>
      </c>
      <c r="F11" s="19" t="n">
        <v>2</v>
      </c>
      <c r="G11" s="19" t="s">
        <v>111</v>
      </c>
    </row>
    <row r="12" customFormat="false" ht="113.4" hidden="false" customHeight="false" outlineLevel="0" collapsed="false">
      <c r="A12" s="19" t="s">
        <v>113</v>
      </c>
      <c r="B12" s="19" t="s">
        <v>114</v>
      </c>
      <c r="C12" s="21" t="s">
        <v>19</v>
      </c>
      <c r="D12" s="19" t="s">
        <v>28</v>
      </c>
      <c r="E12" s="19" t="s">
        <v>115</v>
      </c>
      <c r="F12" s="19" t="n">
        <v>12</v>
      </c>
      <c r="G12" s="19" t="s">
        <v>116</v>
      </c>
    </row>
    <row r="13" customFormat="false" ht="79.85" hidden="false" customHeight="false" outlineLevel="0" collapsed="false">
      <c r="A13" s="19" t="s">
        <v>118</v>
      </c>
      <c r="B13" s="19" t="s">
        <v>119</v>
      </c>
      <c r="C13" s="21" t="s">
        <v>19</v>
      </c>
      <c r="D13" s="19" t="s">
        <v>25</v>
      </c>
      <c r="E13" s="19" t="s">
        <v>120</v>
      </c>
      <c r="F13" s="19" t="n">
        <v>8</v>
      </c>
      <c r="G13" s="19" t="s">
        <v>121</v>
      </c>
    </row>
    <row r="14" customFormat="false" ht="68.65" hidden="false" customHeight="false" outlineLevel="0" collapsed="false">
      <c r="A14" s="19" t="s">
        <v>163</v>
      </c>
      <c r="B14" s="19" t="s">
        <v>164</v>
      </c>
      <c r="C14" s="21" t="s">
        <v>19</v>
      </c>
      <c r="D14" s="19" t="s">
        <v>33</v>
      </c>
      <c r="E14" s="19" t="s">
        <v>165</v>
      </c>
      <c r="F14" s="19" t="n">
        <v>2</v>
      </c>
      <c r="G14" s="19" t="s">
        <v>166</v>
      </c>
    </row>
    <row r="15" customFormat="false" ht="68.65" hidden="false" customHeight="false" outlineLevel="0" collapsed="false">
      <c r="A15" s="19" t="s">
        <v>178</v>
      </c>
      <c r="B15" s="19" t="s">
        <v>179</v>
      </c>
      <c r="C15" s="24" t="s">
        <v>20</v>
      </c>
      <c r="D15" s="19" t="s">
        <v>26</v>
      </c>
      <c r="E15" s="19" t="s">
        <v>180</v>
      </c>
      <c r="F15" s="19" t="n">
        <v>3</v>
      </c>
      <c r="G15" s="19" t="s">
        <v>181</v>
      </c>
    </row>
    <row r="16" customFormat="false" ht="46.25" hidden="false" customHeight="false" outlineLevel="0" collapsed="false">
      <c r="A16" s="19" t="s">
        <v>183</v>
      </c>
      <c r="B16" s="19" t="s">
        <v>184</v>
      </c>
      <c r="C16" s="24" t="s">
        <v>20</v>
      </c>
      <c r="D16" s="19" t="s">
        <v>25</v>
      </c>
      <c r="E16" s="19" t="s">
        <v>185</v>
      </c>
      <c r="F16" s="19" t="n">
        <v>3</v>
      </c>
      <c r="G16" s="19" t="s">
        <v>186</v>
      </c>
    </row>
    <row r="17" customFormat="false" ht="46.25" hidden="false" customHeight="false" outlineLevel="0" collapsed="false">
      <c r="A17" s="19" t="s">
        <v>193</v>
      </c>
      <c r="B17" s="19" t="s">
        <v>194</v>
      </c>
      <c r="C17" s="24" t="s">
        <v>20</v>
      </c>
      <c r="D17" s="19" t="s">
        <v>25</v>
      </c>
      <c r="E17" s="19" t="s">
        <v>195</v>
      </c>
      <c r="F17" s="19" t="n">
        <v>6</v>
      </c>
      <c r="G17" s="19" t="s">
        <v>196</v>
      </c>
    </row>
    <row r="18" customFormat="false" ht="46.25" hidden="false" customHeight="false" outlineLevel="0" collapsed="false">
      <c r="A18" s="19" t="s">
        <v>198</v>
      </c>
      <c r="B18" s="19" t="s">
        <v>199</v>
      </c>
      <c r="C18" s="24" t="s">
        <v>20</v>
      </c>
      <c r="D18" s="19" t="s">
        <v>27</v>
      </c>
      <c r="E18" s="19" t="s">
        <v>200</v>
      </c>
      <c r="F18" s="19" t="n">
        <v>4</v>
      </c>
      <c r="G18" s="19" t="s">
        <v>201</v>
      </c>
    </row>
    <row r="19" customFormat="false" ht="46.25" hidden="false" customHeight="false" outlineLevel="0" collapsed="false">
      <c r="A19" s="19" t="s">
        <v>203</v>
      </c>
      <c r="B19" s="19" t="s">
        <v>204</v>
      </c>
      <c r="C19" s="24" t="s">
        <v>20</v>
      </c>
      <c r="D19" s="19" t="s">
        <v>26</v>
      </c>
      <c r="E19" s="19" t="s">
        <v>205</v>
      </c>
      <c r="F19" s="19" t="n">
        <v>16</v>
      </c>
      <c r="G19" s="19" t="s">
        <v>206</v>
      </c>
    </row>
    <row r="20" customFormat="false" ht="91" hidden="false" customHeight="false" outlineLevel="0" collapsed="false">
      <c r="A20" s="19" t="s">
        <v>233</v>
      </c>
      <c r="B20" s="19" t="s">
        <v>234</v>
      </c>
      <c r="C20" s="24" t="s">
        <v>20</v>
      </c>
      <c r="D20" s="19" t="s">
        <v>25</v>
      </c>
      <c r="E20" s="19" t="s">
        <v>235</v>
      </c>
      <c r="F20" s="19" t="n">
        <v>10</v>
      </c>
      <c r="G20" s="19" t="s">
        <v>236</v>
      </c>
    </row>
    <row r="21" customFormat="false" ht="68.65" hidden="false" customHeight="false" outlineLevel="0" collapsed="false">
      <c r="A21" s="19" t="s">
        <v>253</v>
      </c>
      <c r="B21" s="19" t="s">
        <v>254</v>
      </c>
      <c r="C21" s="24" t="s">
        <v>20</v>
      </c>
      <c r="D21" s="19" t="s">
        <v>25</v>
      </c>
      <c r="E21" s="19" t="s">
        <v>255</v>
      </c>
      <c r="F21" s="19" t="n">
        <v>6</v>
      </c>
      <c r="G21" s="19" t="s">
        <v>256</v>
      </c>
    </row>
    <row r="22" customFormat="false" ht="57.45" hidden="false" customHeight="false" outlineLevel="0" collapsed="false">
      <c r="A22" s="19" t="s">
        <v>342</v>
      </c>
      <c r="B22" s="19" t="s">
        <v>343</v>
      </c>
      <c r="C22" s="27" t="s">
        <v>21</v>
      </c>
      <c r="D22" s="19" t="s">
        <v>35</v>
      </c>
      <c r="E22" s="19" t="s">
        <v>344</v>
      </c>
      <c r="F22" s="19" t="n">
        <v>6</v>
      </c>
      <c r="G22" s="19" t="s">
        <v>345</v>
      </c>
    </row>
    <row r="23" customFormat="false" ht="57.45" hidden="false" customHeight="false" outlineLevel="0" collapsed="false">
      <c r="A23" s="19" t="s">
        <v>347</v>
      </c>
      <c r="B23" s="19" t="s">
        <v>348</v>
      </c>
      <c r="C23" s="27" t="s">
        <v>21</v>
      </c>
      <c r="D23" s="19" t="s">
        <v>40</v>
      </c>
      <c r="E23" s="19" t="s">
        <v>349</v>
      </c>
      <c r="F23" s="19" t="n">
        <v>6</v>
      </c>
      <c r="G23" s="19" t="s">
        <v>350</v>
      </c>
    </row>
    <row r="24" customFormat="false" ht="57.45" hidden="false" customHeight="false" outlineLevel="0" collapsed="false">
      <c r="A24" s="19" t="s">
        <v>352</v>
      </c>
      <c r="B24" s="19" t="s">
        <v>353</v>
      </c>
      <c r="C24" s="27" t="s">
        <v>21</v>
      </c>
      <c r="D24" s="19" t="s">
        <v>34</v>
      </c>
      <c r="E24" s="19" t="s">
        <v>354</v>
      </c>
      <c r="F24" s="19" t="n">
        <v>4</v>
      </c>
      <c r="G24" s="19" t="s">
        <v>355</v>
      </c>
    </row>
    <row r="25" customFormat="false" ht="68.65" hidden="false" customHeight="false" outlineLevel="0" collapsed="false">
      <c r="A25" s="19" t="s">
        <v>357</v>
      </c>
      <c r="B25" s="19" t="s">
        <v>358</v>
      </c>
      <c r="C25" s="27" t="s">
        <v>21</v>
      </c>
      <c r="D25" s="19" t="s">
        <v>34</v>
      </c>
      <c r="E25" s="19" t="s">
        <v>359</v>
      </c>
      <c r="F25" s="19" t="n">
        <v>4</v>
      </c>
      <c r="G25" s="19" t="s">
        <v>360</v>
      </c>
    </row>
    <row r="26" customFormat="false" ht="35.05" hidden="false" customHeight="false" outlineLevel="0" collapsed="false">
      <c r="A26" s="19" t="s">
        <v>362</v>
      </c>
      <c r="B26" s="19" t="s">
        <v>363</v>
      </c>
      <c r="C26" s="27" t="s">
        <v>21</v>
      </c>
      <c r="D26" s="19" t="s">
        <v>34</v>
      </c>
      <c r="E26" s="19" t="s">
        <v>364</v>
      </c>
      <c r="F26" s="19" t="n">
        <v>4</v>
      </c>
      <c r="G26" s="19" t="s">
        <v>365</v>
      </c>
    </row>
    <row r="27" customFormat="false" ht="35.05" hidden="false" customHeight="false" outlineLevel="0" collapsed="false">
      <c r="A27" s="19" t="s">
        <v>367</v>
      </c>
      <c r="B27" s="19" t="s">
        <v>368</v>
      </c>
      <c r="C27" s="27" t="s">
        <v>21</v>
      </c>
      <c r="D27" s="19" t="s">
        <v>34</v>
      </c>
      <c r="E27" s="19" t="s">
        <v>369</v>
      </c>
      <c r="F27" s="19" t="n">
        <v>3</v>
      </c>
      <c r="G27" s="19" t="s">
        <v>370</v>
      </c>
    </row>
    <row r="28" customFormat="false" ht="79.85" hidden="false" customHeight="false" outlineLevel="0" collapsed="false">
      <c r="A28" s="19" t="s">
        <v>372</v>
      </c>
      <c r="B28" s="19" t="s">
        <v>373</v>
      </c>
      <c r="C28" s="27" t="s">
        <v>21</v>
      </c>
      <c r="D28" s="19" t="s">
        <v>34</v>
      </c>
      <c r="E28" s="19" t="s">
        <v>374</v>
      </c>
      <c r="F28" s="19" t="n">
        <v>5</v>
      </c>
      <c r="G28" s="19" t="s">
        <v>375</v>
      </c>
    </row>
    <row r="29" customFormat="false" ht="68.65" hidden="false" customHeight="false" outlineLevel="0" collapsed="false">
      <c r="A29" s="19" t="s">
        <v>382</v>
      </c>
      <c r="B29" s="19" t="s">
        <v>383</v>
      </c>
      <c r="C29" s="27" t="s">
        <v>21</v>
      </c>
      <c r="D29" s="19" t="s">
        <v>28</v>
      </c>
      <c r="E29" s="19" t="s">
        <v>384</v>
      </c>
      <c r="F29" s="19" t="n">
        <v>22</v>
      </c>
      <c r="G29" s="19" t="s">
        <v>385</v>
      </c>
    </row>
    <row r="30" customFormat="false" ht="46.25" hidden="false" customHeight="false" outlineLevel="0" collapsed="false">
      <c r="A30" s="19" t="s">
        <v>401</v>
      </c>
      <c r="B30" s="19" t="s">
        <v>402</v>
      </c>
      <c r="C30" s="27" t="s">
        <v>21</v>
      </c>
      <c r="D30" s="19" t="s">
        <v>26</v>
      </c>
      <c r="E30" s="19" t="s">
        <v>403</v>
      </c>
      <c r="F30" s="19" t="n">
        <v>8</v>
      </c>
      <c r="G30" s="19" t="s">
        <v>404</v>
      </c>
    </row>
    <row r="31" customFormat="false" ht="46.25" hidden="false" customHeight="false" outlineLevel="0" collapsed="false">
      <c r="A31" s="19" t="s">
        <v>416</v>
      </c>
      <c r="B31" s="19" t="s">
        <v>417</v>
      </c>
      <c r="C31" s="27" t="s">
        <v>21</v>
      </c>
      <c r="D31" s="19" t="s">
        <v>29</v>
      </c>
      <c r="E31" s="19" t="s">
        <v>418</v>
      </c>
      <c r="F31" s="19" t="n">
        <v>8</v>
      </c>
      <c r="G31" s="19" t="s">
        <v>419</v>
      </c>
    </row>
    <row r="32" customFormat="false" ht="68.65" hidden="false" customHeight="false" outlineLevel="0" collapsed="false">
      <c r="A32" s="19" t="s">
        <v>421</v>
      </c>
      <c r="B32" s="19" t="s">
        <v>422</v>
      </c>
      <c r="C32" s="27" t="s">
        <v>21</v>
      </c>
      <c r="D32" s="19" t="s">
        <v>38</v>
      </c>
      <c r="E32" s="19" t="s">
        <v>423</v>
      </c>
      <c r="F32" s="19" t="n">
        <v>3</v>
      </c>
      <c r="G32" s="19" t="s">
        <v>424</v>
      </c>
    </row>
    <row r="33" customFormat="false" ht="57.45" hidden="false" customHeight="false" outlineLevel="0" collapsed="false">
      <c r="A33" s="19" t="s">
        <v>431</v>
      </c>
      <c r="B33" s="19" t="s">
        <v>432</v>
      </c>
      <c r="C33" s="27" t="s">
        <v>21</v>
      </c>
      <c r="D33" s="19" t="s">
        <v>41</v>
      </c>
      <c r="E33" s="19" t="s">
        <v>433</v>
      </c>
      <c r="F33" s="19" t="n">
        <v>1</v>
      </c>
      <c r="G33" s="19" t="s">
        <v>434</v>
      </c>
    </row>
    <row r="34" customFormat="false" ht="46.25" hidden="false" customHeight="false" outlineLevel="0" collapsed="false">
      <c r="A34" s="19" t="s">
        <v>471</v>
      </c>
      <c r="B34" s="19" t="s">
        <v>472</v>
      </c>
      <c r="C34" s="28" t="s">
        <v>22</v>
      </c>
      <c r="D34" s="19" t="s">
        <v>46</v>
      </c>
      <c r="E34" s="19" t="s">
        <v>473</v>
      </c>
      <c r="F34" s="19" t="n">
        <v>2</v>
      </c>
      <c r="G34" s="19" t="s">
        <v>474</v>
      </c>
    </row>
    <row r="35" customFormat="false" ht="35.05" hidden="false" customHeight="false" outlineLevel="0" collapsed="false">
      <c r="A35" s="19" t="s">
        <v>476</v>
      </c>
      <c r="B35" s="19" t="s">
        <v>477</v>
      </c>
      <c r="C35" s="28" t="s">
        <v>22</v>
      </c>
      <c r="D35" s="19" t="s">
        <v>42</v>
      </c>
      <c r="E35" s="19" t="s">
        <v>478</v>
      </c>
      <c r="F35" s="19" t="n">
        <v>3</v>
      </c>
      <c r="G35" s="19" t="s">
        <v>479</v>
      </c>
    </row>
    <row r="36" customFormat="false" ht="57.45" hidden="false" customHeight="false" outlineLevel="0" collapsed="false">
      <c r="A36" s="19" t="s">
        <v>486</v>
      </c>
      <c r="B36" s="19" t="s">
        <v>487</v>
      </c>
      <c r="C36" s="28" t="s">
        <v>22</v>
      </c>
      <c r="D36" s="19" t="s">
        <v>44</v>
      </c>
      <c r="E36" s="19" t="s">
        <v>488</v>
      </c>
      <c r="F36" s="19" t="n">
        <v>3</v>
      </c>
      <c r="G36" s="19" t="s">
        <v>489</v>
      </c>
    </row>
    <row r="37" customFormat="false" ht="46.25" hidden="false" customHeight="false" outlineLevel="0" collapsed="false">
      <c r="A37" s="19" t="s">
        <v>491</v>
      </c>
      <c r="B37" s="19" t="s">
        <v>492</v>
      </c>
      <c r="C37" s="28" t="s">
        <v>22</v>
      </c>
      <c r="D37" s="19" t="s">
        <v>42</v>
      </c>
      <c r="E37" s="19" t="s">
        <v>493</v>
      </c>
      <c r="F37" s="19" t="n">
        <v>2</v>
      </c>
      <c r="G37" s="19" t="s">
        <v>494</v>
      </c>
    </row>
    <row r="38" customFormat="false" ht="46.25" hidden="false" customHeight="false" outlineLevel="0" collapsed="false">
      <c r="A38" s="19" t="s">
        <v>496</v>
      </c>
      <c r="B38" s="19" t="s">
        <v>497</v>
      </c>
      <c r="C38" s="28" t="s">
        <v>22</v>
      </c>
      <c r="D38" s="19" t="s">
        <v>44</v>
      </c>
      <c r="E38" s="19" t="s">
        <v>498</v>
      </c>
      <c r="F38" s="19" t="n">
        <v>3</v>
      </c>
      <c r="G38" s="19" t="s">
        <v>499</v>
      </c>
    </row>
    <row r="39" customFormat="false" ht="57.45" hidden="false" customHeight="false" outlineLevel="0" collapsed="false">
      <c r="A39" s="19" t="s">
        <v>506</v>
      </c>
      <c r="B39" s="19" t="s">
        <v>507</v>
      </c>
      <c r="C39" s="28" t="s">
        <v>22</v>
      </c>
      <c r="D39" s="19" t="s">
        <v>44</v>
      </c>
      <c r="E39" s="19" t="s">
        <v>508</v>
      </c>
      <c r="F39" s="19" t="n">
        <v>4</v>
      </c>
      <c r="G39" s="19" t="s">
        <v>509</v>
      </c>
    </row>
    <row r="41" customFormat="false" ht="15" hidden="false" customHeight="false" outlineLevel="0" collapsed="false">
      <c r="A41" s="35" t="s">
        <v>589</v>
      </c>
      <c r="B41" s="35"/>
      <c r="C41" s="35"/>
      <c r="D41" s="35"/>
      <c r="E41" s="35"/>
      <c r="F41" s="35"/>
      <c r="G41" s="35"/>
    </row>
    <row r="42" customFormat="false" ht="15" hidden="false" customHeight="false" outlineLevel="0" collapsed="false">
      <c r="A42" s="6" t="s">
        <v>47</v>
      </c>
      <c r="B42" s="6" t="s">
        <v>48</v>
      </c>
      <c r="C42" s="6" t="s">
        <v>18</v>
      </c>
      <c r="D42" s="6" t="s">
        <v>24</v>
      </c>
      <c r="E42" s="6" t="s">
        <v>49</v>
      </c>
      <c r="F42" s="6" t="s">
        <v>583</v>
      </c>
      <c r="G42" s="6" t="s">
        <v>50</v>
      </c>
    </row>
    <row r="43" customFormat="false" ht="124.6" hidden="false" customHeight="false" outlineLevel="0" collapsed="false">
      <c r="A43" s="19" t="s">
        <v>58</v>
      </c>
      <c r="B43" s="19" t="s">
        <v>59</v>
      </c>
      <c r="C43" s="21" t="s">
        <v>19</v>
      </c>
      <c r="D43" s="19" t="s">
        <v>28</v>
      </c>
      <c r="E43" s="19" t="s">
        <v>60</v>
      </c>
      <c r="F43" s="19" t="n">
        <v>8</v>
      </c>
      <c r="G43" s="19" t="s">
        <v>61</v>
      </c>
    </row>
    <row r="44" customFormat="false" ht="68.65" hidden="false" customHeight="false" outlineLevel="0" collapsed="false">
      <c r="A44" s="19" t="s">
        <v>78</v>
      </c>
      <c r="B44" s="19" t="s">
        <v>79</v>
      </c>
      <c r="C44" s="21" t="s">
        <v>19</v>
      </c>
      <c r="D44" s="19" t="s">
        <v>26</v>
      </c>
      <c r="E44" s="19" t="s">
        <v>80</v>
      </c>
      <c r="F44" s="19" t="n">
        <v>6</v>
      </c>
      <c r="G44" s="19" t="s">
        <v>81</v>
      </c>
    </row>
    <row r="45" customFormat="false" ht="57.45" hidden="false" customHeight="false" outlineLevel="0" collapsed="false">
      <c r="A45" s="19" t="s">
        <v>88</v>
      </c>
      <c r="B45" s="19" t="s">
        <v>89</v>
      </c>
      <c r="C45" s="21" t="s">
        <v>19</v>
      </c>
      <c r="D45" s="19" t="s">
        <v>29</v>
      </c>
      <c r="E45" s="19" t="s">
        <v>90</v>
      </c>
      <c r="F45" s="19" t="n">
        <v>4</v>
      </c>
      <c r="G45" s="19" t="s">
        <v>91</v>
      </c>
    </row>
    <row r="46" customFormat="false" ht="68.65" hidden="false" customHeight="false" outlineLevel="0" collapsed="false">
      <c r="A46" s="19" t="s">
        <v>93</v>
      </c>
      <c r="B46" s="19" t="s">
        <v>94</v>
      </c>
      <c r="C46" s="21" t="s">
        <v>19</v>
      </c>
      <c r="D46" s="19" t="s">
        <v>29</v>
      </c>
      <c r="E46" s="19" t="s">
        <v>95</v>
      </c>
      <c r="F46" s="19" t="n">
        <v>5</v>
      </c>
      <c r="G46" s="19" t="s">
        <v>96</v>
      </c>
    </row>
    <row r="47" customFormat="false" ht="57.45" hidden="false" customHeight="false" outlineLevel="0" collapsed="false">
      <c r="A47" s="19" t="s">
        <v>103</v>
      </c>
      <c r="B47" s="19" t="s">
        <v>104</v>
      </c>
      <c r="C47" s="21" t="s">
        <v>19</v>
      </c>
      <c r="D47" s="19" t="s">
        <v>29</v>
      </c>
      <c r="E47" s="19" t="s">
        <v>105</v>
      </c>
      <c r="F47" s="19" t="n">
        <v>5</v>
      </c>
      <c r="G47" s="19" t="s">
        <v>106</v>
      </c>
    </row>
    <row r="48" customFormat="false" ht="68.65" hidden="false" customHeight="false" outlineLevel="0" collapsed="false">
      <c r="A48" s="19" t="s">
        <v>123</v>
      </c>
      <c r="B48" s="19" t="s">
        <v>124</v>
      </c>
      <c r="C48" s="21" t="s">
        <v>19</v>
      </c>
      <c r="D48" s="19" t="s">
        <v>28</v>
      </c>
      <c r="E48" s="19" t="s">
        <v>125</v>
      </c>
      <c r="F48" s="19" t="n">
        <v>2</v>
      </c>
      <c r="G48" s="19" t="s">
        <v>126</v>
      </c>
    </row>
    <row r="49" customFormat="false" ht="46.25" hidden="false" customHeight="false" outlineLevel="0" collapsed="false">
      <c r="A49" s="19" t="s">
        <v>128</v>
      </c>
      <c r="B49" s="19" t="s">
        <v>129</v>
      </c>
      <c r="C49" s="21" t="s">
        <v>19</v>
      </c>
      <c r="D49" s="19" t="s">
        <v>25</v>
      </c>
      <c r="E49" s="19" t="s">
        <v>130</v>
      </c>
      <c r="F49" s="19" t="n">
        <v>2</v>
      </c>
      <c r="G49" s="19" t="s">
        <v>131</v>
      </c>
    </row>
    <row r="50" customFormat="false" ht="91" hidden="false" customHeight="false" outlineLevel="0" collapsed="false">
      <c r="A50" s="19" t="s">
        <v>133</v>
      </c>
      <c r="B50" s="19" t="s">
        <v>134</v>
      </c>
      <c r="C50" s="21" t="s">
        <v>19</v>
      </c>
      <c r="D50" s="19" t="s">
        <v>28</v>
      </c>
      <c r="E50" s="19" t="s">
        <v>135</v>
      </c>
      <c r="F50" s="19" t="n">
        <v>16</v>
      </c>
      <c r="G50" s="19" t="s">
        <v>136</v>
      </c>
    </row>
    <row r="51" customFormat="false" ht="79.85" hidden="false" customHeight="false" outlineLevel="0" collapsed="false">
      <c r="A51" s="19" t="s">
        <v>138</v>
      </c>
      <c r="B51" s="19" t="s">
        <v>139</v>
      </c>
      <c r="C51" s="21" t="s">
        <v>19</v>
      </c>
      <c r="D51" s="19" t="s">
        <v>29</v>
      </c>
      <c r="E51" s="19" t="s">
        <v>140</v>
      </c>
      <c r="F51" s="19" t="n">
        <v>4</v>
      </c>
      <c r="G51" s="19" t="s">
        <v>141</v>
      </c>
    </row>
    <row r="52" customFormat="false" ht="68.65" hidden="false" customHeight="false" outlineLevel="0" collapsed="false">
      <c r="A52" s="19" t="s">
        <v>153</v>
      </c>
      <c r="B52" s="19" t="s">
        <v>154</v>
      </c>
      <c r="C52" s="21" t="s">
        <v>19</v>
      </c>
      <c r="D52" s="19" t="s">
        <v>29</v>
      </c>
      <c r="E52" s="19" t="s">
        <v>155</v>
      </c>
      <c r="F52" s="19" t="n">
        <v>4</v>
      </c>
      <c r="G52" s="19" t="s">
        <v>156</v>
      </c>
    </row>
    <row r="53" customFormat="false" ht="91" hidden="false" customHeight="false" outlineLevel="0" collapsed="false">
      <c r="A53" s="19" t="s">
        <v>158</v>
      </c>
      <c r="B53" s="19" t="s">
        <v>159</v>
      </c>
      <c r="C53" s="21" t="s">
        <v>19</v>
      </c>
      <c r="D53" s="19" t="s">
        <v>29</v>
      </c>
      <c r="E53" s="19" t="s">
        <v>160</v>
      </c>
      <c r="F53" s="19" t="n">
        <v>4</v>
      </c>
      <c r="G53" s="19" t="s">
        <v>161</v>
      </c>
    </row>
    <row r="54" customFormat="false" ht="68.65" hidden="false" customHeight="false" outlineLevel="0" collapsed="false">
      <c r="A54" s="19" t="s">
        <v>168</v>
      </c>
      <c r="B54" s="19" t="s">
        <v>169</v>
      </c>
      <c r="C54" s="21" t="s">
        <v>19</v>
      </c>
      <c r="D54" s="19" t="s">
        <v>32</v>
      </c>
      <c r="E54" s="19" t="s">
        <v>170</v>
      </c>
      <c r="F54" s="19" t="n">
        <v>3</v>
      </c>
      <c r="G54" s="19" t="s">
        <v>171</v>
      </c>
    </row>
    <row r="55" customFormat="false" ht="46.25" hidden="false" customHeight="false" outlineLevel="0" collapsed="false">
      <c r="A55" s="19" t="s">
        <v>188</v>
      </c>
      <c r="B55" s="19" t="s">
        <v>189</v>
      </c>
      <c r="C55" s="24" t="s">
        <v>20</v>
      </c>
      <c r="D55" s="19" t="s">
        <v>25</v>
      </c>
      <c r="E55" s="19" t="s">
        <v>190</v>
      </c>
      <c r="F55" s="19" t="n">
        <v>2</v>
      </c>
      <c r="G55" s="19" t="s">
        <v>191</v>
      </c>
    </row>
    <row r="56" customFormat="false" ht="57.45" hidden="false" customHeight="false" outlineLevel="0" collapsed="false">
      <c r="A56" s="19" t="s">
        <v>208</v>
      </c>
      <c r="B56" s="19" t="s">
        <v>209</v>
      </c>
      <c r="C56" s="24" t="s">
        <v>20</v>
      </c>
      <c r="D56" s="19" t="s">
        <v>30</v>
      </c>
      <c r="E56" s="19" t="s">
        <v>210</v>
      </c>
      <c r="F56" s="19" t="n">
        <v>4</v>
      </c>
      <c r="G56" s="19" t="s">
        <v>211</v>
      </c>
    </row>
    <row r="57" customFormat="false" ht="46.25" hidden="false" customHeight="false" outlineLevel="0" collapsed="false">
      <c r="A57" s="19" t="s">
        <v>213</v>
      </c>
      <c r="B57" s="19" t="s">
        <v>214</v>
      </c>
      <c r="C57" s="24" t="s">
        <v>20</v>
      </c>
      <c r="D57" s="19" t="s">
        <v>31</v>
      </c>
      <c r="E57" s="19" t="s">
        <v>215</v>
      </c>
      <c r="F57" s="19" t="n">
        <v>6</v>
      </c>
      <c r="G57" s="19" t="s">
        <v>216</v>
      </c>
    </row>
    <row r="58" customFormat="false" ht="35.05" hidden="false" customHeight="false" outlineLevel="0" collapsed="false">
      <c r="A58" s="19" t="s">
        <v>218</v>
      </c>
      <c r="B58" s="19" t="s">
        <v>219</v>
      </c>
      <c r="C58" s="24" t="s">
        <v>20</v>
      </c>
      <c r="D58" s="19" t="s">
        <v>25</v>
      </c>
      <c r="E58" s="19" t="s">
        <v>220</v>
      </c>
      <c r="F58" s="19" t="n">
        <v>3</v>
      </c>
      <c r="G58" s="19" t="s">
        <v>221</v>
      </c>
    </row>
    <row r="59" customFormat="false" ht="68.65" hidden="false" customHeight="false" outlineLevel="0" collapsed="false">
      <c r="A59" s="19" t="s">
        <v>228</v>
      </c>
      <c r="B59" s="19" t="s">
        <v>229</v>
      </c>
      <c r="C59" s="24" t="s">
        <v>20</v>
      </c>
      <c r="D59" s="19" t="s">
        <v>37</v>
      </c>
      <c r="E59" s="19" t="s">
        <v>230</v>
      </c>
      <c r="F59" s="19" t="n">
        <v>8</v>
      </c>
      <c r="G59" s="19" t="s">
        <v>231</v>
      </c>
    </row>
    <row r="60" customFormat="false" ht="57.45" hidden="false" customHeight="false" outlineLevel="0" collapsed="false">
      <c r="A60" s="19" t="s">
        <v>238</v>
      </c>
      <c r="B60" s="19" t="s">
        <v>239</v>
      </c>
      <c r="C60" s="24" t="s">
        <v>20</v>
      </c>
      <c r="D60" s="19" t="s">
        <v>25</v>
      </c>
      <c r="E60" s="19" t="s">
        <v>240</v>
      </c>
      <c r="F60" s="19" t="n">
        <v>7</v>
      </c>
      <c r="G60" s="19" t="s">
        <v>241</v>
      </c>
    </row>
    <row r="61" customFormat="false" ht="46.25" hidden="false" customHeight="false" outlineLevel="0" collapsed="false">
      <c r="A61" s="19" t="s">
        <v>258</v>
      </c>
      <c r="B61" s="19" t="s">
        <v>259</v>
      </c>
      <c r="C61" s="24" t="s">
        <v>20</v>
      </c>
      <c r="D61" s="19" t="s">
        <v>25</v>
      </c>
      <c r="E61" s="19" t="s">
        <v>260</v>
      </c>
      <c r="F61" s="19" t="n">
        <v>7</v>
      </c>
      <c r="G61" s="19" t="s">
        <v>261</v>
      </c>
    </row>
    <row r="62" customFormat="false" ht="46.25" hidden="false" customHeight="false" outlineLevel="0" collapsed="false">
      <c r="A62" s="19" t="s">
        <v>263</v>
      </c>
      <c r="B62" s="19" t="s">
        <v>264</v>
      </c>
      <c r="C62" s="24" t="s">
        <v>20</v>
      </c>
      <c r="D62" s="19" t="s">
        <v>25</v>
      </c>
      <c r="E62" s="19" t="s">
        <v>265</v>
      </c>
      <c r="F62" s="19" t="n">
        <v>8</v>
      </c>
      <c r="G62" s="19" t="s">
        <v>266</v>
      </c>
    </row>
    <row r="63" customFormat="false" ht="46.25" hidden="false" customHeight="false" outlineLevel="0" collapsed="false">
      <c r="A63" s="19" t="s">
        <v>268</v>
      </c>
      <c r="B63" s="19" t="s">
        <v>269</v>
      </c>
      <c r="C63" s="24" t="s">
        <v>20</v>
      </c>
      <c r="D63" s="19" t="s">
        <v>25</v>
      </c>
      <c r="E63" s="19" t="s">
        <v>270</v>
      </c>
      <c r="F63" s="19" t="n">
        <v>4</v>
      </c>
      <c r="G63" s="19" t="s">
        <v>271</v>
      </c>
    </row>
    <row r="64" customFormat="false" ht="46.25" hidden="false" customHeight="false" outlineLevel="0" collapsed="false">
      <c r="A64" s="19" t="s">
        <v>273</v>
      </c>
      <c r="B64" s="19" t="s">
        <v>274</v>
      </c>
      <c r="C64" s="24" t="s">
        <v>20</v>
      </c>
      <c r="D64" s="19" t="s">
        <v>25</v>
      </c>
      <c r="E64" s="19" t="s">
        <v>265</v>
      </c>
      <c r="F64" s="19" t="n">
        <v>6</v>
      </c>
      <c r="G64" s="19" t="s">
        <v>275</v>
      </c>
    </row>
    <row r="65" customFormat="false" ht="68.65" hidden="false" customHeight="false" outlineLevel="0" collapsed="false">
      <c r="A65" s="19" t="s">
        <v>377</v>
      </c>
      <c r="B65" s="19" t="s">
        <v>378</v>
      </c>
      <c r="C65" s="27" t="s">
        <v>21</v>
      </c>
      <c r="D65" s="19" t="s">
        <v>34</v>
      </c>
      <c r="E65" s="19" t="s">
        <v>379</v>
      </c>
      <c r="F65" s="19" t="n">
        <v>3</v>
      </c>
      <c r="G65" s="19" t="s">
        <v>380</v>
      </c>
    </row>
    <row r="66" customFormat="false" ht="57.45" hidden="false" customHeight="false" outlineLevel="0" collapsed="false">
      <c r="A66" s="19" t="s">
        <v>387</v>
      </c>
      <c r="B66" s="19" t="s">
        <v>388</v>
      </c>
      <c r="C66" s="27" t="s">
        <v>21</v>
      </c>
      <c r="D66" s="19" t="s">
        <v>28</v>
      </c>
      <c r="E66" s="19" t="s">
        <v>384</v>
      </c>
      <c r="F66" s="19" t="n">
        <v>6</v>
      </c>
      <c r="G66" s="19" t="s">
        <v>389</v>
      </c>
    </row>
    <row r="67" customFormat="false" ht="68.65" hidden="false" customHeight="false" outlineLevel="0" collapsed="false">
      <c r="A67" s="19" t="s">
        <v>391</v>
      </c>
      <c r="B67" s="19" t="s">
        <v>392</v>
      </c>
      <c r="C67" s="27" t="s">
        <v>21</v>
      </c>
      <c r="D67" s="19" t="s">
        <v>34</v>
      </c>
      <c r="E67" s="19" t="s">
        <v>393</v>
      </c>
      <c r="F67" s="19" t="n">
        <v>4</v>
      </c>
      <c r="G67" s="19" t="s">
        <v>394</v>
      </c>
    </row>
    <row r="68" customFormat="false" ht="46.25" hidden="false" customHeight="false" outlineLevel="0" collapsed="false">
      <c r="A68" s="19" t="s">
        <v>406</v>
      </c>
      <c r="B68" s="19" t="s">
        <v>407</v>
      </c>
      <c r="C68" s="27" t="s">
        <v>21</v>
      </c>
      <c r="D68" s="19" t="s">
        <v>36</v>
      </c>
      <c r="E68" s="19" t="s">
        <v>408</v>
      </c>
      <c r="F68" s="19" t="n">
        <v>4</v>
      </c>
      <c r="G68" s="19" t="s">
        <v>409</v>
      </c>
    </row>
    <row r="69" customFormat="false" ht="35.05" hidden="false" customHeight="false" outlineLevel="0" collapsed="false">
      <c r="A69" s="19" t="s">
        <v>411</v>
      </c>
      <c r="B69" s="19" t="s">
        <v>412</v>
      </c>
      <c r="C69" s="27" t="s">
        <v>21</v>
      </c>
      <c r="D69" s="19" t="s">
        <v>36</v>
      </c>
      <c r="E69" s="19" t="s">
        <v>413</v>
      </c>
      <c r="F69" s="19" t="n">
        <v>2</v>
      </c>
      <c r="G69" s="19" t="s">
        <v>414</v>
      </c>
    </row>
    <row r="70" customFormat="false" ht="46.25" hidden="false" customHeight="false" outlineLevel="0" collapsed="false">
      <c r="A70" s="19" t="s">
        <v>451</v>
      </c>
      <c r="B70" s="19" t="s">
        <v>452</v>
      </c>
      <c r="C70" s="27" t="s">
        <v>21</v>
      </c>
      <c r="D70" s="19" t="s">
        <v>40</v>
      </c>
      <c r="E70" s="19" t="s">
        <v>453</v>
      </c>
      <c r="F70" s="19" t="n">
        <v>2</v>
      </c>
      <c r="G70" s="19" t="s">
        <v>454</v>
      </c>
    </row>
    <row r="71" customFormat="false" ht="35.05" hidden="false" customHeight="false" outlineLevel="0" collapsed="false">
      <c r="A71" s="19" t="s">
        <v>456</v>
      </c>
      <c r="B71" s="19" t="s">
        <v>457</v>
      </c>
      <c r="C71" s="27" t="s">
        <v>21</v>
      </c>
      <c r="D71" s="19" t="s">
        <v>36</v>
      </c>
      <c r="E71" s="19" t="s">
        <v>458</v>
      </c>
      <c r="F71" s="19" t="n">
        <v>3</v>
      </c>
      <c r="G71" s="19" t="s">
        <v>459</v>
      </c>
    </row>
    <row r="72" customFormat="false" ht="35.05" hidden="false" customHeight="false" outlineLevel="0" collapsed="false">
      <c r="A72" s="19" t="s">
        <v>461</v>
      </c>
      <c r="B72" s="19" t="s">
        <v>462</v>
      </c>
      <c r="C72" s="27" t="s">
        <v>21</v>
      </c>
      <c r="D72" s="19" t="s">
        <v>36</v>
      </c>
      <c r="E72" s="19" t="s">
        <v>463</v>
      </c>
      <c r="F72" s="19" t="n">
        <v>3</v>
      </c>
      <c r="G72" s="19" t="s">
        <v>464</v>
      </c>
    </row>
    <row r="73" customFormat="false" ht="35.05" hidden="false" customHeight="false" outlineLevel="0" collapsed="false">
      <c r="A73" s="19" t="s">
        <v>481</v>
      </c>
      <c r="B73" s="19" t="s">
        <v>482</v>
      </c>
      <c r="C73" s="28" t="s">
        <v>22</v>
      </c>
      <c r="D73" s="19" t="s">
        <v>42</v>
      </c>
      <c r="E73" s="19" t="s">
        <v>483</v>
      </c>
      <c r="F73" s="19" t="n">
        <v>6</v>
      </c>
      <c r="G73" s="19" t="s">
        <v>484</v>
      </c>
    </row>
    <row r="74" customFormat="false" ht="35.05" hidden="false" customHeight="false" outlineLevel="0" collapsed="false">
      <c r="A74" s="19" t="s">
        <v>501</v>
      </c>
      <c r="B74" s="19" t="s">
        <v>502</v>
      </c>
      <c r="C74" s="28" t="s">
        <v>22</v>
      </c>
      <c r="D74" s="19" t="s">
        <v>45</v>
      </c>
      <c r="E74" s="19" t="s">
        <v>503</v>
      </c>
      <c r="F74" s="19" t="n">
        <v>4</v>
      </c>
      <c r="G74" s="19" t="s">
        <v>504</v>
      </c>
    </row>
    <row r="75" customFormat="false" ht="46.25" hidden="false" customHeight="false" outlineLevel="0" collapsed="false">
      <c r="A75" s="19" t="s">
        <v>511</v>
      </c>
      <c r="B75" s="19" t="s">
        <v>512</v>
      </c>
      <c r="C75" s="28" t="s">
        <v>22</v>
      </c>
      <c r="D75" s="19" t="s">
        <v>39</v>
      </c>
      <c r="E75" s="19" t="s">
        <v>513</v>
      </c>
      <c r="F75" s="19" t="n">
        <v>5</v>
      </c>
      <c r="G75" s="19" t="s">
        <v>514</v>
      </c>
    </row>
    <row r="76" customFormat="false" ht="46.25" hidden="false" customHeight="false" outlineLevel="0" collapsed="false">
      <c r="A76" s="19" t="s">
        <v>536</v>
      </c>
      <c r="B76" s="19" t="s">
        <v>537</v>
      </c>
      <c r="C76" s="28" t="s">
        <v>22</v>
      </c>
      <c r="D76" s="19" t="s">
        <v>42</v>
      </c>
      <c r="E76" s="19" t="s">
        <v>538</v>
      </c>
      <c r="F76" s="19" t="n">
        <v>5</v>
      </c>
      <c r="G76" s="19" t="s">
        <v>539</v>
      </c>
    </row>
    <row r="77" customFormat="false" ht="35.05" hidden="false" customHeight="false" outlineLevel="0" collapsed="false">
      <c r="A77" s="19" t="s">
        <v>546</v>
      </c>
      <c r="B77" s="19" t="s">
        <v>547</v>
      </c>
      <c r="C77" s="28" t="s">
        <v>22</v>
      </c>
      <c r="D77" s="19" t="s">
        <v>42</v>
      </c>
      <c r="E77" s="19" t="s">
        <v>548</v>
      </c>
      <c r="F77" s="19" t="n">
        <v>6</v>
      </c>
      <c r="G77" s="19" t="s">
        <v>549</v>
      </c>
    </row>
    <row r="78" customFormat="false" ht="35.05" hidden="false" customHeight="false" outlineLevel="0" collapsed="false">
      <c r="A78" s="19" t="s">
        <v>551</v>
      </c>
      <c r="B78" s="19" t="s">
        <v>552</v>
      </c>
      <c r="C78" s="28" t="s">
        <v>22</v>
      </c>
      <c r="D78" s="19" t="s">
        <v>42</v>
      </c>
      <c r="E78" s="19" t="s">
        <v>553</v>
      </c>
      <c r="F78" s="19" t="n">
        <v>6</v>
      </c>
      <c r="G78" s="19" t="s">
        <v>554</v>
      </c>
    </row>
    <row r="79" customFormat="false" ht="23.85" hidden="false" customHeight="false" outlineLevel="0" collapsed="false">
      <c r="A79" s="19" t="s">
        <v>576</v>
      </c>
      <c r="B79" s="19" t="s">
        <v>577</v>
      </c>
      <c r="C79" s="28" t="s">
        <v>22</v>
      </c>
      <c r="D79" s="19" t="s">
        <v>42</v>
      </c>
      <c r="E79" s="19" t="s">
        <v>578</v>
      </c>
      <c r="F79" s="19" t="n">
        <v>7</v>
      </c>
      <c r="G79" s="19" t="s">
        <v>579</v>
      </c>
    </row>
    <row r="81" customFormat="false" ht="15" hidden="false" customHeight="false" outlineLevel="0" collapsed="false">
      <c r="A81" s="5" t="s">
        <v>590</v>
      </c>
      <c r="B81" s="5"/>
      <c r="C81" s="5"/>
      <c r="D81" s="5"/>
      <c r="E81" s="5"/>
      <c r="F81" s="5"/>
      <c r="G81" s="5"/>
    </row>
    <row r="82" customFormat="false" ht="15" hidden="false" customHeight="false" outlineLevel="0" collapsed="false">
      <c r="A82" s="6" t="s">
        <v>47</v>
      </c>
      <c r="B82" s="6" t="s">
        <v>48</v>
      </c>
      <c r="C82" s="6" t="s">
        <v>18</v>
      </c>
      <c r="D82" s="6" t="s">
        <v>24</v>
      </c>
      <c r="E82" s="6" t="s">
        <v>49</v>
      </c>
      <c r="F82" s="6" t="s">
        <v>583</v>
      </c>
      <c r="G82" s="6" t="s">
        <v>50</v>
      </c>
    </row>
    <row r="83" customFormat="false" ht="68.65" hidden="false" customHeight="false" outlineLevel="0" collapsed="false">
      <c r="A83" s="19" t="s">
        <v>143</v>
      </c>
      <c r="B83" s="19" t="s">
        <v>144</v>
      </c>
      <c r="C83" s="21" t="s">
        <v>19</v>
      </c>
      <c r="D83" s="19" t="s">
        <v>29</v>
      </c>
      <c r="E83" s="19" t="s">
        <v>145</v>
      </c>
      <c r="F83" s="19" t="n">
        <v>8</v>
      </c>
      <c r="G83" s="19" t="s">
        <v>146</v>
      </c>
    </row>
    <row r="84" customFormat="false" ht="57.45" hidden="false" customHeight="false" outlineLevel="0" collapsed="false">
      <c r="A84" s="19" t="s">
        <v>148</v>
      </c>
      <c r="B84" s="19" t="s">
        <v>149</v>
      </c>
      <c r="C84" s="21" t="s">
        <v>19</v>
      </c>
      <c r="D84" s="19" t="s">
        <v>29</v>
      </c>
      <c r="E84" s="19" t="s">
        <v>150</v>
      </c>
      <c r="F84" s="19" t="n">
        <v>12</v>
      </c>
      <c r="G84" s="19" t="s">
        <v>151</v>
      </c>
    </row>
    <row r="85" customFormat="false" ht="46.25" hidden="false" customHeight="false" outlineLevel="0" collapsed="false">
      <c r="A85" s="19" t="s">
        <v>173</v>
      </c>
      <c r="B85" s="19" t="s">
        <v>174</v>
      </c>
      <c r="C85" s="21" t="s">
        <v>19</v>
      </c>
      <c r="D85" s="19" t="s">
        <v>28</v>
      </c>
      <c r="E85" s="19" t="s">
        <v>175</v>
      </c>
      <c r="F85" s="19" t="n">
        <v>0.5</v>
      </c>
      <c r="G85" s="19" t="s">
        <v>176</v>
      </c>
    </row>
    <row r="86" customFormat="false" ht="57.45" hidden="false" customHeight="false" outlineLevel="0" collapsed="false">
      <c r="A86" s="19" t="s">
        <v>223</v>
      </c>
      <c r="B86" s="19" t="s">
        <v>224</v>
      </c>
      <c r="C86" s="24" t="s">
        <v>20</v>
      </c>
      <c r="D86" s="19" t="s">
        <v>25</v>
      </c>
      <c r="E86" s="19" t="s">
        <v>225</v>
      </c>
      <c r="F86" s="19" t="n">
        <v>8</v>
      </c>
      <c r="G86" s="19" t="s">
        <v>226</v>
      </c>
    </row>
    <row r="87" customFormat="false" ht="35.05" hidden="false" customHeight="false" outlineLevel="0" collapsed="false">
      <c r="A87" s="19" t="s">
        <v>243</v>
      </c>
      <c r="B87" s="19" t="s">
        <v>244</v>
      </c>
      <c r="C87" s="24" t="s">
        <v>20</v>
      </c>
      <c r="D87" s="19" t="s">
        <v>25</v>
      </c>
      <c r="E87" s="19" t="s">
        <v>245</v>
      </c>
      <c r="F87" s="19" t="n">
        <v>5</v>
      </c>
      <c r="G87" s="19" t="s">
        <v>246</v>
      </c>
    </row>
    <row r="88" customFormat="false" ht="35.05" hidden="false" customHeight="false" outlineLevel="0" collapsed="false">
      <c r="A88" s="19" t="s">
        <v>248</v>
      </c>
      <c r="B88" s="19" t="s">
        <v>249</v>
      </c>
      <c r="C88" s="24" t="s">
        <v>20</v>
      </c>
      <c r="D88" s="19" t="s">
        <v>25</v>
      </c>
      <c r="E88" s="19" t="s">
        <v>250</v>
      </c>
      <c r="F88" s="19" t="n">
        <v>4</v>
      </c>
      <c r="G88" s="19" t="s">
        <v>251</v>
      </c>
    </row>
    <row r="89" customFormat="false" ht="46.25" hidden="false" customHeight="false" outlineLevel="0" collapsed="false">
      <c r="A89" s="19" t="s">
        <v>277</v>
      </c>
      <c r="B89" s="19" t="s">
        <v>278</v>
      </c>
      <c r="C89" s="24" t="s">
        <v>20</v>
      </c>
      <c r="D89" s="19" t="s">
        <v>25</v>
      </c>
      <c r="E89" s="19" t="s">
        <v>279</v>
      </c>
      <c r="F89" s="19" t="n">
        <v>5</v>
      </c>
      <c r="G89" s="19" t="s">
        <v>280</v>
      </c>
    </row>
    <row r="90" customFormat="false" ht="46.25" hidden="false" customHeight="false" outlineLevel="0" collapsed="false">
      <c r="A90" s="19" t="s">
        <v>282</v>
      </c>
      <c r="B90" s="19" t="s">
        <v>283</v>
      </c>
      <c r="C90" s="24" t="s">
        <v>20</v>
      </c>
      <c r="D90" s="19" t="s">
        <v>25</v>
      </c>
      <c r="E90" s="19" t="s">
        <v>284</v>
      </c>
      <c r="F90" s="19" t="n">
        <v>5</v>
      </c>
      <c r="G90" s="19" t="s">
        <v>285</v>
      </c>
    </row>
    <row r="91" customFormat="false" ht="46.25" hidden="false" customHeight="false" outlineLevel="0" collapsed="false">
      <c r="A91" s="19" t="s">
        <v>287</v>
      </c>
      <c r="B91" s="19" t="s">
        <v>288</v>
      </c>
      <c r="C91" s="24" t="s">
        <v>20</v>
      </c>
      <c r="D91" s="19" t="s">
        <v>25</v>
      </c>
      <c r="E91" s="19" t="s">
        <v>289</v>
      </c>
      <c r="F91" s="19" t="n">
        <v>4</v>
      </c>
      <c r="G91" s="19" t="s">
        <v>290</v>
      </c>
    </row>
    <row r="92" customFormat="false" ht="35.05" hidden="false" customHeight="false" outlineLevel="0" collapsed="false">
      <c r="A92" s="19" t="s">
        <v>292</v>
      </c>
      <c r="B92" s="19" t="s">
        <v>293</v>
      </c>
      <c r="C92" s="24" t="s">
        <v>20</v>
      </c>
      <c r="D92" s="19" t="s">
        <v>25</v>
      </c>
      <c r="E92" s="19" t="s">
        <v>294</v>
      </c>
      <c r="F92" s="19" t="n">
        <v>2</v>
      </c>
      <c r="G92" s="19" t="s">
        <v>295</v>
      </c>
    </row>
    <row r="93" customFormat="false" ht="46.25" hidden="false" customHeight="false" outlineLevel="0" collapsed="false">
      <c r="A93" s="19" t="s">
        <v>297</v>
      </c>
      <c r="B93" s="19" t="s">
        <v>298</v>
      </c>
      <c r="C93" s="24" t="s">
        <v>20</v>
      </c>
      <c r="D93" s="19" t="s">
        <v>25</v>
      </c>
      <c r="E93" s="19" t="s">
        <v>299</v>
      </c>
      <c r="F93" s="19" t="n">
        <v>6</v>
      </c>
      <c r="G93" s="19" t="s">
        <v>300</v>
      </c>
    </row>
    <row r="94" customFormat="false" ht="46.25" hidden="false" customHeight="false" outlineLevel="0" collapsed="false">
      <c r="A94" s="19" t="s">
        <v>302</v>
      </c>
      <c r="B94" s="19" t="s">
        <v>303</v>
      </c>
      <c r="C94" s="24" t="s">
        <v>20</v>
      </c>
      <c r="D94" s="19" t="s">
        <v>26</v>
      </c>
      <c r="E94" s="19" t="s">
        <v>304</v>
      </c>
      <c r="F94" s="19" t="n">
        <v>6</v>
      </c>
      <c r="G94" s="19" t="s">
        <v>305</v>
      </c>
    </row>
    <row r="95" customFormat="false" ht="68.65" hidden="false" customHeight="false" outlineLevel="0" collapsed="false">
      <c r="A95" s="19" t="s">
        <v>307</v>
      </c>
      <c r="B95" s="19" t="s">
        <v>308</v>
      </c>
      <c r="C95" s="24" t="s">
        <v>20</v>
      </c>
      <c r="D95" s="19" t="s">
        <v>31</v>
      </c>
      <c r="E95" s="19" t="s">
        <v>309</v>
      </c>
      <c r="F95" s="19" t="n">
        <v>16</v>
      </c>
      <c r="G95" s="19" t="s">
        <v>310</v>
      </c>
    </row>
    <row r="96" customFormat="false" ht="46.25" hidden="false" customHeight="false" outlineLevel="0" collapsed="false">
      <c r="A96" s="19" t="s">
        <v>312</v>
      </c>
      <c r="B96" s="19" t="s">
        <v>313</v>
      </c>
      <c r="C96" s="24" t="s">
        <v>20</v>
      </c>
      <c r="D96" s="19" t="s">
        <v>25</v>
      </c>
      <c r="E96" s="19" t="s">
        <v>314</v>
      </c>
      <c r="F96" s="19" t="n">
        <v>8</v>
      </c>
      <c r="G96" s="19" t="s">
        <v>315</v>
      </c>
    </row>
    <row r="97" customFormat="false" ht="79.85" hidden="false" customHeight="false" outlineLevel="0" collapsed="false">
      <c r="A97" s="19" t="s">
        <v>317</v>
      </c>
      <c r="B97" s="19" t="s">
        <v>318</v>
      </c>
      <c r="C97" s="24" t="s">
        <v>20</v>
      </c>
      <c r="D97" s="19" t="s">
        <v>25</v>
      </c>
      <c r="E97" s="19" t="s">
        <v>319</v>
      </c>
      <c r="F97" s="19" t="n">
        <v>16</v>
      </c>
      <c r="G97" s="19" t="s">
        <v>320</v>
      </c>
    </row>
    <row r="98" customFormat="false" ht="35.05" hidden="false" customHeight="false" outlineLevel="0" collapsed="false">
      <c r="A98" s="19" t="s">
        <v>322</v>
      </c>
      <c r="B98" s="19" t="s">
        <v>323</v>
      </c>
      <c r="C98" s="24" t="s">
        <v>20</v>
      </c>
      <c r="D98" s="19" t="s">
        <v>25</v>
      </c>
      <c r="E98" s="19" t="s">
        <v>324</v>
      </c>
      <c r="F98" s="19" t="n">
        <v>6</v>
      </c>
      <c r="G98" s="19" t="s">
        <v>325</v>
      </c>
    </row>
    <row r="99" customFormat="false" ht="23.85" hidden="false" customHeight="false" outlineLevel="0" collapsed="false">
      <c r="A99" s="19" t="s">
        <v>327</v>
      </c>
      <c r="B99" s="19" t="s">
        <v>328</v>
      </c>
      <c r="C99" s="24" t="s">
        <v>20</v>
      </c>
      <c r="D99" s="19" t="s">
        <v>25</v>
      </c>
      <c r="E99" s="19" t="s">
        <v>329</v>
      </c>
      <c r="F99" s="19" t="n">
        <v>4</v>
      </c>
      <c r="G99" s="19" t="s">
        <v>330</v>
      </c>
    </row>
    <row r="100" customFormat="false" ht="46.25" hidden="false" customHeight="false" outlineLevel="0" collapsed="false">
      <c r="A100" s="19" t="s">
        <v>396</v>
      </c>
      <c r="B100" s="19" t="s">
        <v>397</v>
      </c>
      <c r="C100" s="27" t="s">
        <v>21</v>
      </c>
      <c r="D100" s="19" t="s">
        <v>34</v>
      </c>
      <c r="E100" s="19" t="s">
        <v>398</v>
      </c>
      <c r="F100" s="19" t="n">
        <v>0.5</v>
      </c>
      <c r="G100" s="19" t="s">
        <v>399</v>
      </c>
    </row>
    <row r="101" customFormat="false" ht="23.85" hidden="false" customHeight="false" outlineLevel="0" collapsed="false">
      <c r="A101" s="19" t="s">
        <v>426</v>
      </c>
      <c r="B101" s="19" t="s">
        <v>427</v>
      </c>
      <c r="C101" s="27" t="s">
        <v>21</v>
      </c>
      <c r="D101" s="19" t="s">
        <v>36</v>
      </c>
      <c r="E101" s="19" t="s">
        <v>428</v>
      </c>
      <c r="F101" s="19" t="n">
        <v>3</v>
      </c>
      <c r="G101" s="19" t="s">
        <v>429</v>
      </c>
    </row>
    <row r="102" customFormat="false" ht="57.45" hidden="false" customHeight="false" outlineLevel="0" collapsed="false">
      <c r="A102" s="19" t="s">
        <v>436</v>
      </c>
      <c r="B102" s="19" t="s">
        <v>437</v>
      </c>
      <c r="C102" s="27" t="s">
        <v>21</v>
      </c>
      <c r="D102" s="19" t="s">
        <v>26</v>
      </c>
      <c r="E102" s="19" t="s">
        <v>438</v>
      </c>
      <c r="F102" s="19" t="n">
        <v>3</v>
      </c>
      <c r="G102" s="19" t="s">
        <v>439</v>
      </c>
    </row>
    <row r="103" customFormat="false" ht="57.45" hidden="false" customHeight="false" outlineLevel="0" collapsed="false">
      <c r="A103" s="19" t="s">
        <v>441</v>
      </c>
      <c r="B103" s="19" t="s">
        <v>442</v>
      </c>
      <c r="C103" s="27" t="s">
        <v>21</v>
      </c>
      <c r="D103" s="19" t="s">
        <v>30</v>
      </c>
      <c r="E103" s="19" t="s">
        <v>443</v>
      </c>
      <c r="F103" s="19" t="n">
        <v>4</v>
      </c>
      <c r="G103" s="19" t="s">
        <v>444</v>
      </c>
    </row>
    <row r="104" customFormat="false" ht="46.25" hidden="false" customHeight="false" outlineLevel="0" collapsed="false">
      <c r="A104" s="19" t="s">
        <v>446</v>
      </c>
      <c r="B104" s="19" t="s">
        <v>447</v>
      </c>
      <c r="C104" s="27" t="s">
        <v>21</v>
      </c>
      <c r="D104" s="19" t="s">
        <v>36</v>
      </c>
      <c r="E104" s="19" t="s">
        <v>448</v>
      </c>
      <c r="F104" s="19" t="n">
        <v>1</v>
      </c>
      <c r="G104" s="19" t="s">
        <v>449</v>
      </c>
    </row>
    <row r="105" customFormat="false" ht="35.05" hidden="false" customHeight="false" outlineLevel="0" collapsed="false">
      <c r="A105" s="19" t="s">
        <v>466</v>
      </c>
      <c r="B105" s="19" t="s">
        <v>467</v>
      </c>
      <c r="C105" s="27" t="s">
        <v>21</v>
      </c>
      <c r="D105" s="19" t="s">
        <v>25</v>
      </c>
      <c r="E105" s="19" t="s">
        <v>468</v>
      </c>
      <c r="F105" s="19" t="n">
        <v>1</v>
      </c>
      <c r="G105" s="19" t="s">
        <v>469</v>
      </c>
    </row>
    <row r="106" customFormat="false" ht="46.25" hidden="false" customHeight="false" outlineLevel="0" collapsed="false">
      <c r="A106" s="19" t="s">
        <v>516</v>
      </c>
      <c r="B106" s="19" t="s">
        <v>517</v>
      </c>
      <c r="C106" s="28" t="s">
        <v>22</v>
      </c>
      <c r="D106" s="19" t="s">
        <v>46</v>
      </c>
      <c r="E106" s="19" t="s">
        <v>518</v>
      </c>
      <c r="F106" s="19" t="n">
        <v>4</v>
      </c>
      <c r="G106" s="19" t="s">
        <v>519</v>
      </c>
    </row>
    <row r="107" customFormat="false" ht="35.05" hidden="false" customHeight="false" outlineLevel="0" collapsed="false">
      <c r="A107" s="19" t="s">
        <v>521</v>
      </c>
      <c r="B107" s="19" t="s">
        <v>522</v>
      </c>
      <c r="C107" s="28" t="s">
        <v>22</v>
      </c>
      <c r="D107" s="19" t="s">
        <v>43</v>
      </c>
      <c r="E107" s="19" t="s">
        <v>523</v>
      </c>
      <c r="F107" s="19" t="n">
        <v>3</v>
      </c>
      <c r="G107" s="19" t="s">
        <v>524</v>
      </c>
    </row>
    <row r="108" customFormat="false" ht="57.45" hidden="false" customHeight="false" outlineLevel="0" collapsed="false">
      <c r="A108" s="19" t="s">
        <v>526</v>
      </c>
      <c r="B108" s="19" t="s">
        <v>527</v>
      </c>
      <c r="C108" s="28" t="s">
        <v>22</v>
      </c>
      <c r="D108" s="19" t="s">
        <v>42</v>
      </c>
      <c r="E108" s="19" t="s">
        <v>528</v>
      </c>
      <c r="F108" s="19" t="n">
        <v>6</v>
      </c>
      <c r="G108" s="19" t="s">
        <v>529</v>
      </c>
    </row>
    <row r="109" customFormat="false" ht="46.25" hidden="false" customHeight="false" outlineLevel="0" collapsed="false">
      <c r="A109" s="19" t="s">
        <v>531</v>
      </c>
      <c r="B109" s="19" t="s">
        <v>532</v>
      </c>
      <c r="C109" s="28" t="s">
        <v>22</v>
      </c>
      <c r="D109" s="19" t="s">
        <v>42</v>
      </c>
      <c r="E109" s="19" t="s">
        <v>533</v>
      </c>
      <c r="F109" s="19" t="n">
        <v>1.5</v>
      </c>
      <c r="G109" s="19" t="s">
        <v>534</v>
      </c>
    </row>
    <row r="110" customFormat="false" ht="35.05" hidden="false" customHeight="false" outlineLevel="0" collapsed="false">
      <c r="A110" s="19" t="s">
        <v>541</v>
      </c>
      <c r="B110" s="19" t="s">
        <v>542</v>
      </c>
      <c r="C110" s="28" t="s">
        <v>22</v>
      </c>
      <c r="D110" s="19" t="s">
        <v>42</v>
      </c>
      <c r="E110" s="19" t="s">
        <v>543</v>
      </c>
      <c r="F110" s="19" t="n">
        <v>5</v>
      </c>
      <c r="G110" s="19" t="s">
        <v>544</v>
      </c>
    </row>
    <row r="111" customFormat="false" ht="35.05" hidden="false" customHeight="false" outlineLevel="0" collapsed="false">
      <c r="A111" s="19" t="s">
        <v>556</v>
      </c>
      <c r="B111" s="19" t="s">
        <v>557</v>
      </c>
      <c r="C111" s="28" t="s">
        <v>22</v>
      </c>
      <c r="D111" s="19" t="s">
        <v>42</v>
      </c>
      <c r="E111" s="19" t="s">
        <v>558</v>
      </c>
      <c r="F111" s="19" t="n">
        <v>5</v>
      </c>
      <c r="G111" s="19" t="s">
        <v>559</v>
      </c>
    </row>
    <row r="112" customFormat="false" ht="35.05" hidden="false" customHeight="false" outlineLevel="0" collapsed="false">
      <c r="A112" s="19" t="s">
        <v>561</v>
      </c>
      <c r="B112" s="19" t="s">
        <v>562</v>
      </c>
      <c r="C112" s="28" t="s">
        <v>22</v>
      </c>
      <c r="D112" s="19" t="s">
        <v>42</v>
      </c>
      <c r="E112" s="19" t="s">
        <v>563</v>
      </c>
      <c r="F112" s="19" t="n">
        <v>1.5</v>
      </c>
      <c r="G112" s="19" t="s">
        <v>564</v>
      </c>
    </row>
    <row r="113" customFormat="false" ht="46.25" hidden="false" customHeight="false" outlineLevel="0" collapsed="false">
      <c r="A113" s="19" t="s">
        <v>566</v>
      </c>
      <c r="B113" s="19" t="s">
        <v>567</v>
      </c>
      <c r="C113" s="28" t="s">
        <v>22</v>
      </c>
      <c r="D113" s="19" t="s">
        <v>42</v>
      </c>
      <c r="E113" s="19" t="s">
        <v>568</v>
      </c>
      <c r="F113" s="19" t="n">
        <v>3</v>
      </c>
      <c r="G113" s="19" t="s">
        <v>569</v>
      </c>
    </row>
    <row r="114" customFormat="false" ht="35.05" hidden="false" customHeight="false" outlineLevel="0" collapsed="false">
      <c r="A114" s="19" t="s">
        <v>571</v>
      </c>
      <c r="B114" s="19" t="s">
        <v>572</v>
      </c>
      <c r="C114" s="28" t="s">
        <v>22</v>
      </c>
      <c r="D114" s="19" t="s">
        <v>42</v>
      </c>
      <c r="E114" s="19" t="s">
        <v>573</v>
      </c>
      <c r="F114" s="19" t="n">
        <v>3</v>
      </c>
      <c r="G114" s="19" t="s">
        <v>574</v>
      </c>
    </row>
    <row r="116" customFormat="false" ht="15" hidden="false" customHeight="false" outlineLevel="0" collapsed="false">
      <c r="A116" s="36" t="s">
        <v>591</v>
      </c>
      <c r="B116" s="36"/>
      <c r="C116" s="36"/>
      <c r="D116" s="36"/>
      <c r="E116" s="36"/>
      <c r="F116" s="36"/>
      <c r="G116" s="36"/>
    </row>
    <row r="117" customFormat="false" ht="15" hidden="false" customHeight="false" outlineLevel="0" collapsed="false">
      <c r="A117" s="6" t="s">
        <v>47</v>
      </c>
      <c r="B117" s="6" t="s">
        <v>48</v>
      </c>
      <c r="C117" s="6" t="s">
        <v>18</v>
      </c>
      <c r="D117" s="6" t="s">
        <v>24</v>
      </c>
      <c r="E117" s="6" t="s">
        <v>49</v>
      </c>
      <c r="F117" s="6" t="s">
        <v>583</v>
      </c>
      <c r="G117" s="6" t="s">
        <v>50</v>
      </c>
    </row>
    <row r="118" customFormat="false" ht="23.85" hidden="false" customHeight="false" outlineLevel="0" collapsed="false">
      <c r="A118" s="19" t="s">
        <v>332</v>
      </c>
      <c r="B118" s="19" t="s">
        <v>333</v>
      </c>
      <c r="C118" s="24" t="s">
        <v>20</v>
      </c>
      <c r="D118" s="19" t="s">
        <v>40</v>
      </c>
      <c r="E118" s="19" t="s">
        <v>334</v>
      </c>
      <c r="F118" s="19" t="n">
        <v>3</v>
      </c>
      <c r="G118" s="19" t="s">
        <v>335</v>
      </c>
    </row>
    <row r="120" customFormat="false" ht="15" hidden="false" customHeight="false" outlineLevel="0" collapsed="false">
      <c r="A120" s="37" t="s">
        <v>592</v>
      </c>
      <c r="B120" s="37"/>
      <c r="C120" s="37"/>
      <c r="D120" s="37"/>
      <c r="E120" s="37"/>
      <c r="F120" s="37"/>
      <c r="G120" s="37"/>
    </row>
    <row r="121" customFormat="false" ht="15" hidden="false" customHeight="false" outlineLevel="0" collapsed="false">
      <c r="A121" s="6" t="s">
        <v>47</v>
      </c>
      <c r="B121" s="6" t="s">
        <v>48</v>
      </c>
      <c r="C121" s="6" t="s">
        <v>18</v>
      </c>
      <c r="D121" s="6" t="s">
        <v>24</v>
      </c>
      <c r="E121" s="6" t="s">
        <v>49</v>
      </c>
      <c r="F121" s="6" t="s">
        <v>583</v>
      </c>
      <c r="G121" s="6" t="s">
        <v>50</v>
      </c>
    </row>
    <row r="122" customFormat="false" ht="23.85" hidden="false" customHeight="false" outlineLevel="0" collapsed="false">
      <c r="A122" s="19" t="s">
        <v>337</v>
      </c>
      <c r="B122" s="19" t="s">
        <v>338</v>
      </c>
      <c r="C122" s="24" t="s">
        <v>20</v>
      </c>
      <c r="D122" s="19" t="s">
        <v>25</v>
      </c>
      <c r="E122" s="19" t="s">
        <v>339</v>
      </c>
      <c r="F122" s="19" t="n">
        <v>4</v>
      </c>
      <c r="G122" s="19" t="s">
        <v>340</v>
      </c>
    </row>
  </sheetData>
  <mergeCells count="6">
    <mergeCell ref="A1:G1"/>
    <mergeCell ref="A3:G3"/>
    <mergeCell ref="A41:G41"/>
    <mergeCell ref="A81:G81"/>
    <mergeCell ref="A116:G116"/>
    <mergeCell ref="A120:G12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7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42"/>
    <col collapsed="false" customWidth="true" hidden="false" outlineLevel="0" max="3" min="3" style="0" width="16"/>
    <col collapsed="false" customWidth="true" hidden="false" outlineLevel="0" max="4" min="4" style="0" width="18"/>
    <col collapsed="false" customWidth="true" hidden="false" outlineLevel="0" max="5" min="5" style="0" width="26"/>
    <col collapsed="false" customWidth="true" hidden="false" outlineLevel="0" max="6" min="6" style="0" width="9"/>
    <col collapsed="false" customWidth="true" hidden="false" outlineLevel="0" max="7" min="7" style="0" width="90"/>
  </cols>
  <sheetData>
    <row r="1" customFormat="false" ht="22.05" hidden="false" customHeight="false" outlineLevel="0" collapsed="false">
      <c r="A1" s="29" t="s">
        <v>593</v>
      </c>
      <c r="B1" s="29"/>
      <c r="C1" s="29"/>
      <c r="D1" s="29"/>
      <c r="E1" s="29"/>
      <c r="F1" s="29"/>
      <c r="G1" s="29"/>
    </row>
    <row r="3" customFormat="false" ht="15" hidden="false" customHeight="false" outlineLevel="0" collapsed="false">
      <c r="A3" s="5" t="s">
        <v>594</v>
      </c>
      <c r="B3" s="5"/>
      <c r="C3" s="5"/>
      <c r="D3" s="5"/>
      <c r="E3" s="5"/>
      <c r="F3" s="5"/>
      <c r="G3" s="5"/>
    </row>
    <row r="4" customFormat="false" ht="15" hidden="false" customHeight="false" outlineLevel="0" collapsed="false">
      <c r="A4" s="6" t="s">
        <v>47</v>
      </c>
      <c r="B4" s="6" t="s">
        <v>48</v>
      </c>
      <c r="C4" s="6" t="s">
        <v>9</v>
      </c>
      <c r="D4" s="6" t="s">
        <v>18</v>
      </c>
      <c r="E4" s="6" t="s">
        <v>49</v>
      </c>
      <c r="F4" s="6" t="s">
        <v>583</v>
      </c>
      <c r="G4" s="6" t="s">
        <v>50</v>
      </c>
    </row>
    <row r="5" customFormat="false" ht="79.85" hidden="false" customHeight="false" outlineLevel="0" collapsed="false">
      <c r="A5" s="19" t="s">
        <v>118</v>
      </c>
      <c r="B5" s="19" t="s">
        <v>119</v>
      </c>
      <c r="C5" s="20" t="s">
        <v>12</v>
      </c>
      <c r="D5" s="21" t="s">
        <v>19</v>
      </c>
      <c r="E5" s="19" t="s">
        <v>120</v>
      </c>
      <c r="F5" s="19" t="n">
        <v>8</v>
      </c>
      <c r="G5" s="19" t="s">
        <v>121</v>
      </c>
    </row>
    <row r="6" customFormat="false" ht="46.25" hidden="false" customHeight="false" outlineLevel="0" collapsed="false">
      <c r="A6" s="19" t="s">
        <v>128</v>
      </c>
      <c r="B6" s="19" t="s">
        <v>129</v>
      </c>
      <c r="C6" s="22" t="s">
        <v>13</v>
      </c>
      <c r="D6" s="21" t="s">
        <v>19</v>
      </c>
      <c r="E6" s="19" t="s">
        <v>130</v>
      </c>
      <c r="F6" s="19" t="n">
        <v>2</v>
      </c>
      <c r="G6" s="19" t="s">
        <v>131</v>
      </c>
    </row>
    <row r="7" customFormat="false" ht="46.25" hidden="false" customHeight="false" outlineLevel="0" collapsed="false">
      <c r="A7" s="19" t="s">
        <v>183</v>
      </c>
      <c r="B7" s="19" t="s">
        <v>184</v>
      </c>
      <c r="C7" s="20" t="s">
        <v>12</v>
      </c>
      <c r="D7" s="24" t="s">
        <v>20</v>
      </c>
      <c r="E7" s="19" t="s">
        <v>185</v>
      </c>
      <c r="F7" s="19" t="n">
        <v>3</v>
      </c>
      <c r="G7" s="19" t="s">
        <v>186</v>
      </c>
    </row>
    <row r="8" customFormat="false" ht="46.25" hidden="false" customHeight="false" outlineLevel="0" collapsed="false">
      <c r="A8" s="19" t="s">
        <v>188</v>
      </c>
      <c r="B8" s="19" t="s">
        <v>189</v>
      </c>
      <c r="C8" s="22" t="s">
        <v>13</v>
      </c>
      <c r="D8" s="24" t="s">
        <v>20</v>
      </c>
      <c r="E8" s="19" t="s">
        <v>190</v>
      </c>
      <c r="F8" s="19" t="n">
        <v>2</v>
      </c>
      <c r="G8" s="19" t="s">
        <v>191</v>
      </c>
    </row>
    <row r="9" customFormat="false" ht="46.25" hidden="false" customHeight="false" outlineLevel="0" collapsed="false">
      <c r="A9" s="19" t="s">
        <v>193</v>
      </c>
      <c r="B9" s="19" t="s">
        <v>194</v>
      </c>
      <c r="C9" s="20" t="s">
        <v>12</v>
      </c>
      <c r="D9" s="24" t="s">
        <v>20</v>
      </c>
      <c r="E9" s="19" t="s">
        <v>195</v>
      </c>
      <c r="F9" s="19" t="n">
        <v>6</v>
      </c>
      <c r="G9" s="19" t="s">
        <v>196</v>
      </c>
    </row>
    <row r="10" customFormat="false" ht="35.05" hidden="false" customHeight="false" outlineLevel="0" collapsed="false">
      <c r="A10" s="19" t="s">
        <v>218</v>
      </c>
      <c r="B10" s="19" t="s">
        <v>219</v>
      </c>
      <c r="C10" s="22" t="s">
        <v>13</v>
      </c>
      <c r="D10" s="24" t="s">
        <v>20</v>
      </c>
      <c r="E10" s="19" t="s">
        <v>220</v>
      </c>
      <c r="F10" s="19" t="n">
        <v>3</v>
      </c>
      <c r="G10" s="19" t="s">
        <v>221</v>
      </c>
    </row>
    <row r="11" customFormat="false" ht="57.45" hidden="false" customHeight="false" outlineLevel="0" collapsed="false">
      <c r="A11" s="19" t="s">
        <v>223</v>
      </c>
      <c r="B11" s="19" t="s">
        <v>224</v>
      </c>
      <c r="C11" s="23" t="s">
        <v>14</v>
      </c>
      <c r="D11" s="24" t="s">
        <v>20</v>
      </c>
      <c r="E11" s="19" t="s">
        <v>225</v>
      </c>
      <c r="F11" s="19" t="n">
        <v>8</v>
      </c>
      <c r="G11" s="19" t="s">
        <v>226</v>
      </c>
    </row>
    <row r="12" customFormat="false" ht="91" hidden="false" customHeight="false" outlineLevel="0" collapsed="false">
      <c r="A12" s="19" t="s">
        <v>233</v>
      </c>
      <c r="B12" s="19" t="s">
        <v>234</v>
      </c>
      <c r="C12" s="20" t="s">
        <v>12</v>
      </c>
      <c r="D12" s="24" t="s">
        <v>20</v>
      </c>
      <c r="E12" s="19" t="s">
        <v>235</v>
      </c>
      <c r="F12" s="19" t="n">
        <v>10</v>
      </c>
      <c r="G12" s="19" t="s">
        <v>236</v>
      </c>
    </row>
    <row r="13" customFormat="false" ht="57.45" hidden="false" customHeight="false" outlineLevel="0" collapsed="false">
      <c r="A13" s="19" t="s">
        <v>238</v>
      </c>
      <c r="B13" s="19" t="s">
        <v>239</v>
      </c>
      <c r="C13" s="22" t="s">
        <v>13</v>
      </c>
      <c r="D13" s="24" t="s">
        <v>20</v>
      </c>
      <c r="E13" s="19" t="s">
        <v>240</v>
      </c>
      <c r="F13" s="19" t="n">
        <v>7</v>
      </c>
      <c r="G13" s="19" t="s">
        <v>241</v>
      </c>
    </row>
    <row r="14" customFormat="false" ht="35.05" hidden="false" customHeight="false" outlineLevel="0" collapsed="false">
      <c r="A14" s="19" t="s">
        <v>243</v>
      </c>
      <c r="B14" s="19" t="s">
        <v>244</v>
      </c>
      <c r="C14" s="23" t="s">
        <v>14</v>
      </c>
      <c r="D14" s="24" t="s">
        <v>20</v>
      </c>
      <c r="E14" s="19" t="s">
        <v>245</v>
      </c>
      <c r="F14" s="19" t="n">
        <v>5</v>
      </c>
      <c r="G14" s="19" t="s">
        <v>246</v>
      </c>
    </row>
    <row r="15" customFormat="false" ht="35.05" hidden="false" customHeight="false" outlineLevel="0" collapsed="false">
      <c r="A15" s="19" t="s">
        <v>248</v>
      </c>
      <c r="B15" s="19" t="s">
        <v>249</v>
      </c>
      <c r="C15" s="23" t="s">
        <v>14</v>
      </c>
      <c r="D15" s="24" t="s">
        <v>20</v>
      </c>
      <c r="E15" s="19" t="s">
        <v>250</v>
      </c>
      <c r="F15" s="19" t="n">
        <v>4</v>
      </c>
      <c r="G15" s="19" t="s">
        <v>251</v>
      </c>
    </row>
    <row r="16" customFormat="false" ht="68.65" hidden="false" customHeight="false" outlineLevel="0" collapsed="false">
      <c r="A16" s="19" t="s">
        <v>253</v>
      </c>
      <c r="B16" s="19" t="s">
        <v>254</v>
      </c>
      <c r="C16" s="20" t="s">
        <v>12</v>
      </c>
      <c r="D16" s="24" t="s">
        <v>20</v>
      </c>
      <c r="E16" s="19" t="s">
        <v>255</v>
      </c>
      <c r="F16" s="19" t="n">
        <v>6</v>
      </c>
      <c r="G16" s="19" t="s">
        <v>256</v>
      </c>
    </row>
    <row r="17" customFormat="false" ht="46.25" hidden="false" customHeight="false" outlineLevel="0" collapsed="false">
      <c r="A17" s="19" t="s">
        <v>258</v>
      </c>
      <c r="B17" s="19" t="s">
        <v>259</v>
      </c>
      <c r="C17" s="22" t="s">
        <v>13</v>
      </c>
      <c r="D17" s="24" t="s">
        <v>20</v>
      </c>
      <c r="E17" s="19" t="s">
        <v>260</v>
      </c>
      <c r="F17" s="19" t="n">
        <v>7</v>
      </c>
      <c r="G17" s="19" t="s">
        <v>261</v>
      </c>
    </row>
    <row r="18" customFormat="false" ht="46.25" hidden="false" customHeight="false" outlineLevel="0" collapsed="false">
      <c r="A18" s="19" t="s">
        <v>263</v>
      </c>
      <c r="B18" s="19" t="s">
        <v>264</v>
      </c>
      <c r="C18" s="22" t="s">
        <v>13</v>
      </c>
      <c r="D18" s="24" t="s">
        <v>20</v>
      </c>
      <c r="E18" s="19" t="s">
        <v>265</v>
      </c>
      <c r="F18" s="19" t="n">
        <v>8</v>
      </c>
      <c r="G18" s="19" t="s">
        <v>266</v>
      </c>
    </row>
    <row r="19" customFormat="false" ht="46.25" hidden="false" customHeight="false" outlineLevel="0" collapsed="false">
      <c r="A19" s="19" t="s">
        <v>268</v>
      </c>
      <c r="B19" s="19" t="s">
        <v>269</v>
      </c>
      <c r="C19" s="22" t="s">
        <v>13</v>
      </c>
      <c r="D19" s="24" t="s">
        <v>20</v>
      </c>
      <c r="E19" s="19" t="s">
        <v>270</v>
      </c>
      <c r="F19" s="19" t="n">
        <v>4</v>
      </c>
      <c r="G19" s="19" t="s">
        <v>271</v>
      </c>
    </row>
    <row r="20" customFormat="false" ht="46.25" hidden="false" customHeight="false" outlineLevel="0" collapsed="false">
      <c r="A20" s="19" t="s">
        <v>273</v>
      </c>
      <c r="B20" s="19" t="s">
        <v>274</v>
      </c>
      <c r="C20" s="22" t="s">
        <v>13</v>
      </c>
      <c r="D20" s="24" t="s">
        <v>20</v>
      </c>
      <c r="E20" s="19" t="s">
        <v>265</v>
      </c>
      <c r="F20" s="19" t="n">
        <v>6</v>
      </c>
      <c r="G20" s="19" t="s">
        <v>275</v>
      </c>
    </row>
    <row r="21" customFormat="false" ht="46.25" hidden="false" customHeight="false" outlineLevel="0" collapsed="false">
      <c r="A21" s="19" t="s">
        <v>277</v>
      </c>
      <c r="B21" s="19" t="s">
        <v>278</v>
      </c>
      <c r="C21" s="23" t="s">
        <v>14</v>
      </c>
      <c r="D21" s="24" t="s">
        <v>20</v>
      </c>
      <c r="E21" s="19" t="s">
        <v>279</v>
      </c>
      <c r="F21" s="19" t="n">
        <v>5</v>
      </c>
      <c r="G21" s="19" t="s">
        <v>280</v>
      </c>
    </row>
    <row r="22" customFormat="false" ht="46.25" hidden="false" customHeight="false" outlineLevel="0" collapsed="false">
      <c r="A22" s="19" t="s">
        <v>282</v>
      </c>
      <c r="B22" s="19" t="s">
        <v>283</v>
      </c>
      <c r="C22" s="23" t="s">
        <v>14</v>
      </c>
      <c r="D22" s="24" t="s">
        <v>20</v>
      </c>
      <c r="E22" s="19" t="s">
        <v>284</v>
      </c>
      <c r="F22" s="19" t="n">
        <v>5</v>
      </c>
      <c r="G22" s="19" t="s">
        <v>285</v>
      </c>
    </row>
    <row r="23" customFormat="false" ht="46.25" hidden="false" customHeight="false" outlineLevel="0" collapsed="false">
      <c r="A23" s="19" t="s">
        <v>287</v>
      </c>
      <c r="B23" s="19" t="s">
        <v>288</v>
      </c>
      <c r="C23" s="23" t="s">
        <v>14</v>
      </c>
      <c r="D23" s="24" t="s">
        <v>20</v>
      </c>
      <c r="E23" s="19" t="s">
        <v>289</v>
      </c>
      <c r="F23" s="19" t="n">
        <v>4</v>
      </c>
      <c r="G23" s="19" t="s">
        <v>290</v>
      </c>
    </row>
    <row r="24" customFormat="false" ht="35.05" hidden="false" customHeight="false" outlineLevel="0" collapsed="false">
      <c r="A24" s="19" t="s">
        <v>292</v>
      </c>
      <c r="B24" s="19" t="s">
        <v>293</v>
      </c>
      <c r="C24" s="23" t="s">
        <v>14</v>
      </c>
      <c r="D24" s="24" t="s">
        <v>20</v>
      </c>
      <c r="E24" s="19" t="s">
        <v>294</v>
      </c>
      <c r="F24" s="19" t="n">
        <v>2</v>
      </c>
      <c r="G24" s="19" t="s">
        <v>295</v>
      </c>
    </row>
    <row r="25" customFormat="false" ht="46.25" hidden="false" customHeight="false" outlineLevel="0" collapsed="false">
      <c r="A25" s="19" t="s">
        <v>297</v>
      </c>
      <c r="B25" s="19" t="s">
        <v>298</v>
      </c>
      <c r="C25" s="23" t="s">
        <v>14</v>
      </c>
      <c r="D25" s="24" t="s">
        <v>20</v>
      </c>
      <c r="E25" s="19" t="s">
        <v>299</v>
      </c>
      <c r="F25" s="19" t="n">
        <v>6</v>
      </c>
      <c r="G25" s="19" t="s">
        <v>300</v>
      </c>
    </row>
    <row r="26" customFormat="false" ht="46.25" hidden="false" customHeight="false" outlineLevel="0" collapsed="false">
      <c r="A26" s="19" t="s">
        <v>312</v>
      </c>
      <c r="B26" s="19" t="s">
        <v>313</v>
      </c>
      <c r="C26" s="23" t="s">
        <v>14</v>
      </c>
      <c r="D26" s="24" t="s">
        <v>20</v>
      </c>
      <c r="E26" s="19" t="s">
        <v>314</v>
      </c>
      <c r="F26" s="19" t="n">
        <v>8</v>
      </c>
      <c r="G26" s="19" t="s">
        <v>315</v>
      </c>
    </row>
    <row r="27" customFormat="false" ht="79.85" hidden="false" customHeight="false" outlineLevel="0" collapsed="false">
      <c r="A27" s="19" t="s">
        <v>317</v>
      </c>
      <c r="B27" s="19" t="s">
        <v>318</v>
      </c>
      <c r="C27" s="23" t="s">
        <v>14</v>
      </c>
      <c r="D27" s="24" t="s">
        <v>20</v>
      </c>
      <c r="E27" s="19" t="s">
        <v>319</v>
      </c>
      <c r="F27" s="19" t="n">
        <v>16</v>
      </c>
      <c r="G27" s="19" t="s">
        <v>320</v>
      </c>
    </row>
    <row r="28" customFormat="false" ht="35.05" hidden="false" customHeight="false" outlineLevel="0" collapsed="false">
      <c r="A28" s="19" t="s">
        <v>322</v>
      </c>
      <c r="B28" s="19" t="s">
        <v>323</v>
      </c>
      <c r="C28" s="23" t="s">
        <v>14</v>
      </c>
      <c r="D28" s="24" t="s">
        <v>20</v>
      </c>
      <c r="E28" s="19" t="s">
        <v>324</v>
      </c>
      <c r="F28" s="19" t="n">
        <v>6</v>
      </c>
      <c r="G28" s="19" t="s">
        <v>325</v>
      </c>
    </row>
    <row r="29" customFormat="false" ht="23.85" hidden="false" customHeight="false" outlineLevel="0" collapsed="false">
      <c r="A29" s="19" t="s">
        <v>327</v>
      </c>
      <c r="B29" s="19" t="s">
        <v>328</v>
      </c>
      <c r="C29" s="23" t="s">
        <v>14</v>
      </c>
      <c r="D29" s="24" t="s">
        <v>20</v>
      </c>
      <c r="E29" s="19" t="s">
        <v>329</v>
      </c>
      <c r="F29" s="19" t="n">
        <v>4</v>
      </c>
      <c r="G29" s="19" t="s">
        <v>330</v>
      </c>
    </row>
    <row r="30" customFormat="false" ht="23.85" hidden="false" customHeight="false" outlineLevel="0" collapsed="false">
      <c r="A30" s="19" t="s">
        <v>337</v>
      </c>
      <c r="B30" s="19" t="s">
        <v>338</v>
      </c>
      <c r="C30" s="26" t="s">
        <v>16</v>
      </c>
      <c r="D30" s="24" t="s">
        <v>20</v>
      </c>
      <c r="E30" s="19" t="s">
        <v>339</v>
      </c>
      <c r="F30" s="19" t="n">
        <v>4</v>
      </c>
      <c r="G30" s="19" t="s">
        <v>340</v>
      </c>
    </row>
    <row r="31" customFormat="false" ht="35.05" hidden="false" customHeight="false" outlineLevel="0" collapsed="false">
      <c r="A31" s="19" t="s">
        <v>466</v>
      </c>
      <c r="B31" s="19" t="s">
        <v>467</v>
      </c>
      <c r="C31" s="23" t="s">
        <v>14</v>
      </c>
      <c r="D31" s="27" t="s">
        <v>21</v>
      </c>
      <c r="E31" s="19" t="s">
        <v>468</v>
      </c>
      <c r="F31" s="19" t="n">
        <v>1</v>
      </c>
      <c r="G31" s="19" t="s">
        <v>469</v>
      </c>
    </row>
    <row r="33" customFormat="false" ht="15" hidden="false" customHeight="false" outlineLevel="0" collapsed="false">
      <c r="A33" s="5" t="s">
        <v>595</v>
      </c>
      <c r="B33" s="5"/>
      <c r="C33" s="5"/>
      <c r="D33" s="5"/>
      <c r="E33" s="5"/>
      <c r="F33" s="5"/>
      <c r="G33" s="5"/>
    </row>
    <row r="34" customFormat="false" ht="15" hidden="false" customHeight="false" outlineLevel="0" collapsed="false">
      <c r="A34" s="6" t="s">
        <v>47</v>
      </c>
      <c r="B34" s="6" t="s">
        <v>48</v>
      </c>
      <c r="C34" s="6" t="s">
        <v>9</v>
      </c>
      <c r="D34" s="6" t="s">
        <v>18</v>
      </c>
      <c r="E34" s="6" t="s">
        <v>49</v>
      </c>
      <c r="F34" s="6" t="s">
        <v>583</v>
      </c>
      <c r="G34" s="6" t="s">
        <v>50</v>
      </c>
    </row>
    <row r="35" customFormat="false" ht="68.65" hidden="false" customHeight="false" outlineLevel="0" collapsed="false">
      <c r="A35" s="19" t="s">
        <v>78</v>
      </c>
      <c r="B35" s="19" t="s">
        <v>79</v>
      </c>
      <c r="C35" s="22" t="s">
        <v>13</v>
      </c>
      <c r="D35" s="21" t="s">
        <v>19</v>
      </c>
      <c r="E35" s="19" t="s">
        <v>80</v>
      </c>
      <c r="F35" s="19" t="n">
        <v>6</v>
      </c>
      <c r="G35" s="19" t="s">
        <v>81</v>
      </c>
    </row>
    <row r="36" customFormat="false" ht="68.65" hidden="false" customHeight="false" outlineLevel="0" collapsed="false">
      <c r="A36" s="19" t="s">
        <v>83</v>
      </c>
      <c r="B36" s="19" t="s">
        <v>84</v>
      </c>
      <c r="C36" s="20" t="s">
        <v>12</v>
      </c>
      <c r="D36" s="21" t="s">
        <v>19</v>
      </c>
      <c r="E36" s="19" t="s">
        <v>85</v>
      </c>
      <c r="F36" s="19" t="n">
        <v>8</v>
      </c>
      <c r="G36" s="19" t="s">
        <v>86</v>
      </c>
    </row>
    <row r="37" customFormat="false" ht="57.45" hidden="false" customHeight="false" outlineLevel="0" collapsed="false">
      <c r="A37" s="19" t="s">
        <v>98</v>
      </c>
      <c r="B37" s="19" t="s">
        <v>99</v>
      </c>
      <c r="C37" s="20" t="s">
        <v>12</v>
      </c>
      <c r="D37" s="21" t="s">
        <v>19</v>
      </c>
      <c r="E37" s="19" t="s">
        <v>100</v>
      </c>
      <c r="F37" s="19" t="n">
        <v>5</v>
      </c>
      <c r="G37" s="19" t="s">
        <v>101</v>
      </c>
    </row>
    <row r="38" customFormat="false" ht="68.65" hidden="false" customHeight="false" outlineLevel="0" collapsed="false">
      <c r="A38" s="19" t="s">
        <v>178</v>
      </c>
      <c r="B38" s="19" t="s">
        <v>179</v>
      </c>
      <c r="C38" s="20" t="s">
        <v>12</v>
      </c>
      <c r="D38" s="24" t="s">
        <v>20</v>
      </c>
      <c r="E38" s="19" t="s">
        <v>180</v>
      </c>
      <c r="F38" s="19" t="n">
        <v>3</v>
      </c>
      <c r="G38" s="19" t="s">
        <v>181</v>
      </c>
    </row>
    <row r="39" customFormat="false" ht="46.25" hidden="false" customHeight="false" outlineLevel="0" collapsed="false">
      <c r="A39" s="19" t="s">
        <v>203</v>
      </c>
      <c r="B39" s="19" t="s">
        <v>204</v>
      </c>
      <c r="C39" s="20" t="s">
        <v>12</v>
      </c>
      <c r="D39" s="24" t="s">
        <v>20</v>
      </c>
      <c r="E39" s="19" t="s">
        <v>205</v>
      </c>
      <c r="F39" s="19" t="n">
        <v>16</v>
      </c>
      <c r="G39" s="19" t="s">
        <v>206</v>
      </c>
    </row>
    <row r="40" customFormat="false" ht="46.25" hidden="false" customHeight="false" outlineLevel="0" collapsed="false">
      <c r="A40" s="19" t="s">
        <v>302</v>
      </c>
      <c r="B40" s="19" t="s">
        <v>303</v>
      </c>
      <c r="C40" s="23" t="s">
        <v>14</v>
      </c>
      <c r="D40" s="24" t="s">
        <v>20</v>
      </c>
      <c r="E40" s="19" t="s">
        <v>304</v>
      </c>
      <c r="F40" s="19" t="n">
        <v>6</v>
      </c>
      <c r="G40" s="19" t="s">
        <v>305</v>
      </c>
    </row>
    <row r="41" customFormat="false" ht="46.25" hidden="false" customHeight="false" outlineLevel="0" collapsed="false">
      <c r="A41" s="19" t="s">
        <v>401</v>
      </c>
      <c r="B41" s="19" t="s">
        <v>402</v>
      </c>
      <c r="C41" s="20" t="s">
        <v>12</v>
      </c>
      <c r="D41" s="27" t="s">
        <v>21</v>
      </c>
      <c r="E41" s="19" t="s">
        <v>403</v>
      </c>
      <c r="F41" s="19" t="n">
        <v>8</v>
      </c>
      <c r="G41" s="19" t="s">
        <v>404</v>
      </c>
    </row>
    <row r="42" customFormat="false" ht="57.45" hidden="false" customHeight="false" outlineLevel="0" collapsed="false">
      <c r="A42" s="19" t="s">
        <v>436</v>
      </c>
      <c r="B42" s="19" t="s">
        <v>437</v>
      </c>
      <c r="C42" s="23" t="s">
        <v>14</v>
      </c>
      <c r="D42" s="27" t="s">
        <v>21</v>
      </c>
      <c r="E42" s="19" t="s">
        <v>438</v>
      </c>
      <c r="F42" s="19" t="n">
        <v>3</v>
      </c>
      <c r="G42" s="19" t="s">
        <v>439</v>
      </c>
    </row>
    <row r="44" customFormat="false" ht="15" hidden="false" customHeight="false" outlineLevel="0" collapsed="false">
      <c r="A44" s="5" t="s">
        <v>596</v>
      </c>
      <c r="B44" s="5"/>
      <c r="C44" s="5"/>
      <c r="D44" s="5"/>
      <c r="E44" s="5"/>
      <c r="F44" s="5"/>
      <c r="G44" s="5"/>
    </row>
    <row r="45" customFormat="false" ht="15" hidden="false" customHeight="false" outlineLevel="0" collapsed="false">
      <c r="A45" s="6" t="s">
        <v>47</v>
      </c>
      <c r="B45" s="6" t="s">
        <v>48</v>
      </c>
      <c r="C45" s="6" t="s">
        <v>9</v>
      </c>
      <c r="D45" s="6" t="s">
        <v>18</v>
      </c>
      <c r="E45" s="6" t="s">
        <v>49</v>
      </c>
      <c r="F45" s="6" t="s">
        <v>583</v>
      </c>
      <c r="G45" s="6" t="s">
        <v>50</v>
      </c>
    </row>
    <row r="46" customFormat="false" ht="46.25" hidden="false" customHeight="false" outlineLevel="0" collapsed="false">
      <c r="A46" s="19" t="s">
        <v>198</v>
      </c>
      <c r="B46" s="19" t="s">
        <v>199</v>
      </c>
      <c r="C46" s="20" t="s">
        <v>12</v>
      </c>
      <c r="D46" s="24" t="s">
        <v>20</v>
      </c>
      <c r="E46" s="19" t="s">
        <v>200</v>
      </c>
      <c r="F46" s="19" t="n">
        <v>4</v>
      </c>
      <c r="G46" s="19" t="s">
        <v>201</v>
      </c>
    </row>
    <row r="48" customFormat="false" ht="15" hidden="false" customHeight="false" outlineLevel="0" collapsed="false">
      <c r="A48" s="5" t="s">
        <v>597</v>
      </c>
      <c r="B48" s="5"/>
      <c r="C48" s="5"/>
      <c r="D48" s="5"/>
      <c r="E48" s="5"/>
      <c r="F48" s="5"/>
      <c r="G48" s="5"/>
    </row>
    <row r="49" customFormat="false" ht="15" hidden="false" customHeight="false" outlineLevel="0" collapsed="false">
      <c r="A49" s="6" t="s">
        <v>47</v>
      </c>
      <c r="B49" s="6" t="s">
        <v>48</v>
      </c>
      <c r="C49" s="6" t="s">
        <v>9</v>
      </c>
      <c r="D49" s="6" t="s">
        <v>18</v>
      </c>
      <c r="E49" s="6" t="s">
        <v>49</v>
      </c>
      <c r="F49" s="6" t="s">
        <v>583</v>
      </c>
      <c r="G49" s="6" t="s">
        <v>50</v>
      </c>
    </row>
    <row r="50" customFormat="false" ht="124.6" hidden="false" customHeight="false" outlineLevel="0" collapsed="false">
      <c r="A50" s="19" t="s">
        <v>58</v>
      </c>
      <c r="B50" s="19" t="s">
        <v>59</v>
      </c>
      <c r="C50" s="22" t="s">
        <v>13</v>
      </c>
      <c r="D50" s="21" t="s">
        <v>19</v>
      </c>
      <c r="E50" s="19" t="s">
        <v>60</v>
      </c>
      <c r="F50" s="19" t="n">
        <v>8</v>
      </c>
      <c r="G50" s="19" t="s">
        <v>61</v>
      </c>
    </row>
    <row r="51" customFormat="false" ht="91" hidden="false" customHeight="false" outlineLevel="0" collapsed="false">
      <c r="A51" s="19" t="s">
        <v>63</v>
      </c>
      <c r="B51" s="19" t="s">
        <v>64</v>
      </c>
      <c r="C51" s="20" t="s">
        <v>12</v>
      </c>
      <c r="D51" s="21" t="s">
        <v>19</v>
      </c>
      <c r="E51" s="19" t="s">
        <v>65</v>
      </c>
      <c r="F51" s="19" t="n">
        <v>5</v>
      </c>
      <c r="G51" s="19" t="s">
        <v>66</v>
      </c>
    </row>
    <row r="52" customFormat="false" ht="91" hidden="false" customHeight="false" outlineLevel="0" collapsed="false">
      <c r="A52" s="19" t="s">
        <v>68</v>
      </c>
      <c r="B52" s="19" t="s">
        <v>69</v>
      </c>
      <c r="C52" s="20" t="s">
        <v>12</v>
      </c>
      <c r="D52" s="21" t="s">
        <v>19</v>
      </c>
      <c r="E52" s="19" t="s">
        <v>70</v>
      </c>
      <c r="F52" s="19" t="n">
        <v>4</v>
      </c>
      <c r="G52" s="19" t="s">
        <v>71</v>
      </c>
    </row>
    <row r="53" customFormat="false" ht="113.4" hidden="false" customHeight="false" outlineLevel="0" collapsed="false">
      <c r="A53" s="19" t="s">
        <v>113</v>
      </c>
      <c r="B53" s="19" t="s">
        <v>114</v>
      </c>
      <c r="C53" s="20" t="s">
        <v>12</v>
      </c>
      <c r="D53" s="21" t="s">
        <v>19</v>
      </c>
      <c r="E53" s="19" t="s">
        <v>115</v>
      </c>
      <c r="F53" s="19" t="n">
        <v>12</v>
      </c>
      <c r="G53" s="19" t="s">
        <v>116</v>
      </c>
    </row>
    <row r="54" customFormat="false" ht="68.65" hidden="false" customHeight="false" outlineLevel="0" collapsed="false">
      <c r="A54" s="19" t="s">
        <v>123</v>
      </c>
      <c r="B54" s="19" t="s">
        <v>124</v>
      </c>
      <c r="C54" s="22" t="s">
        <v>13</v>
      </c>
      <c r="D54" s="21" t="s">
        <v>19</v>
      </c>
      <c r="E54" s="19" t="s">
        <v>125</v>
      </c>
      <c r="F54" s="19" t="n">
        <v>2</v>
      </c>
      <c r="G54" s="19" t="s">
        <v>126</v>
      </c>
    </row>
    <row r="55" customFormat="false" ht="91" hidden="false" customHeight="false" outlineLevel="0" collapsed="false">
      <c r="A55" s="19" t="s">
        <v>133</v>
      </c>
      <c r="B55" s="19" t="s">
        <v>134</v>
      </c>
      <c r="C55" s="22" t="s">
        <v>13</v>
      </c>
      <c r="D55" s="21" t="s">
        <v>19</v>
      </c>
      <c r="E55" s="19" t="s">
        <v>135</v>
      </c>
      <c r="F55" s="19" t="n">
        <v>16</v>
      </c>
      <c r="G55" s="19" t="s">
        <v>136</v>
      </c>
    </row>
    <row r="56" customFormat="false" ht="46.25" hidden="false" customHeight="false" outlineLevel="0" collapsed="false">
      <c r="A56" s="19" t="s">
        <v>173</v>
      </c>
      <c r="B56" s="19" t="s">
        <v>174</v>
      </c>
      <c r="C56" s="23" t="s">
        <v>14</v>
      </c>
      <c r="D56" s="21" t="s">
        <v>19</v>
      </c>
      <c r="E56" s="19" t="s">
        <v>175</v>
      </c>
      <c r="F56" s="19" t="n">
        <v>0.5</v>
      </c>
      <c r="G56" s="19" t="s">
        <v>176</v>
      </c>
    </row>
    <row r="57" customFormat="false" ht="68.65" hidden="false" customHeight="false" outlineLevel="0" collapsed="false">
      <c r="A57" s="19" t="s">
        <v>382</v>
      </c>
      <c r="B57" s="19" t="s">
        <v>383</v>
      </c>
      <c r="C57" s="20" t="s">
        <v>12</v>
      </c>
      <c r="D57" s="27" t="s">
        <v>21</v>
      </c>
      <c r="E57" s="19" t="s">
        <v>384</v>
      </c>
      <c r="F57" s="19" t="n">
        <v>22</v>
      </c>
      <c r="G57" s="19" t="s">
        <v>385</v>
      </c>
    </row>
    <row r="58" customFormat="false" ht="57.45" hidden="false" customHeight="false" outlineLevel="0" collapsed="false">
      <c r="A58" s="19" t="s">
        <v>387</v>
      </c>
      <c r="B58" s="19" t="s">
        <v>388</v>
      </c>
      <c r="C58" s="22" t="s">
        <v>13</v>
      </c>
      <c r="D58" s="27" t="s">
        <v>21</v>
      </c>
      <c r="E58" s="19" t="s">
        <v>384</v>
      </c>
      <c r="F58" s="19" t="n">
        <v>6</v>
      </c>
      <c r="G58" s="19" t="s">
        <v>389</v>
      </c>
    </row>
    <row r="60" customFormat="false" ht="15" hidden="false" customHeight="false" outlineLevel="0" collapsed="false">
      <c r="A60" s="5" t="s">
        <v>598</v>
      </c>
      <c r="B60" s="5"/>
      <c r="C60" s="5"/>
      <c r="D60" s="5"/>
      <c r="E60" s="5"/>
      <c r="F60" s="5"/>
      <c r="G60" s="5"/>
    </row>
    <row r="61" customFormat="false" ht="15" hidden="false" customHeight="false" outlineLevel="0" collapsed="false">
      <c r="A61" s="6" t="s">
        <v>47</v>
      </c>
      <c r="B61" s="6" t="s">
        <v>48</v>
      </c>
      <c r="C61" s="6" t="s">
        <v>9</v>
      </c>
      <c r="D61" s="6" t="s">
        <v>18</v>
      </c>
      <c r="E61" s="6" t="s">
        <v>49</v>
      </c>
      <c r="F61" s="6" t="s">
        <v>583</v>
      </c>
      <c r="G61" s="6" t="s">
        <v>50</v>
      </c>
    </row>
    <row r="62" customFormat="false" ht="102.2" hidden="false" customHeight="false" outlineLevel="0" collapsed="false">
      <c r="A62" s="19" t="s">
        <v>53</v>
      </c>
      <c r="B62" s="19" t="s">
        <v>54</v>
      </c>
      <c r="C62" s="20" t="s">
        <v>12</v>
      </c>
      <c r="D62" s="21" t="s">
        <v>19</v>
      </c>
      <c r="E62" s="19" t="s">
        <v>55</v>
      </c>
      <c r="F62" s="19" t="n">
        <v>3</v>
      </c>
      <c r="G62" s="19" t="s">
        <v>56</v>
      </c>
    </row>
    <row r="63" customFormat="false" ht="57.45" hidden="false" customHeight="false" outlineLevel="0" collapsed="false">
      <c r="A63" s="19" t="s">
        <v>88</v>
      </c>
      <c r="B63" s="19" t="s">
        <v>89</v>
      </c>
      <c r="C63" s="22" t="s">
        <v>13</v>
      </c>
      <c r="D63" s="21" t="s">
        <v>19</v>
      </c>
      <c r="E63" s="19" t="s">
        <v>90</v>
      </c>
      <c r="F63" s="19" t="n">
        <v>4</v>
      </c>
      <c r="G63" s="19" t="s">
        <v>91</v>
      </c>
    </row>
    <row r="64" customFormat="false" ht="68.65" hidden="false" customHeight="false" outlineLevel="0" collapsed="false">
      <c r="A64" s="19" t="s">
        <v>93</v>
      </c>
      <c r="B64" s="19" t="s">
        <v>94</v>
      </c>
      <c r="C64" s="22" t="s">
        <v>13</v>
      </c>
      <c r="D64" s="21" t="s">
        <v>19</v>
      </c>
      <c r="E64" s="19" t="s">
        <v>95</v>
      </c>
      <c r="F64" s="19" t="n">
        <v>5</v>
      </c>
      <c r="G64" s="19" t="s">
        <v>96</v>
      </c>
    </row>
    <row r="65" customFormat="false" ht="57.45" hidden="false" customHeight="false" outlineLevel="0" collapsed="false">
      <c r="A65" s="19" t="s">
        <v>103</v>
      </c>
      <c r="B65" s="19" t="s">
        <v>104</v>
      </c>
      <c r="C65" s="22" t="s">
        <v>13</v>
      </c>
      <c r="D65" s="21" t="s">
        <v>19</v>
      </c>
      <c r="E65" s="19" t="s">
        <v>105</v>
      </c>
      <c r="F65" s="19" t="n">
        <v>5</v>
      </c>
      <c r="G65" s="19" t="s">
        <v>106</v>
      </c>
    </row>
    <row r="66" customFormat="false" ht="79.85" hidden="false" customHeight="false" outlineLevel="0" collapsed="false">
      <c r="A66" s="19" t="s">
        <v>138</v>
      </c>
      <c r="B66" s="19" t="s">
        <v>139</v>
      </c>
      <c r="C66" s="22" t="s">
        <v>13</v>
      </c>
      <c r="D66" s="21" t="s">
        <v>19</v>
      </c>
      <c r="E66" s="19" t="s">
        <v>140</v>
      </c>
      <c r="F66" s="19" t="n">
        <v>4</v>
      </c>
      <c r="G66" s="19" t="s">
        <v>141</v>
      </c>
    </row>
    <row r="67" customFormat="false" ht="68.65" hidden="false" customHeight="false" outlineLevel="0" collapsed="false">
      <c r="A67" s="19" t="s">
        <v>143</v>
      </c>
      <c r="B67" s="19" t="s">
        <v>144</v>
      </c>
      <c r="C67" s="23" t="s">
        <v>14</v>
      </c>
      <c r="D67" s="21" t="s">
        <v>19</v>
      </c>
      <c r="E67" s="19" t="s">
        <v>145</v>
      </c>
      <c r="F67" s="19" t="n">
        <v>8</v>
      </c>
      <c r="G67" s="19" t="s">
        <v>146</v>
      </c>
    </row>
    <row r="68" customFormat="false" ht="57.45" hidden="false" customHeight="false" outlineLevel="0" collapsed="false">
      <c r="A68" s="19" t="s">
        <v>148</v>
      </c>
      <c r="B68" s="19" t="s">
        <v>149</v>
      </c>
      <c r="C68" s="23" t="s">
        <v>14</v>
      </c>
      <c r="D68" s="21" t="s">
        <v>19</v>
      </c>
      <c r="E68" s="19" t="s">
        <v>150</v>
      </c>
      <c r="F68" s="19" t="n">
        <v>12</v>
      </c>
      <c r="G68" s="19" t="s">
        <v>151</v>
      </c>
    </row>
    <row r="69" customFormat="false" ht="68.65" hidden="false" customHeight="false" outlineLevel="0" collapsed="false">
      <c r="A69" s="19" t="s">
        <v>153</v>
      </c>
      <c r="B69" s="19" t="s">
        <v>154</v>
      </c>
      <c r="C69" s="22" t="s">
        <v>13</v>
      </c>
      <c r="D69" s="21" t="s">
        <v>19</v>
      </c>
      <c r="E69" s="19" t="s">
        <v>155</v>
      </c>
      <c r="F69" s="19" t="n">
        <v>4</v>
      </c>
      <c r="G69" s="19" t="s">
        <v>156</v>
      </c>
    </row>
    <row r="70" customFormat="false" ht="91" hidden="false" customHeight="false" outlineLevel="0" collapsed="false">
      <c r="A70" s="19" t="s">
        <v>158</v>
      </c>
      <c r="B70" s="19" t="s">
        <v>159</v>
      </c>
      <c r="C70" s="22" t="s">
        <v>13</v>
      </c>
      <c r="D70" s="21" t="s">
        <v>19</v>
      </c>
      <c r="E70" s="19" t="s">
        <v>160</v>
      </c>
      <c r="F70" s="19" t="n">
        <v>4</v>
      </c>
      <c r="G70" s="19" t="s">
        <v>161</v>
      </c>
    </row>
    <row r="71" customFormat="false" ht="46.25" hidden="false" customHeight="false" outlineLevel="0" collapsed="false">
      <c r="A71" s="19" t="s">
        <v>416</v>
      </c>
      <c r="B71" s="19" t="s">
        <v>417</v>
      </c>
      <c r="C71" s="20" t="s">
        <v>12</v>
      </c>
      <c r="D71" s="27" t="s">
        <v>21</v>
      </c>
      <c r="E71" s="19" t="s">
        <v>418</v>
      </c>
      <c r="F71" s="19" t="n">
        <v>8</v>
      </c>
      <c r="G71" s="19" t="s">
        <v>419</v>
      </c>
    </row>
    <row r="73" customFormat="false" ht="15" hidden="false" customHeight="false" outlineLevel="0" collapsed="false">
      <c r="A73" s="5" t="s">
        <v>599</v>
      </c>
      <c r="B73" s="5"/>
      <c r="C73" s="5"/>
      <c r="D73" s="5"/>
      <c r="E73" s="5"/>
      <c r="F73" s="5"/>
      <c r="G73" s="5"/>
    </row>
    <row r="74" customFormat="false" ht="15" hidden="false" customHeight="false" outlineLevel="0" collapsed="false">
      <c r="A74" s="6" t="s">
        <v>47</v>
      </c>
      <c r="B74" s="6" t="s">
        <v>48</v>
      </c>
      <c r="C74" s="6" t="s">
        <v>9</v>
      </c>
      <c r="D74" s="6" t="s">
        <v>18</v>
      </c>
      <c r="E74" s="6" t="s">
        <v>49</v>
      </c>
      <c r="F74" s="6" t="s">
        <v>583</v>
      </c>
      <c r="G74" s="6" t="s">
        <v>50</v>
      </c>
    </row>
    <row r="75" customFormat="false" ht="57.45" hidden="false" customHeight="false" outlineLevel="0" collapsed="false">
      <c r="A75" s="19" t="s">
        <v>208</v>
      </c>
      <c r="B75" s="19" t="s">
        <v>209</v>
      </c>
      <c r="C75" s="22" t="s">
        <v>13</v>
      </c>
      <c r="D75" s="24" t="s">
        <v>20</v>
      </c>
      <c r="E75" s="19" t="s">
        <v>210</v>
      </c>
      <c r="F75" s="19" t="n">
        <v>4</v>
      </c>
      <c r="G75" s="19" t="s">
        <v>211</v>
      </c>
    </row>
    <row r="76" customFormat="false" ht="57.45" hidden="false" customHeight="false" outlineLevel="0" collapsed="false">
      <c r="A76" s="19" t="s">
        <v>441</v>
      </c>
      <c r="B76" s="19" t="s">
        <v>442</v>
      </c>
      <c r="C76" s="23" t="s">
        <v>14</v>
      </c>
      <c r="D76" s="27" t="s">
        <v>21</v>
      </c>
      <c r="E76" s="19" t="s">
        <v>443</v>
      </c>
      <c r="F76" s="19" t="n">
        <v>4</v>
      </c>
      <c r="G76" s="19" t="s">
        <v>444</v>
      </c>
    </row>
    <row r="78" customFormat="false" ht="15" hidden="false" customHeight="false" outlineLevel="0" collapsed="false">
      <c r="A78" s="5" t="s">
        <v>600</v>
      </c>
      <c r="B78" s="5"/>
      <c r="C78" s="5"/>
      <c r="D78" s="5"/>
      <c r="E78" s="5"/>
      <c r="F78" s="5"/>
      <c r="G78" s="5"/>
    </row>
    <row r="79" customFormat="false" ht="15" hidden="false" customHeight="false" outlineLevel="0" collapsed="false">
      <c r="A79" s="6" t="s">
        <v>47</v>
      </c>
      <c r="B79" s="6" t="s">
        <v>48</v>
      </c>
      <c r="C79" s="6" t="s">
        <v>9</v>
      </c>
      <c r="D79" s="6" t="s">
        <v>18</v>
      </c>
      <c r="E79" s="6" t="s">
        <v>49</v>
      </c>
      <c r="F79" s="6" t="s">
        <v>583</v>
      </c>
      <c r="G79" s="6" t="s">
        <v>50</v>
      </c>
    </row>
    <row r="80" customFormat="false" ht="68.65" hidden="false" customHeight="false" outlineLevel="0" collapsed="false">
      <c r="A80" s="19" t="s">
        <v>73</v>
      </c>
      <c r="B80" s="19" t="s">
        <v>74</v>
      </c>
      <c r="C80" s="20" t="s">
        <v>12</v>
      </c>
      <c r="D80" s="21" t="s">
        <v>19</v>
      </c>
      <c r="E80" s="19" t="s">
        <v>75</v>
      </c>
      <c r="F80" s="19" t="n">
        <v>3</v>
      </c>
      <c r="G80" s="19" t="s">
        <v>76</v>
      </c>
    </row>
    <row r="81" customFormat="false" ht="46.25" hidden="false" customHeight="false" outlineLevel="0" collapsed="false">
      <c r="A81" s="19" t="s">
        <v>213</v>
      </c>
      <c r="B81" s="19" t="s">
        <v>214</v>
      </c>
      <c r="C81" s="22" t="s">
        <v>13</v>
      </c>
      <c r="D81" s="24" t="s">
        <v>20</v>
      </c>
      <c r="E81" s="19" t="s">
        <v>215</v>
      </c>
      <c r="F81" s="19" t="n">
        <v>6</v>
      </c>
      <c r="G81" s="19" t="s">
        <v>216</v>
      </c>
    </row>
    <row r="82" customFormat="false" ht="68.65" hidden="false" customHeight="false" outlineLevel="0" collapsed="false">
      <c r="A82" s="19" t="s">
        <v>307</v>
      </c>
      <c r="B82" s="19" t="s">
        <v>308</v>
      </c>
      <c r="C82" s="23" t="s">
        <v>14</v>
      </c>
      <c r="D82" s="24" t="s">
        <v>20</v>
      </c>
      <c r="E82" s="19" t="s">
        <v>309</v>
      </c>
      <c r="F82" s="19" t="n">
        <v>16</v>
      </c>
      <c r="G82" s="19" t="s">
        <v>310</v>
      </c>
    </row>
    <row r="84" customFormat="false" ht="15" hidden="false" customHeight="false" outlineLevel="0" collapsed="false">
      <c r="A84" s="5" t="s">
        <v>601</v>
      </c>
      <c r="B84" s="5"/>
      <c r="C84" s="5"/>
      <c r="D84" s="5"/>
      <c r="E84" s="5"/>
      <c r="F84" s="5"/>
      <c r="G84" s="5"/>
    </row>
    <row r="85" customFormat="false" ht="15" hidden="false" customHeight="false" outlineLevel="0" collapsed="false">
      <c r="A85" s="6" t="s">
        <v>47</v>
      </c>
      <c r="B85" s="6" t="s">
        <v>48</v>
      </c>
      <c r="C85" s="6" t="s">
        <v>9</v>
      </c>
      <c r="D85" s="6" t="s">
        <v>18</v>
      </c>
      <c r="E85" s="6" t="s">
        <v>49</v>
      </c>
      <c r="F85" s="6" t="s">
        <v>583</v>
      </c>
      <c r="G85" s="6" t="s">
        <v>50</v>
      </c>
    </row>
    <row r="86" customFormat="false" ht="68.65" hidden="false" customHeight="false" outlineLevel="0" collapsed="false">
      <c r="A86" s="19" t="s">
        <v>168</v>
      </c>
      <c r="B86" s="19" t="s">
        <v>169</v>
      </c>
      <c r="C86" s="22" t="s">
        <v>13</v>
      </c>
      <c r="D86" s="21" t="s">
        <v>19</v>
      </c>
      <c r="E86" s="19" t="s">
        <v>170</v>
      </c>
      <c r="F86" s="19" t="n">
        <v>3</v>
      </c>
      <c r="G86" s="19" t="s">
        <v>171</v>
      </c>
    </row>
    <row r="88" customFormat="false" ht="15" hidden="false" customHeight="false" outlineLevel="0" collapsed="false">
      <c r="A88" s="5" t="s">
        <v>602</v>
      </c>
      <c r="B88" s="5"/>
      <c r="C88" s="5"/>
      <c r="D88" s="5"/>
      <c r="E88" s="5"/>
      <c r="F88" s="5"/>
      <c r="G88" s="5"/>
    </row>
    <row r="89" customFormat="false" ht="15" hidden="false" customHeight="false" outlineLevel="0" collapsed="false">
      <c r="A89" s="6" t="s">
        <v>47</v>
      </c>
      <c r="B89" s="6" t="s">
        <v>48</v>
      </c>
      <c r="C89" s="6" t="s">
        <v>9</v>
      </c>
      <c r="D89" s="6" t="s">
        <v>18</v>
      </c>
      <c r="E89" s="6" t="s">
        <v>49</v>
      </c>
      <c r="F89" s="6" t="s">
        <v>583</v>
      </c>
      <c r="G89" s="6" t="s">
        <v>50</v>
      </c>
    </row>
    <row r="90" customFormat="false" ht="68.65" hidden="false" customHeight="false" outlineLevel="0" collapsed="false">
      <c r="A90" s="19" t="s">
        <v>163</v>
      </c>
      <c r="B90" s="19" t="s">
        <v>164</v>
      </c>
      <c r="C90" s="20" t="s">
        <v>12</v>
      </c>
      <c r="D90" s="21" t="s">
        <v>19</v>
      </c>
      <c r="E90" s="19" t="s">
        <v>165</v>
      </c>
      <c r="F90" s="19" t="n">
        <v>2</v>
      </c>
      <c r="G90" s="19" t="s">
        <v>166</v>
      </c>
    </row>
    <row r="92" customFormat="false" ht="15" hidden="false" customHeight="false" outlineLevel="0" collapsed="false">
      <c r="A92" s="5" t="s">
        <v>603</v>
      </c>
      <c r="B92" s="5"/>
      <c r="C92" s="5"/>
      <c r="D92" s="5"/>
      <c r="E92" s="5"/>
      <c r="F92" s="5"/>
      <c r="G92" s="5"/>
    </row>
    <row r="93" customFormat="false" ht="15" hidden="false" customHeight="false" outlineLevel="0" collapsed="false">
      <c r="A93" s="6" t="s">
        <v>47</v>
      </c>
      <c r="B93" s="6" t="s">
        <v>48</v>
      </c>
      <c r="C93" s="6" t="s">
        <v>9</v>
      </c>
      <c r="D93" s="6" t="s">
        <v>18</v>
      </c>
      <c r="E93" s="6" t="s">
        <v>49</v>
      </c>
      <c r="F93" s="6" t="s">
        <v>583</v>
      </c>
      <c r="G93" s="6" t="s">
        <v>50</v>
      </c>
    </row>
    <row r="94" customFormat="false" ht="68.65" hidden="false" customHeight="false" outlineLevel="0" collapsed="false">
      <c r="A94" s="19" t="s">
        <v>108</v>
      </c>
      <c r="B94" s="19" t="s">
        <v>109</v>
      </c>
      <c r="C94" s="20" t="s">
        <v>12</v>
      </c>
      <c r="D94" s="21" t="s">
        <v>19</v>
      </c>
      <c r="E94" s="19" t="s">
        <v>110</v>
      </c>
      <c r="F94" s="19" t="n">
        <v>2</v>
      </c>
      <c r="G94" s="19" t="s">
        <v>111</v>
      </c>
    </row>
    <row r="95" customFormat="false" ht="57.45" hidden="false" customHeight="false" outlineLevel="0" collapsed="false">
      <c r="A95" s="19" t="s">
        <v>352</v>
      </c>
      <c r="B95" s="19" t="s">
        <v>353</v>
      </c>
      <c r="C95" s="20" t="s">
        <v>12</v>
      </c>
      <c r="D95" s="27" t="s">
        <v>21</v>
      </c>
      <c r="E95" s="19" t="s">
        <v>354</v>
      </c>
      <c r="F95" s="19" t="n">
        <v>4</v>
      </c>
      <c r="G95" s="19" t="s">
        <v>355</v>
      </c>
    </row>
    <row r="96" customFormat="false" ht="68.65" hidden="false" customHeight="false" outlineLevel="0" collapsed="false">
      <c r="A96" s="19" t="s">
        <v>357</v>
      </c>
      <c r="B96" s="19" t="s">
        <v>358</v>
      </c>
      <c r="C96" s="20" t="s">
        <v>12</v>
      </c>
      <c r="D96" s="27" t="s">
        <v>21</v>
      </c>
      <c r="E96" s="19" t="s">
        <v>359</v>
      </c>
      <c r="F96" s="19" t="n">
        <v>4</v>
      </c>
      <c r="G96" s="19" t="s">
        <v>360</v>
      </c>
    </row>
    <row r="97" customFormat="false" ht="35.05" hidden="false" customHeight="false" outlineLevel="0" collapsed="false">
      <c r="A97" s="19" t="s">
        <v>362</v>
      </c>
      <c r="B97" s="19" t="s">
        <v>363</v>
      </c>
      <c r="C97" s="20" t="s">
        <v>12</v>
      </c>
      <c r="D97" s="27" t="s">
        <v>21</v>
      </c>
      <c r="E97" s="19" t="s">
        <v>364</v>
      </c>
      <c r="F97" s="19" t="n">
        <v>4</v>
      </c>
      <c r="G97" s="19" t="s">
        <v>365</v>
      </c>
    </row>
    <row r="98" customFormat="false" ht="35.05" hidden="false" customHeight="false" outlineLevel="0" collapsed="false">
      <c r="A98" s="19" t="s">
        <v>367</v>
      </c>
      <c r="B98" s="19" t="s">
        <v>368</v>
      </c>
      <c r="C98" s="20" t="s">
        <v>12</v>
      </c>
      <c r="D98" s="27" t="s">
        <v>21</v>
      </c>
      <c r="E98" s="19" t="s">
        <v>369</v>
      </c>
      <c r="F98" s="19" t="n">
        <v>3</v>
      </c>
      <c r="G98" s="19" t="s">
        <v>370</v>
      </c>
    </row>
    <row r="99" customFormat="false" ht="79.85" hidden="false" customHeight="false" outlineLevel="0" collapsed="false">
      <c r="A99" s="19" t="s">
        <v>372</v>
      </c>
      <c r="B99" s="19" t="s">
        <v>373</v>
      </c>
      <c r="C99" s="20" t="s">
        <v>12</v>
      </c>
      <c r="D99" s="27" t="s">
        <v>21</v>
      </c>
      <c r="E99" s="19" t="s">
        <v>374</v>
      </c>
      <c r="F99" s="19" t="n">
        <v>5</v>
      </c>
      <c r="G99" s="19" t="s">
        <v>375</v>
      </c>
    </row>
    <row r="100" customFormat="false" ht="68.65" hidden="false" customHeight="false" outlineLevel="0" collapsed="false">
      <c r="A100" s="19" t="s">
        <v>377</v>
      </c>
      <c r="B100" s="19" t="s">
        <v>378</v>
      </c>
      <c r="C100" s="22" t="s">
        <v>13</v>
      </c>
      <c r="D100" s="27" t="s">
        <v>21</v>
      </c>
      <c r="E100" s="19" t="s">
        <v>379</v>
      </c>
      <c r="F100" s="19" t="n">
        <v>3</v>
      </c>
      <c r="G100" s="19" t="s">
        <v>380</v>
      </c>
    </row>
    <row r="101" customFormat="false" ht="68.65" hidden="false" customHeight="false" outlineLevel="0" collapsed="false">
      <c r="A101" s="19" t="s">
        <v>391</v>
      </c>
      <c r="B101" s="19" t="s">
        <v>392</v>
      </c>
      <c r="C101" s="22" t="s">
        <v>13</v>
      </c>
      <c r="D101" s="27" t="s">
        <v>21</v>
      </c>
      <c r="E101" s="19" t="s">
        <v>393</v>
      </c>
      <c r="F101" s="19" t="n">
        <v>4</v>
      </c>
      <c r="G101" s="19" t="s">
        <v>394</v>
      </c>
    </row>
    <row r="102" customFormat="false" ht="46.25" hidden="false" customHeight="false" outlineLevel="0" collapsed="false">
      <c r="A102" s="19" t="s">
        <v>396</v>
      </c>
      <c r="B102" s="19" t="s">
        <v>397</v>
      </c>
      <c r="C102" s="23" t="s">
        <v>14</v>
      </c>
      <c r="D102" s="27" t="s">
        <v>21</v>
      </c>
      <c r="E102" s="19" t="s">
        <v>398</v>
      </c>
      <c r="F102" s="19" t="n">
        <v>0.5</v>
      </c>
      <c r="G102" s="19" t="s">
        <v>399</v>
      </c>
    </row>
    <row r="104" customFormat="false" ht="15" hidden="false" customHeight="false" outlineLevel="0" collapsed="false">
      <c r="A104" s="5" t="s">
        <v>604</v>
      </c>
      <c r="B104" s="5"/>
      <c r="C104" s="5"/>
      <c r="D104" s="5"/>
      <c r="E104" s="5"/>
      <c r="F104" s="5"/>
      <c r="G104" s="5"/>
    </row>
    <row r="105" customFormat="false" ht="15" hidden="false" customHeight="false" outlineLevel="0" collapsed="false">
      <c r="A105" s="6" t="s">
        <v>47</v>
      </c>
      <c r="B105" s="6" t="s">
        <v>48</v>
      </c>
      <c r="C105" s="6" t="s">
        <v>9</v>
      </c>
      <c r="D105" s="6" t="s">
        <v>18</v>
      </c>
      <c r="E105" s="6" t="s">
        <v>49</v>
      </c>
      <c r="F105" s="6" t="s">
        <v>583</v>
      </c>
      <c r="G105" s="6" t="s">
        <v>50</v>
      </c>
    </row>
    <row r="106" customFormat="false" ht="57.45" hidden="false" customHeight="false" outlineLevel="0" collapsed="false">
      <c r="A106" s="19" t="s">
        <v>342</v>
      </c>
      <c r="B106" s="19" t="s">
        <v>343</v>
      </c>
      <c r="C106" s="20" t="s">
        <v>12</v>
      </c>
      <c r="D106" s="27" t="s">
        <v>21</v>
      </c>
      <c r="E106" s="19" t="s">
        <v>344</v>
      </c>
      <c r="F106" s="19" t="n">
        <v>6</v>
      </c>
      <c r="G106" s="19" t="s">
        <v>345</v>
      </c>
    </row>
    <row r="108" customFormat="false" ht="15" hidden="false" customHeight="false" outlineLevel="0" collapsed="false">
      <c r="A108" s="5" t="s">
        <v>605</v>
      </c>
      <c r="B108" s="5"/>
      <c r="C108" s="5"/>
      <c r="D108" s="5"/>
      <c r="E108" s="5"/>
      <c r="F108" s="5"/>
      <c r="G108" s="5"/>
    </row>
    <row r="109" customFormat="false" ht="15" hidden="false" customHeight="false" outlineLevel="0" collapsed="false">
      <c r="A109" s="6" t="s">
        <v>47</v>
      </c>
      <c r="B109" s="6" t="s">
        <v>48</v>
      </c>
      <c r="C109" s="6" t="s">
        <v>9</v>
      </c>
      <c r="D109" s="6" t="s">
        <v>18</v>
      </c>
      <c r="E109" s="6" t="s">
        <v>49</v>
      </c>
      <c r="F109" s="6" t="s">
        <v>583</v>
      </c>
      <c r="G109" s="6" t="s">
        <v>50</v>
      </c>
    </row>
    <row r="110" customFormat="false" ht="46.25" hidden="false" customHeight="false" outlineLevel="0" collapsed="false">
      <c r="A110" s="19" t="s">
        <v>406</v>
      </c>
      <c r="B110" s="19" t="s">
        <v>407</v>
      </c>
      <c r="C110" s="22" t="s">
        <v>13</v>
      </c>
      <c r="D110" s="27" t="s">
        <v>21</v>
      </c>
      <c r="E110" s="19" t="s">
        <v>408</v>
      </c>
      <c r="F110" s="19" t="n">
        <v>4</v>
      </c>
      <c r="G110" s="19" t="s">
        <v>409</v>
      </c>
    </row>
    <row r="111" customFormat="false" ht="35.05" hidden="false" customHeight="false" outlineLevel="0" collapsed="false">
      <c r="A111" s="19" t="s">
        <v>411</v>
      </c>
      <c r="B111" s="19" t="s">
        <v>412</v>
      </c>
      <c r="C111" s="22" t="s">
        <v>13</v>
      </c>
      <c r="D111" s="27" t="s">
        <v>21</v>
      </c>
      <c r="E111" s="19" t="s">
        <v>413</v>
      </c>
      <c r="F111" s="19" t="n">
        <v>2</v>
      </c>
      <c r="G111" s="19" t="s">
        <v>414</v>
      </c>
    </row>
    <row r="112" customFormat="false" ht="23.85" hidden="false" customHeight="false" outlineLevel="0" collapsed="false">
      <c r="A112" s="19" t="s">
        <v>426</v>
      </c>
      <c r="B112" s="19" t="s">
        <v>427</v>
      </c>
      <c r="C112" s="23" t="s">
        <v>14</v>
      </c>
      <c r="D112" s="27" t="s">
        <v>21</v>
      </c>
      <c r="E112" s="19" t="s">
        <v>428</v>
      </c>
      <c r="F112" s="19" t="n">
        <v>3</v>
      </c>
      <c r="G112" s="19" t="s">
        <v>429</v>
      </c>
    </row>
    <row r="113" customFormat="false" ht="46.25" hidden="false" customHeight="false" outlineLevel="0" collapsed="false">
      <c r="A113" s="19" t="s">
        <v>446</v>
      </c>
      <c r="B113" s="19" t="s">
        <v>447</v>
      </c>
      <c r="C113" s="23" t="s">
        <v>14</v>
      </c>
      <c r="D113" s="27" t="s">
        <v>21</v>
      </c>
      <c r="E113" s="19" t="s">
        <v>448</v>
      </c>
      <c r="F113" s="19" t="n">
        <v>1</v>
      </c>
      <c r="G113" s="19" t="s">
        <v>449</v>
      </c>
    </row>
    <row r="114" customFormat="false" ht="35.05" hidden="false" customHeight="false" outlineLevel="0" collapsed="false">
      <c r="A114" s="19" t="s">
        <v>456</v>
      </c>
      <c r="B114" s="19" t="s">
        <v>457</v>
      </c>
      <c r="C114" s="22" t="s">
        <v>13</v>
      </c>
      <c r="D114" s="27" t="s">
        <v>21</v>
      </c>
      <c r="E114" s="19" t="s">
        <v>458</v>
      </c>
      <c r="F114" s="19" t="n">
        <v>3</v>
      </c>
      <c r="G114" s="19" t="s">
        <v>459</v>
      </c>
    </row>
    <row r="115" customFormat="false" ht="35.05" hidden="false" customHeight="false" outlineLevel="0" collapsed="false">
      <c r="A115" s="19" t="s">
        <v>461</v>
      </c>
      <c r="B115" s="19" t="s">
        <v>462</v>
      </c>
      <c r="C115" s="22" t="s">
        <v>13</v>
      </c>
      <c r="D115" s="27" t="s">
        <v>21</v>
      </c>
      <c r="E115" s="19" t="s">
        <v>463</v>
      </c>
      <c r="F115" s="19" t="n">
        <v>3</v>
      </c>
      <c r="G115" s="19" t="s">
        <v>464</v>
      </c>
    </row>
    <row r="117" customFormat="false" ht="15" hidden="false" customHeight="false" outlineLevel="0" collapsed="false">
      <c r="A117" s="5" t="s">
        <v>606</v>
      </c>
      <c r="B117" s="5"/>
      <c r="C117" s="5"/>
      <c r="D117" s="5"/>
      <c r="E117" s="5"/>
      <c r="F117" s="5"/>
      <c r="G117" s="5"/>
    </row>
    <row r="118" customFormat="false" ht="15" hidden="false" customHeight="false" outlineLevel="0" collapsed="false">
      <c r="A118" s="6" t="s">
        <v>47</v>
      </c>
      <c r="B118" s="6" t="s">
        <v>48</v>
      </c>
      <c r="C118" s="6" t="s">
        <v>9</v>
      </c>
      <c r="D118" s="6" t="s">
        <v>18</v>
      </c>
      <c r="E118" s="6" t="s">
        <v>49</v>
      </c>
      <c r="F118" s="6" t="s">
        <v>583</v>
      </c>
      <c r="G118" s="6" t="s">
        <v>50</v>
      </c>
    </row>
    <row r="119" customFormat="false" ht="68.65" hidden="false" customHeight="false" outlineLevel="0" collapsed="false">
      <c r="A119" s="19" t="s">
        <v>228</v>
      </c>
      <c r="B119" s="19" t="s">
        <v>229</v>
      </c>
      <c r="C119" s="22" t="s">
        <v>13</v>
      </c>
      <c r="D119" s="24" t="s">
        <v>20</v>
      </c>
      <c r="E119" s="19" t="s">
        <v>230</v>
      </c>
      <c r="F119" s="19" t="n">
        <v>8</v>
      </c>
      <c r="G119" s="19" t="s">
        <v>231</v>
      </c>
    </row>
    <row r="121" customFormat="false" ht="15" hidden="false" customHeight="false" outlineLevel="0" collapsed="false">
      <c r="A121" s="5" t="s">
        <v>607</v>
      </c>
      <c r="B121" s="5"/>
      <c r="C121" s="5"/>
      <c r="D121" s="5"/>
      <c r="E121" s="5"/>
      <c r="F121" s="5"/>
      <c r="G121" s="5"/>
    </row>
    <row r="122" customFormat="false" ht="15" hidden="false" customHeight="false" outlineLevel="0" collapsed="false">
      <c r="A122" s="6" t="s">
        <v>47</v>
      </c>
      <c r="B122" s="6" t="s">
        <v>48</v>
      </c>
      <c r="C122" s="6" t="s">
        <v>9</v>
      </c>
      <c r="D122" s="6" t="s">
        <v>18</v>
      </c>
      <c r="E122" s="6" t="s">
        <v>49</v>
      </c>
      <c r="F122" s="6" t="s">
        <v>583</v>
      </c>
      <c r="G122" s="6" t="s">
        <v>50</v>
      </c>
    </row>
    <row r="123" customFormat="false" ht="68.65" hidden="false" customHeight="false" outlineLevel="0" collapsed="false">
      <c r="A123" s="19" t="s">
        <v>421</v>
      </c>
      <c r="B123" s="19" t="s">
        <v>422</v>
      </c>
      <c r="C123" s="20" t="s">
        <v>12</v>
      </c>
      <c r="D123" s="27" t="s">
        <v>21</v>
      </c>
      <c r="E123" s="19" t="s">
        <v>423</v>
      </c>
      <c r="F123" s="19" t="n">
        <v>3</v>
      </c>
      <c r="G123" s="19" t="s">
        <v>424</v>
      </c>
    </row>
    <row r="125" customFormat="false" ht="15" hidden="false" customHeight="false" outlineLevel="0" collapsed="false">
      <c r="A125" s="5" t="s">
        <v>608</v>
      </c>
      <c r="B125" s="5"/>
      <c r="C125" s="5"/>
      <c r="D125" s="5"/>
      <c r="E125" s="5"/>
      <c r="F125" s="5"/>
      <c r="G125" s="5"/>
    </row>
    <row r="126" customFormat="false" ht="15" hidden="false" customHeight="false" outlineLevel="0" collapsed="false">
      <c r="A126" s="6" t="s">
        <v>47</v>
      </c>
      <c r="B126" s="6" t="s">
        <v>48</v>
      </c>
      <c r="C126" s="6" t="s">
        <v>9</v>
      </c>
      <c r="D126" s="6" t="s">
        <v>18</v>
      </c>
      <c r="E126" s="6" t="s">
        <v>49</v>
      </c>
      <c r="F126" s="6" t="s">
        <v>583</v>
      </c>
      <c r="G126" s="6" t="s">
        <v>50</v>
      </c>
    </row>
    <row r="127" customFormat="false" ht="46.25" hidden="false" customHeight="false" outlineLevel="0" collapsed="false">
      <c r="A127" s="19" t="s">
        <v>511</v>
      </c>
      <c r="B127" s="19" t="s">
        <v>512</v>
      </c>
      <c r="C127" s="22" t="s">
        <v>13</v>
      </c>
      <c r="D127" s="28" t="s">
        <v>22</v>
      </c>
      <c r="E127" s="19" t="s">
        <v>513</v>
      </c>
      <c r="F127" s="19" t="n">
        <v>5</v>
      </c>
      <c r="G127" s="19" t="s">
        <v>514</v>
      </c>
    </row>
    <row r="129" customFormat="false" ht="15" hidden="false" customHeight="false" outlineLevel="0" collapsed="false">
      <c r="A129" s="5" t="s">
        <v>609</v>
      </c>
      <c r="B129" s="5"/>
      <c r="C129" s="5"/>
      <c r="D129" s="5"/>
      <c r="E129" s="5"/>
      <c r="F129" s="5"/>
      <c r="G129" s="5"/>
    </row>
    <row r="130" customFormat="false" ht="15" hidden="false" customHeight="false" outlineLevel="0" collapsed="false">
      <c r="A130" s="6" t="s">
        <v>47</v>
      </c>
      <c r="B130" s="6" t="s">
        <v>48</v>
      </c>
      <c r="C130" s="6" t="s">
        <v>9</v>
      </c>
      <c r="D130" s="6" t="s">
        <v>18</v>
      </c>
      <c r="E130" s="6" t="s">
        <v>49</v>
      </c>
      <c r="F130" s="6" t="s">
        <v>583</v>
      </c>
      <c r="G130" s="6" t="s">
        <v>50</v>
      </c>
    </row>
    <row r="131" customFormat="false" ht="23.85" hidden="false" customHeight="false" outlineLevel="0" collapsed="false">
      <c r="A131" s="19" t="s">
        <v>332</v>
      </c>
      <c r="B131" s="19" t="s">
        <v>333</v>
      </c>
      <c r="C131" s="25" t="s">
        <v>15</v>
      </c>
      <c r="D131" s="24" t="s">
        <v>20</v>
      </c>
      <c r="E131" s="19" t="s">
        <v>334</v>
      </c>
      <c r="F131" s="19" t="n">
        <v>3</v>
      </c>
      <c r="G131" s="19" t="s">
        <v>335</v>
      </c>
    </row>
    <row r="132" customFormat="false" ht="57.45" hidden="false" customHeight="false" outlineLevel="0" collapsed="false">
      <c r="A132" s="19" t="s">
        <v>347</v>
      </c>
      <c r="B132" s="19" t="s">
        <v>348</v>
      </c>
      <c r="C132" s="20" t="s">
        <v>12</v>
      </c>
      <c r="D132" s="27" t="s">
        <v>21</v>
      </c>
      <c r="E132" s="19" t="s">
        <v>349</v>
      </c>
      <c r="F132" s="19" t="n">
        <v>6</v>
      </c>
      <c r="G132" s="19" t="s">
        <v>350</v>
      </c>
    </row>
    <row r="133" customFormat="false" ht="46.25" hidden="false" customHeight="false" outlineLevel="0" collapsed="false">
      <c r="A133" s="19" t="s">
        <v>451</v>
      </c>
      <c r="B133" s="19" t="s">
        <v>452</v>
      </c>
      <c r="C133" s="22" t="s">
        <v>13</v>
      </c>
      <c r="D133" s="27" t="s">
        <v>21</v>
      </c>
      <c r="E133" s="19" t="s">
        <v>453</v>
      </c>
      <c r="F133" s="19" t="n">
        <v>2</v>
      </c>
      <c r="G133" s="19" t="s">
        <v>454</v>
      </c>
    </row>
    <row r="135" customFormat="false" ht="15" hidden="false" customHeight="false" outlineLevel="0" collapsed="false">
      <c r="A135" s="5" t="s">
        <v>610</v>
      </c>
      <c r="B135" s="5"/>
      <c r="C135" s="5"/>
      <c r="D135" s="5"/>
      <c r="E135" s="5"/>
      <c r="F135" s="5"/>
      <c r="G135" s="5"/>
    </row>
    <row r="136" customFormat="false" ht="15" hidden="false" customHeight="false" outlineLevel="0" collapsed="false">
      <c r="A136" s="6" t="s">
        <v>47</v>
      </c>
      <c r="B136" s="6" t="s">
        <v>48</v>
      </c>
      <c r="C136" s="6" t="s">
        <v>9</v>
      </c>
      <c r="D136" s="6" t="s">
        <v>18</v>
      </c>
      <c r="E136" s="6" t="s">
        <v>49</v>
      </c>
      <c r="F136" s="6" t="s">
        <v>583</v>
      </c>
      <c r="G136" s="6" t="s">
        <v>50</v>
      </c>
    </row>
    <row r="137" customFormat="false" ht="57.45" hidden="false" customHeight="false" outlineLevel="0" collapsed="false">
      <c r="A137" s="19" t="s">
        <v>431</v>
      </c>
      <c r="B137" s="19" t="s">
        <v>432</v>
      </c>
      <c r="C137" s="20" t="s">
        <v>12</v>
      </c>
      <c r="D137" s="27" t="s">
        <v>21</v>
      </c>
      <c r="E137" s="19" t="s">
        <v>433</v>
      </c>
      <c r="F137" s="19" t="n">
        <v>1</v>
      </c>
      <c r="G137" s="19" t="s">
        <v>434</v>
      </c>
    </row>
    <row r="139" customFormat="false" ht="15" hidden="false" customHeight="false" outlineLevel="0" collapsed="false">
      <c r="A139" s="5" t="s">
        <v>611</v>
      </c>
      <c r="B139" s="5"/>
      <c r="C139" s="5"/>
      <c r="D139" s="5"/>
      <c r="E139" s="5"/>
      <c r="F139" s="5"/>
      <c r="G139" s="5"/>
    </row>
    <row r="140" customFormat="false" ht="15" hidden="false" customHeight="false" outlineLevel="0" collapsed="false">
      <c r="A140" s="6" t="s">
        <v>47</v>
      </c>
      <c r="B140" s="6" t="s">
        <v>48</v>
      </c>
      <c r="C140" s="6" t="s">
        <v>9</v>
      </c>
      <c r="D140" s="6" t="s">
        <v>18</v>
      </c>
      <c r="E140" s="6" t="s">
        <v>49</v>
      </c>
      <c r="F140" s="6" t="s">
        <v>583</v>
      </c>
      <c r="G140" s="6" t="s">
        <v>50</v>
      </c>
    </row>
    <row r="141" customFormat="false" ht="35.05" hidden="false" customHeight="false" outlineLevel="0" collapsed="false">
      <c r="A141" s="19" t="s">
        <v>476</v>
      </c>
      <c r="B141" s="19" t="s">
        <v>477</v>
      </c>
      <c r="C141" s="20" t="s">
        <v>12</v>
      </c>
      <c r="D141" s="28" t="s">
        <v>22</v>
      </c>
      <c r="E141" s="19" t="s">
        <v>478</v>
      </c>
      <c r="F141" s="19" t="n">
        <v>3</v>
      </c>
      <c r="G141" s="19" t="s">
        <v>479</v>
      </c>
    </row>
    <row r="142" customFormat="false" ht="35.05" hidden="false" customHeight="false" outlineLevel="0" collapsed="false">
      <c r="A142" s="19" t="s">
        <v>481</v>
      </c>
      <c r="B142" s="19" t="s">
        <v>482</v>
      </c>
      <c r="C142" s="22" t="s">
        <v>13</v>
      </c>
      <c r="D142" s="28" t="s">
        <v>22</v>
      </c>
      <c r="E142" s="19" t="s">
        <v>483</v>
      </c>
      <c r="F142" s="19" t="n">
        <v>6</v>
      </c>
      <c r="G142" s="19" t="s">
        <v>484</v>
      </c>
    </row>
    <row r="143" customFormat="false" ht="46.25" hidden="false" customHeight="false" outlineLevel="0" collapsed="false">
      <c r="A143" s="19" t="s">
        <v>491</v>
      </c>
      <c r="B143" s="19" t="s">
        <v>492</v>
      </c>
      <c r="C143" s="20" t="s">
        <v>12</v>
      </c>
      <c r="D143" s="28" t="s">
        <v>22</v>
      </c>
      <c r="E143" s="19" t="s">
        <v>493</v>
      </c>
      <c r="F143" s="19" t="n">
        <v>2</v>
      </c>
      <c r="G143" s="19" t="s">
        <v>494</v>
      </c>
    </row>
    <row r="144" customFormat="false" ht="57.45" hidden="false" customHeight="false" outlineLevel="0" collapsed="false">
      <c r="A144" s="19" t="s">
        <v>526</v>
      </c>
      <c r="B144" s="19" t="s">
        <v>527</v>
      </c>
      <c r="C144" s="23" t="s">
        <v>14</v>
      </c>
      <c r="D144" s="28" t="s">
        <v>22</v>
      </c>
      <c r="E144" s="19" t="s">
        <v>528</v>
      </c>
      <c r="F144" s="19" t="n">
        <v>6</v>
      </c>
      <c r="G144" s="19" t="s">
        <v>529</v>
      </c>
    </row>
    <row r="145" customFormat="false" ht="46.25" hidden="false" customHeight="false" outlineLevel="0" collapsed="false">
      <c r="A145" s="19" t="s">
        <v>531</v>
      </c>
      <c r="B145" s="19" t="s">
        <v>532</v>
      </c>
      <c r="C145" s="23" t="s">
        <v>14</v>
      </c>
      <c r="D145" s="28" t="s">
        <v>22</v>
      </c>
      <c r="E145" s="19" t="s">
        <v>533</v>
      </c>
      <c r="F145" s="19" t="n">
        <v>1.5</v>
      </c>
      <c r="G145" s="19" t="s">
        <v>534</v>
      </c>
    </row>
    <row r="146" customFormat="false" ht="46.25" hidden="false" customHeight="false" outlineLevel="0" collapsed="false">
      <c r="A146" s="19" t="s">
        <v>536</v>
      </c>
      <c r="B146" s="19" t="s">
        <v>537</v>
      </c>
      <c r="C146" s="22" t="s">
        <v>13</v>
      </c>
      <c r="D146" s="28" t="s">
        <v>22</v>
      </c>
      <c r="E146" s="19" t="s">
        <v>538</v>
      </c>
      <c r="F146" s="19" t="n">
        <v>5</v>
      </c>
      <c r="G146" s="19" t="s">
        <v>539</v>
      </c>
    </row>
    <row r="147" customFormat="false" ht="35.05" hidden="false" customHeight="false" outlineLevel="0" collapsed="false">
      <c r="A147" s="19" t="s">
        <v>541</v>
      </c>
      <c r="B147" s="19" t="s">
        <v>542</v>
      </c>
      <c r="C147" s="23" t="s">
        <v>14</v>
      </c>
      <c r="D147" s="28" t="s">
        <v>22</v>
      </c>
      <c r="E147" s="19" t="s">
        <v>543</v>
      </c>
      <c r="F147" s="19" t="n">
        <v>5</v>
      </c>
      <c r="G147" s="19" t="s">
        <v>544</v>
      </c>
    </row>
    <row r="148" customFormat="false" ht="35.05" hidden="false" customHeight="false" outlineLevel="0" collapsed="false">
      <c r="A148" s="19" t="s">
        <v>546</v>
      </c>
      <c r="B148" s="19" t="s">
        <v>547</v>
      </c>
      <c r="C148" s="22" t="s">
        <v>13</v>
      </c>
      <c r="D148" s="28" t="s">
        <v>22</v>
      </c>
      <c r="E148" s="19" t="s">
        <v>548</v>
      </c>
      <c r="F148" s="19" t="n">
        <v>6</v>
      </c>
      <c r="G148" s="19" t="s">
        <v>549</v>
      </c>
    </row>
    <row r="149" customFormat="false" ht="35.05" hidden="false" customHeight="false" outlineLevel="0" collapsed="false">
      <c r="A149" s="19" t="s">
        <v>551</v>
      </c>
      <c r="B149" s="19" t="s">
        <v>552</v>
      </c>
      <c r="C149" s="22" t="s">
        <v>13</v>
      </c>
      <c r="D149" s="28" t="s">
        <v>22</v>
      </c>
      <c r="E149" s="19" t="s">
        <v>553</v>
      </c>
      <c r="F149" s="19" t="n">
        <v>6</v>
      </c>
      <c r="G149" s="19" t="s">
        <v>554</v>
      </c>
    </row>
    <row r="150" customFormat="false" ht="35.05" hidden="false" customHeight="false" outlineLevel="0" collapsed="false">
      <c r="A150" s="19" t="s">
        <v>556</v>
      </c>
      <c r="B150" s="19" t="s">
        <v>557</v>
      </c>
      <c r="C150" s="23" t="s">
        <v>14</v>
      </c>
      <c r="D150" s="28" t="s">
        <v>22</v>
      </c>
      <c r="E150" s="19" t="s">
        <v>558</v>
      </c>
      <c r="F150" s="19" t="n">
        <v>5</v>
      </c>
      <c r="G150" s="19" t="s">
        <v>559</v>
      </c>
    </row>
    <row r="151" customFormat="false" ht="35.05" hidden="false" customHeight="false" outlineLevel="0" collapsed="false">
      <c r="A151" s="19" t="s">
        <v>561</v>
      </c>
      <c r="B151" s="19" t="s">
        <v>562</v>
      </c>
      <c r="C151" s="23" t="s">
        <v>14</v>
      </c>
      <c r="D151" s="28" t="s">
        <v>22</v>
      </c>
      <c r="E151" s="19" t="s">
        <v>563</v>
      </c>
      <c r="F151" s="19" t="n">
        <v>1.5</v>
      </c>
      <c r="G151" s="19" t="s">
        <v>564</v>
      </c>
    </row>
    <row r="152" customFormat="false" ht="46.25" hidden="false" customHeight="false" outlineLevel="0" collapsed="false">
      <c r="A152" s="19" t="s">
        <v>566</v>
      </c>
      <c r="B152" s="19" t="s">
        <v>567</v>
      </c>
      <c r="C152" s="23" t="s">
        <v>14</v>
      </c>
      <c r="D152" s="28" t="s">
        <v>22</v>
      </c>
      <c r="E152" s="19" t="s">
        <v>568</v>
      </c>
      <c r="F152" s="19" t="n">
        <v>3</v>
      </c>
      <c r="G152" s="19" t="s">
        <v>569</v>
      </c>
    </row>
    <row r="153" customFormat="false" ht="35.05" hidden="false" customHeight="false" outlineLevel="0" collapsed="false">
      <c r="A153" s="19" t="s">
        <v>571</v>
      </c>
      <c r="B153" s="19" t="s">
        <v>572</v>
      </c>
      <c r="C153" s="23" t="s">
        <v>14</v>
      </c>
      <c r="D153" s="28" t="s">
        <v>22</v>
      </c>
      <c r="E153" s="19" t="s">
        <v>573</v>
      </c>
      <c r="F153" s="19" t="n">
        <v>3</v>
      </c>
      <c r="G153" s="19" t="s">
        <v>574</v>
      </c>
    </row>
    <row r="154" customFormat="false" ht="23.85" hidden="false" customHeight="false" outlineLevel="0" collapsed="false">
      <c r="A154" s="19" t="s">
        <v>576</v>
      </c>
      <c r="B154" s="19" t="s">
        <v>577</v>
      </c>
      <c r="C154" s="22" t="s">
        <v>13</v>
      </c>
      <c r="D154" s="28" t="s">
        <v>22</v>
      </c>
      <c r="E154" s="19" t="s">
        <v>578</v>
      </c>
      <c r="F154" s="19" t="n">
        <v>7</v>
      </c>
      <c r="G154" s="19" t="s">
        <v>579</v>
      </c>
    </row>
    <row r="156" customFormat="false" ht="15" hidden="false" customHeight="false" outlineLevel="0" collapsed="false">
      <c r="A156" s="5" t="s">
        <v>612</v>
      </c>
      <c r="B156" s="5"/>
      <c r="C156" s="5"/>
      <c r="D156" s="5"/>
      <c r="E156" s="5"/>
      <c r="F156" s="5"/>
      <c r="G156" s="5"/>
    </row>
    <row r="157" customFormat="false" ht="15" hidden="false" customHeight="false" outlineLevel="0" collapsed="false">
      <c r="A157" s="6" t="s">
        <v>47</v>
      </c>
      <c r="B157" s="6" t="s">
        <v>48</v>
      </c>
      <c r="C157" s="6" t="s">
        <v>9</v>
      </c>
      <c r="D157" s="6" t="s">
        <v>18</v>
      </c>
      <c r="E157" s="6" t="s">
        <v>49</v>
      </c>
      <c r="F157" s="6" t="s">
        <v>583</v>
      </c>
      <c r="G157" s="6" t="s">
        <v>50</v>
      </c>
    </row>
    <row r="158" customFormat="false" ht="35.05" hidden="false" customHeight="false" outlineLevel="0" collapsed="false">
      <c r="A158" s="19" t="s">
        <v>521</v>
      </c>
      <c r="B158" s="19" t="s">
        <v>522</v>
      </c>
      <c r="C158" s="23" t="s">
        <v>14</v>
      </c>
      <c r="D158" s="28" t="s">
        <v>22</v>
      </c>
      <c r="E158" s="19" t="s">
        <v>523</v>
      </c>
      <c r="F158" s="19" t="n">
        <v>3</v>
      </c>
      <c r="G158" s="19" t="s">
        <v>524</v>
      </c>
    </row>
    <row r="160" customFormat="false" ht="15" hidden="false" customHeight="false" outlineLevel="0" collapsed="false">
      <c r="A160" s="5" t="s">
        <v>613</v>
      </c>
      <c r="B160" s="5"/>
      <c r="C160" s="5"/>
      <c r="D160" s="5"/>
      <c r="E160" s="5"/>
      <c r="F160" s="5"/>
      <c r="G160" s="5"/>
    </row>
    <row r="161" customFormat="false" ht="15" hidden="false" customHeight="false" outlineLevel="0" collapsed="false">
      <c r="A161" s="6" t="s">
        <v>47</v>
      </c>
      <c r="B161" s="6" t="s">
        <v>48</v>
      </c>
      <c r="C161" s="6" t="s">
        <v>9</v>
      </c>
      <c r="D161" s="6" t="s">
        <v>18</v>
      </c>
      <c r="E161" s="6" t="s">
        <v>49</v>
      </c>
      <c r="F161" s="6" t="s">
        <v>583</v>
      </c>
      <c r="G161" s="6" t="s">
        <v>50</v>
      </c>
    </row>
    <row r="162" customFormat="false" ht="57.45" hidden="false" customHeight="false" outlineLevel="0" collapsed="false">
      <c r="A162" s="19" t="s">
        <v>486</v>
      </c>
      <c r="B162" s="19" t="s">
        <v>487</v>
      </c>
      <c r="C162" s="20" t="s">
        <v>12</v>
      </c>
      <c r="D162" s="28" t="s">
        <v>22</v>
      </c>
      <c r="E162" s="19" t="s">
        <v>488</v>
      </c>
      <c r="F162" s="19" t="n">
        <v>3</v>
      </c>
      <c r="G162" s="19" t="s">
        <v>489</v>
      </c>
    </row>
    <row r="163" customFormat="false" ht="46.25" hidden="false" customHeight="false" outlineLevel="0" collapsed="false">
      <c r="A163" s="19" t="s">
        <v>496</v>
      </c>
      <c r="B163" s="19" t="s">
        <v>497</v>
      </c>
      <c r="C163" s="20" t="s">
        <v>12</v>
      </c>
      <c r="D163" s="28" t="s">
        <v>22</v>
      </c>
      <c r="E163" s="19" t="s">
        <v>498</v>
      </c>
      <c r="F163" s="19" t="n">
        <v>3</v>
      </c>
      <c r="G163" s="19" t="s">
        <v>499</v>
      </c>
    </row>
    <row r="164" customFormat="false" ht="57.45" hidden="false" customHeight="false" outlineLevel="0" collapsed="false">
      <c r="A164" s="19" t="s">
        <v>506</v>
      </c>
      <c r="B164" s="19" t="s">
        <v>507</v>
      </c>
      <c r="C164" s="20" t="s">
        <v>12</v>
      </c>
      <c r="D164" s="28" t="s">
        <v>22</v>
      </c>
      <c r="E164" s="19" t="s">
        <v>508</v>
      </c>
      <c r="F164" s="19" t="n">
        <v>4</v>
      </c>
      <c r="G164" s="19" t="s">
        <v>509</v>
      </c>
    </row>
    <row r="166" customFormat="false" ht="15" hidden="false" customHeight="false" outlineLevel="0" collapsed="false">
      <c r="A166" s="5" t="s">
        <v>614</v>
      </c>
      <c r="B166" s="5"/>
      <c r="C166" s="5"/>
      <c r="D166" s="5"/>
      <c r="E166" s="5"/>
      <c r="F166" s="5"/>
      <c r="G166" s="5"/>
    </row>
    <row r="167" customFormat="false" ht="15" hidden="false" customHeight="false" outlineLevel="0" collapsed="false">
      <c r="A167" s="6" t="s">
        <v>47</v>
      </c>
      <c r="B167" s="6" t="s">
        <v>48</v>
      </c>
      <c r="C167" s="6" t="s">
        <v>9</v>
      </c>
      <c r="D167" s="6" t="s">
        <v>18</v>
      </c>
      <c r="E167" s="6" t="s">
        <v>49</v>
      </c>
      <c r="F167" s="6" t="s">
        <v>583</v>
      </c>
      <c r="G167" s="6" t="s">
        <v>50</v>
      </c>
    </row>
    <row r="168" customFormat="false" ht="35.05" hidden="false" customHeight="false" outlineLevel="0" collapsed="false">
      <c r="A168" s="19" t="s">
        <v>501</v>
      </c>
      <c r="B168" s="19" t="s">
        <v>502</v>
      </c>
      <c r="C168" s="22" t="s">
        <v>13</v>
      </c>
      <c r="D168" s="28" t="s">
        <v>22</v>
      </c>
      <c r="E168" s="19" t="s">
        <v>503</v>
      </c>
      <c r="F168" s="19" t="n">
        <v>4</v>
      </c>
      <c r="G168" s="19" t="s">
        <v>504</v>
      </c>
    </row>
    <row r="170" customFormat="false" ht="15" hidden="false" customHeight="false" outlineLevel="0" collapsed="false">
      <c r="A170" s="5" t="s">
        <v>615</v>
      </c>
      <c r="B170" s="5"/>
      <c r="C170" s="5"/>
      <c r="D170" s="5"/>
      <c r="E170" s="5"/>
      <c r="F170" s="5"/>
      <c r="G170" s="5"/>
    </row>
    <row r="171" customFormat="false" ht="15" hidden="false" customHeight="false" outlineLevel="0" collapsed="false">
      <c r="A171" s="6" t="s">
        <v>47</v>
      </c>
      <c r="B171" s="6" t="s">
        <v>48</v>
      </c>
      <c r="C171" s="6" t="s">
        <v>9</v>
      </c>
      <c r="D171" s="6" t="s">
        <v>18</v>
      </c>
      <c r="E171" s="6" t="s">
        <v>49</v>
      </c>
      <c r="F171" s="6" t="s">
        <v>583</v>
      </c>
      <c r="G171" s="6" t="s">
        <v>50</v>
      </c>
    </row>
    <row r="172" customFormat="false" ht="46.25" hidden="false" customHeight="false" outlineLevel="0" collapsed="false">
      <c r="A172" s="19" t="s">
        <v>471</v>
      </c>
      <c r="B172" s="19" t="s">
        <v>472</v>
      </c>
      <c r="C172" s="20" t="s">
        <v>12</v>
      </c>
      <c r="D172" s="28" t="s">
        <v>22</v>
      </c>
      <c r="E172" s="19" t="s">
        <v>473</v>
      </c>
      <c r="F172" s="19" t="n">
        <v>2</v>
      </c>
      <c r="G172" s="19" t="s">
        <v>474</v>
      </c>
    </row>
    <row r="173" customFormat="false" ht="46.25" hidden="false" customHeight="false" outlineLevel="0" collapsed="false">
      <c r="A173" s="19" t="s">
        <v>516</v>
      </c>
      <c r="B173" s="19" t="s">
        <v>517</v>
      </c>
      <c r="C173" s="23" t="s">
        <v>14</v>
      </c>
      <c r="D173" s="28" t="s">
        <v>22</v>
      </c>
      <c r="E173" s="19" t="s">
        <v>518</v>
      </c>
      <c r="F173" s="19" t="n">
        <v>4</v>
      </c>
      <c r="G173" s="19" t="s">
        <v>519</v>
      </c>
    </row>
  </sheetData>
  <mergeCells count="23">
    <mergeCell ref="A1:G1"/>
    <mergeCell ref="A3:G3"/>
    <mergeCell ref="A33:G33"/>
    <mergeCell ref="A44:G44"/>
    <mergeCell ref="A48:G48"/>
    <mergeCell ref="A60:G60"/>
    <mergeCell ref="A73:G73"/>
    <mergeCell ref="A78:G78"/>
    <mergeCell ref="A84:G84"/>
    <mergeCell ref="A88:G88"/>
    <mergeCell ref="A92:G92"/>
    <mergeCell ref="A104:G104"/>
    <mergeCell ref="A108:G108"/>
    <mergeCell ref="A117:G117"/>
    <mergeCell ref="A121:G121"/>
    <mergeCell ref="A125:G125"/>
    <mergeCell ref="A129:G129"/>
    <mergeCell ref="A135:G135"/>
    <mergeCell ref="A139:G139"/>
    <mergeCell ref="A156:G156"/>
    <mergeCell ref="A160:G160"/>
    <mergeCell ref="A166:G166"/>
    <mergeCell ref="A170:G17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2" min="2" style="0" width="12"/>
    <col collapsed="false" customWidth="true" hidden="false" outlineLevel="0" max="4" min="3" style="0" width="14"/>
  </cols>
  <sheetData>
    <row r="1" customFormat="false" ht="22.05" hidden="false" customHeight="false" outlineLevel="0" collapsed="false">
      <c r="A1" s="29" t="s">
        <v>616</v>
      </c>
      <c r="B1" s="29"/>
      <c r="C1" s="29"/>
      <c r="D1" s="29"/>
    </row>
    <row r="3" customFormat="false" ht="15" hidden="false" customHeight="false" outlineLevel="0" collapsed="false">
      <c r="A3" s="6" t="s">
        <v>18</v>
      </c>
      <c r="B3" s="6" t="s">
        <v>10</v>
      </c>
      <c r="C3" s="6" t="s">
        <v>11</v>
      </c>
      <c r="D3" s="6" t="s">
        <v>617</v>
      </c>
    </row>
    <row r="4" customFormat="false" ht="15" hidden="false" customHeight="false" outlineLevel="0" collapsed="false">
      <c r="A4" s="13" t="s">
        <v>19</v>
      </c>
      <c r="B4" s="8" t="n">
        <v>25</v>
      </c>
      <c r="C4" s="8" t="n">
        <v>135.5</v>
      </c>
      <c r="D4" s="38" t="n">
        <f aca="false">C4/542</f>
        <v>0.25</v>
      </c>
    </row>
    <row r="5" customFormat="false" ht="15" hidden="false" customHeight="false" outlineLevel="0" collapsed="false">
      <c r="A5" s="14" t="s">
        <v>20</v>
      </c>
      <c r="B5" s="8" t="n">
        <v>33</v>
      </c>
      <c r="C5" s="8" t="n">
        <v>205</v>
      </c>
      <c r="D5" s="38" t="n">
        <f aca="false">C5/542</f>
        <v>0.378228782287823</v>
      </c>
    </row>
    <row r="6" customFormat="false" ht="15" hidden="false" customHeight="false" outlineLevel="0" collapsed="false">
      <c r="A6" s="15" t="s">
        <v>21</v>
      </c>
      <c r="B6" s="8" t="n">
        <v>26</v>
      </c>
      <c r="C6" s="8" t="n">
        <v>113.5</v>
      </c>
      <c r="D6" s="38" t="n">
        <f aca="false">C6/542</f>
        <v>0.209409594095941</v>
      </c>
    </row>
    <row r="7" customFormat="false" ht="15" hidden="false" customHeight="false" outlineLevel="0" collapsed="false">
      <c r="A7" s="16" t="s">
        <v>22</v>
      </c>
      <c r="B7" s="8" t="n">
        <v>22</v>
      </c>
      <c r="C7" s="8" t="n">
        <v>88</v>
      </c>
      <c r="D7" s="38" t="n">
        <f aca="false">C7/542</f>
        <v>0.162361623616236</v>
      </c>
    </row>
    <row r="8" customFormat="false" ht="15" hidden="false" customHeight="false" outlineLevel="0" collapsed="false">
      <c r="A8" s="39" t="s">
        <v>618</v>
      </c>
      <c r="B8" s="40" t="n">
        <f aca="false">SUM(B4:B7)</f>
        <v>106</v>
      </c>
      <c r="C8" s="40" t="n">
        <f aca="false">SUM(C4:C7)</f>
        <v>542</v>
      </c>
      <c r="D8" s="8" t="s">
        <v>619</v>
      </c>
    </row>
    <row r="10" customFormat="false" ht="15" hidden="false" customHeight="false" outlineLevel="0" collapsed="false">
      <c r="A10" s="5" t="s">
        <v>8</v>
      </c>
      <c r="B10" s="5"/>
      <c r="C10" s="5"/>
      <c r="D10" s="5"/>
    </row>
    <row r="11" customFormat="false" ht="15" hidden="false" customHeight="false" outlineLevel="0" collapsed="false">
      <c r="A11" s="6" t="s">
        <v>9</v>
      </c>
      <c r="B11" s="6" t="s">
        <v>10</v>
      </c>
      <c r="C11" s="6" t="s">
        <v>11</v>
      </c>
      <c r="D11" s="6" t="s">
        <v>617</v>
      </c>
    </row>
    <row r="12" customFormat="false" ht="15" hidden="false" customHeight="false" outlineLevel="0" collapsed="false">
      <c r="A12" s="7" t="s">
        <v>12</v>
      </c>
      <c r="B12" s="8" t="n">
        <v>35</v>
      </c>
      <c r="C12" s="8" t="n">
        <v>191</v>
      </c>
      <c r="D12" s="38" t="n">
        <f aca="false">C12/542</f>
        <v>0.35239852398524</v>
      </c>
    </row>
    <row r="13" customFormat="false" ht="15" hidden="false" customHeight="false" outlineLevel="0" collapsed="false">
      <c r="A13" s="9" t="s">
        <v>13</v>
      </c>
      <c r="B13" s="8" t="n">
        <v>37</v>
      </c>
      <c r="C13" s="8" t="n">
        <v>184</v>
      </c>
      <c r="D13" s="38" t="n">
        <f aca="false">C13/542</f>
        <v>0.339483394833948</v>
      </c>
    </row>
    <row r="14" customFormat="false" ht="15" hidden="false" customHeight="false" outlineLevel="0" collapsed="false">
      <c r="A14" s="10" t="s">
        <v>14</v>
      </c>
      <c r="B14" s="8" t="n">
        <v>32</v>
      </c>
      <c r="C14" s="8" t="n">
        <v>160</v>
      </c>
      <c r="D14" s="38" t="n">
        <f aca="false">C14/542</f>
        <v>0.29520295202952</v>
      </c>
    </row>
    <row r="15" customFormat="false" ht="15" hidden="false" customHeight="false" outlineLevel="0" collapsed="false">
      <c r="A15" s="11" t="s">
        <v>15</v>
      </c>
      <c r="B15" s="8" t="n">
        <v>1</v>
      </c>
      <c r="C15" s="8" t="n">
        <v>3</v>
      </c>
      <c r="D15" s="38" t="n">
        <f aca="false">C15/542</f>
        <v>0.00553505535055351</v>
      </c>
    </row>
    <row r="16" customFormat="false" ht="15" hidden="false" customHeight="false" outlineLevel="0" collapsed="false">
      <c r="A16" s="12" t="s">
        <v>16</v>
      </c>
      <c r="B16" s="8" t="n">
        <v>1</v>
      </c>
      <c r="C16" s="8" t="n">
        <v>4</v>
      </c>
      <c r="D16" s="38" t="n">
        <f aca="false">C16/542</f>
        <v>0.00738007380073801</v>
      </c>
    </row>
  </sheetData>
  <mergeCells count="2">
    <mergeCell ref="A1:D1"/>
    <mergeCell ref="A10:D1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95"/>
    <col collapsed="false" customWidth="true" hidden="false" outlineLevel="0" max="3" min="3" style="0" width="22"/>
  </cols>
  <sheetData>
    <row r="1" customFormat="false" ht="22.05" hidden="false" customHeight="false" outlineLevel="0" collapsed="false">
      <c r="A1" s="29" t="s">
        <v>620</v>
      </c>
      <c r="B1" s="29"/>
      <c r="C1" s="29"/>
    </row>
    <row r="3" customFormat="false" ht="15" hidden="false" customHeight="false" outlineLevel="0" collapsed="false">
      <c r="A3" s="6" t="s">
        <v>621</v>
      </c>
      <c r="B3" s="6" t="s">
        <v>622</v>
      </c>
      <c r="C3" s="6" t="s">
        <v>1</v>
      </c>
    </row>
    <row r="4" customFormat="false" ht="15" hidden="false" customHeight="false" outlineLevel="0" collapsed="false">
      <c r="A4" s="19" t="s">
        <v>623</v>
      </c>
      <c r="B4" s="19" t="s">
        <v>624</v>
      </c>
      <c r="C4" s="19" t="s">
        <v>625</v>
      </c>
    </row>
    <row r="5" customFormat="false" ht="23.85" hidden="false" customHeight="false" outlineLevel="0" collapsed="false">
      <c r="A5" s="19" t="s">
        <v>626</v>
      </c>
      <c r="B5" s="19" t="s">
        <v>627</v>
      </c>
      <c r="C5" s="19" t="s">
        <v>628</v>
      </c>
    </row>
    <row r="6" customFormat="false" ht="23.85" hidden="false" customHeight="false" outlineLevel="0" collapsed="false">
      <c r="A6" s="19" t="s">
        <v>629</v>
      </c>
      <c r="B6" s="19" t="s">
        <v>630</v>
      </c>
      <c r="C6" s="19" t="s">
        <v>631</v>
      </c>
    </row>
    <row r="7" customFormat="false" ht="15" hidden="false" customHeight="false" outlineLevel="0" collapsed="false">
      <c r="A7" s="19" t="s">
        <v>632</v>
      </c>
      <c r="B7" s="19" t="s">
        <v>633</v>
      </c>
      <c r="C7" s="19" t="s">
        <v>631</v>
      </c>
    </row>
    <row r="8" customFormat="false" ht="15" hidden="false" customHeight="false" outlineLevel="0" collapsed="false">
      <c r="A8" s="19" t="s">
        <v>634</v>
      </c>
      <c r="B8" s="19" t="s">
        <v>635</v>
      </c>
      <c r="C8" s="19" t="s">
        <v>631</v>
      </c>
    </row>
    <row r="9" customFormat="false" ht="15" hidden="false" customHeight="false" outlineLevel="0" collapsed="false">
      <c r="A9" s="19" t="s">
        <v>636</v>
      </c>
      <c r="B9" s="19" t="s">
        <v>637</v>
      </c>
      <c r="C9" s="19" t="s">
        <v>628</v>
      </c>
    </row>
    <row r="10" customFormat="false" ht="15" hidden="false" customHeight="false" outlineLevel="0" collapsed="false">
      <c r="A10" s="19" t="s">
        <v>638</v>
      </c>
      <c r="B10" s="19" t="s">
        <v>639</v>
      </c>
      <c r="C10" s="19" t="s">
        <v>631</v>
      </c>
    </row>
    <row r="11" customFormat="false" ht="15" hidden="false" customHeight="false" outlineLevel="0" collapsed="false">
      <c r="A11" s="19" t="s">
        <v>640</v>
      </c>
      <c r="B11" s="19" t="s">
        <v>641</v>
      </c>
      <c r="C11" s="19" t="s">
        <v>631</v>
      </c>
    </row>
    <row r="12" customFormat="false" ht="23.85" hidden="false" customHeight="false" outlineLevel="0" collapsed="false">
      <c r="A12" s="19" t="s">
        <v>642</v>
      </c>
      <c r="B12" s="19" t="s">
        <v>643</v>
      </c>
      <c r="C12" s="19" t="s">
        <v>628</v>
      </c>
    </row>
    <row r="13" customFormat="false" ht="23.85" hidden="false" customHeight="false" outlineLevel="0" collapsed="false">
      <c r="A13" s="19" t="s">
        <v>644</v>
      </c>
      <c r="B13" s="19" t="s">
        <v>645</v>
      </c>
      <c r="C13" s="19" t="s">
        <v>628</v>
      </c>
    </row>
    <row r="14" customFormat="false" ht="15" hidden="false" customHeight="false" outlineLevel="0" collapsed="false">
      <c r="A14" s="19" t="s">
        <v>646</v>
      </c>
      <c r="B14" s="19" t="s">
        <v>647</v>
      </c>
      <c r="C14" s="19" t="s">
        <v>648</v>
      </c>
    </row>
    <row r="15" customFormat="false" ht="15" hidden="false" customHeight="false" outlineLevel="0" collapsed="false">
      <c r="A15" s="19" t="s">
        <v>649</v>
      </c>
      <c r="B15" s="19" t="s">
        <v>650</v>
      </c>
      <c r="C15" s="19" t="s">
        <v>651</v>
      </c>
    </row>
    <row r="16" customFormat="false" ht="15" hidden="false" customHeight="false" outlineLevel="0" collapsed="false">
      <c r="A16" s="19" t="s">
        <v>652</v>
      </c>
      <c r="B16" s="19" t="s">
        <v>653</v>
      </c>
      <c r="C16" s="19" t="s">
        <v>631</v>
      </c>
    </row>
    <row r="17" customFormat="false" ht="15" hidden="false" customHeight="false" outlineLevel="0" collapsed="false">
      <c r="A17" s="19" t="s">
        <v>654</v>
      </c>
      <c r="B17" s="19" t="s">
        <v>655</v>
      </c>
      <c r="C17" s="19" t="s">
        <v>631</v>
      </c>
    </row>
    <row r="18" customFormat="false" ht="15" hidden="false" customHeight="false" outlineLevel="0" collapsed="false">
      <c r="A18" s="19" t="s">
        <v>656</v>
      </c>
      <c r="B18" s="19" t="s">
        <v>657</v>
      </c>
      <c r="C18" s="19" t="s">
        <v>658</v>
      </c>
    </row>
    <row r="19" customFormat="false" ht="15" hidden="false" customHeight="false" outlineLevel="0" collapsed="false">
      <c r="A19" s="19" t="s">
        <v>659</v>
      </c>
      <c r="B19" s="19" t="s">
        <v>660</v>
      </c>
      <c r="C19" s="19" t="s">
        <v>631</v>
      </c>
    </row>
    <row r="20" customFormat="false" ht="15" hidden="false" customHeight="false" outlineLevel="0" collapsed="false">
      <c r="A20" s="19" t="s">
        <v>661</v>
      </c>
      <c r="B20" s="19" t="s">
        <v>662</v>
      </c>
      <c r="C20" s="19" t="s">
        <v>631</v>
      </c>
    </row>
    <row r="21" customFormat="false" ht="15" hidden="false" customHeight="false" outlineLevel="0" collapsed="false">
      <c r="A21" s="19" t="s">
        <v>663</v>
      </c>
      <c r="B21" s="19" t="s">
        <v>664</v>
      </c>
      <c r="C21" s="19" t="s">
        <v>631</v>
      </c>
    </row>
    <row r="22" customFormat="false" ht="15" hidden="false" customHeight="false" outlineLevel="0" collapsed="false">
      <c r="A22" s="19" t="s">
        <v>665</v>
      </c>
      <c r="B22" s="19" t="s">
        <v>666</v>
      </c>
      <c r="C22" s="19" t="s">
        <v>631</v>
      </c>
    </row>
    <row r="23" customFormat="false" ht="15" hidden="false" customHeight="false" outlineLevel="0" collapsed="false">
      <c r="A23" s="19" t="s">
        <v>667</v>
      </c>
      <c r="B23" s="19" t="s">
        <v>668</v>
      </c>
      <c r="C23" s="19" t="s">
        <v>631</v>
      </c>
    </row>
    <row r="24" customFormat="false" ht="15" hidden="false" customHeight="false" outlineLevel="0" collapsed="false">
      <c r="A24" s="19" t="s">
        <v>669</v>
      </c>
      <c r="B24" s="19" t="s">
        <v>670</v>
      </c>
      <c r="C24" s="19" t="s">
        <v>628</v>
      </c>
    </row>
    <row r="25" customFormat="false" ht="15" hidden="false" customHeight="false" outlineLevel="0" collapsed="false">
      <c r="A25" s="19" t="s">
        <v>671</v>
      </c>
      <c r="B25" s="19" t="s">
        <v>672</v>
      </c>
      <c r="C25" s="19" t="s">
        <v>631</v>
      </c>
    </row>
    <row r="26" customFormat="false" ht="15" hidden="false" customHeight="false" outlineLevel="0" collapsed="false">
      <c r="A26" s="19" t="s">
        <v>673</v>
      </c>
      <c r="B26" s="19" t="s">
        <v>674</v>
      </c>
      <c r="C26" s="19" t="s">
        <v>631</v>
      </c>
    </row>
    <row r="27" customFormat="false" ht="15" hidden="false" customHeight="false" outlineLevel="0" collapsed="false">
      <c r="A27" s="19" t="s">
        <v>675</v>
      </c>
      <c r="B27" s="19" t="s">
        <v>676</v>
      </c>
      <c r="C27" s="19" t="s">
        <v>631</v>
      </c>
    </row>
    <row r="28" customFormat="false" ht="15" hidden="false" customHeight="false" outlineLevel="0" collapsed="false">
      <c r="A28" s="19" t="s">
        <v>677</v>
      </c>
      <c r="B28" s="19" t="s">
        <v>678</v>
      </c>
      <c r="C28" s="19" t="s">
        <v>628</v>
      </c>
    </row>
    <row r="29" customFormat="false" ht="15" hidden="false" customHeight="false" outlineLevel="0" collapsed="false">
      <c r="A29" s="19" t="s">
        <v>679</v>
      </c>
      <c r="B29" s="19" t="s">
        <v>680</v>
      </c>
      <c r="C29" s="19" t="s">
        <v>631</v>
      </c>
    </row>
    <row r="30" customFormat="false" ht="15" hidden="false" customHeight="false" outlineLevel="0" collapsed="false">
      <c r="A30" s="19" t="s">
        <v>681</v>
      </c>
      <c r="B30" s="19" t="s">
        <v>682</v>
      </c>
      <c r="C30" s="19" t="s">
        <v>628</v>
      </c>
    </row>
    <row r="31" customFormat="false" ht="23.85" hidden="false" customHeight="false" outlineLevel="0" collapsed="false">
      <c r="A31" s="19" t="s">
        <v>683</v>
      </c>
      <c r="B31" s="19" t="s">
        <v>684</v>
      </c>
      <c r="C31" s="19" t="s">
        <v>685</v>
      </c>
    </row>
    <row r="32" customFormat="false" ht="23.85" hidden="false" customHeight="false" outlineLevel="0" collapsed="false">
      <c r="A32" s="19" t="s">
        <v>686</v>
      </c>
      <c r="B32" s="19" t="s">
        <v>687</v>
      </c>
      <c r="C32" s="19" t="s">
        <v>685</v>
      </c>
    </row>
    <row r="33" customFormat="false" ht="23.85" hidden="false" customHeight="false" outlineLevel="0" collapsed="false">
      <c r="A33" s="19" t="s">
        <v>688</v>
      </c>
      <c r="B33" s="19" t="s">
        <v>689</v>
      </c>
      <c r="C33" s="19"/>
    </row>
  </sheetData>
  <mergeCells count="1">
    <mergeCell ref="A1:C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30"/>
  </cols>
  <sheetData>
    <row r="1" customFormat="false" ht="22.05" hidden="false" customHeight="false" outlineLevel="0" collapsed="false">
      <c r="A1" s="29" t="s">
        <v>690</v>
      </c>
      <c r="B1" s="29"/>
    </row>
    <row r="3" customFormat="false" ht="15" hidden="false" customHeight="false" outlineLevel="0" collapsed="false">
      <c r="A3" s="41" t="s">
        <v>691</v>
      </c>
      <c r="B3" s="41" t="s">
        <v>692</v>
      </c>
    </row>
    <row r="4" customFormat="false" ht="15" hidden="false" customHeight="false" outlineLevel="0" collapsed="false">
      <c r="A4" s="42" t="s">
        <v>693</v>
      </c>
      <c r="B4" s="43" t="s">
        <v>694</v>
      </c>
    </row>
    <row r="5" customFormat="false" ht="15" hidden="false" customHeight="false" outlineLevel="0" collapsed="false">
      <c r="A5" s="42" t="s">
        <v>695</v>
      </c>
      <c r="B5" s="43" t="s">
        <v>696</v>
      </c>
    </row>
    <row r="6" customFormat="false" ht="15" hidden="false" customHeight="false" outlineLevel="0" collapsed="false">
      <c r="A6" s="42" t="s">
        <v>697</v>
      </c>
      <c r="B6" s="43" t="s">
        <v>698</v>
      </c>
    </row>
    <row r="7" customFormat="false" ht="15" hidden="false" customHeight="false" outlineLevel="0" collapsed="false">
      <c r="A7" s="42" t="s">
        <v>699</v>
      </c>
      <c r="B7" s="43" t="s">
        <v>700</v>
      </c>
    </row>
    <row r="8" customFormat="false" ht="15" hidden="false" customHeight="false" outlineLevel="0" collapsed="false">
      <c r="A8" s="42" t="s">
        <v>701</v>
      </c>
      <c r="B8" s="43" t="s">
        <v>702</v>
      </c>
    </row>
    <row r="9" customFormat="false" ht="26.85" hidden="false" customHeight="false" outlineLevel="0" collapsed="false">
      <c r="A9" s="42" t="s">
        <v>703</v>
      </c>
      <c r="B9" s="43" t="s">
        <v>704</v>
      </c>
    </row>
    <row r="10" customFormat="false" ht="26.85" hidden="false" customHeight="false" outlineLevel="0" collapsed="false">
      <c r="A10" s="42" t="s">
        <v>705</v>
      </c>
      <c r="B10" s="43" t="s">
        <v>706</v>
      </c>
    </row>
    <row r="11" customFormat="false" ht="15" hidden="false" customHeight="false" outlineLevel="0" collapsed="false">
      <c r="A11" s="42" t="s">
        <v>707</v>
      </c>
      <c r="B11" s="43" t="s">
        <v>708</v>
      </c>
    </row>
  </sheetData>
  <mergeCells count="1">
    <mergeCell ref="A1:B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2026-05-25T07:44:57Z</dcterms:created>
  <dc:creator>openpyxl</dc:creator>
  <dc:description/>
  <dc:language>en-US</dc:language>
  <cp:lastModifiedBy/>
  <dcterms:modified xsi:type="dcterms:W3CDTF">2026-05-25T07:44:57Z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