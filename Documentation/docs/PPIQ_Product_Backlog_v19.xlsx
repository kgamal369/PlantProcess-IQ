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cklog" sheetId="1" state="visible" r:id="rId1"/>
    <sheet xmlns:r="http://schemas.openxmlformats.org/officeDocument/2006/relationships" name="Change Log v18 to v19" sheetId="2" state="visible" r:id="rId2"/>
    <sheet xmlns:r="http://schemas.openxmlformats.org/officeDocument/2006/relationships" name="Phase Plan &amp; Stats" sheetId="3" state="visible" r:id="rId3"/>
  </sheets>
  <definedNames>
    <definedName name="_xlnm._FilterDatabase" localSheetId="0" hidden="1">'Backlog'!$A$2:$N$142</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b val="1"/>
      <color rgb="FF4F9CF9"/>
      <sz val="13"/>
    </font>
    <font>
      <b val="1"/>
      <color rgb="FF8AA3C0"/>
      <sz val="10"/>
    </font>
    <font>
      <b val="1"/>
      <color rgb="FF4F9CF9"/>
      <sz val="10"/>
    </font>
    <font>
      <color rgb="FFD7E5F7"/>
      <sz val="10"/>
    </font>
    <font>
      <b val="1"/>
      <color rgb="FFE5484D"/>
      <sz val="10"/>
    </font>
    <font>
      <b val="1"/>
      <color rgb="FFFFD166"/>
      <sz val="10"/>
    </font>
  </fonts>
  <fills count="4">
    <fill>
      <patternFill/>
    </fill>
    <fill>
      <patternFill patternType="gray125"/>
    </fill>
    <fill>
      <patternFill patternType="solid">
        <fgColor rgb="FF0E2238"/>
      </patternFill>
    </fill>
    <fill>
      <patternFill patternType="solid">
        <fgColor rgb="FF0B1B2E"/>
      </patternFill>
    </fill>
  </fills>
  <borders count="1">
    <border>
      <left/>
      <right/>
      <top/>
      <bottom/>
      <diagonal/>
    </border>
  </borders>
  <cellStyleXfs count="1">
    <xf numFmtId="0" fontId="0" fillId="0" borderId="0"/>
  </cellStyleXfs>
  <cellXfs count="19">
    <xf numFmtId="0" fontId="0" fillId="0" borderId="0" pivotButton="0" quotePrefix="0" xfId="0"/>
    <xf numFmtId="0" fontId="1" fillId="2" borderId="0" pivotButton="0" quotePrefix="0" xfId="0"/>
    <xf numFmtId="0" fontId="2" fillId="2" borderId="0" applyAlignment="1" pivotButton="0" quotePrefix="0" xfId="0">
      <alignment vertical="top" wrapText="1"/>
    </xf>
    <xf numFmtId="0" fontId="3" fillId="3" borderId="0" applyAlignment="1" pivotButton="0" quotePrefix="0" xfId="0">
      <alignment vertical="top"/>
    </xf>
    <xf numFmtId="0" fontId="4" fillId="3" borderId="0" applyAlignment="1" pivotButton="0" quotePrefix="0" xfId="0">
      <alignment vertical="top"/>
    </xf>
    <xf numFmtId="0" fontId="4" fillId="3" borderId="0" applyAlignment="1" pivotButton="0" quotePrefix="0" xfId="0">
      <alignment vertical="top" wrapText="1"/>
    </xf>
    <xf numFmtId="0" fontId="5" fillId="3" borderId="0" applyAlignment="1" pivotButton="0" quotePrefix="0" xfId="0">
      <alignment vertical="top"/>
    </xf>
    <xf numFmtId="164" fontId="4" fillId="3" borderId="0" applyAlignment="1" pivotButton="0" quotePrefix="0" xfId="0">
      <alignment vertical="top"/>
    </xf>
    <xf numFmtId="0" fontId="6" fillId="3" borderId="0" applyAlignment="1" pivotButton="0" quotePrefix="0" xfId="0">
      <alignment vertical="top"/>
    </xf>
    <xf numFmtId="0" fontId="2" fillId="3" borderId="0" applyAlignment="1" pivotButton="0" quotePrefix="0" xfId="0">
      <alignment vertical="top"/>
    </xf>
    <xf numFmtId="0" fontId="3" fillId="3" borderId="0" applyAlignment="1" pivotButton="0" quotePrefix="0" xfId="0">
      <alignment vertical="top" wrapText="1"/>
    </xf>
    <xf numFmtId="164" fontId="4" fillId="3" borderId="0" applyAlignment="1" pivotButton="0" quotePrefix="0" xfId="0">
      <alignment vertical="top" wrapText="1"/>
    </xf>
    <xf numFmtId="0" fontId="5" fillId="3" borderId="0" applyAlignment="1" pivotButton="0" quotePrefix="0" xfId="0">
      <alignment vertical="top" wrapText="1"/>
    </xf>
    <xf numFmtId="0" fontId="1" fillId="0" borderId="0" pivotButton="0" quotePrefix="0" xfId="0"/>
    <xf numFmtId="0" fontId="2" fillId="2" borderId="0" pivotButton="0" quotePrefix="0" xfId="0"/>
    <xf numFmtId="0" fontId="3" fillId="3" borderId="0" pivotButton="0" quotePrefix="0" xfId="0"/>
    <xf numFmtId="0" fontId="4" fillId="3" borderId="0" pivotButton="0" quotePrefix="0" xfId="0"/>
    <xf numFmtId="164" fontId="4" fillId="3" borderId="0" pivotButton="0" quotePrefix="0" xfId="0"/>
    <xf numFmtId="0" fontId="5"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2"/>
  <sheetViews>
    <sheetView workbookViewId="0">
      <pane xSplit="4" ySplit="2" topLeftCell="E3" activePane="bottomRight" state="frozen"/>
      <selection pane="topRight"/>
      <selection pane="bottomLeft"/>
      <selection pane="bottomRight" activeCell="A1" sqref="A1"/>
    </sheetView>
  </sheetViews>
  <sheetFormatPr baseColWidth="8" defaultRowHeight="15"/>
  <cols>
    <col width="8" customWidth="1" min="1" max="1"/>
    <col width="9" customWidth="1" min="2" max="2"/>
    <col width="7" customWidth="1" min="3" max="3"/>
    <col width="24" customWidth="1" min="4" max="4"/>
    <col width="46" customWidth="1" min="5" max="5"/>
    <col width="13" customWidth="1" min="6" max="6"/>
    <col width="12" customWidth="1" min="7" max="7"/>
    <col width="16" customWidth="1" min="8" max="8"/>
    <col width="17" customWidth="1" min="9" max="9"/>
    <col width="92" customWidth="1" min="10" max="10"/>
    <col width="72" customWidth="1" min="11" max="11"/>
    <col width="7" customWidth="1" min="12" max="12"/>
    <col width="26" customWidth="1" min="13" max="13"/>
    <col width="8" customWidth="1" min="14" max="14"/>
  </cols>
  <sheetData>
    <row r="1">
      <c r="A1" s="1" t="inlineStr">
        <is>
          <t>PPIQ PRODUCT BACKLOG v19  -  09-Jul-2026, end of session.  Delta on v18: M1-11 / M1-10 / roleAccess executed and removed; four new tasks from what the day exposed.</t>
        </is>
      </c>
    </row>
    <row r="2">
      <c r="A2" s="2" t="inlineStr">
        <is>
          <t>Task ID</t>
        </is>
      </c>
      <c r="B2" s="2" t="inlineStr">
        <is>
          <t>Milestone</t>
        </is>
      </c>
      <c r="C2" s="2" t="inlineStr">
        <is>
          <t>Phase</t>
        </is>
      </c>
      <c r="D2" s="2" t="inlineStr">
        <is>
          <t>Group</t>
        </is>
      </c>
      <c r="E2" s="2" t="inlineStr">
        <is>
          <t>Task Name</t>
        </is>
      </c>
      <c r="F2" s="2" t="inlineStr">
        <is>
          <t>Severity</t>
        </is>
      </c>
      <c r="G2" s="2" t="inlineStr">
        <is>
          <t>Task Type</t>
        </is>
      </c>
      <c r="H2" s="2" t="inlineStr">
        <is>
          <t>Module</t>
        </is>
      </c>
      <c r="I2" s="2" t="inlineStr">
        <is>
          <t>SubModule</t>
        </is>
      </c>
      <c r="J2" s="2" t="inlineStr">
        <is>
          <t>Description (deep, junior-dev-actionable)</t>
        </is>
      </c>
      <c r="K2" s="2" t="inlineStr">
        <is>
          <t>Validation (hard, reproducible)</t>
        </is>
      </c>
      <c r="L2" s="2" t="inlineStr">
        <is>
          <t>Est (h)</t>
        </is>
      </c>
      <c r="M2" s="2" t="inlineStr">
        <is>
          <t>Status vs v18</t>
        </is>
      </c>
      <c r="N2" s="2" t="inlineStr">
        <is>
          <t>v18 ID</t>
        </is>
      </c>
    </row>
    <row r="3">
      <c r="A3" s="3" t="inlineStr">
        <is>
          <t>M1-01</t>
        </is>
      </c>
      <c r="B3" s="4" t="inlineStr">
        <is>
          <t>M1</t>
        </is>
      </c>
      <c r="C3" s="4" t="inlineStr">
        <is>
          <t>M1-P1</t>
        </is>
      </c>
      <c r="D3" s="5" t="inlineStr">
        <is>
          <t>G1 Import pipeline</t>
        </is>
      </c>
      <c r="E3" s="5" t="inlineStr">
        <is>
          <t>Stage-1 snapshot fallback for tables without a watermark column</t>
        </is>
      </c>
      <c r="F3" s="6" t="inlineStr">
        <is>
          <t>Critical</t>
        </is>
      </c>
      <c r="G3" s="4" t="inlineStr">
        <is>
          <t>bug fix</t>
        </is>
      </c>
      <c r="H3" s="4" t="inlineStr">
        <is>
          <t>Backend</t>
        </is>
      </c>
      <c r="I3" s="4" t="inlineStr">
        <is>
          <t>ImportPipeline</t>
        </is>
      </c>
      <c r="J3" s="5" t="inlineStr">
        <is>
          <t>PARTIAL (diagnosed, not cured). 7 of 9 registered plant tables (ms_samples, ms_sample_results, cc_slabs, cc_heats, pkl_coils, downtime_events, parsytec_surface_defects) have no source_updated_at_utc. Root cause is already isolated in the 08-Jul handover; what remains is the generic cure: a per-table watermark-strategy resolver (watermark column -&gt; full snapshot -&gt; keyed upsert) inside the Stage-1 path. No per-table branches. Typed error in job_log on any unresolved strategy.</t>
        </is>
      </c>
      <c r="K3" s="5" t="inlineStr">
        <is>
          <t>Stage-1 dumps ALL 9 registered plant tables green; job_log shows Started/Completed per table; a second run leaves watermarked tables at +0 rows and snapshot tables byte-deterministic; the resolver is exercised by a unit test with a fabricated table having no watermark.</t>
        </is>
      </c>
      <c r="L3" s="7" t="n">
        <v>2</v>
      </c>
      <c r="M3" s="5" t="inlineStr">
        <is>
          <t>CARRIED</t>
        </is>
      </c>
      <c r="N3" s="4" t="inlineStr">
        <is>
          <t>M1-01</t>
        </is>
      </c>
    </row>
    <row r="4">
      <c r="A4" s="3" t="inlineStr">
        <is>
          <t>M1-02</t>
        </is>
      </c>
      <c r="B4" s="4" t="inlineStr">
        <is>
          <t>M1</t>
        </is>
      </c>
      <c r="C4" s="4" t="inlineStr">
        <is>
          <t>M1-P1</t>
        </is>
      </c>
      <c r="D4" s="5" t="inlineStr">
        <is>
          <t>G1 Import pipeline</t>
        </is>
      </c>
      <c r="E4" s="5" t="inlineStr">
        <is>
          <t>Parameter-observations data pack for the imported plant (unblocks the analytics gate)</t>
        </is>
      </c>
      <c r="F4" s="6" t="inlineStr">
        <is>
          <t>Critical</t>
        </is>
      </c>
      <c r="G4" s="4" t="inlineStr">
        <is>
          <t>new feature</t>
        </is>
      </c>
      <c r="H4" s="4" t="inlineStr">
        <is>
          <t>Backend</t>
        </is>
      </c>
      <c r="I4" s="4" t="inlineStr">
        <is>
          <t>ImportPipeline</t>
        </is>
      </c>
      <c r="J4" s="5" t="inlineStr">
        <is>
          <t>NEW - found while proving M1-05. The Session-A plant load created heats/slabs/coils/quality_events but ZERO parameter_observations. Consequences observed live: ppiq_ml_run_learning_job_governed_v1 returns BlockedTooFewRows ('at least 30 observations required'); ml_correlation_results_v2 stays empty; the rule-based pass returns no buckets. Surface-3 therefore proves the MACHINERY (definition -&gt; governed run -&gt; tied compute run -&gt; rerun recompute) but never a FINDING. Generate/import parameter_observations for the 13 existing parameter_definitions across the 3-month window, with the planted causal relations preserved, using the same silent loader that produced the plant core.</t>
        </is>
      </c>
      <c r="K4" s="5" t="inlineStr">
        <is>
          <t>SELECT count(*) FROM parameter_observations &gt; 30 per parameter per window; ppiq_ml_run_learning_job_governed_v1('ML_PROCESS_VS_DEFECT',30) returns readiness Ready; ml_correlation_results_v2 receives rows; Verify-M1-05-Surface3.ps1 reports a real top contributor instead of WARN.</t>
        </is>
      </c>
      <c r="L4" s="7" t="n">
        <v>4</v>
      </c>
      <c r="M4" s="5" t="inlineStr">
        <is>
          <t>CARRIED</t>
        </is>
      </c>
      <c r="N4" s="4" t="inlineStr">
        <is>
          <t>M1-02</t>
        </is>
      </c>
    </row>
    <row r="5">
      <c r="A5" s="3" t="inlineStr">
        <is>
          <t>M1-03</t>
        </is>
      </c>
      <c r="B5" s="4" t="inlineStr">
        <is>
          <t>M1</t>
        </is>
      </c>
      <c r="C5" s="4" t="inlineStr">
        <is>
          <t>M1-P1</t>
        </is>
      </c>
      <c r="D5" s="5" t="inlineStr">
        <is>
          <t>G3 Engine honesty</t>
        </is>
      </c>
      <c r="E5" s="5" t="inlineStr">
        <is>
          <t>GENERIC CANONICAL PROJECTOR (keystone): Stage-2 consumes saved mapping definitions</t>
        </is>
      </c>
      <c r="F5" s="6" t="inlineStr">
        <is>
          <t>Critical</t>
        </is>
      </c>
      <c r="G5" s="4" t="inlineStr">
        <is>
          <t>new feature</t>
        </is>
      </c>
      <c r="H5" s="4" t="inlineStr">
        <is>
          <t>Backend</t>
        </is>
      </c>
      <c r="I5" s="4" t="inlineStr">
        <is>
          <t>Stage2-Projector</t>
        </is>
      </c>
      <c r="J5" s="5" t="inlineStr">
        <is>
          <t>Replace the hardcoded IF/ELSIF ladder with a generic projector that reads the user's saved SchemaViewDefinition/mapping definitions and projects ANY registered schema into canonical dynamically. The 8 demo sources and the plant schema become seed MAPPINGS, not code branches. SCOPE NOTE (v18): this is the PROJECTOR CORE only. Per-view Loading job orchestration is the next task and must not be built here - v17 had both tasks describing the same 40h of work.</t>
        </is>
      </c>
      <c r="K5" s="5" t="inlineStr">
        <is>
          <t>Fresh install + register an arbitrary schema + author a mapping in the UI -&gt; Stage-2 populates canonical with zero code change; the Generic-Only grep gate is green; plant and golden datasets both project via mappings only, with no dataset identifier anywhere in the projection path.</t>
        </is>
      </c>
      <c r="L5" s="7" t="n">
        <v>16</v>
      </c>
      <c r="M5" s="5" t="inlineStr">
        <is>
          <t>CARRIED</t>
        </is>
      </c>
      <c r="N5" s="4" t="inlineStr">
        <is>
          <t>M1-03</t>
        </is>
      </c>
    </row>
    <row r="6">
      <c r="A6" s="3" t="inlineStr">
        <is>
          <t>M1-04</t>
        </is>
      </c>
      <c r="B6" s="4" t="inlineStr">
        <is>
          <t>M1</t>
        </is>
      </c>
      <c r="C6" s="4" t="inlineStr">
        <is>
          <t>M1-P1</t>
        </is>
      </c>
      <c r="D6" s="5" t="inlineStr">
        <is>
          <t>G9 Product hardening</t>
        </is>
      </c>
      <c r="E6" s="5" t="inlineStr">
        <is>
          <t>Per-VIEW Loading jobs on top of the generic projector (one job per mapping view)</t>
        </is>
      </c>
      <c r="F6" s="6" t="inlineStr">
        <is>
          <t>Critical</t>
        </is>
      </c>
      <c r="G6" s="4" t="inlineStr">
        <is>
          <t>new feature</t>
        </is>
      </c>
      <c r="H6" s="4" t="inlineStr">
        <is>
          <t>Backend</t>
        </is>
      </c>
      <c r="I6" s="4" t="inlineStr">
        <is>
          <t>Stage2-Projector</t>
        </is>
      </c>
      <c r="J6" s="5" t="inlineStr">
        <is>
          <t>Karim-locked model (03-Jul): 'Loading' = ONE JOB PER MAPPING VIEW, not a monolithic Stage-2 refresh. Consumes the projector core from the previous task. Each active mapping view gets its own Loading JobDefinition (auto-created on save, min interval 3 min per M2 job governance) carrying its OWN processed watermark. Delete the monolithic Stage-2 entry point once every demo source flows through a view. RE-ESTIMATED: 24h -&gt; 12h because the projector core is now a separate, preceding task.</t>
        </is>
      </c>
      <c r="K6" s="5" t="inlineStr">
        <is>
          <t>Create a NEW mapping view in the HMI over an unmapped staging table -&gt; a Loading job appears, runs, canonical rows appear, ZERO code change. Each view's watermark advances independently. Re-running a view with no new staging rows exits without writing.</t>
        </is>
      </c>
      <c r="L6" s="7" t="n">
        <v>12</v>
      </c>
      <c r="M6" s="5" t="inlineStr">
        <is>
          <t>CARRIED</t>
        </is>
      </c>
      <c r="N6" s="4" t="inlineStr">
        <is>
          <t>M1-04</t>
        </is>
      </c>
    </row>
    <row r="7">
      <c r="A7" s="3" t="inlineStr">
        <is>
          <t>M1-05</t>
        </is>
      </c>
      <c r="B7" s="4" t="inlineStr">
        <is>
          <t>M1</t>
        </is>
      </c>
      <c r="C7" s="4" t="inlineStr">
        <is>
          <t>M1-P1</t>
        </is>
      </c>
      <c r="D7" s="5" t="inlineStr">
        <is>
          <t>G3 Analytics gate</t>
        </is>
      </c>
      <c r="E7" s="5" t="inlineStr">
        <is>
          <t>Managed-engine ReadinessGate passes on the imported plant data</t>
        </is>
      </c>
      <c r="F7" s="6" t="inlineStr">
        <is>
          <t>Critical</t>
        </is>
      </c>
      <c r="G7" s="4" t="inlineStr">
        <is>
          <t>bug fix</t>
        </is>
      </c>
      <c r="H7" s="4" t="inlineStr">
        <is>
          <t>Backend</t>
        </is>
      </c>
      <c r="I7" s="4" t="inlineStr">
        <is>
          <t>Analytics-Engine</t>
        </is>
      </c>
      <c r="J7" s="5" t="inlineStr">
        <is>
          <t>REWRITTEN with the measured cause. v17 assumed a threshold-tuning problem against '1,802 heats / 18,661 coils'. Verified 09-Jul: the canonical set is 2,436 heats / 18,073 slabs / 17,823 coils, and the gate blocks with readiness_status=BlockedTooFewRows because parameter_observations is EMPTY - not because a threshold is wrong. Depends on the parameter-observations data pack. Then re-read ReadinessGate.Evaluate against the populated set and adjust CONFIG/COVERAGE only. Never the gate's honesty.</t>
        </is>
      </c>
      <c r="K7" s="5" t="inlineStr">
        <is>
          <t>A managed run reaches Completed with findings &gt; 0 on imported canonical data. If it still blocks after observations exist, the blocking reason is captured verbatim and the demo script carries the explicit golden-set framing line. The gate's refusal path is never weakened to make a run pass.</t>
        </is>
      </c>
      <c r="L7" s="7" t="n">
        <v>2</v>
      </c>
      <c r="M7" s="5" t="inlineStr">
        <is>
          <t>CARRIED</t>
        </is>
      </c>
      <c r="N7" s="4" t="inlineStr">
        <is>
          <t>M1-05</t>
        </is>
      </c>
    </row>
    <row r="8">
      <c r="A8" s="3" t="inlineStr">
        <is>
          <t>M1-06</t>
        </is>
      </c>
      <c r="B8" s="4" t="inlineStr">
        <is>
          <t>M1</t>
        </is>
      </c>
      <c r="C8" s="4" t="inlineStr">
        <is>
          <t>M1-P1</t>
        </is>
      </c>
      <c r="D8" s="5" t="inlineStr">
        <is>
          <t>G0 Runtime blocker</t>
        </is>
      </c>
      <c r="E8" s="5" t="inlineStr">
        <is>
          <t>API does not answer on :5063 after the M1-10 build - find the startup exception</t>
        </is>
      </c>
      <c r="F8" s="6" t="inlineStr">
        <is>
          <t>Critical</t>
        </is>
      </c>
      <c r="G8" s="4" t="inlineStr">
        <is>
          <t>bug fix</t>
        </is>
      </c>
      <c r="H8" s="4" t="inlineStr">
        <is>
          <t>Backend</t>
        </is>
      </c>
      <c r="I8" s="4" t="inlineStr">
        <is>
          <t>Startup</t>
        </is>
      </c>
      <c r="J8" s="5" t="inlineStr">
        <is>
          <t>09-Jul, after Apply-M1-10 landed, `ppiq.ps1 up` reported a PID but Invoke-RestMethod to http://localhost:5063/auth/login returned 'Unable to connect'. dotnet build PASSES, so this is not a compile error - minimal-API endpoints can throw at MAP time. Prime suspect: the new GET /admin/system-logs delegate, which binds DateOnly? day and int? hour from the query string. If DateOnly has no TryParse binder registered in this project the host throws during MapGet. (GetJobLogsAsync already takes DateOnly? day and works, so binding is probably fine - which points elsewhere: a duplicated route name, or the pack's Stop-Process leaving a stale lock.) Run the API in the FOREGROUND (cd Backend\PlantProcess.Api ; dotnet run) and read the exception. If it is the binder, take `string? day` and parse explicitly - which is also more forgiving of the yyyy-MM-dd that &lt;input type="date"&gt; sends. NOTHING DELIVERED ON 09-JUL HAS BEEN SEEN IN A BROWSER; this task is what unblocks that.</t>
        </is>
      </c>
      <c r="K8" s="5" t="inlineStr">
        <is>
          <t>`dotnet run` in the foreground starts without exception; Get-NetTCPConnection -LocalPort 5063 -State Listen returns a row; POST /auth/login with e2eadmin returns an accessToken; GET /admin/system-logs?hour=&lt;current&gt; returns 200 with a `file` field naming systemlog_YYYYMMDDHH.log.</t>
        </is>
      </c>
      <c r="L8" s="7" t="n">
        <v>1</v>
      </c>
      <c r="M8" s="5" t="inlineStr">
        <is>
          <t>NEW</t>
        </is>
      </c>
      <c r="N8" s="4" t="inlineStr">
        <is>
          <t>-</t>
        </is>
      </c>
    </row>
    <row r="9">
      <c r="A9" s="3" t="inlineStr">
        <is>
          <t>M1-07</t>
        </is>
      </c>
      <c r="B9" s="4" t="inlineStr">
        <is>
          <t>M1</t>
        </is>
      </c>
      <c r="C9" s="4" t="inlineStr">
        <is>
          <t>M1-P1</t>
        </is>
      </c>
      <c r="D9" s="5" t="inlineStr">
        <is>
          <t>G2 Assistant</t>
        </is>
      </c>
      <c r="E9" s="5" t="inlineStr">
        <is>
          <t>Register /api/assistant in the RBAC matrix (or prove it is already covered)</t>
        </is>
      </c>
      <c r="F9" s="6" t="inlineStr">
        <is>
          <t>Critical</t>
        </is>
      </c>
      <c r="G9" s="4" t="inlineStr">
        <is>
          <t>bug fix</t>
        </is>
      </c>
      <c r="H9" s="4" t="inlineStr">
        <is>
          <t>Backend</t>
        </is>
      </c>
      <c r="I9" s="4" t="inlineStr">
        <is>
          <t>Security</t>
        </is>
      </c>
      <c r="J9" s="5" t="inlineStr">
        <is>
          <t>AccessControlMiddleware (Backend/PlantProcess.Api/Security/PlantAccessControl.cs) is DENY-BY-DEFAULT by longest-prefix match, and it runs BEFORE endpoint authorization. Twice on 09-Jul an endpoint returned 403 'Endpoint is not mapped in the P01/P02 permission matrix' for exactly this reason (/api/analysis-jobs, /analytics/phase2), and both were fixed with a single Matrix line. No '/api/assistant' prefix is visible in the Matrix. The only entry that prefix-matches it is ("/", GET, anonymous) - which lets GETs slip through anonymously and 403s every POST. M1-11 wired AssistantChat to POST the ask endpoint through assistantApi; if that POST 403s, the chat is dead in the demo. Confirm first, then add ONE Matrix line with the permission its siblings use (assistant.use is already used by /analytics/dashboard). Do NOT invent a new permission.</t>
        </is>
      </c>
      <c r="K9" s="5" t="inlineStr">
        <is>
          <t>Logged in as e2eadmin: POST /api/assistant/ask returns 200 (a grounded answer or an honest abstention), never 403. A user WITHOUT assistant.use receives 403 from the middleware, not a blank chat. Add the endpoint to the Matrix table in the Identity &amp; Topology doc.</t>
        </is>
      </c>
      <c r="L9" s="7" t="n">
        <v>1</v>
      </c>
      <c r="M9" s="5" t="inlineStr">
        <is>
          <t>NEW</t>
        </is>
      </c>
      <c r="N9" s="4" t="inlineStr">
        <is>
          <t>-</t>
        </is>
      </c>
    </row>
    <row r="10">
      <c r="A10" s="3" t="inlineStr">
        <is>
          <t>M1-08</t>
        </is>
      </c>
      <c r="B10" s="4" t="inlineStr">
        <is>
          <t>M1</t>
        </is>
      </c>
      <c r="C10" s="4" t="inlineStr">
        <is>
          <t>M1-P1</t>
        </is>
      </c>
      <c r="D10" s="5" t="inlineStr">
        <is>
          <t>G2 Assistant</t>
        </is>
      </c>
      <c r="E10" s="5" t="inlineStr">
        <is>
          <t>Wire the assistant gateway to ONE live provider (wire-or-frame gate)</t>
        </is>
      </c>
      <c r="F10" s="8" t="inlineStr">
        <is>
          <t>Very important</t>
        </is>
      </c>
      <c r="G10" s="4" t="inlineStr">
        <is>
          <t>new feature</t>
        </is>
      </c>
      <c r="H10" s="4" t="inlineStr">
        <is>
          <t>Backend</t>
        </is>
      </c>
      <c r="I10" s="4" t="inlineStr">
        <is>
          <t>Assistant</t>
        </is>
      </c>
      <c r="J10" s="5" t="inlineStr">
        <is>
          <t>REDUCED SCOPE. The FRONTEND chain is delivered (09-Jul): AssistantChat is mounted in the routed AssistantRuntimePage, onAsk calls assistantApi.askAssistant(), citations render as buttons, refusals render as refusals. What remains is BACKEND ONLY: wire V5AssistantGateway to one provider row in ppiq_assistant_provider_configs (self-hosted or zero-retention cloud), and confirm /api/assistant/ask is reachable through AccessControlMiddleware (there is no /api/assistant prefix in the static Matrix - an unmapped POST returns 403 'not mapped in the P01/P02 permission matrix', which cost two debug cycles on other endpoints this week).</t>
        </is>
      </c>
      <c r="K10" s="5" t="inlineStr">
        <is>
          <t>Network shows POST /api/assistant/ask returning a grounded payload with &gt;=1 citation; an out-of-evidence question returns isRefusal=true with a reason; uncited numbers are blocked. If no provider is licensed/available, the assistant abstains and the framing doc is committed verbatim - abstention is a PASS, not a failure.</t>
        </is>
      </c>
      <c r="L10" s="7" t="n">
        <v>3</v>
      </c>
      <c r="M10" s="5" t="inlineStr">
        <is>
          <t>CARRIED (frontend half delivered 09-Jul)</t>
        </is>
      </c>
      <c r="N10" s="4" t="inlineStr">
        <is>
          <t>M1-06</t>
        </is>
      </c>
    </row>
    <row r="11">
      <c r="A11" s="3" t="inlineStr">
        <is>
          <t>M1-09</t>
        </is>
      </c>
      <c r="B11" s="4" t="inlineStr">
        <is>
          <t>M1</t>
        </is>
      </c>
      <c r="C11" s="4" t="inlineStr">
        <is>
          <t>M1-P1</t>
        </is>
      </c>
      <c r="D11" s="5" t="inlineStr">
        <is>
          <t>G8 Hardening &amp; rename</t>
        </is>
      </c>
      <c r="E11" s="5" t="inlineStr">
        <is>
          <t>Repair mojibake in the 6 backend .cs files</t>
        </is>
      </c>
      <c r="F11" s="9" t="inlineStr">
        <is>
          <t>Important</t>
        </is>
      </c>
      <c r="G11" s="4" t="inlineStr">
        <is>
          <t>bug fix</t>
        </is>
      </c>
      <c r="H11" s="4" t="inlineStr">
        <is>
          <t>Backend</t>
        </is>
      </c>
      <c r="I11" s="4" t="inlineStr">
        <is>
          <t>Hygiene</t>
        </is>
      </c>
      <c r="J11" s="5" t="inlineStr">
        <is>
          <t>NEW. The 09-Jul repo-wide encoding repair fixed 119 lines across 13 FRONTEND files and added a noMojibake vitest gate. The same scan reported 6 backend .cs files carrying UTF-8-decoded-as-cp1252 text, deliberately left untouched because C# string literals can reach API responses and logs. Apply the same cp1252 round-trip repair (guarded: refuse any pass that cannot round-trip), review every changed literal, and extend the CI truth gate to scan .cs as well as .ts/.tsx/.css.</t>
        </is>
      </c>
      <c r="K11" s="5" t="inlineStr">
        <is>
          <t>Zero mojibake markers in Backend/**/*.cs; every repaired line reviewed in the diff; the truth gate fails a deliberately corrupted .cs fixture.</t>
        </is>
      </c>
      <c r="L11" s="7" t="n">
        <v>2</v>
      </c>
      <c r="M11" s="5" t="inlineStr">
        <is>
          <t>CARRIED</t>
        </is>
      </c>
      <c r="N11" s="4" t="inlineStr">
        <is>
          <t>M1-07</t>
        </is>
      </c>
    </row>
    <row r="12">
      <c r="A12" s="3" t="inlineStr">
        <is>
          <t>M1-10</t>
        </is>
      </c>
      <c r="B12" s="4" t="inlineStr">
        <is>
          <t>M1</t>
        </is>
      </c>
      <c r="C12" s="4" t="inlineStr">
        <is>
          <t>M1-P1</t>
        </is>
      </c>
      <c r="D12" s="5" t="inlineStr">
        <is>
          <t>G3 Engine honesty</t>
        </is>
      </c>
      <c r="E12" s="5" t="inlineStr">
        <is>
          <t>Triage the 865 genealogy diagnostics on live plant data</t>
        </is>
      </c>
      <c r="F12" s="8" t="inlineStr">
        <is>
          <t>Very important</t>
        </is>
      </c>
      <c r="G12" s="4" t="inlineStr">
        <is>
          <t>verification</t>
        </is>
      </c>
      <c r="H12" s="4" t="inlineStr">
        <is>
          <t>Backend</t>
        </is>
      </c>
      <c r="I12" s="4" t="inlineStr">
        <is>
          <t>Genealogy</t>
        </is>
      </c>
      <c r="J12" s="5" t="inlineStr">
        <is>
          <t>NEW - surfaced 09-Jul. ppiq_validate_genealogy_graph() had NEVER successfully returned a row (it threw 42804 on its first result because 690's cast was not the definition loaded). With that fixed it reports 865 rows against 35,906 canonical edges / 38,346 materials: dozens of IsolatedMaterial warnings for HEATS with no genealogy edge at all (H-26001..H-27795, WALK-*, ADV_ORPHAN_MATERIAL_001, ADV_UNKNOWN_TYPE_MATERIAL_001). ppiq_golden_thread returns MissingHop when a walk does not reach a heat. Determine per source_system whether these are real plant-data orphans (Session-A load) or fixture residue, and fix or quarantine accordingly.</t>
        </is>
      </c>
      <c r="K12" s="5" t="inlineStr">
        <is>
          <t>A per-source_system breakdown of isolated materials is committed; every orphan is classified real / fixture / quarantined; the golden coil C-0044170 walk reaches a heat; ppiq_validate_genealogy_graph reports zero Error-severity rows on the demo dataset.</t>
        </is>
      </c>
      <c r="L12" s="7" t="n">
        <v>3</v>
      </c>
      <c r="M12" s="5" t="inlineStr">
        <is>
          <t>CARRIED</t>
        </is>
      </c>
      <c r="N12" s="4" t="inlineStr">
        <is>
          <t>M1-08</t>
        </is>
      </c>
    </row>
    <row r="13">
      <c r="A13" s="3" t="inlineStr">
        <is>
          <t>M1-11</t>
        </is>
      </c>
      <c r="B13" s="4" t="inlineStr">
        <is>
          <t>M1</t>
        </is>
      </c>
      <c r="C13" s="4" t="inlineStr">
        <is>
          <t>M1-P2</t>
        </is>
      </c>
      <c r="D13" s="5" t="inlineStr">
        <is>
          <t>G10 Surface 1 - staging config</t>
        </is>
      </c>
      <c r="E13" s="5" t="inlineStr">
        <is>
          <t>Prove the saved import-prep definition drives Stage-1/Stage-2, and eradicate discover-demo</t>
        </is>
      </c>
      <c r="F13" s="6" t="inlineStr">
        <is>
          <t>Critical</t>
        </is>
      </c>
      <c r="G13" s="4" t="inlineStr">
        <is>
          <t>modification</t>
        </is>
      </c>
      <c r="H13" s="4" t="inlineStr">
        <is>
          <t>Frontend+Backend</t>
        </is>
      </c>
      <c r="I13" s="4" t="inlineStr">
        <is>
          <t>Surface1-ImportPrep</t>
        </is>
      </c>
      <c r="J13" s="5" t="inlineStr">
        <is>
          <t>PARTIAL. SourceImportPrepPage.tsx exists on live discovery (M1-03/M1-04 delivered: literal /tables + /columns + /register routes, column subset, PK, watermark, row filter) and its T11 debt is cleared. UNPROVEN: that the saved prep definition is what Stage-1/Stage-2 actually execute, and that /api/v5/visual-mapper/.../discover-demo is gone. Bind the persisted definition to the two-stage import job, delete the discover-demo route and its client, and prove the round trip end to end.</t>
        </is>
      </c>
      <c r="K13" s="5" t="inlineStr">
        <is>
          <t>Prepare a registered plant table with a column subset + row filter -&gt; save -&gt; run import -&gt; dump_store and canonical contain EXACTLY the saved subset/filter and nothing else; grep shows zero references to discover-demo; a second, differently-shaped schema works with no code change.</t>
        </is>
      </c>
      <c r="L13" s="7" t="n">
        <v>4</v>
      </c>
      <c r="M13" s="5" t="inlineStr">
        <is>
          <t>CARRIED</t>
        </is>
      </c>
      <c r="N13" s="4" t="inlineStr">
        <is>
          <t>M1-09</t>
        </is>
      </c>
    </row>
    <row r="14">
      <c r="A14" s="3" t="inlineStr">
        <is>
          <t>M1-12</t>
        </is>
      </c>
      <c r="B14" s="4" t="inlineStr">
        <is>
          <t>M1</t>
        </is>
      </c>
      <c r="C14" s="4" t="inlineStr">
        <is>
          <t>M1-P2</t>
        </is>
      </c>
      <c r="D14" s="5" t="inlineStr">
        <is>
          <t>G12 UX / information architecture</t>
        </is>
      </c>
      <c r="E14" s="5" t="inlineStr">
        <is>
          <t>Administrator content: Site Identity edit, Users/Roles, System health</t>
        </is>
      </c>
      <c r="F14" s="6" t="inlineStr">
        <is>
          <t>Critical</t>
        </is>
      </c>
      <c r="G14" s="4" t="inlineStr">
        <is>
          <t>new feature</t>
        </is>
      </c>
      <c r="H14" s="4" t="inlineStr">
        <is>
          <t>Frontend+Backend</t>
        </is>
      </c>
      <c r="I14" s="4" t="inlineStr">
        <is>
          <t>Admin</t>
        </is>
      </c>
      <c r="J14" s="5" t="inlineStr">
        <is>
          <t>NEW - the promise M1-06 could not keep. After extracting Data Integration, Administrator holds a read-only Site Identity card, a static License card and a pointer. The backlog says Admin = users/roles/license/site. NONE of Users/Roles, Site-Identity EDIT, or System health exists as UI. Build them: site-identity PUT (the GET already backs AppLayout's plant name), a users+roles table over the existing auth store, and a system-health card reading /health + /db-health. Two admin types per doctrine: undeletable sysadmin vs customer tenant admin.</t>
        </is>
      </c>
      <c r="K14" s="5" t="inlineStr">
        <is>
          <t>A tenant admin renames the site and the sidebar updates without a reload; the users table lists real accounts with their roles; system health shows API + DB + last migration; a non-admin receives 403 from the server, not a hidden button.</t>
        </is>
      </c>
      <c r="L14" s="7" t="n">
        <v>8</v>
      </c>
      <c r="M14" s="5" t="inlineStr">
        <is>
          <t>CARRIED</t>
        </is>
      </c>
      <c r="N14" s="4" t="inlineStr">
        <is>
          <t>M1-11</t>
        </is>
      </c>
    </row>
    <row r="15">
      <c r="A15" s="3" t="inlineStr">
        <is>
          <t>M1-13</t>
        </is>
      </c>
      <c r="B15" s="4" t="inlineStr">
        <is>
          <t>M1</t>
        </is>
      </c>
      <c r="C15" s="4" t="inlineStr">
        <is>
          <t>M1-P2</t>
        </is>
      </c>
      <c r="D15" s="5" t="inlineStr">
        <is>
          <t>G8 Hardening &amp; rename</t>
        </is>
      </c>
      <c r="E15" s="5" t="inlineStr">
        <is>
          <t>Delete DemoAnalyticsPages and demo-analytics.css (Golden Rule)</t>
        </is>
      </c>
      <c r="F15" s="6" t="inlineStr">
        <is>
          <t>Critical</t>
        </is>
      </c>
      <c r="G15" s="4" t="inlineStr">
        <is>
          <t>refactor</t>
        </is>
      </c>
      <c r="H15" s="4" t="inlineStr">
        <is>
          <t>Frontend</t>
        </is>
      </c>
      <c r="I15" s="4" t="inlineStr">
        <is>
          <t>PlatformOps</t>
        </is>
      </c>
      <c r="J15" s="5" t="inlineStr">
        <is>
          <t>M1-06 already removed the LAST Admin import of DemoAnalyticsPages (AdminPageContent no longer renders DemoAnalyticsWorkflowTruthPage, and ConnectorTruthPage replaced it with an honest empty state). What remains is bigger than v18 assumed: App.tsx STILL lazily imports ./pages/PlatformOps/DemoAnalyticsPages (line ~355) for DemoAnalyticsDynamicPage / DemoAnalyticsSuggestionsPage / DemoAnalyticsWidgetScriptCompilerPage. Each must be replaced by a real page or its route deleted, and DemoAnalyticsPages.tsx is a one-line `export * from './DemoAnalyticsPages.implementation'` thin re-export that noThinReExports currently passes - fix that gate's pattern while you are here. Then delete PlatformOps/ and demo-analytics.css. Two of its titles were de-phased on 09-Jul; do not mistake that for the page being legitimate.</t>
        </is>
      </c>
      <c r="K15" s="5" t="inlineStr">
        <is>
          <t>Zero references to PlatformOps/DemoAnalyticsPages in src; the noHardcodedDemoPages gate is extended to catch a demo page COMPOSED INTO a non-demo page (the case it missed for weeks); tsc + full suite green.</t>
        </is>
      </c>
      <c r="L15" s="7" t="n">
        <v>2</v>
      </c>
      <c r="M15" s="5" t="inlineStr">
        <is>
          <t>RE-ESTIMATED 1h -&gt; 2h</t>
        </is>
      </c>
      <c r="N15" s="4" t="inlineStr">
        <is>
          <t>M1-12</t>
        </is>
      </c>
    </row>
    <row r="16">
      <c r="A16" s="3" t="inlineStr">
        <is>
          <t>M1-14</t>
        </is>
      </c>
      <c r="B16" s="4" t="inlineStr">
        <is>
          <t>M1</t>
        </is>
      </c>
      <c r="C16" s="4" t="inlineStr">
        <is>
          <t>M1-P2</t>
        </is>
      </c>
      <c r="D16" s="5" t="inlineStr">
        <is>
          <t>G14 Internationalization</t>
        </is>
      </c>
      <c r="E16" s="5" t="inlineStr">
        <is>
          <t>Full i18n: EN/DE (+AR-ready) across all demo-path pages</t>
        </is>
      </c>
      <c r="F16" s="6" t="inlineStr">
        <is>
          <t>Critical</t>
        </is>
      </c>
      <c r="G16" s="4" t="inlineStr">
        <is>
          <t>new feature</t>
        </is>
      </c>
      <c r="H16" s="4" t="inlineStr">
        <is>
          <t>Frontend</t>
        </is>
      </c>
      <c r="I16" s="4" t="inlineStr">
        <is>
          <t>i18n</t>
        </is>
      </c>
      <c r="J16" s="5" t="inlineStr">
        <is>
          <t>Customer complaint from presentation #1: no translation. Introduce react-i18next (or equivalent) with EN+DE locale files, AR structure ready and an RTL-safe layout audit; externalize ALL user-visible strings on the demo pages + nav + toasts + LogPanel + wizards; language switcher in the header, persisted per user; backend enum/labels mapped via translation keys, never English string checks. UPDATED CONTEXT (09-Jul): mojibake is repaired and gated, so extraction will not carry corrupted glyphs into locale files; StandardPageHeader and StandardStatGrid now centralise most page chrome, which shrinks the surface; a repo-wide phase-token gate already exists and should be mirrored for raw literals. STAGE THIS: (1) framework + switcher + locale scaffolding, (2) shell/nav, (3) pages two at a time, (4) raw-literal gate, (5) AR file + RTL audit. Do not attempt it in one pass.</t>
        </is>
      </c>
      <c r="K16" s="5" t="inlineStr">
        <is>
          <t>Switch EN&lt;-&gt;DE live: every visible string on the demo path translates (nav, buttons, table headers, empty states, errors, LogPanel, the sample-data badge, the honesty sentences). Grep gate: zero raw literals in demo-path components. AR locale loads without layout break. Compliance/honesty sentences are translated as WHOLE strings, never assembled from fragments.</t>
        </is>
      </c>
      <c r="L16" s="7" t="n">
        <v>14</v>
      </c>
      <c r="M16" s="5" t="inlineStr">
        <is>
          <t>CARRIED</t>
        </is>
      </c>
      <c r="N16" s="4" t="inlineStr">
        <is>
          <t>M1-16</t>
        </is>
      </c>
    </row>
    <row r="17">
      <c r="A17" s="3" t="inlineStr">
        <is>
          <t>M1-15</t>
        </is>
      </c>
      <c r="B17" s="4" t="inlineStr">
        <is>
          <t>M1</t>
        </is>
      </c>
      <c r="C17" s="4" t="inlineStr">
        <is>
          <t>M1-P2</t>
        </is>
      </c>
      <c r="D17" s="5" t="inlineStr">
        <is>
          <t>G2 Assistant</t>
        </is>
      </c>
      <c r="E17" s="5" t="inlineStr">
        <is>
          <t>Evidence-row route so a citation opens the evidence it cites</t>
        </is>
      </c>
      <c r="F17" s="8" t="inlineStr">
        <is>
          <t>Very important</t>
        </is>
      </c>
      <c r="G17" s="4" t="inlineStr">
        <is>
          <t>new feature</t>
        </is>
      </c>
      <c r="H17" s="4" t="inlineStr">
        <is>
          <t>Frontend</t>
        </is>
      </c>
      <c r="I17" s="4" t="inlineStr">
        <is>
          <t>Assistant</t>
        </is>
      </c>
      <c r="J17" s="5" t="inlineStr">
        <is>
          <t>NEW - the half of M1-11's acceptance that could not be honoured. There is NO evidence-row route or drawer in the application, so clicking a citation currently expands the provenance handle inline (kind, id, detail) rather than navigating to a fiction. Build the destination: a route that resolves a provenance handle (material / correlation result / quality event) to the row it names, and make AssistantChat.onOpenEvidence navigate to it.</t>
        </is>
      </c>
      <c r="K17" s="5" t="inlineStr">
        <is>
          <t>Clicking a citation on /assistant opens the exact evidence row it names; a handle that cannot be resolved shows an honest 'evidence no longer available' state, never a blank page; the grounding contract still blocks uncited numbers.</t>
        </is>
      </c>
      <c r="L17" s="7" t="n">
        <v>4</v>
      </c>
      <c r="M17" s="5" t="inlineStr">
        <is>
          <t>CARRIED</t>
        </is>
      </c>
      <c r="N17" s="4" t="inlineStr">
        <is>
          <t>M1-13</t>
        </is>
      </c>
    </row>
    <row r="18">
      <c r="A18" s="3" t="inlineStr">
        <is>
          <t>M1-16</t>
        </is>
      </c>
      <c r="B18" s="4" t="inlineStr">
        <is>
          <t>M1</t>
        </is>
      </c>
      <c r="C18" s="4" t="inlineStr">
        <is>
          <t>M1-P2</t>
        </is>
      </c>
      <c r="D18" s="5" t="inlineStr">
        <is>
          <t>G12 UX / information architecture</t>
        </is>
      </c>
      <c r="E18" s="5" t="inlineStr">
        <is>
          <t>UX discoverability + expectation pass across the demo pages</t>
        </is>
      </c>
      <c r="F18" s="8" t="inlineStr">
        <is>
          <t>Very important</t>
        </is>
      </c>
      <c r="G18" s="4" t="inlineStr">
        <is>
          <t>modification</t>
        </is>
      </c>
      <c r="H18" s="4" t="inlineStr">
        <is>
          <t>Frontend</t>
        </is>
      </c>
      <c r="I18" s="4" t="inlineStr">
        <is>
          <t>Navigation/IA</t>
        </is>
      </c>
      <c r="J18" s="5" t="inlineStr">
        <is>
          <t>RESCOPED. The presentation-quality work is done (09-Jul): StandardPageHeader + StandardStatGrid replaced the label-glued-to-value markup on 8 pages, the internal 'Mode' card is gone, one headline figure is promoted per page, sample data is disclosed with a badge, and wording is business-facing. What REMAINS is the discoverability half: every primary action reachable where a plant user expects it; wizard entry points visible (Add Widget, New Analysis, Prepare Import); consistent button placement and labels; empty states that explain the NEXT step; the three no-code surfaces visibly three distinct, named places. Deliverable is a walkthrough document, not a code pack - it cannot be gated by a script.</t>
        </is>
      </c>
      <c r="K18" s="5" t="inlineStr">
        <is>
          <t>UX walkthrough doc with before/after per page; zero 'why is this here?' items open; task-completion click-count recorded before and after for three journeys (connect a source, build a widget, run an analysis).</t>
        </is>
      </c>
      <c r="L18" s="7" t="n">
        <v>5</v>
      </c>
      <c r="M18" s="5" t="inlineStr">
        <is>
          <t>CARRIED</t>
        </is>
      </c>
      <c r="N18" s="4" t="inlineStr">
        <is>
          <t>M1-17</t>
        </is>
      </c>
    </row>
    <row r="19">
      <c r="A19" s="3" t="inlineStr">
        <is>
          <t>M1-17</t>
        </is>
      </c>
      <c r="B19" s="4" t="inlineStr">
        <is>
          <t>M1</t>
        </is>
      </c>
      <c r="C19" s="4" t="inlineStr">
        <is>
          <t>M1-P2</t>
        </is>
      </c>
      <c r="D19" s="5" t="inlineStr">
        <is>
          <t>G5 UI charm</t>
        </is>
      </c>
      <c r="E19" s="5" t="inlineStr">
        <is>
          <t>Charm pass on the demo pages not covered by the Step-3 UI rebuild</t>
        </is>
      </c>
      <c r="F19" s="8" t="inlineStr">
        <is>
          <t>Very important</t>
        </is>
      </c>
      <c r="G19" s="4" t="inlineStr">
        <is>
          <t>modification</t>
        </is>
      </c>
      <c r="H19" s="4" t="inlineStr">
        <is>
          <t>Frontend</t>
        </is>
      </c>
      <c r="I19" s="4" t="inlineStr">
        <is>
          <t>UI</t>
        </is>
      </c>
      <c r="J19" s="5" t="inlineStr">
        <is>
          <t>RESCOPED. The 8 advisory/connector pages were rebuilt 09-Jul (headers, stat grids, spacing, palette, wording). Remaining: Dashboard, Material Investigation, Risk, Data Quality, Correlations, Page Builder and the wizards - spacing/typography, skeletons, empty-state copy, palette consistency, zero console warnings. NO logic or route changes.</t>
        </is>
      </c>
      <c r="K19" s="5" t="inlineStr">
        <is>
          <t>Screenshot review signed; console clean on the whole demo path; no page mixes the old bare-div stat markup with StandardStatGrid.</t>
        </is>
      </c>
      <c r="L19" s="7" t="n">
        <v>3</v>
      </c>
      <c r="M19" s="5" t="inlineStr">
        <is>
          <t>CARRIED</t>
        </is>
      </c>
      <c r="N19" s="4" t="inlineStr">
        <is>
          <t>M1-18</t>
        </is>
      </c>
    </row>
    <row r="20">
      <c r="A20" s="3" t="inlineStr">
        <is>
          <t>M1-18</t>
        </is>
      </c>
      <c r="B20" s="4" t="inlineStr">
        <is>
          <t>M1</t>
        </is>
      </c>
      <c r="C20" s="4" t="inlineStr">
        <is>
          <t>M1-P2</t>
        </is>
      </c>
      <c r="D20" s="5" t="inlineStr">
        <is>
          <t>G12 UX / information architecture</t>
        </is>
      </c>
      <c r="E20" s="5" t="inlineStr">
        <is>
          <t>Data Integration polish: fold /prepare into the layout, finish the sub-nav</t>
        </is>
      </c>
      <c r="F20" s="9" t="inlineStr">
        <is>
          <t>Important</t>
        </is>
      </c>
      <c r="G20" s="4" t="inlineStr">
        <is>
          <t>modification</t>
        </is>
      </c>
      <c r="H20" s="4" t="inlineStr">
        <is>
          <t>Frontend</t>
        </is>
      </c>
      <c r="I20" s="4" t="inlineStr">
        <is>
          <t>DataIntegration</t>
        </is>
      </c>
      <c r="J20" s="5" t="inlineStr">
        <is>
          <t>M1-06 shipped /data-integration as a layout route with &lt;Outlet context&gt; and five children (connections, registry, importing, jobs, connector-truth). Two loose ends remain, both small: (1) /data-integration/prepare (the M1-03 SourceImportPrepPage) kept its own TOP-LEVEL route, so it renders WITHOUT the Data Integration header and Refresh button even though the sidebar lists it in that section. Move it inside the layout as a child route. (2) There is no sub-navigation inside the area: a user on /connections cannot see the other four without going back to the sidebar. Add a StandardTabs or NavLink strip inside DataIntegrationLayout. Do NOT re-create the six-tab Admin shell.</t>
        </is>
      </c>
      <c r="K20" s="5" t="inlineStr">
        <is>
          <t>/data-integration/prepare renders inside the area chrome; the layout still issues exactly ONE fetch per visit (Network tab); the six children are reachable from within the area without returning to the sidebar.</t>
        </is>
      </c>
      <c r="L20" s="7" t="n">
        <v>1</v>
      </c>
      <c r="M20" s="5" t="inlineStr">
        <is>
          <t>RE-ESTIMATED 1.5h -&gt; 1h</t>
        </is>
      </c>
      <c r="N20" s="4" t="inlineStr">
        <is>
          <t>M1-10</t>
        </is>
      </c>
    </row>
    <row r="21">
      <c r="A21" s="3" t="inlineStr">
        <is>
          <t>M1-19</t>
        </is>
      </c>
      <c r="B21" s="4" t="inlineStr">
        <is>
          <t>M1</t>
        </is>
      </c>
      <c r="C21" s="4" t="inlineStr">
        <is>
          <t>M1-P2</t>
        </is>
      </c>
      <c r="D21" s="5" t="inlineStr">
        <is>
          <t>G8 Hardening &amp; rename</t>
        </is>
      </c>
      <c r="E21" s="5" t="inlineStr">
        <is>
          <t>Decide src/phase11: wire the four modules in, or delete them</t>
        </is>
      </c>
      <c r="F21" s="9" t="inlineStr">
        <is>
          <t>Important</t>
        </is>
      </c>
      <c r="G21" s="4" t="inlineStr">
        <is>
          <t>refactor</t>
        </is>
      </c>
      <c r="H21" s="4" t="inlineStr">
        <is>
          <t>Frontend</t>
        </is>
      </c>
      <c r="I21" s="4" t="inlineStr">
        <is>
          <t>Technical-Debt</t>
        </is>
      </c>
      <c r="J21" s="5" t="inlineStr">
        <is>
          <t>NEW - discovered 09-Jul. src/phase11/ holds four TESTED modules imported by NOTHING outside their own tests: phase11WidgetLayout.ts (a real grid layout engine - clamp, minimize/maximize, serialize/restore), phase11UiState.ts (a five-state idle/loading/empty/partial/ready/error resolver that DUPLICATES StateRenderer.tsx), phase11StandardControlContract.ts (a typed native-element -&gt; Standard-component map that DUPLICATES the T11 gate's regex), phase11HeatmapInteractions.ts, plus a stray phase5HeatmapRegression.test.ts. This is not a naming problem: it is two implementations of the same rules. Decide per module - WIRE (make StateRenderer consume the resolver; make the T11 gate read the typed contract; give the widget grid its layout engine) or DELETE. Do not merely rename.</t>
        </is>
      </c>
      <c r="K21" s="5" t="inlineStr">
        <is>
          <t>Each of the four modules is either imported by production code or deleted with its tests; no rule in this codebase has two sources of truth; the T11 gate reads the contract rather than restating it in a regex.</t>
        </is>
      </c>
      <c r="L21" s="7" t="n">
        <v>3</v>
      </c>
      <c r="M21" s="5" t="inlineStr">
        <is>
          <t>CARRIED</t>
        </is>
      </c>
      <c r="N21" s="4" t="inlineStr">
        <is>
          <t>M1-15</t>
        </is>
      </c>
    </row>
    <row r="22">
      <c r="A22" s="3" t="inlineStr">
        <is>
          <t>M1-20</t>
        </is>
      </c>
      <c r="B22" s="4" t="inlineStr">
        <is>
          <t>M1</t>
        </is>
      </c>
      <c r="C22" s="4" t="inlineStr">
        <is>
          <t>M1-P2</t>
        </is>
      </c>
      <c r="D22" s="5" t="inlineStr">
        <is>
          <t>G12 UX / information architecture</t>
        </is>
      </c>
      <c r="E22" s="5" t="inlineStr">
        <is>
          <t>Harden the phase-token gate: single-digit P tokens and directory names</t>
        </is>
      </c>
      <c r="F22" s="9" t="inlineStr">
        <is>
          <t>Important</t>
        </is>
      </c>
      <c r="G22" s="4" t="inlineStr">
        <is>
          <t>enhancement</t>
        </is>
      </c>
      <c r="H22" s="4" t="inlineStr">
        <is>
          <t>Frontend</t>
        </is>
      </c>
      <c r="I22" s="4" t="inlineStr">
        <is>
          <t>CI gate</t>
        </is>
      </c>
      <c r="J22" s="5" t="inlineStr">
        <is>
          <t>Two blind spots found on 09-Jul, both AFTER the gate was declared repo-wide. (a) The rendered-text check matches P06-P15 (deliberately range-limited so BenchmarkingPage's P25/P50/P75 percentile headers do not false-positive). The deleted GroundedAssistantPage carried a 'P4 . Production Assistant' kicker that NO check would ever have caught - single-digit P tokens are invisible. Extend the pattern to \bP\d\b when followed by a separator + word, and add a unit test proving P25/P50/P75 still pass. (b) No gate looks at FILE OR DIRECTORY NAMES. src/pages/Phase8, Phase9, Phase7ValueScenario, src/phase11 and three phase-named stylesheets are invisible. Add a name check that FAILS on them, then mark it .skip with a comment pointing at M2-32 - a red gate you cannot fix today is worse than a documented one. Do not add an allowlist.</t>
        </is>
      </c>
      <c r="K22" s="5" t="inlineStr">
        <is>
          <t>npx vitest run src/test/architecture/ is green. Temporarily inserting '&lt;strong&gt;P4&lt;/strong&gt;' into any page under src/pages makes the suite RED and names the file. BenchmarkingPage's P25/P50/P75 headers keep the suite green. The directory-name check exists, is .skip'd, and its skip reason names M2-32.</t>
        </is>
      </c>
      <c r="L22" s="7" t="n">
        <v>1</v>
      </c>
      <c r="M22" s="5" t="inlineStr">
        <is>
          <t>NEW</t>
        </is>
      </c>
      <c r="N22" s="4" t="inlineStr">
        <is>
          <t>-</t>
        </is>
      </c>
    </row>
    <row r="23">
      <c r="A23" s="3" t="inlineStr">
        <is>
          <t>M1-21</t>
        </is>
      </c>
      <c r="B23" s="4" t="inlineStr">
        <is>
          <t>M1</t>
        </is>
      </c>
      <c r="C23" s="4" t="inlineStr">
        <is>
          <t>M1-P3</t>
        </is>
      </c>
      <c r="D23" s="5" t="inlineStr">
        <is>
          <t>G16 Demo readiness</t>
        </is>
      </c>
      <c r="E23" s="5" t="inlineStr">
        <is>
          <t>Browser render verification of every surface changed on 09-Jul (nothing has been seen)</t>
        </is>
      </c>
      <c r="F23" s="6" t="inlineStr">
        <is>
          <t>Critical</t>
        </is>
      </c>
      <c r="G23" s="4" t="inlineStr">
        <is>
          <t>rework</t>
        </is>
      </c>
      <c r="H23" s="4" t="inlineStr">
        <is>
          <t>Testing</t>
        </is>
      </c>
      <c r="I23" s="4" t="inlineStr">
        <is>
          <t>Manual verification</t>
        </is>
      </c>
      <c r="J23" s="5" t="inlineStr">
        <is>
          <t>Seven packs landed on 09-Jul and EVERY ONE was proven by tsc + vitest + dotnet build. Not one was opened in a browser: the API was down at the end of the session. Gates cannot see layout, colour, focus order, or whether a fetch actually returns. Walk, with the stack up, in this order (each line is a distinct failure mode): (1) /assistant - a CHAT renders, not a lone textarea; ask a question; Network shows the ask POST returning 200 not 403; a citation is a BUTTON and clicking it expands the provenance handle. (2) /data-integration/connector-truth - an EMPTY STATE, never 'MeltShop PostgreSQL'. (3) /data-integration/connections + /importing - data loads (the layout's single Promise.allSettled). (4) /admin?adminTab=jobs-monitor redirects to /data-integration/jobs. (5) /admin shows Site identity + License + a pointer, and nothing else. (6) Log panel: type a word -&gt; entries filter; toggle Source=System -&gt; systemlog lines with severity colours. (7) /advisory/benchmarking - 'Median' and '107' on SEPARATE lines, 'Plant percentile' promoted, no 'Mode' card. (8) /commercial/license still works and /license 404s. (9) /i18n-rtl last card reads 'Ready', not 'P08'. Record each as PASS/FAIL with a screenshot.</t>
        </is>
      </c>
      <c r="K23" s="5" t="inlineStr">
        <is>
          <t>A 9-row checklist committed under docs/, every row PASS with a screenshot, dated. Any FAIL becomes a numbered bug row in this backlog before M1-P3 continues. This task BLOCKS the dress rehearsal: rehearsing an unseen UI is theatre, not proof.</t>
        </is>
      </c>
      <c r="L23" s="7" t="n">
        <v>1.5</v>
      </c>
      <c r="M23" s="5" t="inlineStr">
        <is>
          <t>NEW</t>
        </is>
      </c>
      <c r="N23" s="4" t="inlineStr">
        <is>
          <t>-</t>
        </is>
      </c>
    </row>
    <row r="24">
      <c r="A24" s="3" t="inlineStr">
        <is>
          <t>M1-22</t>
        </is>
      </c>
      <c r="B24" s="4" t="inlineStr">
        <is>
          <t>M1</t>
        </is>
      </c>
      <c r="C24" s="4" t="inlineStr">
        <is>
          <t>M1-P2</t>
        </is>
      </c>
      <c r="D24" s="5" t="inlineStr">
        <is>
          <t>G15 Observability UX</t>
        </is>
      </c>
      <c r="E24" s="5" t="inlineStr">
        <is>
          <t>LogPanel component tests (the validation M1-10 asked for)</t>
        </is>
      </c>
      <c r="F24" s="9" t="inlineStr">
        <is>
          <t>Important</t>
        </is>
      </c>
      <c r="G24" s="4" t="inlineStr">
        <is>
          <t>test</t>
        </is>
      </c>
      <c r="H24" s="4" t="inlineStr">
        <is>
          <t>Frontend+Backend</t>
        </is>
      </c>
      <c r="I24" s="4" t="inlineStr">
        <is>
          <t>LogPanel</t>
        </is>
      </c>
      <c r="J24" s="5" t="inlineStr">
        <is>
          <t>M1-10 shipped without the tests its own validation clause demanded, and it also shipped a SECURITY boundary that nothing tests. Two halves. FRONTEND: component tests for LogPanel - the 350ms debounce issues ONE request per settled input, not one per keystroke; the Source toggle swaps endpoint (/admin/job-logs vs /admin/system-logs) and swaps the severity option list (system adds Debug); filters combine; the 10s poll is cleared on unmount and when the panel closes. BACKEND: an integration test for GET /admin/system-logs proving the path-traversal guard. The client supplies DateOnly day + int hour and can never name a file, so the test must assert the GUARD ITSELF: hour=99 clamps to 23; a day/hour with no file returns 200 with exists=false and an empty entries array (not 404, not an exception); the resolved path assertion (candidate.StartsWith(logDirectory + separator)) is exercised. Also assert the Serilog line parser: a VRB/DBG/INF/WRN/ERR/FTL line maps to Debug/Debug/Info/Warning/Error/Error, and a CONTINUATION line (a stack trace) attaches to the preceding entry instead of becoming an orphan row.</t>
        </is>
      </c>
      <c r="K24" s="5" t="inlineStr">
        <is>
          <t>npx vitest run src/components/logging is green with &gt;= 6 assertions; dotnet test --filter SystemLog is green with &gt;= 4. A deliberately malformed systemlog line does not throw. Coverage of LogPanel.tsx &gt;= 80%.</t>
        </is>
      </c>
      <c r="L24" s="7" t="n">
        <v>2</v>
      </c>
      <c r="M24" s="5" t="inlineStr">
        <is>
          <t>EXTENDED 1.5h -&gt; 2h</t>
        </is>
      </c>
      <c r="N24" s="4" t="inlineStr">
        <is>
          <t>M1-14</t>
        </is>
      </c>
    </row>
    <row r="25">
      <c r="A25" s="3" t="inlineStr">
        <is>
          <t>M1-23</t>
        </is>
      </c>
      <c r="B25" s="4" t="inlineStr">
        <is>
          <t>M1</t>
        </is>
      </c>
      <c r="C25" s="4" t="inlineStr">
        <is>
          <t>M1-P3</t>
        </is>
      </c>
      <c r="D25" s="5" t="inlineStr">
        <is>
          <t>G13 Test realignment</t>
        </is>
      </c>
      <c r="E25" s="5" t="inlineStr">
        <is>
          <t>E2E suite realignment after the IA, route and assistant changes</t>
        </is>
      </c>
      <c r="F25" s="6" t="inlineStr">
        <is>
          <t>Critical</t>
        </is>
      </c>
      <c r="G25" s="4" t="inlineStr">
        <is>
          <t>test</t>
        </is>
      </c>
      <c r="H25" s="4" t="inlineStr">
        <is>
          <t>Testing</t>
        </is>
      </c>
      <c r="I25" s="4" t="inlineStr">
        <is>
          <t>E2E</t>
        </is>
      </c>
      <c r="J25" s="5" t="inlineStr">
        <is>
          <t>RE-ESTIMATED 4h -&gt; 8h. The v17 estimate predated three structural changes that invalidate large parts of the 397-spec suite: M1-08 renamed 12 canonical routes (old paths are now redirects); M1-06 moved DB Configuration / Schema Configuration / Importing / Jobs Monitor / Connector Truth out of /admin?adminTab=... into /data-integration/*; M1-11 deleted GroundedAssistantPage and changed the assistant page's structure. Cat A: accept fresh baselines via a clean Playwright-owned run (stop manual servers first). Cat B: fix or test.fixme with a linked reason - never delete assertions. Cat C: specs asserting the six-tab admin must be rewritten against the new IA.</t>
        </is>
      </c>
      <c r="K25" s="5" t="inlineStr">
        <is>
          <t>npm run e2e green on Playwright-owned servers; every fixme carries a linked reason; the run output is committed; a spec exists that follows /admin?adminTab=jobs-monitor through the redirect to /data-integration/jobs.</t>
        </is>
      </c>
      <c r="L25" s="7" t="n">
        <v>8</v>
      </c>
      <c r="M25" s="5" t="inlineStr">
        <is>
          <t>CARRIED</t>
        </is>
      </c>
      <c r="N25" s="4" t="inlineStr">
        <is>
          <t>M1-19</t>
        </is>
      </c>
    </row>
    <row r="26">
      <c r="A26" s="3" t="inlineStr">
        <is>
          <t>M1-24</t>
        </is>
      </c>
      <c r="B26" s="4" t="inlineStr">
        <is>
          <t>M1</t>
        </is>
      </c>
      <c r="C26" s="4" t="inlineStr">
        <is>
          <t>M1-P3</t>
        </is>
      </c>
      <c r="D26" s="5" t="inlineStr">
        <is>
          <t>G4 Rehearsal &amp; HMI proof</t>
        </is>
      </c>
      <c r="E26" s="5" t="inlineStr">
        <is>
          <t>Action-matrix click-through on the NEW information architecture</t>
        </is>
      </c>
      <c r="F26" s="6" t="inlineStr">
        <is>
          <t>Critical</t>
        </is>
      </c>
      <c r="G26" s="4" t="inlineStr">
        <is>
          <t>verification</t>
        </is>
      </c>
      <c r="H26" s="4" t="inlineStr">
        <is>
          <t>Testing</t>
        </is>
      </c>
      <c r="I26" s="4" t="inlineStr">
        <is>
          <t>E2E</t>
        </is>
      </c>
      <c r="J26" s="5" t="inlineStr">
        <is>
          <t>REWRITTEN. v17 said 'the six-tab admin' - that no longer exists. Click every control on the demo path across the new IA: the Data Integration area (Connections, Table Registry, Prepare Import, Importing, Jobs Monitor, Connector Truth), the slimmed Administrator, /assistant, /advisory/*, and the log panel's new source toggle and word filter. Run the persona matrix for real (not --list). Fix dead controls same-day.</t>
        </is>
      </c>
      <c r="K26" s="5" t="inlineStr">
        <is>
          <t>Zero dead buttons on the demo path; matrix run output committed; every route named in src/security/roleAccess.ts resolves to a page that exists.</t>
        </is>
      </c>
      <c r="L26" s="7" t="n">
        <v>3</v>
      </c>
      <c r="M26" s="5" t="inlineStr">
        <is>
          <t>CARRIED</t>
        </is>
      </c>
      <c r="N26" s="4" t="inlineStr">
        <is>
          <t>M1-22</t>
        </is>
      </c>
    </row>
    <row r="27">
      <c r="A27" s="3" t="inlineStr">
        <is>
          <t>M1-25</t>
        </is>
      </c>
      <c r="B27" s="4" t="inlineStr">
        <is>
          <t>M1</t>
        </is>
      </c>
      <c r="C27" s="4" t="inlineStr">
        <is>
          <t>M1-P3</t>
        </is>
      </c>
      <c r="D27" s="5" t="inlineStr">
        <is>
          <t>G4 Rehearsal &amp; HMI proof</t>
        </is>
      </c>
      <c r="E27" s="5" t="inlineStr">
        <is>
          <t>Dress rehearsal #1 (recorded) - full empty-DB choreography &lt;= 25 min</t>
        </is>
      </c>
      <c r="F27" s="6" t="inlineStr">
        <is>
          <t>Critical</t>
        </is>
      </c>
      <c r="G27" s="4" t="inlineStr">
        <is>
          <t>test</t>
        </is>
      </c>
      <c r="H27" s="4" t="inlineStr">
        <is>
          <t>Testing</t>
        </is>
      </c>
      <c r="I27" s="4" t="inlineStr">
        <is>
          <t>E2E</t>
        </is>
      </c>
      <c r="J27" s="5" t="inlineStr">
        <is>
          <t>RE-DATED. The 08-Jul session has passed; this rehearsal now serves the NEXT customer session (date TBD). tools/reset-app-database.ps1 -&gt; the 9-step protocol -&gt; initial the MANUAL rows (cold-load console+cookie, stopped-container typed error, widget drag+refresh delta, attribution clip, analysis-job HMI + honesty bar). NOTE: reset-app-database.ps1 DROPS ppiq_app, taking the 38,345-row plant dataset with it - confirm the seed path regenerates it before running, or the rehearsal destroys the demo data.</t>
        </is>
      </c>
      <c r="K27" s="5" t="inlineStr">
        <is>
          <t>Recording exists; walk-evidence re-run attached with 0 FAIL; MANUAL rows initialed; the plant dataset is present again after reset+seed (count asserted, not assumed).</t>
        </is>
      </c>
      <c r="L27" s="7" t="n">
        <v>4</v>
      </c>
      <c r="M27" s="5" t="inlineStr">
        <is>
          <t>CARRIED</t>
        </is>
      </c>
      <c r="N27" s="4" t="inlineStr">
        <is>
          <t>M1-21</t>
        </is>
      </c>
    </row>
    <row r="28">
      <c r="A28" s="3" t="inlineStr">
        <is>
          <t>M1-26</t>
        </is>
      </c>
      <c r="B28" s="4" t="inlineStr">
        <is>
          <t>M1</t>
        </is>
      </c>
      <c r="C28" s="4" t="inlineStr">
        <is>
          <t>M1-P3</t>
        </is>
      </c>
      <c r="D28" s="5" t="inlineStr">
        <is>
          <t>G2 Assistant</t>
        </is>
      </c>
      <c r="E28" s="5" t="inlineStr">
        <is>
          <t>Mini grounding eval (5 questions) as a repeatable script</t>
        </is>
      </c>
      <c r="F28" s="8" t="inlineStr">
        <is>
          <t>Very important</t>
        </is>
      </c>
      <c r="G28" s="4" t="inlineStr">
        <is>
          <t>test</t>
        </is>
      </c>
      <c r="H28" s="4" t="inlineStr">
        <is>
          <t>Testing</t>
        </is>
      </c>
      <c r="I28" s="4" t="inlineStr">
        <is>
          <t>E2E</t>
        </is>
      </c>
      <c r="J28" s="5" t="inlineStr">
        <is>
          <t>Scripted 5-question eval over results_v2 asserting citations resolve and that an out-of-evidence question produces a refusal. Depends on a live provider (previous backend task) AND on the evidence-row route, otherwise the citation-resolves assertion has no destination.</t>
        </is>
      </c>
      <c r="K28" s="5" t="inlineStr">
        <is>
          <t>5/5 pass recorded in walk-evidence; the refusal case is asserted, not just the happy path.</t>
        </is>
      </c>
      <c r="L28" s="7" t="n">
        <v>1</v>
      </c>
      <c r="M28" s="5" t="inlineStr">
        <is>
          <t>CARRIED</t>
        </is>
      </c>
      <c r="N28" s="4" t="inlineStr">
        <is>
          <t>M1-20</t>
        </is>
      </c>
    </row>
    <row r="29">
      <c r="A29" s="3" t="inlineStr">
        <is>
          <t>M1-27</t>
        </is>
      </c>
      <c r="B29" s="4" t="inlineStr">
        <is>
          <t>M1</t>
        </is>
      </c>
      <c r="C29" s="4" t="inlineStr">
        <is>
          <t>M1-P3</t>
        </is>
      </c>
      <c r="D29" s="5" t="inlineStr">
        <is>
          <t>G6 Docs &amp; assets</t>
        </is>
      </c>
      <c r="E29" s="5" t="inlineStr">
        <is>
          <t>Record the 4-minute silent dry-run video (fallback asset)</t>
        </is>
      </c>
      <c r="F29" s="9" t="inlineStr">
        <is>
          <t>Important</t>
        </is>
      </c>
      <c r="G29" s="4" t="inlineStr">
        <is>
          <t>asset</t>
        </is>
      </c>
      <c r="H29" s="4" t="inlineStr">
        <is>
          <t>Docs</t>
        </is>
      </c>
      <c r="I29" s="4" t="inlineStr">
        <is>
          <t>Demo</t>
        </is>
      </c>
      <c r="J29" s="5" t="inlineStr">
        <is>
          <t>Screen capture of the golden path from rehearsal #1. Re-shoot required: the nav, the Administrator page, the assistant page and all 8 advisory pages changed on 09-Jul, so any earlier capture is stale.</t>
        </is>
      </c>
      <c r="K29" s="5" t="inlineStr">
        <is>
          <t>MP4 stored with the deck; the footage shows the Data Integration area, not DB config under Administrator.</t>
        </is>
      </c>
      <c r="L29" s="7" t="n">
        <v>2</v>
      </c>
      <c r="M29" s="5" t="inlineStr">
        <is>
          <t>CARRIED</t>
        </is>
      </c>
      <c r="N29" s="4" t="inlineStr">
        <is>
          <t>M1-23</t>
        </is>
      </c>
    </row>
    <row r="30">
      <c r="A30" s="3" t="inlineStr">
        <is>
          <t>M1-28</t>
        </is>
      </c>
      <c r="B30" s="4" t="inlineStr">
        <is>
          <t>M1</t>
        </is>
      </c>
      <c r="C30" s="4" t="inlineStr">
        <is>
          <t>M1-P3</t>
        </is>
      </c>
      <c r="D30" s="5" t="inlineStr">
        <is>
          <t>G6 Docs &amp; assets</t>
        </is>
      </c>
      <c r="E30" s="5" t="inlineStr">
        <is>
          <t>Deck/doc fills: ROI price base, pilot offer, competitor one-liners, closing ask</t>
        </is>
      </c>
      <c r="F30" s="9" t="inlineStr">
        <is>
          <t>Important</t>
        </is>
      </c>
      <c r="G30" s="4" t="inlineStr">
        <is>
          <t>docs</t>
        </is>
      </c>
      <c r="H30" s="4" t="inlineStr">
        <is>
          <t>Docs</t>
        </is>
      </c>
      <c r="I30" s="4" t="inlineStr">
        <is>
          <t>Demo</t>
        </is>
      </c>
      <c r="J30" s="5" t="inlineStr">
        <is>
          <t>Fill the placeholders in the 22-slide deck + leave-behind PDF. Also correct Identity &amp; Topology: ppiq_app Postgres is a NATIVE Windows service (postgresql-x64-16) on 5432, NOT the ppiq-app-db container (Exited 255 for weeks); DB credentials are ppiq_dev / ppiq_dev_local_only in env/profiles/local.env; psql must use 127.0.0.1, not localhost (which resolves to ::1).</t>
        </is>
      </c>
      <c r="K30" s="5" t="inlineStr">
        <is>
          <t>Deck exports clean; numbers match what will be said; Identity &amp; Topology v5 states the native-service reality and the correct credentials.</t>
        </is>
      </c>
      <c r="L30" s="7" t="n">
        <v>4</v>
      </c>
      <c r="M30" s="5" t="inlineStr">
        <is>
          <t>CARRIED</t>
        </is>
      </c>
      <c r="N30" s="4" t="inlineStr">
        <is>
          <t>M1-24</t>
        </is>
      </c>
    </row>
    <row r="31">
      <c r="A31" s="3" t="inlineStr">
        <is>
          <t>M2-01</t>
        </is>
      </c>
      <c r="B31" s="4" t="inlineStr">
        <is>
          <t>M2</t>
        </is>
      </c>
      <c r="C31" s="4" t="inlineStr">
        <is>
          <t>M2-P1</t>
        </is>
      </c>
      <c r="D31" s="5" t="inlineStr">
        <is>
          <t>G2 Credential &amp; secrets doctrine</t>
        </is>
      </c>
      <c r="E31" s="5" t="inlineStr">
        <is>
          <t>Credential resolution doctrine across ALL provider types + secret store</t>
        </is>
      </c>
      <c r="F31" s="6" t="inlineStr">
        <is>
          <t>Critical</t>
        </is>
      </c>
      <c r="G31" s="4" t="inlineStr">
        <is>
          <t>modification</t>
        </is>
      </c>
      <c r="H31" s="4" t="inlineStr">
        <is>
          <t>Backend</t>
        </is>
      </c>
      <c r="I31" s="4" t="inlineStr">
        <is>
          <t>Core</t>
        </is>
      </c>
      <c r="J31" s="5" t="inlineStr">
        <is>
          <t>Generalize the M1 fix: unified secret_reference resolver (env/file/vault-ready), per-provider tests, masking in logs and API responses everywhere.</t>
        </is>
      </c>
      <c r="K31" s="5" t="inlineStr">
        <is>
          <t>6/6 providers hard-fail typed without creds; secrets never appear in job_log/systemlog/API.</t>
        </is>
      </c>
      <c r="L31" s="7" t="n">
        <v>6</v>
      </c>
      <c r="M31" s="5" t="inlineStr">
        <is>
          <t>CARRIED</t>
        </is>
      </c>
      <c r="N31" s="4" t="inlineStr">
        <is>
          <t>M2-01</t>
        </is>
      </c>
    </row>
    <row r="32">
      <c r="A32" s="3" t="inlineStr">
        <is>
          <t>M2-02</t>
        </is>
      </c>
      <c r="B32" s="4" t="inlineStr">
        <is>
          <t>M2</t>
        </is>
      </c>
      <c r="C32" s="4" t="inlineStr">
        <is>
          <t>M2-P1</t>
        </is>
      </c>
      <c r="D32" s="5" t="inlineStr">
        <is>
          <t>G3 Engine honesty</t>
        </is>
      </c>
      <c r="E32" s="5" t="inlineStr">
        <is>
          <t>Extract golden-dataset seeding OUT of ppiq_ml_run_learning_job_v1 into the V2-34 harness</t>
        </is>
      </c>
      <c r="F32" s="6" t="inlineStr">
        <is>
          <t>Critical</t>
        </is>
      </c>
      <c r="G32" s="4" t="inlineStr">
        <is>
          <t>modification</t>
        </is>
      </c>
      <c r="H32" s="4" t="inlineStr">
        <is>
          <t>Backend</t>
        </is>
      </c>
      <c r="I32" s="4" t="inlineStr">
        <is>
          <t>Core</t>
        </is>
      </c>
      <c r="J32" s="5" t="inlineStr">
        <is>
          <t>Runtime learning must never silently seed 12k synthetic rows into product tables; seeding becomes an explicit harness step.</t>
        </is>
      </c>
      <c r="K32" s="5" t="inlineStr">
        <is>
          <t>Fresh-start DB stays 0 rows after a learning run; harness seeds only when invoked.</t>
        </is>
      </c>
      <c r="L32" s="7" t="n">
        <v>4</v>
      </c>
      <c r="M32" s="5" t="inlineStr">
        <is>
          <t>CARRIED</t>
        </is>
      </c>
      <c r="N32" s="4" t="inlineStr">
        <is>
          <t>M2-02</t>
        </is>
      </c>
    </row>
    <row r="33">
      <c r="A33" s="3" t="inlineStr">
        <is>
          <t>M2-03</t>
        </is>
      </c>
      <c r="B33" s="4" t="inlineStr">
        <is>
          <t>M2</t>
        </is>
      </c>
      <c r="C33" s="4" t="inlineStr">
        <is>
          <t>M2-P4</t>
        </is>
      </c>
      <c r="D33" s="5" t="inlineStr">
        <is>
          <t>G9 Product hardening</t>
        </is>
      </c>
      <c r="E33" s="5" t="inlineStr">
        <is>
          <t>Local dev reproducibility: EF-first + PGCLIENTENCODING + design-time factory (MERGED)</t>
        </is>
      </c>
      <c r="F33" s="6" t="inlineStr">
        <is>
          <t>Critical</t>
        </is>
      </c>
      <c r="G33" s="4" t="inlineStr">
        <is>
          <t>refactor</t>
        </is>
      </c>
      <c r="H33" s="4" t="inlineStr">
        <is>
          <t>Backend</t>
        </is>
      </c>
      <c r="I33" s="4" t="inlineStr">
        <is>
          <t>Core</t>
        </is>
      </c>
      <c r="J33" s="5" t="inlineStr">
        <is>
          <t>MERGES old V1-01+V1-02 and the LOCAL residue of V1-03. The SERVER path is already green (the pipeline runs EF in a sibling before the numbered SQL, handles encoding, and uses ConnectionStrings__PlantProcessDb). Remaining is LOCAL-only and small: (a) fold `dotnet ef database update` into the start of `ppiq.ps1 migrate`/`demo`; (b) export PGCLIENTENCODING=UTF8 before every psql in ppiq.ps1; (c) rewr</t>
        </is>
      </c>
      <c r="K33" s="5" t="inlineStr">
        <is>
          <t>From a clean LOCAL DB, `ppiq.ps1 demo` provisions one-shot (EF schema -&gt; SQL decoration -&gt; app on :5063) with ZERO hand-set env vars, twice. grep finds no duplicate demo compose. Evidence: clean-run terminal log + grep.</t>
        </is>
      </c>
      <c r="L33" s="7" t="n">
        <v>1.2</v>
      </c>
      <c r="M33" s="5" t="inlineStr">
        <is>
          <t>CARRIED</t>
        </is>
      </c>
      <c r="N33" s="4" t="inlineStr">
        <is>
          <t>M2-03</t>
        </is>
      </c>
    </row>
    <row r="34">
      <c r="A34" s="3" t="inlineStr">
        <is>
          <t>M2-04</t>
        </is>
      </c>
      <c r="B34" s="4" t="inlineStr">
        <is>
          <t>M2</t>
        </is>
      </c>
      <c r="C34" s="4" t="inlineStr">
        <is>
          <t>M2-P4</t>
        </is>
      </c>
      <c r="D34" s="5" t="inlineStr">
        <is>
          <t>G9 Product hardening</t>
        </is>
      </c>
      <c r="E34" s="5" t="inlineStr">
        <is>
          <t>Delete env/profiles/local.env from the repo + rotate the exposed credential</t>
        </is>
      </c>
      <c r="F34" s="6" t="inlineStr">
        <is>
          <t>Critical</t>
        </is>
      </c>
      <c r="G34" s="4" t="inlineStr">
        <is>
          <t>hardening</t>
        </is>
      </c>
      <c r="H34" s="4" t="inlineStr">
        <is>
          <t>Backend</t>
        </is>
      </c>
      <c r="I34" s="4" t="inlineStr">
        <is>
          <t>Core</t>
        </is>
      </c>
      <c r="J34" s="5" t="inlineStr">
        <is>
          <t>CORRECTED. v17 named 'plantprocess123'. The file actually carries POSTGRES_USER=ppiq_dev / POSTGRES_PASSWORD=ppiq_dev_local_only plus PPIQ_BOOTSTRAP_ADMIN_PASSWORD and the e2eadmin password, and the DB credential was pasted into a working transcript on 09-Jul. Remove the file from the repo, move to a developer-local untracked profile, rotate the credential, and keep the .env &lt;-&gt; Postgres-volume coupling documented (a rotated password against an existing volume locks the app out).</t>
        </is>
      </c>
      <c r="K34" s="5" t="inlineStr">
        <is>
          <t>local.env is untracked and absent from git history going forward; a fresh clone cannot start with a committed password; the rotated credential is proven against the existing Postgres volume before the old one is retired.</t>
        </is>
      </c>
      <c r="L34" s="7" t="n">
        <v>2.7</v>
      </c>
      <c r="M34" s="5" t="inlineStr">
        <is>
          <t>MODIFIED</t>
        </is>
      </c>
      <c r="N34" s="4" t="inlineStr">
        <is>
          <t>M2-04</t>
        </is>
      </c>
    </row>
    <row r="35">
      <c r="A35" s="3" t="inlineStr">
        <is>
          <t>M2-05</t>
        </is>
      </c>
      <c r="B35" s="4" t="inlineStr">
        <is>
          <t>M2</t>
        </is>
      </c>
      <c r="C35" s="4" t="inlineStr">
        <is>
          <t>M2-P4</t>
        </is>
      </c>
      <c r="D35" s="5" t="inlineStr">
        <is>
          <t>G9 Product hardening</t>
        </is>
      </c>
      <c r="E35" s="5" t="inlineStr">
        <is>
          <t>Wire + prove the Value Engine LIVE on demo data (engine already built)</t>
        </is>
      </c>
      <c r="F35" s="6" t="inlineStr">
        <is>
          <t>Critical</t>
        </is>
      </c>
      <c r="G35" s="4" t="inlineStr">
        <is>
          <t>new feature</t>
        </is>
      </c>
      <c r="H35" s="4" t="inlineStr">
        <is>
          <t>Backend</t>
        </is>
      </c>
      <c r="I35" s="4" t="inlineStr">
        <is>
          <t>Core</t>
        </is>
      </c>
      <c r="J35" s="5" t="inlineStr">
        <is>
          <t>CODE-VALIDATED: ValueImpactEngine.cs is BUILT (bounded Low/Expected/High, ABSTAINS on missing assumptions, attaches a provenance handle + input JSON per term, monotonic guard); ValueRealizationContracts.cs adds the realized-value ledger; ValueHonestyLint blocks forbidden phrases. DO NOT rebuild. LAST MILE: (1) populate ValueImpactInputs + CostAssumptionSet from the DEMO dataset and the real per-pl</t>
        </is>
      </c>
      <c r="K35" s="5" t="inlineStr">
        <is>
          <t>LIVE on the demo dataset: a defect finding on C-0044170 yields a bounded euro range in the HMI; each term drills through to its input JSON + provenance handle; removing a required assumption flips the widget to the explicit abstain message (never a fabricated number); an e2e spec asserts both the li</t>
        </is>
      </c>
      <c r="L35" s="7" t="n">
        <v>3</v>
      </c>
      <c r="M35" s="5" t="inlineStr">
        <is>
          <t>CARRIED</t>
        </is>
      </c>
      <c r="N35" s="4" t="inlineStr">
        <is>
          <t>M2-05</t>
        </is>
      </c>
    </row>
    <row r="36">
      <c r="A36" s="3" t="inlineStr">
        <is>
          <t>M2-06</t>
        </is>
      </c>
      <c r="B36" s="4" t="inlineStr">
        <is>
          <t>M2</t>
        </is>
      </c>
      <c r="C36" s="4" t="inlineStr">
        <is>
          <t>M2-P4</t>
        </is>
      </c>
      <c r="D36" s="5" t="inlineStr">
        <is>
          <t>G9 Product hardening</t>
        </is>
      </c>
      <c r="E36" s="5" t="inlineStr">
        <is>
          <t>Full backend+frontend suite green twice on clean machine (local)</t>
        </is>
      </c>
      <c r="F36" s="6" t="inlineStr">
        <is>
          <t>Critical</t>
        </is>
      </c>
      <c r="G36" s="4" t="inlineStr">
        <is>
          <t>hardening</t>
        </is>
      </c>
      <c r="H36" s="4" t="inlineStr">
        <is>
          <t>Backend</t>
        </is>
      </c>
      <c r="I36" s="4" t="inlineStr">
        <is>
          <t>Core</t>
        </is>
      </c>
      <c r="J36" s="5" t="inlineStr">
        <is>
          <t>Server suite is green; close the LOCAL clean-machine path so the whole backend+frontend suite runs green twice on a fresh checkout with no hand-set vars. Builds on the local test-config task.</t>
        </is>
      </c>
      <c r="K36" s="5" t="inlineStr">
        <is>
          <t>Both suites exit 0 twice on a fresh local machine. Evidence: two green logs.</t>
        </is>
      </c>
      <c r="L36" s="7" t="n">
        <v>7</v>
      </c>
      <c r="M36" s="5" t="inlineStr">
        <is>
          <t>CARRIED</t>
        </is>
      </c>
      <c r="N36" s="4" t="inlineStr">
        <is>
          <t>M2-06</t>
        </is>
      </c>
    </row>
    <row r="37">
      <c r="A37" s="3" t="inlineStr">
        <is>
          <t>M2-07</t>
        </is>
      </c>
      <c r="B37" s="4" t="inlineStr">
        <is>
          <t>M2</t>
        </is>
      </c>
      <c r="C37" s="4" t="inlineStr">
        <is>
          <t>M2-P4</t>
        </is>
      </c>
      <c r="D37" s="5" t="inlineStr">
        <is>
          <t>G9 Product hardening</t>
        </is>
      </c>
      <c r="E37" s="5" t="inlineStr">
        <is>
          <t>Generic-Only CI gate - build FAILS on any dataset/industry-specific identifier in core</t>
        </is>
      </c>
      <c r="F37" s="6" t="inlineStr">
        <is>
          <t>Critical</t>
        </is>
      </c>
      <c r="G37" s="4" t="inlineStr">
        <is>
          <t>hardening</t>
        </is>
      </c>
      <c r="H37" s="4" t="inlineStr">
        <is>
          <t>Backend</t>
        </is>
      </c>
      <c r="I37" s="4" t="inlineStr">
        <is>
          <t>Core</t>
        </is>
      </c>
      <c r="J37" s="5" t="inlineStr">
        <is>
          <t>Make the Generic-Only red line ENFORCEABLE (same spirit as the CI truth-gate). Add an architecture test + CI lint that scans the core/canonical/projection/import path (Domain, Application, the SQL functions under database/scripts, the connectors' canonical mapping) and FAILS the build on any dataset/industry-specific literal: demo schema/table names (src_meltshop_pg, src_hsm_oracle_shape, ...), de</t>
        </is>
      </c>
      <c r="K37" s="5" t="inlineStr">
        <is>
          <t>Re-introducing a hardcoded demo identifier into the canonical projection path turns the build RED (negative test). The gate runs in Jenkins and blocks merge. Seed/demo-mapping fixtures are allowlisted and pass. After V2's eradication task, the gate is GREEN on the real code.</t>
        </is>
      </c>
      <c r="L37" s="7" t="n">
        <v>6</v>
      </c>
      <c r="M37" s="5" t="inlineStr">
        <is>
          <t>CARRIED</t>
        </is>
      </c>
      <c r="N37" s="4" t="inlineStr">
        <is>
          <t>M2-07</t>
        </is>
      </c>
    </row>
    <row r="38">
      <c r="A38" s="3" t="inlineStr">
        <is>
          <t>M2-08</t>
        </is>
      </c>
      <c r="B38" s="4" t="inlineStr">
        <is>
          <t>M2</t>
        </is>
      </c>
      <c r="C38" s="4" t="inlineStr">
        <is>
          <t>M2-P5</t>
        </is>
      </c>
      <c r="D38" s="5" t="inlineStr">
        <is>
          <t>G9 Product hardening</t>
        </is>
      </c>
      <c r="E38" s="5" t="inlineStr">
        <is>
          <t>Job governance 1: per-type interval FLOORS (config-driven, backend-enforced)</t>
        </is>
      </c>
      <c r="F38" s="6" t="inlineStr">
        <is>
          <t>Critical</t>
        </is>
      </c>
      <c r="G38" s="4" t="inlineStr">
        <is>
          <t>new feature</t>
        </is>
      </c>
      <c r="H38" s="4" t="inlineStr">
        <is>
          <t>Backend</t>
        </is>
      </c>
      <c r="I38" s="4" t="inlineStr">
        <is>
          <t>Core</t>
        </is>
      </c>
      <c r="J38" s="5" t="inlineStr">
        <is>
          <t xml:space="preserve">Karim-locked floors: DB Link (Stage-1) 2 min; Loading (Stage-2 per-view) 3 min (must exceed DB Link or it reprocesses unchanged staging); Engine 20 min; AI+ML 60 min. Floors live in ONE config surface (table or options, per-type defaults, overridable per install - never constants). Enforce in the schedule create/update endpoint (reject below floor with a typed error) AND in the scheduler (defense </t>
        </is>
      </c>
      <c r="K38" s="5" t="inlineStr">
        <is>
          <t>POST a 1-min DB Link schedule -&gt; 400 with floor message; UI blocks with the same message; change the config floor -&gt; both honor it without redeploy of frontend logic (values come from API).</t>
        </is>
      </c>
      <c r="L38" s="7" t="n">
        <v>8</v>
      </c>
      <c r="M38" s="5" t="inlineStr">
        <is>
          <t>CARRIED</t>
        </is>
      </c>
      <c r="N38" s="4" t="inlineStr">
        <is>
          <t>M2-08</t>
        </is>
      </c>
    </row>
    <row r="39">
      <c r="A39" s="3" t="inlineStr">
        <is>
          <t>M2-09</t>
        </is>
      </c>
      <c r="B39" s="4" t="inlineStr">
        <is>
          <t>M2</t>
        </is>
      </c>
      <c r="C39" s="4" t="inlineStr">
        <is>
          <t>M2-P5</t>
        </is>
      </c>
      <c r="D39" s="5" t="inlineStr">
        <is>
          <t>G9 Product hardening</t>
        </is>
      </c>
      <c r="E39" s="5" t="inlineStr">
        <is>
          <t>Job governance 2: per-type max-parallelism + per-source single-scan lock + start jitter</t>
        </is>
      </c>
      <c r="F39" s="6" t="inlineStr">
        <is>
          <t>Critical</t>
        </is>
      </c>
      <c r="G39" s="4" t="inlineStr">
        <is>
          <t>new feature</t>
        </is>
      </c>
      <c r="H39" s="4" t="inlineStr">
        <is>
          <t>Backend</t>
        </is>
      </c>
      <c r="I39" s="4" t="inlineStr">
        <is>
          <t>Core</t>
        </is>
      </c>
      <c r="J39" s="5" t="inlineStr">
        <is>
          <t>Floors limit frequency, not concurrency: 60 DB-Link jobs at the 2-min floor would fire on one tick and hammer 5 source DBs. Add: (1) per-type max concurrent executions (queue the rest, FIFO); (2) per-SOURCE-SYSTEM single-scan lock (Doctrine 4.8 source-load protection: at most one concurrent scan per customer source); (3) deterministic start jitter/stagger so schedules spread across the window. Des</t>
        </is>
      </c>
      <c r="K39" s="5" t="inlineStr">
        <is>
          <t>Schedule 60 DB-Link + 35 Loading + 10 Engine + 5 AI+ML on the demo stack; run 30 min: server healthy, docker stats bounded, no source container ever shows 2 concurrent scans (assert via lock table), monitor shows queued -&gt; running transitions.</t>
        </is>
      </c>
      <c r="L39" s="7" t="n">
        <v>12</v>
      </c>
      <c r="M39" s="5" t="inlineStr">
        <is>
          <t>CARRIED</t>
        </is>
      </c>
      <c r="N39" s="4" t="inlineStr">
        <is>
          <t>M2-09</t>
        </is>
      </c>
    </row>
    <row r="40">
      <c r="A40" s="3" t="inlineStr">
        <is>
          <t>M2-10</t>
        </is>
      </c>
      <c r="B40" s="4" t="inlineStr">
        <is>
          <t>M2</t>
        </is>
      </c>
      <c r="C40" s="4" t="inlineStr">
        <is>
          <t>M2-P4</t>
        </is>
      </c>
      <c r="D40" s="5" t="inlineStr">
        <is>
          <t>G9 Product hardening</t>
        </is>
      </c>
      <c r="E40" s="5" t="inlineStr">
        <is>
          <t>Migration truth-gate A: every seed INSERT covers its table's mandatory columns</t>
        </is>
      </c>
      <c r="F40" s="6" t="inlineStr">
        <is>
          <t>Critical</t>
        </is>
      </c>
      <c r="G40" s="4" t="inlineStr">
        <is>
          <t>new feature</t>
        </is>
      </c>
      <c r="H40" s="4" t="inlineStr">
        <is>
          <t>Backend</t>
        </is>
      </c>
      <c r="I40" s="4" t="inlineStr">
        <is>
          <t>CI-Gates</t>
        </is>
      </c>
      <c r="J40" s="5" t="inlineStr">
        <is>
          <t>NEW - would have caught a defect that hid for weeks. seed/010_p3_golden_thread_seed.sql omitted plant_time_zone_id and plant_utc_offset_minutes after they were added to material_units as NOT NULL with no default; the failure only surfaced as 23502 once an earlier script in the same chain stopped failing first. Build a CI check that, for every INSERT in Backend/database/seed/**, compares the column list against information_schema for NOT NULL-without-default columns.</t>
        </is>
      </c>
      <c r="K40" s="5" t="inlineStr">
        <is>
          <t>A seed missing a mandatory column FAILS CI with the column named; the check runs against a real migrated database, not a parsed guess.</t>
        </is>
      </c>
      <c r="L40" s="7" t="n">
        <v>3</v>
      </c>
      <c r="M40" s="5" t="inlineStr">
        <is>
          <t>NEW</t>
        </is>
      </c>
      <c r="N40" s="4" t="inlineStr">
        <is>
          <t>M2-10</t>
        </is>
      </c>
    </row>
    <row r="41">
      <c r="A41" s="3" t="inlineStr">
        <is>
          <t>M2-11</t>
        </is>
      </c>
      <c r="B41" s="4" t="inlineStr">
        <is>
          <t>M2</t>
        </is>
      </c>
      <c r="C41" s="4" t="inlineStr">
        <is>
          <t>M2-P4</t>
        </is>
      </c>
      <c r="D41" s="5" t="inlineStr">
        <is>
          <t>G9 Product hardening</t>
        </is>
      </c>
      <c r="E41" s="5" t="inlineStr">
        <is>
          <t>Migration truth-gate B: no two scripts may create the same table OR FUNCTION</t>
        </is>
      </c>
      <c r="F41" s="6" t="inlineStr">
        <is>
          <t>Critical</t>
        </is>
      </c>
      <c r="G41" s="4" t="inlineStr">
        <is>
          <t>new feature</t>
        </is>
      </c>
      <c r="H41" s="4" t="inlineStr">
        <is>
          <t>Backend</t>
        </is>
      </c>
      <c r="I41" s="4" t="inlineStr">
        <is>
          <t>CI-Gates</t>
        </is>
      </c>
      <c r="J41" s="5" t="inlineStr">
        <is>
          <t>v18 scoped this to TABLES because 310 and 320 both did CREATE TABLE IF NOT EXISTS public.ppiq_business_key_definitions with zero-overlap column sets. The same class then bit us a SECOND way, through FUNCTIONS: ppiq_validate_genealogy_graph is defined in BOTH 312 (uncast, m.material_key) and 690 (correct, m.material_key::text). migrate applies scripts/*.sql sorted by NAME, so 690 should win - and the live database had the UNCAST body, meaning 690 never took effect. The function then threw 42804 'structure of query does not match function result type' on its very first returned row, which is why 865 genealogy diagnostics had never been seen by anyone. CREATE OR REPLACE FUNCTION is exactly as silent as CREATE TABLE IF NOT EXISTS. Gate BOTH: parse every scripts/*.sql for CREATE (OR REPLACE )?(TABLE|FUNCTION|VIEW|TRIGGER) and fail the build when two files create the same qualified object, unless the file pair is listed in an explicit, commented intent file (later-wins is legitimate for hotfixes - silence is not).</t>
        </is>
      </c>
      <c r="K41" s="5" t="inlineStr">
        <is>
          <t>The gate FAILS on the repo as it stands today for ppiq_validate_genealogy_graph (312 vs 690) and passes once the intent is declared or 312's definition is deleted. Adding a second CREATE TABLE for any existing table fails CI. Run it in the truth-gate stage, not as a warning.</t>
        </is>
      </c>
      <c r="L41" s="7" t="n">
        <v>4</v>
      </c>
      <c r="M41" s="5" t="inlineStr">
        <is>
          <t>EXTENDED 3h -&gt; 4h (functions, not just tables)</t>
        </is>
      </c>
      <c r="N41" s="4" t="inlineStr">
        <is>
          <t>M2-11</t>
        </is>
      </c>
    </row>
    <row r="42">
      <c r="A42" s="3" t="inlineStr">
        <is>
          <t>M2-12</t>
        </is>
      </c>
      <c r="B42" s="4" t="inlineStr">
        <is>
          <t>M2</t>
        </is>
      </c>
      <c r="C42" s="4" t="inlineStr">
        <is>
          <t>M2-P7</t>
        </is>
      </c>
      <c r="D42" s="5" t="inlineStr">
        <is>
          <t>G9 Product hardening</t>
        </is>
      </c>
      <c r="E42" s="5" t="inlineStr">
        <is>
          <t>migrate must fail loudly, per file</t>
        </is>
      </c>
      <c r="F42" s="6" t="inlineStr">
        <is>
          <t>Critical</t>
        </is>
      </c>
      <c r="G42" s="4" t="inlineStr">
        <is>
          <t>bug fix</t>
        </is>
      </c>
      <c r="H42" s="4" t="inlineStr">
        <is>
          <t>Backend</t>
        </is>
      </c>
      <c r="I42" s="4" t="inlineStr">
        <is>
          <t>Deploy</t>
        </is>
      </c>
      <c r="J42" s="5" t="inlineStr">
        <is>
          <t>NEW - root cause of the two defects above going unnoticed. ppiq.ps1 migrate runs every scripts/*.sql sorted by name with ON_ERROR_STOP=1, which stops the FILE, not the RUN. A script can abort halfway, the remaining files still apply, and the output scrolls past. A broken migration is indistinguishable from a working one unless someone goes looking. Print a per-file OK/FAIL summary, exit non-zero on any failure, and record applied scripts with a checksum.</t>
        </is>
      </c>
      <c r="K42" s="5" t="inlineStr">
        <is>
          <t>A deliberately broken script makes migrate exit non-zero and name the file and line; the summary table lists every script with OK/FAIL; a re-run of an already-applied script is a no-op.</t>
        </is>
      </c>
      <c r="L42" s="7" t="n">
        <v>3</v>
      </c>
      <c r="M42" s="5" t="inlineStr">
        <is>
          <t>NEW</t>
        </is>
      </c>
      <c r="N42" s="4" t="inlineStr">
        <is>
          <t>M2-12</t>
        </is>
      </c>
    </row>
    <row r="43">
      <c r="A43" s="3" t="inlineStr">
        <is>
          <t>M2-13</t>
        </is>
      </c>
      <c r="B43" s="4" t="inlineStr">
        <is>
          <t>M2</t>
        </is>
      </c>
      <c r="C43" s="4" t="inlineStr">
        <is>
          <t>M2-P4</t>
        </is>
      </c>
      <c r="D43" s="5" t="inlineStr">
        <is>
          <t>G17 Database hygiene</t>
        </is>
      </c>
      <c r="E43" s="5" t="inlineStr">
        <is>
          <t>Make 320 lock-light on re-run (unconditional ACCESS EXCLUSIVE blocks commissioning)</t>
        </is>
      </c>
      <c r="F43" s="8" t="inlineStr">
        <is>
          <t>Very important</t>
        </is>
      </c>
      <c r="G43" s="4" t="inlineStr">
        <is>
          <t>bug fix</t>
        </is>
      </c>
      <c r="H43" s="4" t="inlineStr">
        <is>
          <t>Backend</t>
        </is>
      </c>
      <c r="I43" s="4" t="inlineStr">
        <is>
          <t>Migrations</t>
        </is>
      </c>
      <c r="J43" s="5" t="inlineStr">
        <is>
          <t>320_p3_business_key_reconciliation.sql runs ALTER TABLE ... ADD COLUMN IF NOT EXISTS, DROP TRIGGER IF EXISTS and CREATE TRIGGER unconditionally. Postgres takes ACCESS EXCLUSIVE on material_aliases BEFORE it checks whether the column or trigger already exists, so a NO-OP re-run still grabs an exclusive lock three times. On 09-Jul this made Phase3GoldenThreadAndAttributionTests time out at 30s (Npgsql's default CommandTimeout) against the test's OWN connections - the script blocked on a lock it was competing with itself for. The backfill is not the problem: material_aliases holds 21 rows. On a customer database at commissioning, an idle-in-transaction session turns this into an outage, not a timeout. Guard the DDL: IF NOT EXISTS (SELECT 1 FROM information_schema.columns WHERE ...) THEN ALTER TABLE ...; and IF NOT EXISTS (SELECT 1 FROM pg_trigger WHERE tgname=...) THEN CREATE TRIGGER ...; so a re-run takes NO exclusive lock at all. Do the same sweep across every script that ALTERs a hot table.</t>
        </is>
      </c>
      <c r="K43" s="5" t="inlineStr">
        <is>
          <t>Open a session holding an idle transaction on material_aliases. Run `ppiq.ps1 migrate` in another. It completes. Before the fix it blocks. pg_locks shows no AccessExclusiveLock acquired by 320 on a second run. dotnet test --filter Phase3GoldenThread stays green and finishes in &lt; 5s.</t>
        </is>
      </c>
      <c r="L43" s="7" t="n">
        <v>2</v>
      </c>
      <c r="M43" s="5" t="inlineStr">
        <is>
          <t>NEW</t>
        </is>
      </c>
      <c r="N43" s="4" t="inlineStr">
        <is>
          <t>-</t>
        </is>
      </c>
    </row>
    <row r="44">
      <c r="A44" s="3" t="inlineStr">
        <is>
          <t>M2-14</t>
        </is>
      </c>
      <c r="B44" s="4" t="inlineStr">
        <is>
          <t>M2</t>
        </is>
      </c>
      <c r="C44" s="4" t="inlineStr">
        <is>
          <t>M2-P4</t>
        </is>
      </c>
      <c r="D44" s="5" t="inlineStr">
        <is>
          <t>G17 Database hygiene</t>
        </is>
      </c>
      <c r="E44" s="5" t="inlineStr">
        <is>
          <t>ppiq_run_mapping_lifecycle_proof publishes a mapping version on EVERY call</t>
        </is>
      </c>
      <c r="F44" s="9" t="inlineStr">
        <is>
          <t>Important</t>
        </is>
      </c>
      <c r="G44" s="4" t="inlineStr">
        <is>
          <t>bug fix</t>
        </is>
      </c>
      <c r="H44" s="4" t="inlineStr">
        <is>
          <t>Backend</t>
        </is>
      </c>
      <c r="I44" s="4" t="inlineStr">
        <is>
          <t>Mapping</t>
        </is>
      </c>
      <c r="J44" s="5" t="inlineStr">
        <is>
          <t>A function whose name says 'proof' mutates. Each call creates a mapping_code 'P03_COMPLETION_PROOF_&lt;random&gt;', publishes a version, then attempts a rollback which the domain correctly refuses (CannotRollbackPublished: 'a published mapping version cannot be rolled back; supersede it instead'). ppiq_mapping_versions now holds 37 Published / 31 RolledBack rows, and its output leads with PreviousDryRun / PreviousPublish - rows from earlier runs. Two calls during a diagnostic session on 09-Jul added two more. Decide which is true and make the other follow: EITHER the proof should roll back a DRAFT version (and the test's Assert.Contains(rollback &amp;&amp; Ok) becomes right), OR publishing is terminal (and the test should assert the rollback is present AND REFUSED with the typed code). Do not 'fix' it by clearing the table. Also make the function idempotent, or rename it so nobody trusts the word proof.</t>
        </is>
      </c>
      <c r="K44" s="5" t="inlineStr">
        <is>
          <t>Calling ppiq_run_mapping_lifecycle_proof() twice in a row yields identical row counts and no new ppiq_mapping_versions rows, OR the function is renamed and its mutation documented. MappingLifecycleProofTests asserts the chosen semantics explicitly. SELECT status, count(*) FROM ppiq_mapping_versions GROUP BY 1 does not grow when the test suite runs.</t>
        </is>
      </c>
      <c r="L44" s="7" t="n">
        <v>2</v>
      </c>
      <c r="M44" s="5" t="inlineStr">
        <is>
          <t>NEW</t>
        </is>
      </c>
      <c r="N44" s="4" t="inlineStr">
        <is>
          <t>-</t>
        </is>
      </c>
    </row>
    <row r="45">
      <c r="A45" s="3" t="inlineStr">
        <is>
          <t>M2-15</t>
        </is>
      </c>
      <c r="B45" s="4" t="inlineStr">
        <is>
          <t>M2</t>
        </is>
      </c>
      <c r="C45" s="4" t="inlineStr">
        <is>
          <t>M2-P1</t>
        </is>
      </c>
      <c r="D45" s="5" t="inlineStr">
        <is>
          <t>G4 Logging 100%</t>
        </is>
      </c>
      <c r="E45" s="5" t="inlineStr">
        <is>
          <t>Job + Data operational logging to rolling files (JobLog/DataLog_&lt;day&gt;_&lt;hr&gt;.log)</t>
        </is>
      </c>
      <c r="F45" s="8" t="inlineStr">
        <is>
          <t>Very important</t>
        </is>
      </c>
      <c r="G45" s="4" t="inlineStr">
        <is>
          <t>new feature</t>
        </is>
      </c>
      <c r="H45" s="4" t="inlineStr">
        <is>
          <t>Backend</t>
        </is>
      </c>
      <c r="I45" s="4" t="inlineStr">
        <is>
          <t>Observability</t>
        </is>
      </c>
      <c r="J45" s="5" t="inlineStr">
        <is>
          <t xml:space="preserve">Customer-oriented operational logging for EVERY job and data-source operation. Emit a structured event (job type, job name, severity, started/ended, duration, rows, outcome) for: connector reads, incremental/delta imports (DeltaImportExecutionService), mapping publish/rollback, and each correlation/learning job; hook JobRegistrationService + the two-stage functions. Write to JobLog_&lt;day&gt;_&lt;hr&gt;.log </t>
        </is>
      </c>
      <c r="K45" s="5" t="inlineStr">
        <is>
          <t>Running an import + a correlation job produces Info events (start/finish, duration, rows) and any failure produces an Error event, in JobLog/DataLog_&lt;day&gt;_&lt;hr&gt;.log AND in the queryable store; a forced job crash is logged as Error with the reason; hourly rotation verified; events carry the job type/n</t>
        </is>
      </c>
      <c r="L45" s="7" t="n">
        <v>8</v>
      </c>
      <c r="M45" s="5" t="inlineStr">
        <is>
          <t>CARRIED</t>
        </is>
      </c>
      <c r="N45" s="4" t="inlineStr">
        <is>
          <t>M2-13</t>
        </is>
      </c>
    </row>
    <row r="46">
      <c r="A46" s="3" t="inlineStr">
        <is>
          <t>M2-16</t>
        </is>
      </c>
      <c r="B46" s="4" t="inlineStr">
        <is>
          <t>M2</t>
        </is>
      </c>
      <c r="C46" s="4" t="inlineStr">
        <is>
          <t>M2-P3</t>
        </is>
      </c>
      <c r="D46" s="5" t="inlineStr">
        <is>
          <t>G6 License &amp; roles</t>
        </is>
      </c>
      <c r="E46" s="5" t="inlineStr">
        <is>
          <t>Deepen license tiers: caps enforced + expiry/grace + admin governance</t>
        </is>
      </c>
      <c r="F46" s="8" t="inlineStr">
        <is>
          <t>Very important</t>
        </is>
      </c>
      <c r="G46" s="4" t="inlineStr">
        <is>
          <t>feature</t>
        </is>
      </c>
      <c r="H46" s="4" t="inlineStr">
        <is>
          <t>Backend</t>
        </is>
      </c>
      <c r="I46" s="4" t="inlineStr">
        <is>
          <t>Licensing</t>
        </is>
      </c>
      <c r="J46" s="5" t="inlineStr">
        <is>
          <t>The signed-token activation works (proven on the server with Enterprise). Deepen ENFORCEMENT: seat/source/env caps actually enforced from the token; expiry -&gt; warnings -&gt; configurable read-only grace -&gt; read-only (data never destroyed); soft-vs-hard caps; admin governance to add/manage seats. The 07-editions-and-licensing doc already describes the intended model.</t>
        </is>
      </c>
      <c r="K46" s="5" t="inlineStr">
        <is>
          <t>Toggling a tier visibly adds/removes features AND enforces a cap live; an expired token enters grace then read-only. Evidence: tamper test + clips.</t>
        </is>
      </c>
      <c r="L46" s="7" t="n">
        <v>9.6</v>
      </c>
      <c r="M46" s="5" t="inlineStr">
        <is>
          <t>CARRIED</t>
        </is>
      </c>
      <c r="N46" s="4" t="inlineStr">
        <is>
          <t>M2-14</t>
        </is>
      </c>
    </row>
    <row r="47">
      <c r="A47" s="3" t="inlineStr">
        <is>
          <t>M2-17</t>
        </is>
      </c>
      <c r="B47" s="4" t="inlineStr">
        <is>
          <t>M2</t>
        </is>
      </c>
      <c r="C47" s="4" t="inlineStr">
        <is>
          <t>M2-P3</t>
        </is>
      </c>
      <c r="D47" s="5" t="inlineStr">
        <is>
          <t>G6 License &amp; roles</t>
        </is>
      </c>
      <c r="E47" s="5" t="inlineStr">
        <is>
          <t>Real production Ed25519 license signing key (Option-1 -&gt; Option-3)  [NEW 26-Jun]</t>
        </is>
      </c>
      <c r="F47" s="8" t="inlineStr">
        <is>
          <t>Very important</t>
        </is>
      </c>
      <c r="G47" s="4" t="inlineStr">
        <is>
          <t>feature</t>
        </is>
      </c>
      <c r="H47" s="4" t="inlineStr">
        <is>
          <t>Backend</t>
        </is>
      </c>
      <c r="I47" s="4" t="inlineStr">
        <is>
          <t>Licensing</t>
        </is>
      </c>
      <c r="J47" s="5" t="inlineStr">
        <is>
          <t>NEW from the 26-Jun session. The demo activates Enterprise with the DEV Ed25519 key (kid ppiq-dev-ed25519), registered only when PPIQ_PRESENTATION=on. For real customers: generate a REAL production Ed25519 signing keypair (kept in a secret store, never in git), sign per-customer/per-tier tokens with it, register the real public key through the canonical licensing/ops flow (not the dev fixture), an</t>
        </is>
      </c>
      <c r="K47" s="5" t="inlineStr">
        <is>
          <t>A real-key-signed per-customer token activates on a clean 'customer' install with PPIQ_PRESENTATION off and NO dev key registered; grep shows the dev key + VITE_SMOKE_* absent from a customer build. Evidence: activation log + grep.</t>
        </is>
      </c>
      <c r="L47" s="7" t="n">
        <v>10</v>
      </c>
      <c r="M47" s="5" t="inlineStr">
        <is>
          <t>CONTEXT UPDATED (map repaired 09-Jul)</t>
        </is>
      </c>
      <c r="N47" s="4" t="inlineStr">
        <is>
          <t>M2-15</t>
        </is>
      </c>
    </row>
    <row r="48">
      <c r="A48" s="3" t="inlineStr">
        <is>
          <t>M2-18</t>
        </is>
      </c>
      <c r="B48" s="4" t="inlineStr">
        <is>
          <t>M2</t>
        </is>
      </c>
      <c r="C48" s="4" t="inlineStr">
        <is>
          <t>M2-P3</t>
        </is>
      </c>
      <c r="D48" s="5" t="inlineStr">
        <is>
          <t>G6 License &amp; roles</t>
        </is>
      </c>
      <c r="E48" s="5" t="inlineStr">
        <is>
          <t>Full RBAC role-scope live across 6 roles - and make the persona matrix ENFORCING</t>
        </is>
      </c>
      <c r="F48" s="8" t="inlineStr">
        <is>
          <t>Very important</t>
        </is>
      </c>
      <c r="G48" s="4" t="inlineStr">
        <is>
          <t>feature</t>
        </is>
      </c>
      <c r="H48" s="4" t="inlineStr">
        <is>
          <t>Backend</t>
        </is>
      </c>
      <c r="I48" s="4" t="inlineStr">
        <is>
          <t>Core</t>
        </is>
      </c>
      <c r="J48" s="5" t="inlineStr">
        <is>
          <t>EXTENDED. src/security/roleAccess.ts was repaired 09-Jul (keys repointed to canonical routes, unmapped paths now DENY instead of falling back to a capability every role holds). But routeDecision() is still consumed ONLY by the read-only PersonaAccessMatrixPage and its test - NO router guard calls it. The page now says so honestly. Make it true: wire routeDecision into a route guard, keep it in step with the server-side AccessControlMiddleware matrix, and add a test that the two agree.</t>
        </is>
      </c>
      <c r="K48" s="5" t="inlineStr">
        <is>
          <t>A Viewer navigating to /assistant/configuration is stopped client-side with a reason AND server-side with a 403; a CI test asserts every route in roleAccess.ts appears in the backend Matrix and vice versa.</t>
        </is>
      </c>
      <c r="L48" s="7" t="n">
        <v>6</v>
      </c>
      <c r="M48" s="5" t="inlineStr">
        <is>
          <t>MODIFIED</t>
        </is>
      </c>
      <c r="N48" s="4" t="inlineStr">
        <is>
          <t>M2-16</t>
        </is>
      </c>
    </row>
    <row r="49">
      <c r="A49" s="3" t="inlineStr">
        <is>
          <t>M2-19</t>
        </is>
      </c>
      <c r="B49" s="4" t="inlineStr">
        <is>
          <t>M2</t>
        </is>
      </c>
      <c r="C49" s="4" t="inlineStr">
        <is>
          <t>M2-P4</t>
        </is>
      </c>
      <c r="D49" s="5" t="inlineStr">
        <is>
          <t>G8 Hardening &amp; rename</t>
        </is>
      </c>
      <c r="E49" s="5" t="inlineStr">
        <is>
          <t>Demo-layer eradication B: rename generic code trapped in demo-named files</t>
        </is>
      </c>
      <c r="F49" s="8" t="inlineStr">
        <is>
          <t>Very important</t>
        </is>
      </c>
      <c r="G49" s="4" t="inlineStr">
        <is>
          <t>refactor</t>
        </is>
      </c>
      <c r="H49" s="4" t="inlineStr">
        <is>
          <t>Backend</t>
        </is>
      </c>
      <c r="I49" s="4" t="inlineStr">
        <is>
          <t>Core</t>
        </is>
      </c>
      <c r="J49" s="5" t="inlineStr">
        <is>
          <t>Class-1 renames with all references updated: DemoAnalyticsPages(.implementation) -&gt; PlatformOpsPages; DemoAnalyticsWorkflowTruthPage -&gt; ConnectorTruthPage; demo-analytics.css -&gt; platform-ops.css; api/demo-analytics/demoAnalytics.api.ts -&gt; split generic Suggestions/DynamicPage endpoints into platformOps.api.ts; Phase10LicenseDemoPage -&gt; CommercialLicenseShowcasePage (also kills a phase code). Namin</t>
        </is>
      </c>
      <c r="K49" s="5" t="inlineStr">
        <is>
          <t>No file/route/component in src/ contains "demo" except the architecture test + allowlist; bundle chunk names contain no Demo*; tsc+build+vitest green; /admin Connector Truth tab unchanged visually.</t>
        </is>
      </c>
      <c r="L49" s="7" t="n">
        <v>6</v>
      </c>
      <c r="M49" s="5" t="inlineStr">
        <is>
          <t>CARRIED</t>
        </is>
      </c>
      <c r="N49" s="4" t="inlineStr">
        <is>
          <t>M2-17</t>
        </is>
      </c>
    </row>
    <row r="50">
      <c r="A50" s="3" t="inlineStr">
        <is>
          <t>M2-20</t>
        </is>
      </c>
      <c r="B50" s="4" t="inlineStr">
        <is>
          <t>M2</t>
        </is>
      </c>
      <c r="C50" s="4" t="inlineStr">
        <is>
          <t>M2-P5</t>
        </is>
      </c>
      <c r="D50" s="5" t="inlineStr">
        <is>
          <t>G9 Product hardening</t>
        </is>
      </c>
      <c r="E50" s="5" t="inlineStr">
        <is>
          <t>Spamhaus / outbound-mail relay remediation (relay + SPF/DKIM/PTR + block 25)</t>
        </is>
      </c>
      <c r="F50" s="8" t="inlineStr">
        <is>
          <t>Very important</t>
        </is>
      </c>
      <c r="G50" s="4" t="inlineStr">
        <is>
          <t>hardening</t>
        </is>
      </c>
      <c r="H50" s="4" t="inlineStr">
        <is>
          <t>Backend</t>
        </is>
      </c>
      <c r="I50" s="4" t="inlineStr">
        <is>
          <t>Core</t>
        </is>
      </c>
      <c r="J50" s="5" t="inlineStr">
        <is>
          <t xml:space="preserve">The Hetzner/Spamhaus abuse notice (23 Jun) requires lead-capture email to stop sending direct on port 25. Route all outbound mail (the website lead-capture, V5OutboundLeadSystemEndpoints) through an authenticated transactional relay on 587/465, publish SPF and DKIM DNS records for plantprocessiq.com, set a valid PTR/reverse-DNS for the sending IP, and block outbound port 25 at the firewall. Relay </t>
        </is>
      </c>
      <c r="K50" s="5" t="inlineStr">
        <is>
          <t>A lead submitted on the live site is delivered to the inbox via the 587/465 relay (headers show the relay, not direct 25); `dig TXT` shows valid SPF + DKIM for plantprocessiq.com; the sending IP has a matching PTR; outbound 25 is closed (egress test); a public Spamhaus lookup shows the IP/domain not</t>
        </is>
      </c>
      <c r="L50" s="7" t="n">
        <v>5</v>
      </c>
      <c r="M50" s="5" t="inlineStr">
        <is>
          <t>CARRIED</t>
        </is>
      </c>
      <c r="N50" s="4" t="inlineStr">
        <is>
          <t>M2-18</t>
        </is>
      </c>
    </row>
    <row r="51">
      <c r="A51" s="3" t="inlineStr">
        <is>
          <t>M2-21</t>
        </is>
      </c>
      <c r="B51" s="4" t="inlineStr">
        <is>
          <t>M2</t>
        </is>
      </c>
      <c r="C51" s="4" t="inlineStr">
        <is>
          <t>M2-P5</t>
        </is>
      </c>
      <c r="D51" s="5" t="inlineStr">
        <is>
          <t>G9 Product hardening</t>
        </is>
      </c>
      <c r="E51" s="5" t="inlineStr">
        <is>
          <t>Wire website CTA to a real inbox (CODE DONE — commit + SMTP + relay)</t>
        </is>
      </c>
      <c r="F51" s="8" t="inlineStr">
        <is>
          <t>Very important</t>
        </is>
      </c>
      <c r="G51" s="4" t="inlineStr">
        <is>
          <t>feature</t>
        </is>
      </c>
      <c r="H51" s="4" t="inlineStr">
        <is>
          <t>Backend</t>
        </is>
      </c>
      <c r="I51" s="4" t="inlineStr">
        <is>
          <t>Core</t>
        </is>
      </c>
      <c r="J51" s="5" t="inlineStr">
        <is>
          <t xml:space="preserve">Per the handover the lead-email CODE is DONE and builds clean (V5OutboundLeadSystemEndpoints.cs TrySendLeadEmailAsync; env PlantProcess__Lead__Smtp__*; form POSTs to /api/v5/outbound/leads). Remaining: COMMIT it; supply live SMTP env; do a real-send test. IMPORTANT: route via an authenticated transactional relay (587/465) with SPF+DKIM+PTR and outbound port 25 blocked - never send from the VPS IP </t>
        </is>
      </c>
      <c r="K51" s="5" t="inlineStr">
        <is>
          <t>A test submit lands in your inbox/DB via the relay; Spamhaus web-checker shows the IP not listing. Evidence: the received lead + checker screenshot + commit hash.</t>
        </is>
      </c>
      <c r="L51" s="7" t="n">
        <v>1.4</v>
      </c>
      <c r="M51" s="5" t="inlineStr">
        <is>
          <t>CARRIED</t>
        </is>
      </c>
      <c r="N51" s="4" t="inlineStr">
        <is>
          <t>M2-19</t>
        </is>
      </c>
    </row>
    <row r="52">
      <c r="A52" s="3" t="inlineStr">
        <is>
          <t>M2-22</t>
        </is>
      </c>
      <c r="B52" s="4" t="inlineStr">
        <is>
          <t>M2</t>
        </is>
      </c>
      <c r="C52" s="4" t="inlineStr">
        <is>
          <t>M2-P5</t>
        </is>
      </c>
      <c r="D52" s="5" t="inlineStr">
        <is>
          <t>G9 Product hardening</t>
        </is>
      </c>
      <c r="E52" s="5" t="inlineStr">
        <is>
          <t>Extend the grounding contract to ALL widgets (render-time uncited-number gate)</t>
        </is>
      </c>
      <c r="F52" s="8" t="inlineStr">
        <is>
          <t>Very important</t>
        </is>
      </c>
      <c r="G52" s="4" t="inlineStr">
        <is>
          <t>hardening</t>
        </is>
      </c>
      <c r="H52" s="4" t="inlineStr">
        <is>
          <t>Backend</t>
        </is>
      </c>
      <c r="I52" s="4" t="inlineStr">
        <is>
          <t>Core</t>
        </is>
      </c>
      <c r="J52" s="5" t="inlineStr">
        <is>
          <t>CODE-VALIDATED: GroundingService.cs already blocks uncited numbers (every number must trace to a claim handle), blocks causation language, drops synthetic claims, refuses honestly. DO NOT rebuild the contract. Lift the SAME mechanism from the assistant to EVERY surfaced number across dashboards: each KPI/chart-series/tile/cell carries a resolvable provenance handle or is not rendered. Add a render</t>
        </is>
      </c>
      <c r="K52" s="5" t="inlineStr">
        <is>
          <t>A CI gate asserts 0 uncited numerics on the demo path; clicking any number/graph/tile opens its provenance handle resolving to a real source; a deliberately uncited test value is BLOCKED from render (negative test); the implementation reuses GroundingService's proven logic, not a parallel one.</t>
        </is>
      </c>
      <c r="L52" s="7" t="n">
        <v>3.6</v>
      </c>
      <c r="M52" s="5" t="inlineStr">
        <is>
          <t>CARRIED</t>
        </is>
      </c>
      <c r="N52" s="4" t="inlineStr">
        <is>
          <t>M2-20</t>
        </is>
      </c>
    </row>
    <row r="53">
      <c r="A53" s="3" t="inlineStr">
        <is>
          <t>M2-23</t>
        </is>
      </c>
      <c r="B53" s="4" t="inlineStr">
        <is>
          <t>M2</t>
        </is>
      </c>
      <c r="C53" s="4" t="inlineStr">
        <is>
          <t>M2-P5</t>
        </is>
      </c>
      <c r="D53" s="5" t="inlineStr">
        <is>
          <t>G9 Product hardening</t>
        </is>
      </c>
      <c r="E53" s="5" t="inlineStr">
        <is>
          <t>Sharpen AI/ML results: calibration, effect-size ranking, stratified quality</t>
        </is>
      </c>
      <c r="F53" s="8" t="inlineStr">
        <is>
          <t>Very important</t>
        </is>
      </c>
      <c r="G53" s="4" t="inlineStr">
        <is>
          <t>feature</t>
        </is>
      </c>
      <c r="H53" s="4" t="inlineStr">
        <is>
          <t>Backend</t>
        </is>
      </c>
      <c r="I53" s="4" t="inlineStr">
        <is>
          <t>Core</t>
        </is>
      </c>
      <c r="J53" s="5" t="inlineStr">
        <is>
          <t>Improve the learning output: calibrated scores, effect-size (not just p-value) ranking, stratified quality by visible confounders, under BH-FDR - framed as suspected contributors. The 06-analytics-methodology doc already commits to this posture.</t>
        </is>
      </c>
      <c r="K53" s="5" t="inlineStr">
        <is>
          <t>On the golden dataset, true signals are recovered and spurious rejected under FDR; results show effect size + stratification. Evidence: golden-set test + clip.</t>
        </is>
      </c>
      <c r="L53" s="7" t="n">
        <v>12</v>
      </c>
      <c r="M53" s="5" t="inlineStr">
        <is>
          <t>CARRIED</t>
        </is>
      </c>
      <c r="N53" s="4" t="inlineStr">
        <is>
          <t>M2-21</t>
        </is>
      </c>
    </row>
    <row r="54">
      <c r="A54" s="3" t="inlineStr">
        <is>
          <t>M2-24</t>
        </is>
      </c>
      <c r="B54" s="4" t="inlineStr">
        <is>
          <t>M2</t>
        </is>
      </c>
      <c r="C54" s="4" t="inlineStr">
        <is>
          <t>M2-P5</t>
        </is>
      </c>
      <c r="D54" s="5" t="inlineStr">
        <is>
          <t>G9 Product hardening</t>
        </is>
      </c>
      <c r="E54" s="5" t="inlineStr">
        <is>
          <t>Impressive evidence-ranked suggestion engine (deterministic, euro impact)</t>
        </is>
      </c>
      <c r="F54" s="8" t="inlineStr">
        <is>
          <t>Very important</t>
        </is>
      </c>
      <c r="G54" s="4" t="inlineStr">
        <is>
          <t>feature</t>
        </is>
      </c>
      <c r="H54" s="4" t="inlineStr">
        <is>
          <t>Backend</t>
        </is>
      </c>
      <c r="I54" s="4" t="inlineStr">
        <is>
          <t>Core</t>
        </is>
      </c>
      <c r="J54" s="5" t="inlineStr">
        <is>
          <t>Deterministic, MD5-stable suggestions ranked by evidence + euro impact, workflow-bound with RBAC, surfaced in SuggestionCardsPanel - the 'told me something I didn't know, and proved it' moment.</t>
        </is>
      </c>
      <c r="K54" s="5" t="inlineStr">
        <is>
          <t>Suggestions render with population, method, evidence handle and a euro range; reproducible IDs. Evidence: test + clip.</t>
        </is>
      </c>
      <c r="L54" s="7" t="n">
        <v>4.5</v>
      </c>
      <c r="M54" s="5" t="inlineStr">
        <is>
          <t>CARRIED</t>
        </is>
      </c>
      <c r="N54" s="4" t="inlineStr">
        <is>
          <t>M2-22</t>
        </is>
      </c>
    </row>
    <row r="55">
      <c r="A55" s="3" t="inlineStr">
        <is>
          <t>M2-25</t>
        </is>
      </c>
      <c r="B55" s="4" t="inlineStr">
        <is>
          <t>M2</t>
        </is>
      </c>
      <c r="C55" s="4" t="inlineStr">
        <is>
          <t>M2-P6</t>
        </is>
      </c>
      <c r="D55" s="5" t="inlineStr">
        <is>
          <t>G9 Product hardening</t>
        </is>
      </c>
      <c r="E55" s="5" t="inlineStr">
        <is>
          <t>MFA step-up for admin accounts</t>
        </is>
      </c>
      <c r="F55" s="8" t="inlineStr">
        <is>
          <t>Very important</t>
        </is>
      </c>
      <c r="G55" s="4" t="inlineStr">
        <is>
          <t>feature</t>
        </is>
      </c>
      <c r="H55" s="4" t="inlineStr">
        <is>
          <t>Backend</t>
        </is>
      </c>
      <c r="I55" s="4" t="inlineStr">
        <is>
          <t>Core</t>
        </is>
      </c>
      <c r="J55" s="5" t="inlineStr">
        <is>
          <t>TOTP/WebAuthn step-up enforced for admin roles per the identity doctrine. (sysadmin is the support account; MFA applies to any admin-capable login.)</t>
        </is>
      </c>
      <c r="K55" s="5" t="inlineStr">
        <is>
          <t>An admin action triggers an MFA step-up live; non-admin does not. Evidence: test + clip.</t>
        </is>
      </c>
      <c r="L55" s="7" t="n">
        <v>8</v>
      </c>
      <c r="M55" s="5" t="inlineStr">
        <is>
          <t>CARRIED</t>
        </is>
      </c>
      <c r="N55" s="4" t="inlineStr">
        <is>
          <t>M2-23</t>
        </is>
      </c>
    </row>
    <row r="56">
      <c r="A56" s="3" t="inlineStr">
        <is>
          <t>M2-26</t>
        </is>
      </c>
      <c r="B56" s="4" t="inlineStr">
        <is>
          <t>M2</t>
        </is>
      </c>
      <c r="C56" s="4" t="inlineStr">
        <is>
          <t>M2-P6</t>
        </is>
      </c>
      <c r="D56" s="5" t="inlineStr">
        <is>
          <t>G9 Product hardening</t>
        </is>
      </c>
      <c r="E56" s="5" t="inlineStr">
        <is>
          <t>Job governance 3: Loading no-op fast path (watermark compare, exit in ms)</t>
        </is>
      </c>
      <c r="F56" s="8" t="inlineStr">
        <is>
          <t>Very important</t>
        </is>
      </c>
      <c r="G56" s="4" t="inlineStr">
        <is>
          <t>new feature</t>
        </is>
      </c>
      <c r="H56" s="4" t="inlineStr">
        <is>
          <t>Backend</t>
        </is>
      </c>
      <c r="I56" s="4" t="inlineStr">
        <is>
          <t>Core</t>
        </is>
      </c>
      <c r="J56" s="5" t="inlineStr">
        <is>
          <t>A Loading job first compares ITS processed watermark against the Stage-1 watermarks of the staging tables its mapping view reads; if nothing new arrived it exits as NoNewData in milliseconds (logged, cheap). Makes the 3-min floor safe and 35 Loading jobs nearly free between real arrivals.</t>
        </is>
      </c>
      <c r="K56" s="5" t="inlineStr">
        <is>
          <t>Run a Loading job twice with no new staging rows: second run completes &lt; 200 ms with status NoNewData; insert one staging row -&gt; next run processes exactly the delta.</t>
        </is>
      </c>
      <c r="L56" s="7" t="n">
        <v>4</v>
      </c>
      <c r="M56" s="5" t="inlineStr">
        <is>
          <t>CARRIED</t>
        </is>
      </c>
      <c r="N56" s="4" t="inlineStr">
        <is>
          <t>M2-24</t>
        </is>
      </c>
    </row>
    <row r="57">
      <c r="A57" s="3" t="inlineStr">
        <is>
          <t>M2-27</t>
        </is>
      </c>
      <c r="B57" s="4" t="inlineStr">
        <is>
          <t>M2</t>
        </is>
      </c>
      <c r="C57" s="4" t="inlineStr">
        <is>
          <t>M2-P6</t>
        </is>
      </c>
      <c r="D57" s="5" t="inlineStr">
        <is>
          <t>G9 Product hardening</t>
        </is>
      </c>
      <c r="E57" s="5" t="inlineStr">
        <is>
          <t>Job governance 4: Run-now button on every job type (respects locks, refuses double-run)</t>
        </is>
      </c>
      <c r="F57" s="8" t="inlineStr">
        <is>
          <t>Very important</t>
        </is>
      </c>
      <c r="G57" s="4" t="inlineStr">
        <is>
          <t>new feature</t>
        </is>
      </c>
      <c r="H57" s="4" t="inlineStr">
        <is>
          <t>Backend</t>
        </is>
      </c>
      <c r="I57" s="4" t="inlineStr">
        <is>
          <t>Core</t>
        </is>
      </c>
      <c r="J57" s="5" t="inlineStr">
        <is>
          <t>Run-now bypasses the SCHEDULE, never the guards: it acquires the same per-source lock/parallelism slot, and refuses politely (typed 409) if the same job is already executing (no silent queue-forever, no double-execution). Exposed on all four job types in Jobs Monitor + the owning pages.</t>
        </is>
      </c>
      <c r="K57" s="5" t="inlineStr">
        <is>
          <t>Click Run-now while the job runs -&gt; UI shows "already running" from the 409; run-now on a source mid-scan queues/locks correctly; no duplicate concurrent execution observable in the run table.</t>
        </is>
      </c>
      <c r="L57" s="7" t="n">
        <v>4</v>
      </c>
      <c r="M57" s="5" t="inlineStr">
        <is>
          <t>CARRIED</t>
        </is>
      </c>
      <c r="N57" s="4" t="inlineStr">
        <is>
          <t>M2-25</t>
        </is>
      </c>
    </row>
    <row r="58">
      <c r="A58" s="3" t="inlineStr">
        <is>
          <t>M2-28</t>
        </is>
      </c>
      <c r="B58" s="4" t="inlineStr">
        <is>
          <t>M2</t>
        </is>
      </c>
      <c r="C58" s="4" t="inlineStr">
        <is>
          <t>M2-P7</t>
        </is>
      </c>
      <c r="D58" s="5" t="inlineStr">
        <is>
          <t>G9 Product hardening</t>
        </is>
      </c>
      <c r="E58" s="5" t="inlineStr">
        <is>
          <t>320 must be lock-light on re-run (unconditional ACCESS EXCLUSIVE DDL)</t>
        </is>
      </c>
      <c r="F58" s="8" t="inlineStr">
        <is>
          <t>Very important</t>
        </is>
      </c>
      <c r="G58" s="4" t="inlineStr">
        <is>
          <t>bug fix</t>
        </is>
      </c>
      <c r="H58" s="4" t="inlineStr">
        <is>
          <t>Backend</t>
        </is>
      </c>
      <c r="I58" s="4" t="inlineStr">
        <is>
          <t>Database</t>
        </is>
      </c>
      <c r="J58" s="5" t="inlineStr">
        <is>
          <t>NEW. 320_p3_business_key_reconciliation.sql issues ALTER TABLE ... ADD COLUMN IF NOT EXISTS, DROP TRIGGER IF EXISTS and CREATE TRIGGER unconditionally. All three take ACCESS EXCLUSIVE on material_aliases BEFORE checking whether the work is needed, so a re-run blocks on any open connection - which is exactly how the integration test timed out at Npgsql's 30s default while holding its own connections. Guard each with a catalog check (information_schema.columns, pg_trigger) so a no-op run takes no exclusive lock. This matters far more on a customer's live database than in the test.</t>
        </is>
      </c>
      <c r="K58" s="5" t="inlineStr">
        <is>
          <t>Re-running 320 against a populated database with an open API connection completes in milliseconds and acquires no ACCESS EXCLUSIVE lock (verified via pg_locks during the run).</t>
        </is>
      </c>
      <c r="L58" s="7" t="n">
        <v>2</v>
      </c>
      <c r="M58" s="5" t="inlineStr">
        <is>
          <t>NEW</t>
        </is>
      </c>
      <c r="N58" s="4" t="inlineStr">
        <is>
          <t>M2-26</t>
        </is>
      </c>
    </row>
    <row r="59">
      <c r="A59" s="3" t="inlineStr">
        <is>
          <t>M2-29</t>
        </is>
      </c>
      <c r="B59" s="4" t="inlineStr">
        <is>
          <t>M2</t>
        </is>
      </c>
      <c r="C59" s="4" t="inlineStr">
        <is>
          <t>M2-P4</t>
        </is>
      </c>
      <c r="D59" s="5" t="inlineStr">
        <is>
          <t>G9 Product hardening</t>
        </is>
      </c>
      <c r="E59" s="5" t="inlineStr">
        <is>
          <t>ppiq_run_mapping_lifecycle_proof is not idempotent</t>
        </is>
      </c>
      <c r="F59" s="8" t="inlineStr">
        <is>
          <t>Very important</t>
        </is>
      </c>
      <c r="G59" s="4" t="inlineStr">
        <is>
          <t>bug fix</t>
        </is>
      </c>
      <c r="H59" s="4" t="inlineStr">
        <is>
          <t>Backend</t>
        </is>
      </c>
      <c r="I59" s="4" t="inlineStr">
        <is>
          <t>Database</t>
        </is>
      </c>
      <c r="J59" s="5" t="inlineStr">
        <is>
          <t>NEW. The 'proof' PUBLISHES a new mapping version on every call - 37 Published + 31 RolledBack rows had accumulated by 09-Jul. Its own test asserts a rollback step with Ok=true, but the domain correctly refuses: CannotRollbackPublished ('a published mapping version cannot be rolled back; supersede it instead'). Decide which is right: the proof should roll back a DRAFT version, or the test should assert publish-is-terminal. Then make the function idempotent (transaction-scoped or self-cleaning) so running the suite twice is not a state mutation.</t>
        </is>
      </c>
      <c r="K59" s="5" t="inlineStr">
        <is>
          <t>The proof runs twice with identical output and creates no net rows; the test asserts the real lifecycle (validate -&gt; publish -&gt; supersede) rather than a rollback the domain forbids.</t>
        </is>
      </c>
      <c r="L59" s="7" t="n">
        <v>3</v>
      </c>
      <c r="M59" s="5" t="inlineStr">
        <is>
          <t>NEW</t>
        </is>
      </c>
      <c r="N59" s="4" t="inlineStr">
        <is>
          <t>M2-27</t>
        </is>
      </c>
    </row>
    <row r="60">
      <c r="A60" s="3" t="inlineStr">
        <is>
          <t>M2-30</t>
        </is>
      </c>
      <c r="B60" s="4" t="inlineStr">
        <is>
          <t>M2</t>
        </is>
      </c>
      <c r="C60" s="4" t="inlineStr">
        <is>
          <t>M2-P1</t>
        </is>
      </c>
      <c r="D60" s="5" t="inlineStr">
        <is>
          <t>G4 Logging 100%</t>
        </is>
      </c>
      <c r="E60" s="5" t="inlineStr">
        <is>
          <t>In-app Log tab: per-page context, saved filters, CSV export</t>
        </is>
      </c>
      <c r="F60" s="9" t="inlineStr">
        <is>
          <t>Important</t>
        </is>
      </c>
      <c r="G60" s="4" t="inlineStr">
        <is>
          <t>new feature</t>
        </is>
      </c>
      <c r="H60" s="4" t="inlineStr">
        <is>
          <t>Backend</t>
        </is>
      </c>
      <c r="I60" s="4" t="inlineStr">
        <is>
          <t>Observability</t>
        </is>
      </c>
      <c r="J60" s="5" t="inlineStr">
        <is>
          <t>RESCOPED. The global LogPanel now ships job/system source toggle, server-side word search, severity/type/day filters and a 10s poll (M1-10, 09-Jul). What remains: a per-page log context (show only the jobs that page triggered), saved filter presets per user, and CSV/NDJSON export for support tickets.</t>
        </is>
      </c>
      <c r="K60" s="5" t="inlineStr">
        <is>
          <t>From any page, the log tab defaults to that page's job types; a saved preset survives reload; export produces a file whose row count matches the visible filter.</t>
        </is>
      </c>
      <c r="L60" s="7" t="n">
        <v>5</v>
      </c>
      <c r="M60" s="5" t="inlineStr">
        <is>
          <t>MODIFIED</t>
        </is>
      </c>
      <c r="N60" s="4" t="inlineStr">
        <is>
          <t>M2-28</t>
        </is>
      </c>
    </row>
    <row r="61">
      <c r="A61" s="3" t="inlineStr">
        <is>
          <t>M2-31</t>
        </is>
      </c>
      <c r="B61" s="4" t="inlineStr">
        <is>
          <t>M2</t>
        </is>
      </c>
      <c r="C61" s="4" t="inlineStr">
        <is>
          <t>M2-P2</t>
        </is>
      </c>
      <c r="D61" s="5" t="inlineStr">
        <is>
          <t>G4 Logging 100%</t>
        </is>
      </c>
      <c r="E61" s="5" t="inlineStr">
        <is>
          <t>Logging to 100%: LogPanel polish, retention ops, log shipping doc, audit alignment</t>
        </is>
      </c>
      <c r="F61" s="9" t="inlineStr">
        <is>
          <t>Important</t>
        </is>
      </c>
      <c r="G61" s="4" t="inlineStr">
        <is>
          <t>modification</t>
        </is>
      </c>
      <c r="H61" s="4" t="inlineStr">
        <is>
          <t>Backend</t>
        </is>
      </c>
      <c r="I61" s="4" t="inlineStr">
        <is>
          <t>Observability</t>
        </is>
      </c>
      <c r="J61" s="5" t="inlineStr">
        <is>
          <t>Finish V1-46 polish (job-name typeahead, saved filters, CSV export), table+file retention/purge verified, ops doc (where logs live per profile, rotation, how to ship to customer SIEM), align audit_log vs job_log responsibilities in the doctrine.</t>
        </is>
      </c>
      <c r="K61" s="5" t="inlineStr">
        <is>
          <t>Export produces a filtered CSV; purge job evidenced; doc reviewed against a fresh install.</t>
        </is>
      </c>
      <c r="L61" s="7" t="n">
        <v>6</v>
      </c>
      <c r="M61" s="5" t="inlineStr">
        <is>
          <t>CARRIED</t>
        </is>
      </c>
      <c r="N61" s="4" t="inlineStr">
        <is>
          <t>M2-29</t>
        </is>
      </c>
    </row>
    <row r="62">
      <c r="A62" s="3" t="inlineStr">
        <is>
          <t>M2-32</t>
        </is>
      </c>
      <c r="B62" s="4" t="inlineStr">
        <is>
          <t>M2</t>
        </is>
      </c>
      <c r="C62" s="4" t="inlineStr">
        <is>
          <t>M2-P3</t>
        </is>
      </c>
      <c r="D62" s="5" t="inlineStr">
        <is>
          <t>G6 License &amp; roles</t>
        </is>
      </c>
      <c r="E62" s="5" t="inlineStr">
        <is>
          <t>Pricing &amp; license-tiers PAGE (web) — content delivered in 07-editions doc</t>
        </is>
      </c>
      <c r="F62" s="9" t="inlineStr">
        <is>
          <t>Important</t>
        </is>
      </c>
      <c r="G62" s="4" t="inlineStr">
        <is>
          <t>content</t>
        </is>
      </c>
      <c r="H62" s="4" t="inlineStr">
        <is>
          <t>Backend</t>
        </is>
      </c>
      <c r="I62" s="4" t="inlineStr">
        <is>
          <t>Licensing</t>
        </is>
      </c>
      <c r="J62" s="5" t="inlineStr">
        <is>
          <t>The CONTENT exists: 07-editions-and-licensing.md states the editions, the signed-entitlement model, renewal, and caps. Remaining: render it as a public web page on the marketing site (honesty-lint green) and fill [[PER_PLANT_ACV_RANGE]]/[[FLEET_ACV_RANGE]] with your real numbers.</t>
        </is>
      </c>
      <c r="K62" s="5" t="inlineStr">
        <is>
          <t>The page lists all four tiers with grants/renewal/caps; honesty-lint green; ACV ranges filled. Evidence: the page.</t>
        </is>
      </c>
      <c r="L62" s="7" t="n">
        <v>1.5</v>
      </c>
      <c r="M62" s="5" t="inlineStr">
        <is>
          <t>CARRIED</t>
        </is>
      </c>
      <c r="N62" s="4" t="inlineStr">
        <is>
          <t>M2-30</t>
        </is>
      </c>
    </row>
    <row r="63">
      <c r="A63" s="3" t="inlineStr">
        <is>
          <t>M2-33</t>
        </is>
      </c>
      <c r="B63" s="4" t="inlineStr">
        <is>
          <t>M2</t>
        </is>
      </c>
      <c r="C63" s="4" t="inlineStr">
        <is>
          <t>M2-P3</t>
        </is>
      </c>
      <c r="D63" s="5" t="inlineStr">
        <is>
          <t>G7 Values justified</t>
        </is>
      </c>
      <c r="E63" s="5" t="inlineStr">
        <is>
          <t>Visual-regression harness (baseline + diff gate)</t>
        </is>
      </c>
      <c r="F63" s="9" t="inlineStr">
        <is>
          <t>Important</t>
        </is>
      </c>
      <c r="G63" s="4" t="inlineStr">
        <is>
          <t>feature</t>
        </is>
      </c>
      <c r="H63" s="4" t="inlineStr">
        <is>
          <t>Backend</t>
        </is>
      </c>
      <c r="I63" s="4" t="inlineStr">
        <is>
          <t>Core</t>
        </is>
      </c>
      <c r="J63" s="5" t="inlineStr">
        <is>
          <t>Capture a baseline of every demo-path page and gate PRs on a pixel/DOM diff so styling never silently drifts.</t>
        </is>
      </c>
      <c r="K63" s="5" t="inlineStr">
        <is>
          <t>A deliberate style change fails the diff gate; an intended change updates the baseline. Evidence: CI run.</t>
        </is>
      </c>
      <c r="L63" s="7" t="n">
        <v>6</v>
      </c>
      <c r="M63" s="5" t="inlineStr">
        <is>
          <t>CARRIED</t>
        </is>
      </c>
      <c r="N63" s="4" t="inlineStr">
        <is>
          <t>M2-31</t>
        </is>
      </c>
    </row>
    <row r="64">
      <c r="A64" s="3" t="inlineStr">
        <is>
          <t>M2-34</t>
        </is>
      </c>
      <c r="B64" s="4" t="inlineStr">
        <is>
          <t>M2</t>
        </is>
      </c>
      <c r="C64" s="4" t="inlineStr">
        <is>
          <t>M2-P4</t>
        </is>
      </c>
      <c r="D64" s="5" t="inlineStr">
        <is>
          <t>G8 Hardening &amp; rename</t>
        </is>
      </c>
      <c r="E64" s="5" t="inlineStr">
        <is>
          <t>Naming golden-rule pass: the INTERNAL phase/task-named artifacts</t>
        </is>
      </c>
      <c r="F64" s="9" t="inlineStr">
        <is>
          <t>Important</t>
        </is>
      </c>
      <c r="G64" s="4" t="inlineStr">
        <is>
          <t>refactor</t>
        </is>
      </c>
      <c r="H64" s="4" t="inlineStr">
        <is>
          <t>Backend</t>
        </is>
      </c>
      <c r="I64" s="4" t="inlineStr">
        <is>
          <t>Core</t>
        </is>
      </c>
      <c r="J64" s="5" t="inlineStr">
        <is>
          <t>RESCOPED. The USER-VISIBLE half is done (M1-08, 09-Jul): routes, nav labels, page titles, kickers, test-ids, loading strings and src/api/assistantApi.ts, all gated repo-wide including string literals in data maps. What remains is internal and each item is coupled to a stylesheet, so class names must move in the SAME commit or the page silently unstyles: pages/Phase8/ + phase8-ai.css + .phase8-* classes; pages/Phase9/ + phase9-personas.css + .phase9-* classes (and data-testid="phase9-persona-access-matrix"); pages/Phase7ValueScenario/ + phase7-value-scenario.css; pages/Analytics/AdvancedAnalysisPage data-testid="phase8-readiness-*"; playwright.phase9.config.ts; and the BACKEND endpoints /api/phase8/suggestions/* and /api/phase8/assistant-config, which additionally need matching AccessControlMiddleware matrix entries. src/phase11 is handled by its own M1 task (wire-or-delete, not rename).</t>
        </is>
      </c>
      <c r="K64" s="5" t="inlineStr">
        <is>
          <t>Zero phase/task tokens in any file name, directory name, class name, test-id or backend route; the existing repo-wide gate is widened to file paths and class names and stays green; every renamed stylesheet's selectors move in the same commit.</t>
        </is>
      </c>
      <c r="L64" s="7" t="n">
        <v>12</v>
      </c>
      <c r="M64" s="5" t="inlineStr">
        <is>
          <t>MODIFIED</t>
        </is>
      </c>
      <c r="N64" s="4" t="inlineStr">
        <is>
          <t>M2-32</t>
        </is>
      </c>
    </row>
    <row r="65">
      <c r="A65" s="3" t="inlineStr">
        <is>
          <t>M2-35</t>
        </is>
      </c>
      <c r="B65" s="4" t="inlineStr">
        <is>
          <t>M2</t>
        </is>
      </c>
      <c r="C65" s="4" t="inlineStr">
        <is>
          <t>M2-P6</t>
        </is>
      </c>
      <c r="D65" s="5" t="inlineStr">
        <is>
          <t>G9 Product hardening</t>
        </is>
      </c>
      <c r="E65" s="5" t="inlineStr">
        <is>
          <t>Harden .env&lt;-&gt;Postgres-volume password coupling + provisioning resilience  [NEW 26-Jun]</t>
        </is>
      </c>
      <c r="F65" s="9" t="inlineStr">
        <is>
          <t>Important</t>
        </is>
      </c>
      <c r="G65" s="4" t="inlineStr">
        <is>
          <t>hardening</t>
        </is>
      </c>
      <c r="H65" s="4" t="inlineStr">
        <is>
          <t>Backend</t>
        </is>
      </c>
      <c r="I65" s="4" t="inlineStr">
        <is>
          <t>Core</t>
        </is>
      </c>
      <c r="J65" s="5" t="inlineStr">
        <is>
          <t>NEW from the 26-Jun session. Two small hardenings: (1) make ensure-runtime-env.sh PRESERVE POSTGRES_PASSWORD across a stale-key regeneration (today a regen rotates it and diverges from the existing Postgres volume -&gt; 28P01); document the rule that /var/lib/ppiq-preserve/.env must not be deleted, and if it is, the volume must be wiped in the same step. (2) Wrap FirstRunProvisioningHostedService pro</t>
        </is>
      </c>
      <c r="K65" s="5" t="inlineStr">
        <is>
          <t>A simulated stale-key regen keeps the same POSTGRES_PASSWORD and the API still connects; an induced provisioning error is logged and the API still starts. Evidence: regen log + fault-injection test.</t>
        </is>
      </c>
      <c r="L65" s="7" t="n">
        <v>5</v>
      </c>
      <c r="M65" s="5" t="inlineStr">
        <is>
          <t>CARRIED</t>
        </is>
      </c>
      <c r="N65" s="4" t="inlineStr">
        <is>
          <t>M2-33</t>
        </is>
      </c>
    </row>
    <row r="66">
      <c r="A66" s="3" t="inlineStr">
        <is>
          <t>M2-36</t>
        </is>
      </c>
      <c r="B66" s="4" t="inlineStr">
        <is>
          <t>M2</t>
        </is>
      </c>
      <c r="C66" s="4" t="inlineStr">
        <is>
          <t>M2-P6</t>
        </is>
      </c>
      <c r="D66" s="5" t="inlineStr">
        <is>
          <t>G9 Product hardening</t>
        </is>
      </c>
      <c r="E66" s="5" t="inlineStr">
        <is>
          <t>Standardize all native buttons onto StandardButton</t>
        </is>
      </c>
      <c r="F66" s="9" t="inlineStr">
        <is>
          <t>Important</t>
        </is>
      </c>
      <c r="G66" s="4" t="inlineStr">
        <is>
          <t>refactor</t>
        </is>
      </c>
      <c r="H66" s="4" t="inlineStr">
        <is>
          <t>Backend</t>
        </is>
      </c>
      <c r="I66" s="4" t="inlineStr">
        <is>
          <t>Core</t>
        </is>
      </c>
      <c r="J66" s="5" t="inlineStr">
        <is>
          <t>~151 native buttons not on StandardButton. Migrate all to the standard component so styling is uniform current AND future (the Material-Investigation mismatch class is standardized away, not patched once).</t>
        </is>
      </c>
      <c r="K66" s="5" t="inlineStr">
        <is>
          <t>A scan shows 0 native buttons outside StandardButton; visual-regression green. Evidence: scan + diff.</t>
        </is>
      </c>
      <c r="L66" s="7" t="n">
        <v>12.6</v>
      </c>
      <c r="M66" s="5" t="inlineStr">
        <is>
          <t>CARRIED</t>
        </is>
      </c>
      <c r="N66" s="4" t="inlineStr">
        <is>
          <t>M2-34</t>
        </is>
      </c>
    </row>
    <row r="67">
      <c r="A67" s="3" t="inlineStr">
        <is>
          <t>M2-37</t>
        </is>
      </c>
      <c r="B67" s="4" t="inlineStr">
        <is>
          <t>M2</t>
        </is>
      </c>
      <c r="C67" s="4" t="inlineStr">
        <is>
          <t>M2-P6</t>
        </is>
      </c>
      <c r="D67" s="5" t="inlineStr">
        <is>
          <t>G9 Product hardening</t>
        </is>
      </c>
      <c r="E67" s="5" t="inlineStr">
        <is>
          <t>Performance-at-scale validation (630/5,600, virtualized tables)</t>
        </is>
      </c>
      <c r="F67" s="9" t="inlineStr">
        <is>
          <t>Important</t>
        </is>
      </c>
      <c r="G67" s="4" t="inlineStr">
        <is>
          <t>feature</t>
        </is>
      </c>
      <c r="H67" s="4" t="inlineStr">
        <is>
          <t>Backend</t>
        </is>
      </c>
      <c r="I67" s="4" t="inlineStr">
        <is>
          <t>Core</t>
        </is>
      </c>
      <c r="J67" s="5" t="inlineStr">
        <is>
          <t>Validate no hang/lag at demo scale; virtualize large tables; progress indicators on long loads.</t>
        </is>
      </c>
      <c r="K67" s="5" t="inlineStr">
        <is>
          <t>At ~630 heats/~5,600 coils, no hang; tables virtualize; long loads show progress. Evidence: measured run.</t>
        </is>
      </c>
      <c r="L67" s="7" t="n">
        <v>8</v>
      </c>
      <c r="M67" s="5" t="inlineStr">
        <is>
          <t>CARRIED</t>
        </is>
      </c>
      <c r="N67" s="4" t="inlineStr">
        <is>
          <t>M2-35</t>
        </is>
      </c>
    </row>
    <row r="68">
      <c r="A68" s="3" t="inlineStr">
        <is>
          <t>M2-38</t>
        </is>
      </c>
      <c r="B68" s="4" t="inlineStr">
        <is>
          <t>M2</t>
        </is>
      </c>
      <c r="C68" s="4" t="inlineStr">
        <is>
          <t>M2-P6</t>
        </is>
      </c>
      <c r="D68" s="5" t="inlineStr">
        <is>
          <t>G9 Product hardening</t>
        </is>
      </c>
      <c r="E68" s="5" t="inlineStr">
        <is>
          <t>User guide: embed app screenshots into the delivered 02-capabilities narrative</t>
        </is>
      </c>
      <c r="F68" s="9" t="inlineStr">
        <is>
          <t>Important</t>
        </is>
      </c>
      <c r="G68" s="4" t="inlineStr">
        <is>
          <t>content</t>
        </is>
      </c>
      <c r="H68" s="4" t="inlineStr">
        <is>
          <t>Backend</t>
        </is>
      </c>
      <c r="I68" s="4" t="inlineStr">
        <is>
          <t>Core</t>
        </is>
      </c>
      <c r="J68" s="5" t="inlineStr">
        <is>
          <t>The narrative user guide is DELIVERED (02-platform-capabilities.md + index walk the platform feature by feature, zero placeholders). Remaining: capture real app screenshots from the live demo and embed them inline + a 9-step walkthrough section.</t>
        </is>
      </c>
      <c r="K68" s="5" t="inlineStr">
        <is>
          <t>The guide carries screenshots matching the current UI alongside the delivered narrative. Evidence: the doc.</t>
        </is>
      </c>
      <c r="L68" s="7" t="n">
        <v>1.8</v>
      </c>
      <c r="M68" s="5" t="inlineStr">
        <is>
          <t>CARRIED</t>
        </is>
      </c>
      <c r="N68" s="4" t="inlineStr">
        <is>
          <t>M2-36</t>
        </is>
      </c>
    </row>
    <row r="69">
      <c r="A69" s="3" t="inlineStr">
        <is>
          <t>M2-39</t>
        </is>
      </c>
      <c r="B69" s="4" t="inlineStr">
        <is>
          <t>M2</t>
        </is>
      </c>
      <c r="C69" s="4" t="inlineStr">
        <is>
          <t>M2-P7</t>
        </is>
      </c>
      <c r="D69" s="5" t="inlineStr">
        <is>
          <t>G9 Product hardening</t>
        </is>
      </c>
      <c r="E69" s="5" t="inlineStr">
        <is>
          <t>Install runbook: embed screenshots into the delivered 03-architecture narrative</t>
        </is>
      </c>
      <c r="F69" s="9" t="inlineStr">
        <is>
          <t>Important</t>
        </is>
      </c>
      <c r="G69" s="4" t="inlineStr">
        <is>
          <t>content</t>
        </is>
      </c>
      <c r="H69" s="4" t="inlineStr">
        <is>
          <t>Backend</t>
        </is>
      </c>
      <c r="I69" s="4" t="inlineStr">
        <is>
          <t>Core</t>
        </is>
      </c>
      <c r="J69" s="5" t="inlineStr">
        <is>
          <t>The deployment narrative is DELIVERED (03-architecture-and-deployment.md covers SaaS/dedicated/on-prem/air-gapped). Remaining: add the concrete server runbook (infra plantprocessiq + app ppiq-app, the git-push pipeline, .env/secret handling, sysadmin first-login) WITH screenshots, cross-referencing Identity &amp; Topology v4.</t>
        </is>
      </c>
      <c r="K69" s="5" t="inlineStr">
        <is>
          <t>A clean machine reaches a working login by following the runbook only. Evidence: the runbook + a clean-follow log.</t>
        </is>
      </c>
      <c r="L69" s="7" t="n">
        <v>2.4</v>
      </c>
      <c r="M69" s="5" t="inlineStr">
        <is>
          <t>CARRIED</t>
        </is>
      </c>
      <c r="N69" s="4" t="inlineStr">
        <is>
          <t>M2-37</t>
        </is>
      </c>
    </row>
    <row r="70">
      <c r="A70" s="3" t="inlineStr">
        <is>
          <t>M2-40</t>
        </is>
      </c>
      <c r="B70" s="4" t="inlineStr">
        <is>
          <t>M2</t>
        </is>
      </c>
      <c r="C70" s="4" t="inlineStr">
        <is>
          <t>M2-P7</t>
        </is>
      </c>
      <c r="D70" s="5" t="inlineStr">
        <is>
          <t>G9 Product hardening</t>
        </is>
      </c>
      <c r="E70" s="5" t="inlineStr">
        <is>
          <t>Admin/Operator guide: screenshots + two-admin model (05-onboarding delivered)</t>
        </is>
      </c>
      <c r="F70" s="9" t="inlineStr">
        <is>
          <t>Important</t>
        </is>
      </c>
      <c r="G70" s="4" t="inlineStr">
        <is>
          <t>content</t>
        </is>
      </c>
      <c r="H70" s="4" t="inlineStr">
        <is>
          <t>Backend</t>
        </is>
      </c>
      <c r="I70" s="4" t="inlineStr">
        <is>
          <t>Core</t>
        </is>
      </c>
      <c r="J70" s="5" t="inlineStr">
        <is>
          <t>The onboarding/integration narrative is DELIVERED (05-data-onboarding-and-integration.md). Remaining: an admin/operator guide with screenshots covering source onboarding, mapping, jobs monitor, schema-drift, and the two-admin model (sysadmin vs the customer admin added at commissioning).</t>
        </is>
      </c>
      <c r="K70" s="5" t="inlineStr">
        <is>
          <t>The guide covers each admin task with screenshots. Evidence: the doc.</t>
        </is>
      </c>
      <c r="L70" s="7" t="n">
        <v>3</v>
      </c>
      <c r="M70" s="5" t="inlineStr">
        <is>
          <t>CARRIED</t>
        </is>
      </c>
      <c r="N70" s="4" t="inlineStr">
        <is>
          <t>M2-38</t>
        </is>
      </c>
    </row>
    <row r="71">
      <c r="A71" s="3" t="inlineStr">
        <is>
          <t>M2-41</t>
        </is>
      </c>
      <c r="B71" s="4" t="inlineStr">
        <is>
          <t>M2</t>
        </is>
      </c>
      <c r="C71" s="4" t="inlineStr">
        <is>
          <t>M2-P7</t>
        </is>
      </c>
      <c r="D71" s="5" t="inlineStr">
        <is>
          <t>G9 Product hardening</t>
        </is>
      </c>
      <c r="E71" s="5" t="inlineStr">
        <is>
          <t>Security whitepaper (DELIVERED as 04-security doc — verify + publish)</t>
        </is>
      </c>
      <c r="F71" s="9" t="inlineStr">
        <is>
          <t>Important</t>
        </is>
      </c>
      <c r="G71" s="4" t="inlineStr">
        <is>
          <t>content</t>
        </is>
      </c>
      <c r="H71" s="4" t="inlineStr">
        <is>
          <t>Backend</t>
        </is>
      </c>
      <c r="I71" s="4" t="inlineStr">
        <is>
          <t>Core</t>
        </is>
      </c>
      <c r="J71" s="5" t="inlineStr">
        <is>
          <t>The security/procurement brief is DELIVERED (04-security-and-data-protection.md: read-only, identity incl. the two-admin model, secrets, isolation, encryption, audit, AI data boundary - each a design property). Remaining: confirm every stated control matches the shipped code (some are V2 enforcement tasks above) and add the Spamhaus-safe mail posture; then publish.</t>
        </is>
      </c>
      <c r="K71" s="5" t="inlineStr">
        <is>
          <t>Each control in the doc maps to shipped behavior or a tracked task; mail posture added. Evidence: the doc + a control-to-code map.</t>
        </is>
      </c>
      <c r="L71" s="7" t="n">
        <v>0.9</v>
      </c>
      <c r="M71" s="5" t="inlineStr">
        <is>
          <t>CARRIED</t>
        </is>
      </c>
      <c r="N71" s="4" t="inlineStr">
        <is>
          <t>M2-39</t>
        </is>
      </c>
    </row>
    <row r="72">
      <c r="A72" s="3" t="inlineStr">
        <is>
          <t>M2-42</t>
        </is>
      </c>
      <c r="B72" s="4" t="inlineStr">
        <is>
          <t>M2</t>
        </is>
      </c>
      <c r="C72" s="4" t="inlineStr">
        <is>
          <t>M2-P7</t>
        </is>
      </c>
      <c r="D72" s="5" t="inlineStr">
        <is>
          <t>G9 Product hardening</t>
        </is>
      </c>
      <c r="E72" s="5" t="inlineStr">
        <is>
          <t>Explain why 690's function body did not win under migrate</t>
        </is>
      </c>
      <c r="F72" s="9" t="inlineStr">
        <is>
          <t>Important</t>
        </is>
      </c>
      <c r="G72" s="4" t="inlineStr">
        <is>
          <t>verification</t>
        </is>
      </c>
      <c r="H72" s="4" t="inlineStr">
        <is>
          <t>Backend</t>
        </is>
      </c>
      <c r="I72" s="4" t="inlineStr">
        <is>
          <t>Deploy</t>
        </is>
      </c>
      <c r="J72" s="5" t="inlineStr">
        <is>
          <t>NEW - unresolved. 690_mapping_and_genealogy_function_completion.sql defines ppiq_validate_genealogy_graph WITH the m.material_key::text cast. migrate applies every scripts/*.sql sorted by NAME, so 690 runs after 312/313 and should win. It did not: pg_proc held the uncast body, and the function threw 42804 on its first returned row. Applying 690 by hand succeeded immediately. Either 690 was aborting earlier in the file, or something re-applies 312/313 afterwards. Find out - this is the same class as the two gates above and may be hiding more.</t>
        </is>
      </c>
      <c r="K72" s="5" t="inlineStr">
        <is>
          <t>A written explanation with evidence; if 690 aborts under migrate, the cause is fixed and the per-file summary from the migrate task proves it.</t>
        </is>
      </c>
      <c r="L72" s="7" t="n">
        <v>2</v>
      </c>
      <c r="M72" s="5" t="inlineStr">
        <is>
          <t>NEW</t>
        </is>
      </c>
      <c r="N72" s="4" t="inlineStr">
        <is>
          <t>M2-40</t>
        </is>
      </c>
    </row>
    <row r="73">
      <c r="A73" s="3" t="inlineStr">
        <is>
          <t>M2-43</t>
        </is>
      </c>
      <c r="B73" s="4" t="inlineStr">
        <is>
          <t>M2</t>
        </is>
      </c>
      <c r="C73" s="4" t="inlineStr">
        <is>
          <t>M2-P7</t>
        </is>
      </c>
      <c r="D73" s="5" t="inlineStr">
        <is>
          <t>G9 Product hardening</t>
        </is>
      </c>
      <c r="E73" s="5" t="inlineStr">
        <is>
          <t>API reference</t>
        </is>
      </c>
      <c r="F73" s="9" t="inlineStr">
        <is>
          <t>Normal</t>
        </is>
      </c>
      <c r="G73" s="4" t="inlineStr">
        <is>
          <t>content</t>
        </is>
      </c>
      <c r="H73" s="4" t="inlineStr">
        <is>
          <t>Backend</t>
        </is>
      </c>
      <c r="I73" s="4" t="inlineStr">
        <is>
          <t>Core</t>
        </is>
      </c>
      <c r="J73" s="5" t="inlineStr">
        <is>
          <t>Generate/author an API reference for the public endpoints (auth, licensing ed25519 activate/current with the licenseJws field, readiness, /api/v5/outbound/leads, etc.).</t>
        </is>
      </c>
      <c r="K73" s="5" t="inlineStr">
        <is>
          <t>The reference lists each endpoint with request/response shapes (correct field names). Evidence: the doc.</t>
        </is>
      </c>
      <c r="L73" s="7" t="n">
        <v>4</v>
      </c>
      <c r="M73" s="5" t="inlineStr">
        <is>
          <t>CARRIED</t>
        </is>
      </c>
      <c r="N73" s="4" t="inlineStr">
        <is>
          <t>M2-41</t>
        </is>
      </c>
    </row>
    <row r="74">
      <c r="A74" s="3" t="inlineStr">
        <is>
          <t>M2-44</t>
        </is>
      </c>
      <c r="B74" s="4" t="inlineStr">
        <is>
          <t>M2</t>
        </is>
      </c>
      <c r="C74" s="4" t="inlineStr">
        <is>
          <t>M2-P2</t>
        </is>
      </c>
      <c r="D74" s="5" t="inlineStr">
        <is>
          <t>G5 LLM &amp; prediction</t>
        </is>
      </c>
      <c r="E74" s="5" t="inlineStr">
        <is>
          <t>Chatbot/LLM + prediction to 100%: provider matrix, no-egress mode, grounded eval set</t>
        </is>
      </c>
      <c r="F74" s="6" t="inlineStr">
        <is>
          <t>Critical</t>
        </is>
      </c>
      <c r="G74" s="4" t="inlineStr">
        <is>
          <t>new feature</t>
        </is>
      </c>
      <c r="H74" s="4" t="inlineStr">
        <is>
          <t>Frontend+Backend</t>
        </is>
      </c>
      <c r="I74" s="4" t="inlineStr">
        <is>
          <t>Assistant</t>
        </is>
      </c>
      <c r="J74" s="5" t="inlineStr">
        <is>
          <t>Complete V1-43: provider config CRUD against the REAL ppiq_assistant_provider_configs schema, at least self-hosted + one zero-retention cloud provider, egress guard verified, and a 25-question grounded eval set over engine results (citations resolve, uncited numbers blocked, refusal on out-of-evidence). Prediction: suggestion engine tuning + confidence display.</t>
        </is>
      </c>
      <c r="K74" s="5" t="inlineStr">
        <is>
          <t>Eval set 25/25 grounded-pass in CI; no-egress toggle proven by network capture; provider switch via admin without restart.</t>
        </is>
      </c>
      <c r="L74" s="7" t="n">
        <v>14</v>
      </c>
      <c r="M74" s="5" t="inlineStr">
        <is>
          <t>CARRIED</t>
        </is>
      </c>
      <c r="N74" s="4" t="inlineStr">
        <is>
          <t>M2-42</t>
        </is>
      </c>
    </row>
    <row r="75">
      <c r="A75" s="3" t="inlineStr">
        <is>
          <t>M2-45</t>
        </is>
      </c>
      <c r="B75" s="4" t="inlineStr">
        <is>
          <t>M2</t>
        </is>
      </c>
      <c r="C75" s="4" t="inlineStr">
        <is>
          <t>M2-P2</t>
        </is>
      </c>
      <c r="D75" s="5" t="inlineStr">
        <is>
          <t>G5 LLM &amp; prediction</t>
        </is>
      </c>
      <c r="E75" s="5" t="inlineStr">
        <is>
          <t>Wire DataBoundaryPolicy into assistant dispatch (no-egress live)</t>
        </is>
      </c>
      <c r="F75" s="8" t="inlineStr">
        <is>
          <t>Very important</t>
        </is>
      </c>
      <c r="G75" s="4" t="inlineStr">
        <is>
          <t>feature</t>
        </is>
      </c>
      <c r="H75" s="4" t="inlineStr">
        <is>
          <t>Frontend+Backend</t>
        </is>
      </c>
      <c r="I75" s="4" t="inlineStr">
        <is>
          <t>Assistant</t>
        </is>
      </c>
      <c r="J75" s="5" t="inlineStr">
        <is>
          <t>Route every assistant call through the gateway so only question + scoped evidence leaves; honour a per-tenant no-egress toggle (self-hosted default). The 04-security doc commits to this.</t>
        </is>
      </c>
      <c r="K75" s="5" t="inlineStr">
        <is>
          <t>Self-hosted mode leaks nothing; private-endpoint sends only question+evidence; toggle proven. Evidence: test + capture.</t>
        </is>
      </c>
      <c r="L75" s="7" t="n">
        <v>3.5</v>
      </c>
      <c r="M75" s="5" t="inlineStr">
        <is>
          <t>CARRIED</t>
        </is>
      </c>
      <c r="N75" s="4" t="inlineStr">
        <is>
          <t>M2-43</t>
        </is>
      </c>
    </row>
    <row r="76">
      <c r="A76" s="3" t="inlineStr">
        <is>
          <t>M2-46</t>
        </is>
      </c>
      <c r="B76" s="4" t="inlineStr">
        <is>
          <t>M2</t>
        </is>
      </c>
      <c r="C76" s="4" t="inlineStr">
        <is>
          <t>M2-P2</t>
        </is>
      </c>
      <c r="D76" s="5" t="inlineStr">
        <is>
          <t>G5 LLM &amp; prediction</t>
        </is>
      </c>
      <c r="E76" s="5" t="inlineStr">
        <is>
          <t>Assistant eval harness + model-version governance gate</t>
        </is>
      </c>
      <c r="F76" s="9" t="inlineStr">
        <is>
          <t>Important</t>
        </is>
      </c>
      <c r="G76" s="4" t="inlineStr">
        <is>
          <t>feature</t>
        </is>
      </c>
      <c r="H76" s="4" t="inlineStr">
        <is>
          <t>Frontend+Backend</t>
        </is>
      </c>
      <c r="I76" s="4" t="inlineStr">
        <is>
          <t>Assistant</t>
        </is>
      </c>
      <c r="J76" s="5" t="inlineStr">
        <is>
          <t>An eval harness that gates assistant regressions and a model-version governance gate (no uncited number, citations resolve).</t>
        </is>
      </c>
      <c r="K76" s="5" t="inlineStr">
        <is>
          <t>The harness fails on an injected uncited-number regression; passes clean. Evidence: the harness + CI.</t>
        </is>
      </c>
      <c r="L76" s="7" t="n">
        <v>6</v>
      </c>
      <c r="M76" s="5" t="inlineStr">
        <is>
          <t>CARRIED</t>
        </is>
      </c>
      <c r="N76" s="4" t="inlineStr">
        <is>
          <t>M2-44</t>
        </is>
      </c>
    </row>
    <row r="77">
      <c r="A77" s="3" t="inlineStr">
        <is>
          <t>M2-47</t>
        </is>
      </c>
      <c r="B77" s="4" t="inlineStr">
        <is>
          <t>M2</t>
        </is>
      </c>
      <c r="C77" s="4" t="inlineStr">
        <is>
          <t>M2-P3</t>
        </is>
      </c>
      <c r="D77" s="5" t="inlineStr">
        <is>
          <t>G7 Values justified</t>
        </is>
      </c>
      <c r="E77" s="5" t="inlineStr">
        <is>
          <t>Correlation correctness harness: known-answer tests justify every displayed value</t>
        </is>
      </c>
      <c r="F77" s="6" t="inlineStr">
        <is>
          <t>Critical</t>
        </is>
      </c>
      <c r="G77" s="4" t="inlineStr">
        <is>
          <t>test</t>
        </is>
      </c>
      <c r="H77" s="4" t="inlineStr">
        <is>
          <t>Testing</t>
        </is>
      </c>
      <c r="I77" s="4" t="inlineStr">
        <is>
          <t>E2E</t>
        </is>
      </c>
      <c r="J77" s="5" t="inlineStr">
        <is>
          <t>Seeded known-answer dataset where the true driver+effect sizes are constructed; harness runs the full engine and asserts: identified contributors match ground truth, q-values within tolerance, population counts exact, bootstrap stability reproducible under fixed seed. Every number the HMI renders must be traceable to an engine output row (no frontend math). Extend prover with a numeric-audit block</t>
        </is>
      </c>
      <c r="K77" s="5" t="inlineStr">
        <is>
          <t>CI job runs the harness; any drift fails the build; a written justification doc maps each HMI figure to its engine field.</t>
        </is>
      </c>
      <c r="L77" s="7" t="n">
        <v>10</v>
      </c>
      <c r="M77" s="5" t="inlineStr">
        <is>
          <t>CARRIED</t>
        </is>
      </c>
      <c r="N77" s="4" t="inlineStr">
        <is>
          <t>M2-45</t>
        </is>
      </c>
    </row>
    <row r="78">
      <c r="A78" s="3" t="inlineStr">
        <is>
          <t>M2-48</t>
        </is>
      </c>
      <c r="B78" s="4" t="inlineStr">
        <is>
          <t>M2</t>
        </is>
      </c>
      <c r="C78" s="4" t="inlineStr">
        <is>
          <t>M2-P1</t>
        </is>
      </c>
      <c r="D78" s="5" t="inlineStr">
        <is>
          <t>G13 Test realignment</t>
        </is>
      </c>
      <c r="E78" s="5" t="inlineStr">
        <is>
          <t>E2E suite full realignment to V1-final product (Cat B remainder + Cat C coverage)</t>
        </is>
      </c>
      <c r="F78" s="8" t="inlineStr">
        <is>
          <t>Very important</t>
        </is>
      </c>
      <c r="G78" s="4" t="inlineStr">
        <is>
          <t>test</t>
        </is>
      </c>
      <c r="H78" s="4" t="inlineStr">
        <is>
          <t>Testing</t>
        </is>
      </c>
      <c r="I78" s="4" t="inlineStr">
        <is>
          <t>E2E</t>
        </is>
      </c>
      <c r="J78" s="5" t="inlineStr">
        <is>
          <t>Complete what M1 triaged: rewrite dead-assumption specs; ADD coverage: LogPanel open/filter/stream, six-connector green test-connect, credential-less typed error (ELKA01 guard e2e), site-identity rename, plant-scale counts, the three-surfaces happy paths.</t>
        </is>
      </c>
      <c r="K78" s="5" t="inlineStr">
        <is>
          <t>397+ tests green on 4 projects with zero fixmes referencing shipped behavior; new specs enumerated in the run output.</t>
        </is>
      </c>
      <c r="L78" s="7" t="n">
        <v>10</v>
      </c>
      <c r="M78" s="5" t="inlineStr">
        <is>
          <t>CARRIED</t>
        </is>
      </c>
      <c r="N78" s="4" t="inlineStr">
        <is>
          <t>M2-46</t>
        </is>
      </c>
    </row>
    <row r="79">
      <c r="A79" s="3" t="inlineStr">
        <is>
          <t>M2-49</t>
        </is>
      </c>
      <c r="B79" s="4" t="inlineStr">
        <is>
          <t>M2</t>
        </is>
      </c>
      <c r="C79" s="4" t="inlineStr">
        <is>
          <t>M2-P5</t>
        </is>
      </c>
      <c r="D79" s="5" t="inlineStr">
        <is>
          <t>G9 Product hardening</t>
        </is>
      </c>
      <c r="E79" s="5" t="inlineStr">
        <is>
          <t>Wire + expose L4 statistics LIVE (Spearman/MI/Lasso/VIF/bootstrap/FDR already built)</t>
        </is>
      </c>
      <c r="F79" s="8" t="inlineStr">
        <is>
          <t>Very important</t>
        </is>
      </c>
      <c r="G79" s="4" t="inlineStr">
        <is>
          <t>test</t>
        </is>
      </c>
      <c r="H79" s="4" t="inlineStr">
        <is>
          <t>Testing</t>
        </is>
      </c>
      <c r="I79" s="4" t="inlineStr">
        <is>
          <t>E2E</t>
        </is>
      </c>
      <c r="J79" s="5" t="inlineStr">
        <is>
          <t>CODE-VALIDATED: AdvancedCorrelationComputeService.cs (390) is BUILT - Spearman, Pearson/point-biserial, normalized MI, Cramer's V, iterative VIF, Lasso, Benjamini-Hochberg FDR, bootstrap stability, stratification. Update Doctrine sec.21 ('unstarted' is wrong). Remaining: run a correlation/inspection job LIVE on demo data through the HMI and surface the suspected contributor (method, q, bootstrap %</t>
        </is>
      </c>
      <c r="K79" s="5" t="inlineStr">
        <is>
          <t>A correlation job recomputes LIVE on demo data and the HMI shows a suspected contributor with the method named, q&lt;0.05 under BH-FDR, bootstrap stability %, stratified, population/exclusions stated; a golden dataset recovers true signals and rejects spurious ones under FDR; the engine test is extende</t>
        </is>
      </c>
      <c r="L79" s="7" t="n">
        <v>1.8</v>
      </c>
      <c r="M79" s="5" t="inlineStr">
        <is>
          <t>CARRIED</t>
        </is>
      </c>
      <c r="N79" s="4" t="inlineStr">
        <is>
          <t>M2-47</t>
        </is>
      </c>
    </row>
    <row r="80">
      <c r="A80" s="3" t="inlineStr">
        <is>
          <t>M2-50</t>
        </is>
      </c>
      <c r="B80" s="4" t="inlineStr">
        <is>
          <t>M2</t>
        </is>
      </c>
      <c r="C80" s="4" t="inlineStr">
        <is>
          <t>M2-P5</t>
        </is>
      </c>
      <c r="D80" s="5" t="inlineStr">
        <is>
          <t>G9 Product hardening</t>
        </is>
      </c>
      <c r="E80" s="5" t="inlineStr">
        <is>
          <t>E2E action-matrix enumerating every demo-path control (CI gate)</t>
        </is>
      </c>
      <c r="F80" s="8" t="inlineStr">
        <is>
          <t>Very important</t>
        </is>
      </c>
      <c r="G80" s="4" t="inlineStr">
        <is>
          <t>feature</t>
        </is>
      </c>
      <c r="H80" s="4" t="inlineStr">
        <is>
          <t>Testing</t>
        </is>
      </c>
      <c r="I80" s="4" t="inlineStr">
        <is>
          <t>E2E</t>
        </is>
      </c>
      <c r="J80" s="5" t="inlineStr">
        <is>
          <t>The action-matrix spec exists and is 20/20 green (handover); promote it to a BLOCKING CI gate that enumerates every control on every demo-path page and runs on push.</t>
        </is>
      </c>
      <c r="K80" s="5" t="inlineStr">
        <is>
          <t>The action-matrix spec is green and blocking in CI. Evidence: the spec + CI run.</t>
        </is>
      </c>
      <c r="L80" s="7" t="n">
        <v>4.8</v>
      </c>
      <c r="M80" s="5" t="inlineStr">
        <is>
          <t>CARRIED</t>
        </is>
      </c>
      <c r="N80" s="4" t="inlineStr">
        <is>
          <t>M2-48</t>
        </is>
      </c>
    </row>
    <row r="81">
      <c r="A81" s="3" t="inlineStr">
        <is>
          <t>M2-51</t>
        </is>
      </c>
      <c r="B81" s="4" t="inlineStr">
        <is>
          <t>M2</t>
        </is>
      </c>
      <c r="C81" s="4" t="inlineStr">
        <is>
          <t>M2-P6</t>
        </is>
      </c>
      <c r="D81" s="5" t="inlineStr">
        <is>
          <t>G9 Product hardening</t>
        </is>
      </c>
      <c r="E81" s="5" t="inlineStr">
        <is>
          <t>Strengthened NO-DEMO-CODE CI gate (the guard that failed, twice)</t>
        </is>
      </c>
      <c r="F81" s="8" t="inlineStr">
        <is>
          <t>Very important</t>
        </is>
      </c>
      <c r="G81" s="4" t="inlineStr">
        <is>
          <t>test</t>
        </is>
      </c>
      <c r="H81" s="4" t="inlineStr">
        <is>
          <t>Testing</t>
        </is>
      </c>
      <c r="I81" s="4" t="inlineStr">
        <is>
          <t>E2E</t>
        </is>
      </c>
      <c r="J81" s="5" t="inlineStr">
        <is>
          <t>SHARPENED with two live misses. (1) noHardcodedDemoPages passed while DemoAnalyticsWorkflowTruthPage was rendered as a TAB inside AdminPageContent - the gate only checked React ROUTES, not composition. (2) A dead /suggestions route rendering DemoAnalyticsSuggestionsPage sat unreachable behind a duplicate path declaration for weeks. The gate must catch a demo-named export imported by ANY non-demo module, and must flag duplicate route path declarations.</t>
        </is>
      </c>
      <c r="K81" s="5" t="inlineStr">
        <is>
          <t>A fixture that composes a Demo* component into a product page FAILS the gate; a duplicate &lt;Route path="/x"&gt; declaration FAILS the gate; both fixtures are committed.</t>
        </is>
      </c>
      <c r="L81" s="7" t="n">
        <v>4</v>
      </c>
      <c r="M81" s="5" t="inlineStr">
        <is>
          <t>MODIFIED</t>
        </is>
      </c>
      <c r="N81" s="4" t="inlineStr">
        <is>
          <t>M2-49</t>
        </is>
      </c>
    </row>
    <row r="82">
      <c r="A82" s="3" t="inlineStr">
        <is>
          <t>M2-52</t>
        </is>
      </c>
      <c r="B82" s="4" t="inlineStr">
        <is>
          <t>M2</t>
        </is>
      </c>
      <c r="C82" s="4" t="inlineStr">
        <is>
          <t>M2-P6</t>
        </is>
      </c>
      <c r="D82" s="5" t="inlineStr">
        <is>
          <t>G9 Product hardening</t>
        </is>
      </c>
      <c r="E82" s="5" t="inlineStr">
        <is>
          <t>Real lead-capture backend (form-&gt;DB row+email via relay, e2e asserts)</t>
        </is>
      </c>
      <c r="F82" s="9" t="inlineStr">
        <is>
          <t>Important</t>
        </is>
      </c>
      <c r="G82" s="4" t="inlineStr">
        <is>
          <t>feature</t>
        </is>
      </c>
      <c r="H82" s="4" t="inlineStr">
        <is>
          <t>Testing</t>
        </is>
      </c>
      <c r="I82" s="4" t="inlineStr">
        <is>
          <t>E2E</t>
        </is>
      </c>
      <c r="J82" s="5" t="inlineStr">
        <is>
          <t>Harden the CTA path into a real backend: validated submit -&gt; stored row + email (via the authenticated relay, never the VPS IP), with an e2e test asserting the row. Builds on the V1 lead-email code.</t>
        </is>
      </c>
      <c r="K82" s="5" t="inlineStr">
        <is>
          <t>e2e asserts a lead row + email on submit through the relay. Evidence: the test.</t>
        </is>
      </c>
      <c r="L82" s="7" t="n">
        <v>4.2</v>
      </c>
      <c r="M82" s="5" t="inlineStr">
        <is>
          <t>CARRIED</t>
        </is>
      </c>
      <c r="N82" s="4" t="inlineStr">
        <is>
          <t>M2-50</t>
        </is>
      </c>
    </row>
    <row r="83">
      <c r="A83" s="3" t="inlineStr">
        <is>
          <t>M2-53</t>
        </is>
      </c>
      <c r="B83" s="4" t="inlineStr">
        <is>
          <t>M2</t>
        </is>
      </c>
      <c r="C83" s="4" t="inlineStr">
        <is>
          <t>M2-P7</t>
        </is>
      </c>
      <c r="D83" s="5" t="inlineStr">
        <is>
          <t>G8 Hardening &amp; rename</t>
        </is>
      </c>
      <c r="E83" s="5" t="inlineStr">
        <is>
          <t>Identity &amp; Topology v5: correct the environment record</t>
        </is>
      </c>
      <c r="F83" s="9" t="inlineStr">
        <is>
          <t>Important</t>
        </is>
      </c>
      <c r="G83" s="4" t="inlineStr">
        <is>
          <t>docs</t>
        </is>
      </c>
      <c r="H83" s="4" t="inlineStr">
        <is>
          <t>Docs</t>
        </is>
      </c>
      <c r="I83" s="4" t="inlineStr">
        <is>
          <t>Architecture</t>
        </is>
      </c>
      <c r="J83" s="5" t="inlineStr">
        <is>
          <t>NEW. Three documented facts are wrong and each cost debugging time on 09-Jul: (1) ppiq_app Postgres is a NATIVE Windows service (postgresql-x64-16) listening on 5432 - the ppiq-app-db container has been Exited(255) for weeks while everything worked; (2) DB credentials are ppiq_dev / ppiq_dev_local_only, not ppiq; (3) psql -h localhost resolves to ::1 and fails pg_hba - use 127.0.0.1. Also record that ppiq.ps1 down removes the SOURCE containers, and that reset-app-database.ps1 drops the 38,345-row plant dataset.</t>
        </is>
      </c>
      <c r="K83" s="5" t="inlineStr">
        <is>
          <t>Identity &amp; Topology v5 committed; a new developer can reach ppiq_app from a clean checkout using only the doc.</t>
        </is>
      </c>
      <c r="L83" s="7" t="n">
        <v>1</v>
      </c>
      <c r="M83" s="5" t="inlineStr">
        <is>
          <t>NEW</t>
        </is>
      </c>
      <c r="N83" s="4" t="inlineStr">
        <is>
          <t>M2-51</t>
        </is>
      </c>
    </row>
    <row r="84">
      <c r="A84" s="3" t="inlineStr">
        <is>
          <t>M2-54</t>
        </is>
      </c>
      <c r="B84" s="4" t="inlineStr">
        <is>
          <t>M2</t>
        </is>
      </c>
      <c r="C84" s="4" t="inlineStr">
        <is>
          <t>M2-P1</t>
        </is>
      </c>
      <c r="D84" s="5" t="inlineStr">
        <is>
          <t>G1 Server &amp; delivery</t>
        </is>
      </c>
      <c r="E84" s="5" t="inlineStr">
        <is>
          <t>Hetzner permanent fix: Caddyfile real file mount, website in compose, deploy gate + smoke</t>
        </is>
      </c>
      <c r="F84" s="6" t="inlineStr">
        <is>
          <t>Critical</t>
        </is>
      </c>
      <c r="G84" s="4" t="inlineStr">
        <is>
          <t>bug fix</t>
        </is>
      </c>
      <c r="H84" s="4" t="inlineStr">
        <is>
          <t>Infra</t>
        </is>
      </c>
      <c r="I84" s="4" t="inlineStr">
        <is>
          <t>Server</t>
        </is>
      </c>
      <c r="J84" s="5" t="inlineStr">
        <is>
          <t>Replace runtime alias: fix bind-mount (file not dir), add plantprocess-website service to compose on the edge network, Jenkins deploys all three surfaces, post-deploy smoke incl. HMI-marker NEGATIVE check on website domain.</t>
        </is>
      </c>
      <c r="K84" s="5" t="inlineStr">
        <is>
          <t>Reboot-safe green deploy from git push; website domain never serves HMI markers.</t>
        </is>
      </c>
      <c r="L84" s="7" t="n">
        <v>8</v>
      </c>
      <c r="M84" s="5" t="inlineStr">
        <is>
          <t>CARRIED</t>
        </is>
      </c>
      <c r="N84" s="4" t="inlineStr">
        <is>
          <t>M2-52</t>
        </is>
      </c>
    </row>
    <row r="85">
      <c r="A85" s="3" t="inlineStr">
        <is>
          <t>M2-55</t>
        </is>
      </c>
      <c r="B85" s="4" t="inlineStr">
        <is>
          <t>M2</t>
        </is>
      </c>
      <c r="C85" s="4" t="inlineStr">
        <is>
          <t>M2-P2</t>
        </is>
      </c>
      <c r="D85" s="5" t="inlineStr">
        <is>
          <t>G6 License &amp; roles</t>
        </is>
      </c>
      <c r="E85" s="5" t="inlineStr">
        <is>
          <t>Remote license control: server-issued tokens, revocation/heartbeat, in-app license admin (&gt;75%)</t>
        </is>
      </c>
      <c r="F85" s="6" t="inlineStr">
        <is>
          <t>Critical</t>
        </is>
      </c>
      <c r="G85" s="4" t="inlineStr">
        <is>
          <t>new feature</t>
        </is>
      </c>
      <c r="H85" s="4" t="inlineStr">
        <is>
          <t>Infra</t>
        </is>
      </c>
      <c r="I85" s="4" t="inlineStr">
        <is>
          <t>Server</t>
        </is>
      </c>
      <c r="J85" s="5" t="inlineStr">
        <is>
          <t>Extend Ed25519 licensing: license server endpoint (issue/renew/revoke), app heartbeat with grace period + offline allowance, in-app license admin page (view plan/expiry/entitlements, apply new token), tamper log to audit_log. Role model: finalize RBAC matrix (sysadmin/tenant-admin/engineer/viewer) across all admin surfaces. Target &gt;75% in M2; remainder (SCIM/SSO edge, delegated admin) M3.</t>
        </is>
      </c>
      <c r="K85" s="5" t="inlineStr">
        <is>
          <t>Revoking on the license server flips the app to locked state within one heartbeat; roles enforce on every /admin endpoint (integration tests per role).</t>
        </is>
      </c>
      <c r="L85" s="7" t="n">
        <v>16</v>
      </c>
      <c r="M85" s="5" t="inlineStr">
        <is>
          <t>CARRIED</t>
        </is>
      </c>
      <c r="N85" s="4" t="inlineStr">
        <is>
          <t>M2-53</t>
        </is>
      </c>
    </row>
    <row r="86">
      <c r="A86" s="3" t="inlineStr">
        <is>
          <t>M2-56</t>
        </is>
      </c>
      <c r="B86" s="4" t="inlineStr">
        <is>
          <t>M2</t>
        </is>
      </c>
      <c r="C86" s="4" t="inlineStr">
        <is>
          <t>M2-P3</t>
        </is>
      </c>
      <c r="D86" s="5" t="inlineStr">
        <is>
          <t>G8 Hardening &amp; rename</t>
        </is>
      </c>
      <c r="E86" s="5" t="inlineStr">
        <is>
          <t>Phase gate: clean checkout boots seeded + green twice + SERVER deploy green</t>
        </is>
      </c>
      <c r="F86" s="6" t="inlineStr">
        <is>
          <t>Critical</t>
        </is>
      </c>
      <c r="G86" s="4" t="inlineStr">
        <is>
          <t>verification</t>
        </is>
      </c>
      <c r="H86" s="4" t="inlineStr">
        <is>
          <t>Infra</t>
        </is>
      </c>
      <c r="I86" s="4" t="inlineStr">
        <is>
          <t>Server</t>
        </is>
      </c>
      <c r="J86" s="5" t="inlineStr">
        <is>
          <t>End-of-phase regression. LOCAL: clean clone -&gt; `ppiq.ps1 reset &amp;&amp; ppiq.ps1 demo` boots the seeded stack; `ppiq.ps1 test` green twice; genealogy walk resolves; capture the `seed exit=0` line. SERVER: confirm `git push` -&gt; Jenkins `plantprocessiq-deploy` reaches PIPELINE GREEN (already true at build #96; the gate is to keep it green after the foundation/test work lands). Seals V1-P1 as deployable in</t>
        </is>
      </c>
      <c r="K86" s="5" t="inlineStr">
        <is>
          <t>All LOCAL gates pass on a fresh machine, scripted, with seed exit=0; the SERVER pipeline is green on the same commit. Evidence: one combined run log + the green Jenkins build.</t>
        </is>
      </c>
      <c r="L86" s="7" t="n">
        <v>2.8</v>
      </c>
      <c r="M86" s="5" t="inlineStr">
        <is>
          <t>CARRIED</t>
        </is>
      </c>
      <c r="N86" s="4" t="inlineStr">
        <is>
          <t>M2-54</t>
        </is>
      </c>
    </row>
    <row r="87">
      <c r="A87" s="3" t="inlineStr">
        <is>
          <t>M2-57</t>
        </is>
      </c>
      <c r="B87" s="4" t="inlineStr">
        <is>
          <t>M2</t>
        </is>
      </c>
      <c r="C87" s="4" t="inlineStr">
        <is>
          <t>M2-P4</t>
        </is>
      </c>
      <c r="D87" s="5" t="inlineStr">
        <is>
          <t>G9 Product hardening</t>
        </is>
      </c>
      <c r="E87" s="5" t="inlineStr">
        <is>
          <t>Commit LOCAL test config — fix the clean-machine failures (server suite already green)</t>
        </is>
      </c>
      <c r="F87" s="6" t="inlineStr">
        <is>
          <t>Critical</t>
        </is>
      </c>
      <c r="G87" s="4" t="inlineStr">
        <is>
          <t>hardening</t>
        </is>
      </c>
      <c r="H87" s="4" t="inlineStr">
        <is>
          <t>Infra</t>
        </is>
      </c>
      <c r="I87" s="4" t="inlineStr">
        <is>
          <t>Server</t>
        </is>
      </c>
      <c r="J87" s="5" t="inlineStr">
        <is>
          <t xml:space="preserve">The SERVER pipeline already runs the backend (~567) and frontend (202) suites green. The remaining gap is the LOCAL clean-machine path: author committed appsettings.Test.json (DSN + 64-char signing key + a real admin + PPIQ_FORCE_EXTERNAL_API_TEST_HOST) and wire Do-Test so WebApplicationFactory boots the host and finds the DB without per-run env vars. This was the documented cause of the local 83 </t>
        </is>
      </c>
      <c r="K87" s="5" t="inlineStr">
        <is>
          <t>`ppiq.ps1 test` exits 0 TWICE on a fresh LOCAL checkout (no hand-set vars). Evidence: two consecutive green run logs.</t>
        </is>
      </c>
      <c r="L87" s="7" t="n">
        <v>3</v>
      </c>
      <c r="M87" s="5" t="inlineStr">
        <is>
          <t>CARRIED</t>
        </is>
      </c>
      <c r="N87" s="4" t="inlineStr">
        <is>
          <t>M2-55</t>
        </is>
      </c>
    </row>
    <row r="88">
      <c r="A88" s="3" t="inlineStr">
        <is>
          <t>M2-58</t>
        </is>
      </c>
      <c r="B88" s="4" t="inlineStr">
        <is>
          <t>M2</t>
        </is>
      </c>
      <c r="C88" s="4" t="inlineStr">
        <is>
          <t>M2-P4</t>
        </is>
      </c>
      <c r="D88" s="5" t="inlineStr">
        <is>
          <t>G9 Product hardening</t>
        </is>
      </c>
      <c r="E88" s="5" t="inlineStr">
        <is>
          <t>App boots under Playwright (no early webServer exit)</t>
        </is>
      </c>
      <c r="F88" s="6" t="inlineStr">
        <is>
          <t>Critical</t>
        </is>
      </c>
      <c r="G88" s="4" t="inlineStr">
        <is>
          <t>hardening</t>
        </is>
      </c>
      <c r="H88" s="4" t="inlineStr">
        <is>
          <t>Infra</t>
        </is>
      </c>
      <c r="I88" s="4" t="inlineStr">
        <is>
          <t>Server</t>
        </is>
      </c>
      <c r="J88" s="5" t="inlineStr">
        <is>
          <t>Fix playwright config so webServer starts the API+web and waits for :5063/:5173 instead of exiting early; run at least one real spec against the booted app.</t>
        </is>
      </c>
      <c r="K88" s="5" t="inlineStr">
        <is>
          <t>`ppiq.ps1 e2e` starts the app and runs &gt;=1 spec to green. Evidence: Playwright HTML report.</t>
        </is>
      </c>
      <c r="L88" s="7" t="n">
        <v>2.2</v>
      </c>
      <c r="M88" s="5" t="inlineStr">
        <is>
          <t>CARRIED</t>
        </is>
      </c>
      <c r="N88" s="4" t="inlineStr">
        <is>
          <t>M2-56</t>
        </is>
      </c>
    </row>
    <row r="89">
      <c r="A89" s="3" t="inlineStr">
        <is>
          <t>M2-59</t>
        </is>
      </c>
      <c r="B89" s="4" t="inlineStr">
        <is>
          <t>M2</t>
        </is>
      </c>
      <c r="C89" s="4" t="inlineStr">
        <is>
          <t>M2-P3</t>
        </is>
      </c>
      <c r="D89" s="5" t="inlineStr">
        <is>
          <t>G7 Values justified</t>
        </is>
      </c>
      <c r="E89" s="5" t="inlineStr">
        <is>
          <t>Persistent infra Caddyfile + correct route targets  [NEW 26-Jun]</t>
        </is>
      </c>
      <c r="F89" s="8" t="inlineStr">
        <is>
          <t>Very important</t>
        </is>
      </c>
      <c r="G89" s="4" t="inlineStr">
        <is>
          <t>hardening</t>
        </is>
      </c>
      <c r="H89" s="4" t="inlineStr">
        <is>
          <t>Infra</t>
        </is>
      </c>
      <c r="I89" s="4" t="inlineStr">
        <is>
          <t>Server</t>
        </is>
      </c>
      <c r="J89" s="5" t="inlineStr">
        <is>
          <t>NEW from the 26-Jun session. The live infra Caddyfile is an orphaned inode (host bind source deleted) with STALE targets (plantprocess-app-web, plantprocess-website) that don't match the real containers (plantprocess-web, plantprocess-api); app.* still serves 200 but it's fragile and hot-reloads are non-persistent. Re-establish a persistent host-bound Caddyfile in the infra project with CORRECT ta</t>
        </is>
      </c>
      <c r="K89" s="5" t="inlineStr">
        <is>
          <t>After recreating ppiq-caddy, app.*/api.*/website.* all route to the correct live containers; the Caddyfile is host-bound and survives a restart. Evidence: docker exec cat + curl matrix.</t>
        </is>
      </c>
      <c r="L89" s="7" t="n">
        <v>6</v>
      </c>
      <c r="M89" s="5" t="inlineStr">
        <is>
          <t>CARRIED</t>
        </is>
      </c>
      <c r="N89" s="4" t="inlineStr">
        <is>
          <t>M2-57</t>
        </is>
      </c>
    </row>
    <row r="90">
      <c r="A90" s="3" t="inlineStr">
        <is>
          <t>M2-60</t>
        </is>
      </c>
      <c r="B90" s="4" t="inlineStr">
        <is>
          <t>M2</t>
        </is>
      </c>
      <c r="C90" s="4" t="inlineStr">
        <is>
          <t>M2-P6</t>
        </is>
      </c>
      <c r="D90" s="5" t="inlineStr">
        <is>
          <t>G9 Product hardening</t>
        </is>
      </c>
      <c r="E90" s="5" t="inlineStr">
        <is>
          <t>Cut the 2-3 minute demo video (blueprint delivered)</t>
        </is>
      </c>
      <c r="F90" s="9" t="inlineStr">
        <is>
          <t>Important</t>
        </is>
      </c>
      <c r="G90" s="4" t="inlineStr">
        <is>
          <t>content</t>
        </is>
      </c>
      <c r="H90" s="4" t="inlineStr">
        <is>
          <t>Docs/Demo</t>
        </is>
      </c>
      <c r="I90" s="4" t="inlineStr">
        <is>
          <t>Rehearsal</t>
        </is>
      </c>
      <c r="J90" s="5" t="inlineStr">
        <is>
          <t>Per the handover the cut sheet PlantProcess-IQ-Demo-Reel-CutSheet.md is DELIVERED (2:45 EDL + VO + export + 'no dead click' QC). The MP4 render is yours and depends on the V1-13 recording.</t>
        </is>
      </c>
      <c r="K90" s="5" t="inlineStr">
        <is>
          <t>2-3 min MP4; no dead click. Evidence: the file.</t>
        </is>
      </c>
      <c r="L90" s="7" t="n">
        <v>3</v>
      </c>
      <c r="M90" s="5" t="inlineStr">
        <is>
          <t>CARRIED</t>
        </is>
      </c>
      <c r="N90" s="4" t="inlineStr">
        <is>
          <t>M2-58</t>
        </is>
      </c>
    </row>
    <row r="91">
      <c r="A91" s="3" t="inlineStr">
        <is>
          <t>M3-01</t>
        </is>
      </c>
      <c r="B91" s="4" t="inlineStr">
        <is>
          <t>M3</t>
        </is>
      </c>
      <c r="C91" s="4" t="inlineStr">
        <is>
          <t>M3-P1</t>
        </is>
      </c>
      <c r="D91" s="5" t="inlineStr">
        <is>
          <t>G1 Multi-industry</t>
        </is>
      </c>
      <c r="E91" s="5" t="inlineStr">
        <is>
          <t>Second+third industry seed fleets: automotive + food/beverage emulated sources</t>
        </is>
      </c>
      <c r="F91" s="6" t="inlineStr">
        <is>
          <t>Critical</t>
        </is>
      </c>
      <c r="G91" s="4" t="inlineStr">
        <is>
          <t>new feature</t>
        </is>
      </c>
      <c r="H91" s="4" t="inlineStr">
        <is>
          <t>Backend</t>
        </is>
      </c>
      <c r="I91" s="4" t="inlineStr">
        <is>
          <t>Core</t>
        </is>
      </c>
      <c r="J91" s="5" t="inlineStr">
        <is>
          <t>Two new emulated source fleets (compose projects) mirroring the meltshop pattern: automotive (stations, torque/leak tests, defects) and food/beverage (batches, CIP cycles, micro results). Same generic journey must ingest both with ZERO app changes - this is the generic-product proof for 20-plant sales. Seed generators produce realistic distributions with constructed known drivers for the V2-34 har</t>
        </is>
      </c>
      <c r="K91" s="5" t="inlineStr">
        <is>
          <t>Full journey (connect-&gt;import-&gt;map-&gt;canonical-&gt;correlate) passes on each fleet using only configuration; scorecard A6 evidence updated.</t>
        </is>
      </c>
      <c r="L91" s="7" t="n">
        <v>20</v>
      </c>
      <c r="M91" s="5" t="inlineStr">
        <is>
          <t>CARRIED</t>
        </is>
      </c>
      <c r="N91" s="4" t="inlineStr">
        <is>
          <t>M3-01</t>
        </is>
      </c>
    </row>
    <row r="92">
      <c r="A92" s="3" t="inlineStr">
        <is>
          <t>M3-02</t>
        </is>
      </c>
      <c r="B92" s="4" t="inlineStr">
        <is>
          <t>M3</t>
        </is>
      </c>
      <c r="C92" s="4" t="inlineStr">
        <is>
          <t>M3-P2</t>
        </is>
      </c>
      <c r="D92" s="5" t="inlineStr">
        <is>
          <t>G2 Bug-burn</t>
        </is>
      </c>
      <c r="E92" s="5" t="inlineStr">
        <is>
          <t>V2 bug-burn: zero known Criticals, regression suite extended per fix</t>
        </is>
      </c>
      <c r="F92" s="6" t="inlineStr">
        <is>
          <t>Critical</t>
        </is>
      </c>
      <c r="G92" s="4" t="inlineStr">
        <is>
          <t>bug fix</t>
        </is>
      </c>
      <c r="H92" s="4" t="inlineStr">
        <is>
          <t>Backend</t>
        </is>
      </c>
      <c r="I92" s="4" t="inlineStr">
        <is>
          <t>Core</t>
        </is>
      </c>
      <c r="J92" s="5" t="inlineStr">
        <is>
          <t>Triage every defect raised during M2 + customer evaluation feedback; each fix lands with a regression test (Autonomous Generic-Fix Mandate: root cause only, no masking).</t>
        </is>
      </c>
      <c r="K92" s="5" t="inlineStr">
        <is>
          <t>Defect register shows zero open Critical/Very-Important; suites green including all new regressions.</t>
        </is>
      </c>
      <c r="L92" s="7" t="n">
        <v>16</v>
      </c>
      <c r="M92" s="5" t="inlineStr">
        <is>
          <t>CARRIED</t>
        </is>
      </c>
      <c r="N92" s="4" t="inlineStr">
        <is>
          <t>M3-02</t>
        </is>
      </c>
    </row>
    <row r="93">
      <c r="A93" s="3" t="inlineStr">
        <is>
          <t>M3-03</t>
        </is>
      </c>
      <c r="B93" s="4" t="inlineStr">
        <is>
          <t>M3</t>
        </is>
      </c>
      <c r="C93" s="4" t="inlineStr">
        <is>
          <t>M3-P2</t>
        </is>
      </c>
      <c r="D93" s="5" t="inlineStr">
        <is>
          <t>G4 License 100%</t>
        </is>
      </c>
      <c r="E93" s="5" t="inlineStr">
        <is>
          <t>License + roles to 100%: SSO/SCIM path, delegated tenant admin, commissioning runbook</t>
        </is>
      </c>
      <c r="F93" s="6" t="inlineStr">
        <is>
          <t>Critical</t>
        </is>
      </c>
      <c r="G93" s="4" t="inlineStr">
        <is>
          <t>new feature</t>
        </is>
      </c>
      <c r="H93" s="4" t="inlineStr">
        <is>
          <t>Backend</t>
        </is>
      </c>
      <c r="I93" s="4" t="inlineStr">
        <is>
          <t>Licensing</t>
        </is>
      </c>
      <c r="J93" s="5" t="inlineStr">
        <is>
          <t>Complete the &gt;75% M2 scope: enterprise SSO/SCIM happy path, delegated tenant-admin management, license commissioning runbook for a new plant (Admin Golden Rule codified), penetration checklist on auth surfaces.</t>
        </is>
      </c>
      <c r="K93" s="5" t="inlineStr">
        <is>
          <t>New-plant commissioning executed start-to-finish from the runbook by someone other than the author; role matrix tests 100%.</t>
        </is>
      </c>
      <c r="L93" s="7" t="n">
        <v>12</v>
      </c>
      <c r="M93" s="5" t="inlineStr">
        <is>
          <t>CARRIED</t>
        </is>
      </c>
      <c r="N93" s="4" t="inlineStr">
        <is>
          <t>M3-03</t>
        </is>
      </c>
    </row>
    <row r="94">
      <c r="A94" s="3" t="inlineStr">
        <is>
          <t>M3-04</t>
        </is>
      </c>
      <c r="B94" s="4" t="inlineStr">
        <is>
          <t>M3</t>
        </is>
      </c>
      <c r="C94" s="4" t="inlineStr">
        <is>
          <t>M3-P1</t>
        </is>
      </c>
      <c r="D94" s="5" t="inlineStr">
        <is>
          <t>G1 Multi-industry</t>
        </is>
      </c>
      <c r="E94" s="5" t="inlineStr">
        <is>
          <t>Second-industry demo dataset (paper/board line) + mapping templates</t>
        </is>
      </c>
      <c r="F94" s="8" t="inlineStr">
        <is>
          <t>Very important</t>
        </is>
      </c>
      <c r="G94" s="4" t="inlineStr">
        <is>
          <t>feature</t>
        </is>
      </c>
      <c r="H94" s="4" t="inlineStr">
        <is>
          <t>Backend</t>
        </is>
      </c>
      <c r="I94" s="4" t="inlineStr">
        <is>
          <t>Core</t>
        </is>
      </c>
      <c r="J94" s="5" t="inlineStr">
        <is>
          <t>A paper/board demo dataset (sources + fixtures) and mapping templates, built entirely through the HMI like the steel demo - proving the generic mandate the docs claim.</t>
        </is>
      </c>
      <c r="K94" s="5" t="inlineStr">
        <is>
          <t>The paper demo builds from empty via HMI; a genealogy thread resolves on its keys. Evidence: clip.</t>
        </is>
      </c>
      <c r="L94" s="7" t="n">
        <v>14</v>
      </c>
      <c r="M94" s="5" t="inlineStr">
        <is>
          <t>CARRIED</t>
        </is>
      </c>
      <c r="N94" s="4" t="inlineStr">
        <is>
          <t>M3-04</t>
        </is>
      </c>
    </row>
    <row r="95">
      <c r="A95" s="3" t="inlineStr">
        <is>
          <t>M3-05</t>
        </is>
      </c>
      <c r="B95" s="4" t="inlineStr">
        <is>
          <t>M3</t>
        </is>
      </c>
      <c r="C95" s="4" t="inlineStr">
        <is>
          <t>M3-P1</t>
        </is>
      </c>
      <c r="D95" s="5" t="inlineStr">
        <is>
          <t>G1 Multi-industry</t>
        </is>
      </c>
      <c r="E95" s="5" t="inlineStr">
        <is>
          <t>Third-industry demo dataset (food &amp; beverage) + tier configs</t>
        </is>
      </c>
      <c r="F95" s="8" t="inlineStr">
        <is>
          <t>Very important</t>
        </is>
      </c>
      <c r="G95" s="4" t="inlineStr">
        <is>
          <t>feature</t>
        </is>
      </c>
      <c r="H95" s="4" t="inlineStr">
        <is>
          <t>Backend</t>
        </is>
      </c>
      <c r="I95" s="4" t="inlineStr">
        <is>
          <t>Core</t>
        </is>
      </c>
      <c r="J95" s="5" t="inlineStr">
        <is>
          <t>A food &amp; beverage demo dataset + per-tier configs, same HMI-only build.</t>
        </is>
      </c>
      <c r="K95" s="5" t="inlineStr">
        <is>
          <t>The F&amp;B demo builds from empty via HMI. Evidence: clip.</t>
        </is>
      </c>
      <c r="L95" s="7" t="n">
        <v>12</v>
      </c>
      <c r="M95" s="5" t="inlineStr">
        <is>
          <t>CARRIED</t>
        </is>
      </c>
      <c r="N95" s="4" t="inlineStr">
        <is>
          <t>M3-05</t>
        </is>
      </c>
    </row>
    <row r="96">
      <c r="A96" s="3" t="inlineStr">
        <is>
          <t>M3-06</t>
        </is>
      </c>
      <c r="B96" s="4" t="inlineStr">
        <is>
          <t>M3</t>
        </is>
      </c>
      <c r="C96" s="4" t="inlineStr">
        <is>
          <t>M3-P1</t>
        </is>
      </c>
      <c r="D96" s="5" t="inlineStr">
        <is>
          <t>G1 Multi-industry</t>
        </is>
      </c>
      <c r="E96" s="5" t="inlineStr">
        <is>
          <t>One-command customer-install package (per-industry overlay)</t>
        </is>
      </c>
      <c r="F96" s="8" t="inlineStr">
        <is>
          <t>Very important</t>
        </is>
      </c>
      <c r="G96" s="4" t="inlineStr">
        <is>
          <t>feature</t>
        </is>
      </c>
      <c r="H96" s="4" t="inlineStr">
        <is>
          <t>Backend</t>
        </is>
      </c>
      <c r="I96" s="4" t="inlineStr">
        <is>
          <t>Core</t>
        </is>
      </c>
      <c r="J96" s="5" t="inlineStr">
        <is>
          <t>Package a one-command customer install with a per-industry overlay, building on the green server pipeline + PPIQ_SITE_HOST host-derivation.</t>
        </is>
      </c>
      <c r="K96" s="5" t="inlineStr">
        <is>
          <t>A fresh host installs + reaches login with one command + an overlay. Evidence: clean-install log.</t>
        </is>
      </c>
      <c r="L96" s="7" t="n">
        <v>8</v>
      </c>
      <c r="M96" s="5" t="inlineStr">
        <is>
          <t>CARRIED</t>
        </is>
      </c>
      <c r="N96" s="4" t="inlineStr">
        <is>
          <t>M3-06</t>
        </is>
      </c>
    </row>
    <row r="97">
      <c r="A97" s="3" t="inlineStr">
        <is>
          <t>M3-07</t>
        </is>
      </c>
      <c r="B97" s="4" t="inlineStr">
        <is>
          <t>M3</t>
        </is>
      </c>
      <c r="C97" s="4" t="inlineStr">
        <is>
          <t>M3-P2</t>
        </is>
      </c>
      <c r="D97" s="5" t="inlineStr">
        <is>
          <t>G4 License 100%</t>
        </is>
      </c>
      <c r="E97" s="5" t="inlineStr">
        <is>
          <t>Enforce RLS on core tables (decide tenant_id; non-superuser app role)</t>
        </is>
      </c>
      <c r="F97" s="8" t="inlineStr">
        <is>
          <t>Very important</t>
        </is>
      </c>
      <c r="G97" s="4" t="inlineStr">
        <is>
          <t>feature</t>
        </is>
      </c>
      <c r="H97" s="4" t="inlineStr">
        <is>
          <t>Backend</t>
        </is>
      </c>
      <c r="I97" s="4" t="inlineStr">
        <is>
          <t>Core</t>
        </is>
      </c>
      <c r="J97" s="5" t="inlineStr">
        <is>
          <t>Decide deliberately (RLS-scoped core vs single-tenant-per-deploy). If multi-tenant: add tenant_id to the core EF entities model-first, run the app under a non-superuser role so RLS is actually enforced (locally ppiq_dev is bypassrls), and prove cross-tenant 403/empty. NOTE: ppiq_ed25519_license_public_keys already demonstrates forced RLS - use it as the pattern.</t>
        </is>
      </c>
      <c r="K97" s="5" t="inlineStr">
        <is>
          <t>Cross-tenant access returns 403/empty live under a non-superuser role. Evidence: RlsTenantIsolation test green + clip.</t>
        </is>
      </c>
      <c r="L97" s="7" t="n">
        <v>6</v>
      </c>
      <c r="M97" s="5" t="inlineStr">
        <is>
          <t>CARRIED</t>
        </is>
      </c>
      <c r="N97" s="4" t="inlineStr">
        <is>
          <t>M3-07</t>
        </is>
      </c>
    </row>
    <row r="98">
      <c r="A98" s="3" t="inlineStr">
        <is>
          <t>M3-08</t>
        </is>
      </c>
      <c r="B98" s="4" t="inlineStr">
        <is>
          <t>M3</t>
        </is>
      </c>
      <c r="C98" s="4" t="inlineStr">
        <is>
          <t>M3-P2</t>
        </is>
      </c>
      <c r="D98" s="5" t="inlineStr">
        <is>
          <t>G4 License 100%</t>
        </is>
      </c>
      <c r="E98" s="5" t="inlineStr">
        <is>
          <t>Wire SourceLoadProtectionPolicy into the live query path</t>
        </is>
      </c>
      <c r="F98" s="8" t="inlineStr">
        <is>
          <t>Very important</t>
        </is>
      </c>
      <c r="G98" s="4" t="inlineStr">
        <is>
          <t>feature</t>
        </is>
      </c>
      <c r="H98" s="4" t="inlineStr">
        <is>
          <t>Backend</t>
        </is>
      </c>
      <c r="I98" s="4" t="inlineStr">
        <is>
          <t>Core</t>
        </is>
      </c>
      <c r="J98" s="5" t="inlineStr">
        <is>
          <t>Enforce the per-source impact budget on a real query path so an over-budget query is throttled, not just policy-defined.</t>
        </is>
      </c>
      <c r="K98" s="5" t="inlineStr">
        <is>
          <t>An over-budget query is throttled live. Evidence: test + clip.</t>
        </is>
      </c>
      <c r="L98" s="7" t="n">
        <v>3.5</v>
      </c>
      <c r="M98" s="5" t="inlineStr">
        <is>
          <t>CARRIED</t>
        </is>
      </c>
      <c r="N98" s="4" t="inlineStr">
        <is>
          <t>M3-08</t>
        </is>
      </c>
    </row>
    <row r="99">
      <c r="A99" s="3" t="inlineStr">
        <is>
          <t>M3-09</t>
        </is>
      </c>
      <c r="B99" s="4" t="inlineStr">
        <is>
          <t>M3</t>
        </is>
      </c>
      <c r="C99" s="4" t="inlineStr">
        <is>
          <t>M3-P3</t>
        </is>
      </c>
      <c r="D99" s="5" t="inlineStr">
        <is>
          <t>G4 License 100%</t>
        </is>
      </c>
      <c r="E99" s="5" t="inlineStr">
        <is>
          <t>Nightly full-suite CI job (cron)</t>
        </is>
      </c>
      <c r="F99" s="8" t="inlineStr">
        <is>
          <t>Very important</t>
        </is>
      </c>
      <c r="G99" s="4" t="inlineStr">
        <is>
          <t>feature</t>
        </is>
      </c>
      <c r="H99" s="4" t="inlineStr">
        <is>
          <t>Backend</t>
        </is>
      </c>
      <c r="I99" s="4" t="inlineStr">
        <is>
          <t>Core</t>
        </is>
      </c>
      <c r="J99" s="5" t="inlineStr">
        <is>
          <t>The deploy pipeline runs on push; add a scheduled nightly job that runs the FULL backend+frontend+e2e suite and reports flaky tests, independent of pushes.</t>
        </is>
      </c>
      <c r="K99" s="5" t="inlineStr">
        <is>
          <t>A nightly run exists and reports pass-rate + flaky count. Evidence: the cron job + a nightly report.</t>
        </is>
      </c>
      <c r="L99" s="7" t="n">
        <v>4.2</v>
      </c>
      <c r="M99" s="5" t="inlineStr">
        <is>
          <t>CARRIED</t>
        </is>
      </c>
      <c r="N99" s="4" t="inlineStr">
        <is>
          <t>M3-09</t>
        </is>
      </c>
    </row>
    <row r="100">
      <c r="A100" s="3" t="inlineStr">
        <is>
          <t>M3-10</t>
        </is>
      </c>
      <c r="B100" s="4" t="inlineStr">
        <is>
          <t>M3</t>
        </is>
      </c>
      <c r="C100" s="4" t="inlineStr">
        <is>
          <t>M3-P3</t>
        </is>
      </c>
      <c r="D100" s="5" t="inlineStr">
        <is>
          <t>G4 License 100%</t>
        </is>
      </c>
      <c r="E100" s="5" t="inlineStr">
        <is>
          <t>Generic canonical-mapping template library + no-code visual-mapper polish</t>
        </is>
      </c>
      <c r="F100" s="8" t="inlineStr">
        <is>
          <t>Very important</t>
        </is>
      </c>
      <c r="G100" s="4" t="inlineStr">
        <is>
          <t>feature</t>
        </is>
      </c>
      <c r="H100" s="4" t="inlineStr">
        <is>
          <t>Backend</t>
        </is>
      </c>
      <c r="I100" s="4" t="inlineStr">
        <is>
          <t>Stage2-Projector</t>
        </is>
      </c>
      <c r="J100" s="5" t="inlineStr">
        <is>
          <t>A reusable template library + polish on the no-code visual mapper so the common case needs zero SQL across industries.</t>
        </is>
      </c>
      <c r="K100" s="5" t="inlineStr">
        <is>
          <t>A non-developer maps a new source via templates + drag-drop, no SQL. Evidence: clip.</t>
        </is>
      </c>
      <c r="L100" s="7" t="n">
        <v>12</v>
      </c>
      <c r="M100" s="5" t="inlineStr">
        <is>
          <t>CARRIED</t>
        </is>
      </c>
      <c r="N100" s="4" t="inlineStr">
        <is>
          <t>M3-10</t>
        </is>
      </c>
    </row>
    <row r="101">
      <c r="A101" s="3" t="inlineStr">
        <is>
          <t>M3-11</t>
        </is>
      </c>
      <c r="B101" s="4" t="inlineStr">
        <is>
          <t>M3</t>
        </is>
      </c>
      <c r="C101" s="4" t="inlineStr">
        <is>
          <t>M3-P3</t>
        </is>
      </c>
      <c r="D101" s="5" t="inlineStr">
        <is>
          <t>G4 License 100%</t>
        </is>
      </c>
      <c r="E101" s="5" t="inlineStr">
        <is>
          <t>Historian connector to GA (behavioural-tested)</t>
        </is>
      </c>
      <c r="F101" s="8" t="inlineStr">
        <is>
          <t>Very important</t>
        </is>
      </c>
      <c r="G101" s="4" t="inlineStr">
        <is>
          <t>feature</t>
        </is>
      </c>
      <c r="H101" s="4" t="inlineStr">
        <is>
          <t>Backend</t>
        </is>
      </c>
      <c r="I101" s="4" t="inlineStr">
        <is>
          <t>Core</t>
        </is>
      </c>
      <c r="J101" s="5" t="inlineStr">
        <is>
          <t>Take one historian connector (e.g. OPC-UA) to GA with behavioural certification tests.</t>
        </is>
      </c>
      <c r="K101" s="5" t="inlineStr">
        <is>
          <t>The historian connector passes behavioural certification + links live. Evidence: test + clip.</t>
        </is>
      </c>
      <c r="L101" s="7" t="n">
        <v>12</v>
      </c>
      <c r="M101" s="5" t="inlineStr">
        <is>
          <t>CARRIED</t>
        </is>
      </c>
      <c r="N101" s="4" t="inlineStr">
        <is>
          <t>M3-11</t>
        </is>
      </c>
    </row>
    <row r="102">
      <c r="A102" s="3" t="inlineStr">
        <is>
          <t>M3-12</t>
        </is>
      </c>
      <c r="B102" s="4" t="inlineStr">
        <is>
          <t>M3</t>
        </is>
      </c>
      <c r="C102" s="4" t="inlineStr">
        <is>
          <t>M3-P3</t>
        </is>
      </c>
      <c r="D102" s="5" t="inlineStr">
        <is>
          <t>G4 License 100%</t>
        </is>
      </c>
      <c r="E102" s="5" t="inlineStr">
        <is>
          <t>Multi-tenancy: tenant column on material_units + tenant-parameterized canonical layer + RLS</t>
        </is>
      </c>
      <c r="F102" s="8" t="inlineStr">
        <is>
          <t>Very important</t>
        </is>
      </c>
      <c r="G102" s="4" t="inlineStr">
        <is>
          <t>hardening</t>
        </is>
      </c>
      <c r="H102" s="4" t="inlineStr">
        <is>
          <t>Backend</t>
        </is>
      </c>
      <c r="I102" s="4" t="inlineStr">
        <is>
          <t>Stage2-Projector</t>
        </is>
      </c>
      <c r="J102" s="5" t="inlineStr">
        <is>
          <t>CODE-VALIDATED GAP: the canonical layer is single-tenant-baked. canonical_material_units / canonical_genealogy_edges (310_mapping_genealogy_foundation.sql) are VIEWS with a HARDCODED tenant_id constant; material_units has NO tenant column; two tests only agree because a migration forces the constant to be the earliest ppiq_tenants row. Add a real tenant_id to material_units (+ backfill migration),</t>
        </is>
      </c>
      <c r="K102" s="5" t="inlineStr">
        <is>
          <t>A cross-tenant query returns 0 rows / 403 (RLS proven by test); the canonical views resolve the SESSION tenant, not a constant; the genealogy tests pass without relying on 'earliest row == constant'; a second seeded tenant's data is fully isolated end-to-end.</t>
        </is>
      </c>
      <c r="L102" s="7" t="n">
        <v>16</v>
      </c>
      <c r="M102" s="5" t="inlineStr">
        <is>
          <t>CARRIED</t>
        </is>
      </c>
      <c r="N102" s="4" t="inlineStr">
        <is>
          <t>M3-12</t>
        </is>
      </c>
    </row>
    <row r="103">
      <c r="A103" s="3" t="inlineStr">
        <is>
          <t>M3-13</t>
        </is>
      </c>
      <c r="B103" s="4" t="inlineStr">
        <is>
          <t>M3</t>
        </is>
      </c>
      <c r="C103" s="4" t="inlineStr">
        <is>
          <t>M3-P2</t>
        </is>
      </c>
      <c r="D103" s="5" t="inlineStr">
        <is>
          <t>G1 Multi-industry</t>
        </is>
      </c>
      <c r="E103" s="5" t="inlineStr">
        <is>
          <t>Demo dataset polish + per-industry scripted reset</t>
        </is>
      </c>
      <c r="F103" s="9" t="inlineStr">
        <is>
          <t>Important</t>
        </is>
      </c>
      <c r="G103" s="4" t="inlineStr">
        <is>
          <t>feature</t>
        </is>
      </c>
      <c r="H103" s="4" t="inlineStr">
        <is>
          <t>Backend</t>
        </is>
      </c>
      <c r="I103" s="4" t="inlineStr">
        <is>
          <t>Core</t>
        </is>
      </c>
      <c r="J103" s="5" t="inlineStr">
        <is>
          <t>Polish each demo dataset and add a one-command scripted reset per industry so any prospect sees the same clean story.</t>
        </is>
      </c>
      <c r="K103" s="5" t="inlineStr">
        <is>
          <t>One command resets+reseeds an industry to a known state. Evidence: run log.</t>
        </is>
      </c>
      <c r="L103" s="7" t="n">
        <v>2.4</v>
      </c>
      <c r="M103" s="5" t="inlineStr">
        <is>
          <t>CARRIED</t>
        </is>
      </c>
      <c r="N103" s="4" t="inlineStr">
        <is>
          <t>M3-13</t>
        </is>
      </c>
    </row>
    <row r="104">
      <c r="A104" s="3" t="inlineStr">
        <is>
          <t>M3-14</t>
        </is>
      </c>
      <c r="B104" s="4" t="inlineStr">
        <is>
          <t>M3</t>
        </is>
      </c>
      <c r="C104" s="4" t="inlineStr">
        <is>
          <t>M3-P3</t>
        </is>
      </c>
      <c r="D104" s="5" t="inlineStr">
        <is>
          <t>G4 License 100%</t>
        </is>
      </c>
      <c r="E104" s="5" t="inlineStr">
        <is>
          <t>Encryption at rest: staging/canonical/credential-vault</t>
        </is>
      </c>
      <c r="F104" s="9" t="inlineStr">
        <is>
          <t>Important</t>
        </is>
      </c>
      <c r="G104" s="4" t="inlineStr">
        <is>
          <t>hardening</t>
        </is>
      </c>
      <c r="H104" s="4" t="inlineStr">
        <is>
          <t>Backend</t>
        </is>
      </c>
      <c r="I104" s="4" t="inlineStr">
        <is>
          <t>Stage2-Projector</t>
        </is>
      </c>
      <c r="J104" s="5" t="inlineStr">
        <is>
          <t>Encryption at rest for the app DB and the source-credential vault; document the key management. The 04-security doc already states this as a design property - implement + verify it.</t>
        </is>
      </c>
      <c r="K104" s="5" t="inlineStr">
        <is>
          <t>At-rest encryption is on and verified; credentials are encrypted in the vault. Evidence: config + verification.</t>
        </is>
      </c>
      <c r="L104" s="7" t="n">
        <v>6</v>
      </c>
      <c r="M104" s="5" t="inlineStr">
        <is>
          <t>CARRIED</t>
        </is>
      </c>
      <c r="N104" s="4" t="inlineStr">
        <is>
          <t>M3-14</t>
        </is>
      </c>
    </row>
    <row r="105">
      <c r="A105" s="3" t="inlineStr">
        <is>
          <t>M3-15</t>
        </is>
      </c>
      <c r="B105" s="4" t="inlineStr">
        <is>
          <t>M3</t>
        </is>
      </c>
      <c r="C105" s="4" t="inlineStr">
        <is>
          <t>M3-P4</t>
        </is>
      </c>
      <c r="D105" s="5" t="inlineStr">
        <is>
          <t>G4 License 100%</t>
        </is>
      </c>
      <c r="E105" s="5" t="inlineStr">
        <is>
          <t>WCAG 2.1 AA light theme + contrast audit</t>
        </is>
      </c>
      <c r="F105" s="9" t="inlineStr">
        <is>
          <t>Important</t>
        </is>
      </c>
      <c r="G105" s="4" t="inlineStr">
        <is>
          <t>feature</t>
        </is>
      </c>
      <c r="H105" s="4" t="inlineStr">
        <is>
          <t>Backend</t>
        </is>
      </c>
      <c r="I105" s="4" t="inlineStr">
        <is>
          <t>Core</t>
        </is>
      </c>
      <c r="J105" s="5" t="inlineStr">
        <is>
          <t>A WCAG 2.1 AA light theme + contrast audit across the app.</t>
        </is>
      </c>
      <c r="K105" s="5" t="inlineStr">
        <is>
          <t>An automated WCAG audit passes AA; the light theme renders. Evidence: audit report.</t>
        </is>
      </c>
      <c r="L105" s="7" t="n">
        <v>10</v>
      </c>
      <c r="M105" s="5" t="inlineStr">
        <is>
          <t>CARRIED</t>
        </is>
      </c>
      <c r="N105" s="4" t="inlineStr">
        <is>
          <t>M3-15</t>
        </is>
      </c>
    </row>
    <row r="106">
      <c r="A106" s="3" t="inlineStr">
        <is>
          <t>M3-16</t>
        </is>
      </c>
      <c r="B106" s="4" t="inlineStr">
        <is>
          <t>M3</t>
        </is>
      </c>
      <c r="C106" s="4" t="inlineStr">
        <is>
          <t>M3-P4</t>
        </is>
      </c>
      <c r="D106" s="5" t="inlineStr">
        <is>
          <t>G4 License 100%</t>
        </is>
      </c>
      <c r="E106" s="5" t="inlineStr">
        <is>
          <t>Arabic RTL + locale/units/timezone switching per user</t>
        </is>
      </c>
      <c r="F106" s="9" t="inlineStr">
        <is>
          <t>Important</t>
        </is>
      </c>
      <c r="G106" s="4" t="inlineStr">
        <is>
          <t>feature</t>
        </is>
      </c>
      <c r="H106" s="4" t="inlineStr">
        <is>
          <t>Backend</t>
        </is>
      </c>
      <c r="I106" s="4" t="inlineStr">
        <is>
          <t>Core</t>
        </is>
      </c>
      <c r="J106" s="5" t="inlineStr">
        <is>
          <t>Arabic RTL layout + per-user locale/units/timezone switching.</t>
        </is>
      </c>
      <c r="K106" s="5" t="inlineStr">
        <is>
          <t>Switching to Arabic re-flows RTL correctly; units/timezone follow the user. Evidence: clip.</t>
        </is>
      </c>
      <c r="L106" s="7" t="n">
        <v>8</v>
      </c>
      <c r="M106" s="5" t="inlineStr">
        <is>
          <t>CARRIED</t>
        </is>
      </c>
      <c r="N106" s="4" t="inlineStr">
        <is>
          <t>M3-16</t>
        </is>
      </c>
    </row>
    <row r="107">
      <c r="A107" s="3" t="inlineStr">
        <is>
          <t>M3-17</t>
        </is>
      </c>
      <c r="B107" s="4" t="inlineStr">
        <is>
          <t>M3</t>
        </is>
      </c>
      <c r="C107" s="4" t="inlineStr">
        <is>
          <t>M3-P4</t>
        </is>
      </c>
      <c r="D107" s="5" t="inlineStr">
        <is>
          <t>G4 License 100%</t>
        </is>
      </c>
      <c r="E107" s="5" t="inlineStr">
        <is>
          <t>i18n as backend resource files (.resx/JSON)</t>
        </is>
      </c>
      <c r="F107" s="9" t="inlineStr">
        <is>
          <t>Important</t>
        </is>
      </c>
      <c r="G107" s="4" t="inlineStr">
        <is>
          <t>refactor</t>
        </is>
      </c>
      <c r="H107" s="4" t="inlineStr">
        <is>
          <t>Backend</t>
        </is>
      </c>
      <c r="I107" s="4" t="inlineStr">
        <is>
          <t>Core</t>
        </is>
      </c>
      <c r="J107" s="5" t="inlineStr">
        <is>
          <t>RESCOPED. The mojibake half is DONE (09-Jul): 119 corrupted lines repaired across 13 frontend files via a guarded cp1252 round-trip, and a noMojibake vitest gate now prevents regression. Six backend .cs files remain and are handled by their own M1 task. What remains here is the original intent: move backend user-facing strings into resource files so they can be translated alongside the frontend locales.</t>
        </is>
      </c>
      <c r="K107" s="5" t="inlineStr">
        <is>
          <t>Backend user-facing strings resolve from resource files; a DE resource file changes an API-sourced label without a code change; no English string comparison remains in a gate or a policy.</t>
        </is>
      </c>
      <c r="L107" s="7" t="n">
        <v>5</v>
      </c>
      <c r="M107" s="5" t="inlineStr">
        <is>
          <t>MODIFIED</t>
        </is>
      </c>
      <c r="N107" s="4" t="inlineStr">
        <is>
          <t>M3-17</t>
        </is>
      </c>
    </row>
    <row r="108">
      <c r="A108" s="3" t="inlineStr">
        <is>
          <t>M3-18</t>
        </is>
      </c>
      <c r="B108" s="4" t="inlineStr">
        <is>
          <t>M3</t>
        </is>
      </c>
      <c r="C108" s="4" t="inlineStr">
        <is>
          <t>M3-P4</t>
        </is>
      </c>
      <c r="D108" s="5" t="inlineStr">
        <is>
          <t>G4 License 100%</t>
        </is>
      </c>
      <c r="E108" s="5" t="inlineStr">
        <is>
          <t>Soak job (24-72h synthetic load on demo path)</t>
        </is>
      </c>
      <c r="F108" s="9" t="inlineStr">
        <is>
          <t>Important</t>
        </is>
      </c>
      <c r="G108" s="4" t="inlineStr">
        <is>
          <t>feature</t>
        </is>
      </c>
      <c r="H108" s="4" t="inlineStr">
        <is>
          <t>Backend</t>
        </is>
      </c>
      <c r="I108" s="4" t="inlineStr">
        <is>
          <t>Core</t>
        </is>
      </c>
      <c r="J108" s="5" t="inlineStr">
        <is>
          <t>A 24-72h synthetic-load soak against the demo path to catch leaks/instability.</t>
        </is>
      </c>
      <c r="K108" s="5" t="inlineStr">
        <is>
          <t>A 24h+ soak completes with no leak/regression. Evidence: soak report.</t>
        </is>
      </c>
      <c r="L108" s="7" t="n">
        <v>8</v>
      </c>
      <c r="M108" s="5" t="inlineStr">
        <is>
          <t>CARRIED</t>
        </is>
      </c>
      <c r="N108" s="4" t="inlineStr">
        <is>
          <t>M3-18</t>
        </is>
      </c>
    </row>
    <row r="109">
      <c r="A109" s="3" t="inlineStr">
        <is>
          <t>M3-19</t>
        </is>
      </c>
      <c r="B109" s="4" t="inlineStr">
        <is>
          <t>M3</t>
        </is>
      </c>
      <c r="C109" s="4" t="inlineStr">
        <is>
          <t>M3-P4</t>
        </is>
      </c>
      <c r="D109" s="5" t="inlineStr">
        <is>
          <t>G4 License 100%</t>
        </is>
      </c>
      <c r="E109" s="5" t="inlineStr">
        <is>
          <t>Real-domain TLS cutover (off sslip.io)  [NEW 26-Jun]</t>
        </is>
      </c>
      <c r="F109" s="9" t="inlineStr">
        <is>
          <t>Important</t>
        </is>
      </c>
      <c r="G109" s="4" t="inlineStr">
        <is>
          <t>hardening</t>
        </is>
      </c>
      <c r="H109" s="4" t="inlineStr">
        <is>
          <t>Backend</t>
        </is>
      </c>
      <c r="I109" s="4" t="inlineStr">
        <is>
          <t>Core</t>
        </is>
      </c>
      <c r="J109" s="5" t="inlineStr">
        <is>
          <t>NEW from the 26-Jun session. The demo runs on 178.105.152.180.sslip.io with host-derived URLs (PPIQ_SITE_HOST). To move to a real domain: set PPIQ_SITE_HOST=&lt;domain&gt;, CADDY_AUTO_HTTPS=on, ACME_EMAIL=&lt;addr&gt;, point real DNS, and let Caddy issue real certs - all URLs + CORS follow automatically.</t>
        </is>
      </c>
      <c r="K109" s="5" t="inlineStr">
        <is>
          <t>The app/api/website serve on the real domain over valid public TLS; CORS allows the real origins. Evidence: cert + curl.</t>
        </is>
      </c>
      <c r="L109" s="7" t="n">
        <v>6</v>
      </c>
      <c r="M109" s="5" t="inlineStr">
        <is>
          <t>CARRIED</t>
        </is>
      </c>
      <c r="N109" s="4" t="inlineStr">
        <is>
          <t>M3-19</t>
        </is>
      </c>
    </row>
    <row r="110">
      <c r="A110" s="3" t="inlineStr">
        <is>
          <t>M3-20</t>
        </is>
      </c>
      <c r="B110" s="4" t="inlineStr">
        <is>
          <t>M3</t>
        </is>
      </c>
      <c r="C110" s="4" t="inlineStr">
        <is>
          <t>M3-P4</t>
        </is>
      </c>
      <c r="D110" s="5" t="inlineStr">
        <is>
          <t>G4 License 100%</t>
        </is>
      </c>
      <c r="E110" s="5" t="inlineStr">
        <is>
          <t>i18n-harden the honesty + grounding gates (structural, not English keywords)</t>
        </is>
      </c>
      <c r="F110" s="9" t="inlineStr">
        <is>
          <t>Important</t>
        </is>
      </c>
      <c r="G110" s="4" t="inlineStr">
        <is>
          <t>hardening</t>
        </is>
      </c>
      <c r="H110" s="4" t="inlineStr">
        <is>
          <t>Backend</t>
        </is>
      </c>
      <c r="I110" s="4" t="inlineStr">
        <is>
          <t>Core</t>
        </is>
      </c>
      <c r="J110" s="5" t="inlineStr">
        <is>
          <t xml:space="preserve">CODE-VALIDATED GAP (violates the EN/DE/AR i18n doctrine): ValueHonestyLint forbids English literals ('guaranteed','will save') and GroundingService's forbidden-phrase list is English-only ('root cause','is caused by'...). The number-block is structural (good) but the phrase-block breaks in German/Arabic. Replace English-keyword phrase detection with structural/typed signals: a causation-assertion </t>
        </is>
      </c>
      <c r="K110" s="5" t="inlineStr">
        <is>
          <t>The honesty/causation gate blocks the same intent in German and Arabic test fixtures (not just English); no raw English-keyword regex remains in the value/grounding path; the existing English tests still pass.</t>
        </is>
      </c>
      <c r="L110" s="7" t="n">
        <v>8</v>
      </c>
      <c r="M110" s="5" t="inlineStr">
        <is>
          <t>CARRIED</t>
        </is>
      </c>
      <c r="N110" s="4" t="inlineStr">
        <is>
          <t>M3-20</t>
        </is>
      </c>
    </row>
    <row r="111">
      <c r="A111" s="3" t="inlineStr">
        <is>
          <t>M3-21</t>
        </is>
      </c>
      <c r="B111" s="4" t="inlineStr">
        <is>
          <t>M3</t>
        </is>
      </c>
      <c r="C111" s="4" t="inlineStr">
        <is>
          <t>M3-P4</t>
        </is>
      </c>
      <c r="D111" s="5" t="inlineStr">
        <is>
          <t>G4 License 100%</t>
        </is>
      </c>
      <c r="E111" s="5" t="inlineStr">
        <is>
          <t>Move Jenkins to a separate Docker network from the app project  [NEW 26-Jun]</t>
        </is>
      </c>
      <c r="F111" s="9" t="inlineStr">
        <is>
          <t>Normal</t>
        </is>
      </c>
      <c r="G111" s="4" t="inlineStr">
        <is>
          <t>hardening</t>
        </is>
      </c>
      <c r="H111" s="4" t="inlineStr">
        <is>
          <t>Backend</t>
        </is>
      </c>
      <c r="I111" s="4" t="inlineStr">
        <is>
          <t>Core</t>
        </is>
      </c>
      <c r="J111" s="5" t="inlineStr">
        <is>
          <t>NEW from the 26-Jun session. Today ppiq-jenkins and the app project share network reachability via the edge alias. Move Jenkins onto its own network so the CI/CD agent is isolated from the app stack (defense in depth), keeping only the Caddy fronting it.</t>
        </is>
      </c>
      <c r="K111" s="5" t="inlineStr">
        <is>
          <t>Jenkins runs on a dedicated network; the app stack cannot reach Jenkins by name; deploys still work. Evidence: network inspect + a green deploy.</t>
        </is>
      </c>
      <c r="L111" s="7" t="n">
        <v>4</v>
      </c>
      <c r="M111" s="5" t="inlineStr">
        <is>
          <t>CARRIED</t>
        </is>
      </c>
      <c r="N111" s="4" t="inlineStr">
        <is>
          <t>M3-21</t>
        </is>
      </c>
    </row>
    <row r="112">
      <c r="A112" s="3" t="inlineStr">
        <is>
          <t>M3-22</t>
        </is>
      </c>
      <c r="B112" s="4" t="inlineStr">
        <is>
          <t>M3</t>
        </is>
      </c>
      <c r="C112" s="4" t="inlineStr">
        <is>
          <t>M3-P5</t>
        </is>
      </c>
      <c r="D112" s="5" t="inlineStr">
        <is>
          <t>G4 License 100%</t>
        </is>
      </c>
      <c r="E112" s="5" t="inlineStr">
        <is>
          <t>HasDefaultSchema -&gt; ppiq_meta/ppiq_plant for EF entities</t>
        </is>
      </c>
      <c r="F112" s="9" t="inlineStr">
        <is>
          <t>Normal</t>
        </is>
      </c>
      <c r="G112" s="4" t="inlineStr">
        <is>
          <t>refactor</t>
        </is>
      </c>
      <c r="H112" s="4" t="inlineStr">
        <is>
          <t>Backend</t>
        </is>
      </c>
      <c r="I112" s="4" t="inlineStr">
        <is>
          <t>Core</t>
        </is>
      </c>
      <c r="J112" s="5" t="inlineStr">
        <is>
          <t>Add HasDefaultSchema mapping so EF tables land in ppiq_meta/ppiq_plant instead of public, realising the app-metadata vs customer-data split.</t>
        </is>
      </c>
      <c r="K112" s="5" t="inlineStr">
        <is>
          <t>`\dt ppiq_meta.*` and `ppiq_plant.*` list the EF tables after migrate. Evidence: psql output.</t>
        </is>
      </c>
      <c r="L112" s="7" t="n">
        <v>4</v>
      </c>
      <c r="M112" s="5" t="inlineStr">
        <is>
          <t>CARRIED</t>
        </is>
      </c>
      <c r="N112" s="4" t="inlineStr">
        <is>
          <t>M3-22</t>
        </is>
      </c>
    </row>
    <row r="113">
      <c r="A113" s="3" t="inlineStr">
        <is>
          <t>M3-23</t>
        </is>
      </c>
      <c r="B113" s="4" t="inlineStr">
        <is>
          <t>M3</t>
        </is>
      </c>
      <c r="C113" s="4" t="inlineStr">
        <is>
          <t>M3-P5</t>
        </is>
      </c>
      <c r="D113" s="5" t="inlineStr">
        <is>
          <t>G4 License 100%</t>
        </is>
      </c>
      <c r="E113" s="5" t="inlineStr">
        <is>
          <t>Log retention, size caps &amp; optional forwarding (ops policy)</t>
        </is>
      </c>
      <c r="F113" s="9" t="inlineStr">
        <is>
          <t>Normal</t>
        </is>
      </c>
      <c r="G113" s="4" t="inlineStr">
        <is>
          <t>hardening</t>
        </is>
      </c>
      <c r="H113" s="4" t="inlineStr">
        <is>
          <t>Backend</t>
        </is>
      </c>
      <c r="I113" s="4" t="inlineStr">
        <is>
          <t>Observability</t>
        </is>
      </c>
      <c r="J113" s="5" t="inlineStr">
        <is>
          <t>Production logging policy: a retention window (delete/compress logs older than N days), per-file and total size caps, and an optional forward target (a file share or syslog/OTLP) - all env-configurable. Ensure logs never fill the VPS disk; ensure no secrets are written (scrub connection strings/tokens from log output).</t>
        </is>
      </c>
      <c r="K113" s="5" t="inlineStr">
        <is>
          <t>Logs older than the configured window are pruned/compressed; total log size stays under the cap under a soak; a secret deliberately passed through is NOT present in any log (scrub test); the forwarding target receives events when enabled.</t>
        </is>
      </c>
      <c r="L113" s="7" t="n">
        <v>4</v>
      </c>
      <c r="M113" s="5" t="inlineStr">
        <is>
          <t>CARRIED</t>
        </is>
      </c>
      <c r="N113" s="4" t="inlineStr">
        <is>
          <t>M3-23</t>
        </is>
      </c>
    </row>
    <row r="114">
      <c r="A114" s="3" t="inlineStr">
        <is>
          <t>M3-24</t>
        </is>
      </c>
      <c r="B114" s="4" t="inlineStr">
        <is>
          <t>M3</t>
        </is>
      </c>
      <c r="C114" s="4" t="inlineStr">
        <is>
          <t>M3-P5</t>
        </is>
      </c>
      <c r="D114" s="5" t="inlineStr">
        <is>
          <t>G4 License 100%</t>
        </is>
      </c>
      <c r="E114" s="5" t="inlineStr">
        <is>
          <t>QES product page to depth</t>
        </is>
      </c>
      <c r="F114" s="9" t="inlineStr">
        <is>
          <t>Optional</t>
        </is>
      </c>
      <c r="G114" s="4" t="inlineStr">
        <is>
          <t>content</t>
        </is>
      </c>
      <c r="H114" s="4" t="inlineStr">
        <is>
          <t>Backend</t>
        </is>
      </c>
      <c r="I114" s="4" t="inlineStr">
        <is>
          <t>Core</t>
        </is>
      </c>
      <c r="J114" s="5" t="inlineStr">
        <is>
          <t>Take the QES product page to full depth (was 'coming soon').</t>
        </is>
      </c>
      <c r="K114" s="5" t="inlineStr">
        <is>
          <t>The QES page is complete; honesty-lint green. Evidence: the page.</t>
        </is>
      </c>
      <c r="L114" s="7" t="n">
        <v>7</v>
      </c>
      <c r="M114" s="5" t="inlineStr">
        <is>
          <t>CARRIED</t>
        </is>
      </c>
      <c r="N114" s="4" t="inlineStr">
        <is>
          <t>M3-24</t>
        </is>
      </c>
    </row>
    <row r="115">
      <c r="A115" s="3" t="inlineStr">
        <is>
          <t>M3-25</t>
        </is>
      </c>
      <c r="B115" s="4" t="inlineStr">
        <is>
          <t>M3</t>
        </is>
      </c>
      <c r="C115" s="4" t="inlineStr">
        <is>
          <t>M3-P5</t>
        </is>
      </c>
      <c r="D115" s="5" t="inlineStr">
        <is>
          <t>G4 License 100%</t>
        </is>
      </c>
      <c r="E115" s="5" t="inlineStr">
        <is>
          <t>Energy Management product page to depth</t>
        </is>
      </c>
      <c r="F115" s="9" t="inlineStr">
        <is>
          <t>Optional</t>
        </is>
      </c>
      <c r="G115" s="4" t="inlineStr">
        <is>
          <t>content</t>
        </is>
      </c>
      <c r="H115" s="4" t="inlineStr">
        <is>
          <t>Backend</t>
        </is>
      </c>
      <c r="I115" s="4" t="inlineStr">
        <is>
          <t>Core</t>
        </is>
      </c>
      <c r="J115" s="5" t="inlineStr">
        <is>
          <t>Take the Energy Management product page to full depth.</t>
        </is>
      </c>
      <c r="K115" s="5" t="inlineStr">
        <is>
          <t>The Energy page is complete; honesty-lint green. Evidence: the page.</t>
        </is>
      </c>
      <c r="L115" s="7" t="n">
        <v>7</v>
      </c>
      <c r="M115" s="5" t="inlineStr">
        <is>
          <t>CARRIED</t>
        </is>
      </c>
      <c r="N115" s="4" t="inlineStr">
        <is>
          <t>M3-25</t>
        </is>
      </c>
    </row>
    <row r="116">
      <c r="A116" s="3" t="inlineStr">
        <is>
          <t>M3-26</t>
        </is>
      </c>
      <c r="B116" s="4" t="inlineStr">
        <is>
          <t>M3</t>
        </is>
      </c>
      <c r="C116" s="4" t="inlineStr">
        <is>
          <t>M3-P2</t>
        </is>
      </c>
      <c r="D116" s="5" t="inlineStr">
        <is>
          <t>G3 Engine hardening</t>
        </is>
      </c>
      <c r="E116" s="5" t="inlineStr">
        <is>
          <t>Engine/ML/AI hardening: performance envelopes, drift detection, chatbot eval expansion</t>
        </is>
      </c>
      <c r="F116" s="8" t="inlineStr">
        <is>
          <t>Very important</t>
        </is>
      </c>
      <c r="G116" s="4" t="inlineStr">
        <is>
          <t>modification</t>
        </is>
      </c>
      <c r="H116" s="4" t="inlineStr">
        <is>
          <t>Frontend+Backend</t>
        </is>
      </c>
      <c r="I116" s="4" t="inlineStr">
        <is>
          <t>Assistant</t>
        </is>
      </c>
      <c r="J116" s="5" t="inlineStr">
        <is>
          <t>Perf: correlation on 1M-row canonical within budget (document envelope); numeric stability under resampling; suggestion drift monitor; chatbot eval set grown to 100 questions incl. adversarial uncited-number probes.</t>
        </is>
      </c>
      <c r="K116" s="5" t="inlineStr">
        <is>
          <t>Perf budget doc with measured numbers; drift alarm demonstrably fires on injected drift; eval 100/100.</t>
        </is>
      </c>
      <c r="L116" s="7" t="n">
        <v>14</v>
      </c>
      <c r="M116" s="5" t="inlineStr">
        <is>
          <t>CARRIED</t>
        </is>
      </c>
      <c r="N116" s="4" t="inlineStr">
        <is>
          <t>M3-26</t>
        </is>
      </c>
    </row>
    <row r="117">
      <c r="A117" s="3" t="inlineStr">
        <is>
          <t>M3-27</t>
        </is>
      </c>
      <c r="B117" s="4" t="inlineStr">
        <is>
          <t>M3</t>
        </is>
      </c>
      <c r="C117" s="4" t="inlineStr">
        <is>
          <t>M3-P5</t>
        </is>
      </c>
      <c r="D117" s="5" t="inlineStr">
        <is>
          <t>G4 License 100%</t>
        </is>
      </c>
      <c r="E117" s="5" t="inlineStr">
        <is>
          <t>Health dashboard (suite/e2e pass-rate, flaky count)</t>
        </is>
      </c>
      <c r="F117" s="9" t="inlineStr">
        <is>
          <t>Normal</t>
        </is>
      </c>
      <c r="G117" s="4" t="inlineStr">
        <is>
          <t>feature</t>
        </is>
      </c>
      <c r="H117" s="4" t="inlineStr">
        <is>
          <t>Testing</t>
        </is>
      </c>
      <c r="I117" s="4" t="inlineStr">
        <is>
          <t>E2E</t>
        </is>
      </c>
      <c r="J117" s="5" t="inlineStr">
        <is>
          <t>A small dashboard surfacing suite pass-rate, e2e pass-rate, and flaky-test count over time.</t>
        </is>
      </c>
      <c r="K117" s="5" t="inlineStr">
        <is>
          <t>The dashboard renders current + trend from real runs. Evidence: the page.</t>
        </is>
      </c>
      <c r="L117" s="7" t="n">
        <v>5</v>
      </c>
      <c r="M117" s="5" t="inlineStr">
        <is>
          <t>CARRIED</t>
        </is>
      </c>
      <c r="N117" s="4" t="inlineStr">
        <is>
          <t>M3-27</t>
        </is>
      </c>
    </row>
    <row r="118">
      <c r="A118" s="3" t="inlineStr">
        <is>
          <t>M4-01</t>
        </is>
      </c>
      <c r="B118" s="4" t="inlineStr">
        <is>
          <t>M4</t>
        </is>
      </c>
      <c r="C118" s="4" t="inlineStr">
        <is>
          <t>M4-P1</t>
        </is>
      </c>
      <c r="D118" s="5" t="inlineStr">
        <is>
          <t>Contract-shaped</t>
        </is>
      </c>
      <c r="E118" s="5" t="inlineStr">
        <is>
          <t>Convert presentation customer into a signed paid pilot</t>
        </is>
      </c>
      <c r="F118" s="6" t="inlineStr">
        <is>
          <t>Critical</t>
        </is>
      </c>
      <c r="G118" s="4" t="inlineStr">
        <is>
          <t>content</t>
        </is>
      </c>
      <c r="H118" s="4" t="inlineStr">
        <is>
          <t>Backend</t>
        </is>
      </c>
      <c r="I118" s="4" t="inlineStr">
        <is>
          <t>Core</t>
        </is>
      </c>
      <c r="J118" s="5" t="inlineStr">
        <is>
          <t>Convert the presentation prospect into a signed paid pilot (using the delivered 08-pilot offer with your price filled).</t>
        </is>
      </c>
      <c r="K118" s="5" t="inlineStr">
        <is>
          <t>A signed pilot agreement exists. Evidence: the signature.</t>
        </is>
      </c>
      <c r="L118" s="7" t="n">
        <v>12</v>
      </c>
      <c r="M118" s="5" t="inlineStr">
        <is>
          <t>CARRIED</t>
        </is>
      </c>
      <c r="N118" s="4" t="inlineStr">
        <is>
          <t>M4-01</t>
        </is>
      </c>
    </row>
    <row r="119">
      <c r="A119" s="3" t="inlineStr">
        <is>
          <t>M4-02</t>
        </is>
      </c>
      <c r="B119" s="4" t="inlineStr">
        <is>
          <t>M4</t>
        </is>
      </c>
      <c r="C119" s="4" t="inlineStr">
        <is>
          <t>M4-P1</t>
        </is>
      </c>
      <c r="D119" s="5" t="inlineStr">
        <is>
          <t>Contract-shaped</t>
        </is>
      </c>
      <c r="E119" s="5" t="inlineStr">
        <is>
          <t>Prove ROI on the customer's real data (pilot deliverable)</t>
        </is>
      </c>
      <c r="F119" s="6" t="inlineStr">
        <is>
          <t>Critical</t>
        </is>
      </c>
      <c r="G119" s="4" t="inlineStr">
        <is>
          <t>feature</t>
        </is>
      </c>
      <c r="H119" s="4" t="inlineStr">
        <is>
          <t>Backend</t>
        </is>
      </c>
      <c r="I119" s="4" t="inlineStr">
        <is>
          <t>Core</t>
        </is>
      </c>
      <c r="J119" s="5" t="inlineStr">
        <is>
          <t>On the customer's real data, prove a bounded ROI - the pilot deliverable.</t>
        </is>
      </c>
      <c r="K119" s="5" t="inlineStr">
        <is>
          <t>A proven (not projected) euro figure on the customer's data. Evidence: the report.</t>
        </is>
      </c>
      <c r="L119" s="7" t="n">
        <v>8</v>
      </c>
      <c r="M119" s="5" t="inlineStr">
        <is>
          <t>CARRIED</t>
        </is>
      </c>
      <c r="N119" s="4" t="inlineStr">
        <is>
          <t>M4-02</t>
        </is>
      </c>
    </row>
    <row r="120">
      <c r="A120" s="3" t="inlineStr">
        <is>
          <t>M4-03</t>
        </is>
      </c>
      <c r="B120" s="4" t="inlineStr">
        <is>
          <t>M4</t>
        </is>
      </c>
      <c r="C120" s="4" t="inlineStr">
        <is>
          <t>M4-P1</t>
        </is>
      </c>
      <c r="D120" s="5" t="inlineStr">
        <is>
          <t>Contract-shaped</t>
        </is>
      </c>
      <c r="E120" s="5" t="inlineStr">
        <is>
          <t>Run the paid pilot</t>
        </is>
      </c>
      <c r="F120" s="6" t="inlineStr">
        <is>
          <t>Critical</t>
        </is>
      </c>
      <c r="G120" s="4" t="inlineStr">
        <is>
          <t>feature</t>
        </is>
      </c>
      <c r="H120" s="4" t="inlineStr">
        <is>
          <t>Backend</t>
        </is>
      </c>
      <c r="I120" s="4" t="inlineStr">
        <is>
          <t>Core</t>
        </is>
      </c>
      <c r="J120" s="5" t="inlineStr">
        <is>
          <t>Run the paid pilot end-to-end on the customer's environment.</t>
        </is>
      </c>
      <c r="K120" s="5" t="inlineStr">
        <is>
          <t>The pilot completes its scope. Evidence: the pilot log.</t>
        </is>
      </c>
      <c r="L120" s="7" t="n">
        <v>20</v>
      </c>
      <c r="M120" s="5" t="inlineStr">
        <is>
          <t>CARRIED</t>
        </is>
      </c>
      <c r="N120" s="4" t="inlineStr">
        <is>
          <t>M4-03</t>
        </is>
      </c>
    </row>
    <row r="121">
      <c r="A121" s="3" t="inlineStr">
        <is>
          <t>M4-04</t>
        </is>
      </c>
      <c r="B121" s="4" t="inlineStr">
        <is>
          <t>M4</t>
        </is>
      </c>
      <c r="C121" s="4" t="inlineStr">
        <is>
          <t>M4-P1</t>
        </is>
      </c>
      <c r="D121" s="5" t="inlineStr">
        <is>
          <t>Contract-shaped</t>
        </is>
      </c>
      <c r="E121" s="5" t="inlineStr">
        <is>
          <t>Convert pilot to a signed contract</t>
        </is>
      </c>
      <c r="F121" s="6" t="inlineStr">
        <is>
          <t>Critical</t>
        </is>
      </c>
      <c r="G121" s="4" t="inlineStr">
        <is>
          <t>content</t>
        </is>
      </c>
      <c r="H121" s="4" t="inlineStr">
        <is>
          <t>Backend</t>
        </is>
      </c>
      <c r="I121" s="4" t="inlineStr">
        <is>
          <t>Core</t>
        </is>
      </c>
      <c r="J121" s="5" t="inlineStr">
        <is>
          <t>Convert the completed pilot into a signed annual contract.</t>
        </is>
      </c>
      <c r="K121" s="5" t="inlineStr">
        <is>
          <t>A signed contract exists. Evidence: the signature.</t>
        </is>
      </c>
      <c r="L121" s="7" t="n">
        <v>12</v>
      </c>
      <c r="M121" s="5" t="inlineStr">
        <is>
          <t>CARRIED</t>
        </is>
      </c>
      <c r="N121" s="4" t="inlineStr">
        <is>
          <t>M4-04</t>
        </is>
      </c>
    </row>
    <row r="122">
      <c r="A122" s="3" t="inlineStr">
        <is>
          <t>M4-05</t>
        </is>
      </c>
      <c r="B122" s="4" t="inlineStr">
        <is>
          <t>M4</t>
        </is>
      </c>
      <c r="C122" s="4" t="inlineStr">
        <is>
          <t>M4-P2</t>
        </is>
      </c>
      <c r="D122" s="5" t="inlineStr">
        <is>
          <t>Contract-shaped</t>
        </is>
      </c>
      <c r="E122" s="5" t="inlineStr">
        <is>
          <t>Backup/restore drill (verified restore, recorded)</t>
        </is>
      </c>
      <c r="F122" s="8" t="inlineStr">
        <is>
          <t>Very important</t>
        </is>
      </c>
      <c r="G122" s="4" t="inlineStr">
        <is>
          <t>feature</t>
        </is>
      </c>
      <c r="H122" s="4" t="inlineStr">
        <is>
          <t>Backend</t>
        </is>
      </c>
      <c r="I122" s="4" t="inlineStr">
        <is>
          <t>Core</t>
        </is>
      </c>
      <c r="J122" s="5" t="inlineStr">
        <is>
          <t>Drill a full backup + verified restore of the app DB; record it. Closes the restore half of A4-9/G9 the deploy session did not.</t>
        </is>
      </c>
      <c r="K122" s="5" t="inlineStr">
        <is>
          <t>A restore from backup reaches a working login; recorded. Evidence: the recording.</t>
        </is>
      </c>
      <c r="L122" s="7" t="n">
        <v>8</v>
      </c>
      <c r="M122" s="5" t="inlineStr">
        <is>
          <t>CARRIED</t>
        </is>
      </c>
      <c r="N122" s="4" t="inlineStr">
        <is>
          <t>M4-05</t>
        </is>
      </c>
    </row>
    <row r="123">
      <c r="A123" s="3" t="inlineStr">
        <is>
          <t>M4-06</t>
        </is>
      </c>
      <c r="B123" s="4" t="inlineStr">
        <is>
          <t>M4</t>
        </is>
      </c>
      <c r="C123" s="4" t="inlineStr">
        <is>
          <t>M4-P2</t>
        </is>
      </c>
      <c r="D123" s="5" t="inlineStr">
        <is>
          <t>Contract-shaped</t>
        </is>
      </c>
      <c r="E123" s="5" t="inlineStr">
        <is>
          <t>Time-series store (hypertables, compression, retention)</t>
        </is>
      </c>
      <c r="F123" s="8" t="inlineStr">
        <is>
          <t>Very important</t>
        </is>
      </c>
      <c r="G123" s="4" t="inlineStr">
        <is>
          <t>feature</t>
        </is>
      </c>
      <c r="H123" s="4" t="inlineStr">
        <is>
          <t>Backend</t>
        </is>
      </c>
      <c r="I123" s="4" t="inlineStr">
        <is>
          <t>Core</t>
        </is>
      </c>
      <c r="J123" s="5" t="inlineStr">
        <is>
          <t>Introduce a time-series store (hypertables/columnar, compression, downsampling, retention) for high-frequency parameters.</t>
        </is>
      </c>
      <c r="K123" s="5" t="inlineStr">
        <is>
          <t>Parameter data lands in the time-series store with compression + retention. Evidence: schema + query.</t>
        </is>
      </c>
      <c r="L123" s="7" t="n">
        <v>12</v>
      </c>
      <c r="M123" s="5" t="inlineStr">
        <is>
          <t>CARRIED</t>
        </is>
      </c>
      <c r="N123" s="4" t="inlineStr">
        <is>
          <t>M4-06</t>
        </is>
      </c>
    </row>
    <row r="124">
      <c r="A124" s="3" t="inlineStr">
        <is>
          <t>M4-07</t>
        </is>
      </c>
      <c r="B124" s="4" t="inlineStr">
        <is>
          <t>M4</t>
        </is>
      </c>
      <c r="C124" s="4" t="inlineStr">
        <is>
          <t>M4-P2</t>
        </is>
      </c>
      <c r="D124" s="5" t="inlineStr">
        <is>
          <t>Contract-shaped</t>
        </is>
      </c>
      <c r="E124" s="5" t="inlineStr">
        <is>
          <t>Deployable OT-safe edge agent (one-way push)</t>
        </is>
      </c>
      <c r="F124" s="8" t="inlineStr">
        <is>
          <t>Very important</t>
        </is>
      </c>
      <c r="G124" s="4" t="inlineStr">
        <is>
          <t>feature</t>
        </is>
      </c>
      <c r="H124" s="4" t="inlineStr">
        <is>
          <t>Backend</t>
        </is>
      </c>
      <c r="I124" s="4" t="inlineStr">
        <is>
          <t>Core</t>
        </is>
      </c>
      <c r="J124" s="5" t="inlineStr">
        <is>
          <t>Build a deployable Edge Collector that pushes one-way from the DMZ; the core never connects into OT. The docs already describe this model.</t>
        </is>
      </c>
      <c r="K124" s="5" t="inlineStr">
        <is>
          <t>The agent pushes one-way; no inbound path to OT; load within budget. Evidence: deploy + capture.</t>
        </is>
      </c>
      <c r="L124" s="7" t="n">
        <v>12</v>
      </c>
      <c r="M124" s="5" t="inlineStr">
        <is>
          <t>CARRIED</t>
        </is>
      </c>
      <c r="N124" s="4" t="inlineStr">
        <is>
          <t>M4-07</t>
        </is>
      </c>
    </row>
    <row r="125">
      <c r="A125" s="3" t="inlineStr">
        <is>
          <t>M4-08</t>
        </is>
      </c>
      <c r="B125" s="4" t="inlineStr">
        <is>
          <t>M4</t>
        </is>
      </c>
      <c r="C125" s="4" t="inlineStr">
        <is>
          <t>M4-P2</t>
        </is>
      </c>
      <c r="D125" s="5" t="inlineStr">
        <is>
          <t>Contract-shaped</t>
        </is>
      </c>
      <c r="E125" s="5" t="inlineStr">
        <is>
          <t>Human-approved advisory write-back (business workflow, never OT)</t>
        </is>
      </c>
      <c r="F125" s="8" t="inlineStr">
        <is>
          <t>Very important</t>
        </is>
      </c>
      <c r="G125" s="4" t="inlineStr">
        <is>
          <t>feature</t>
        </is>
      </c>
      <c r="H125" s="4" t="inlineStr">
        <is>
          <t>Backend</t>
        </is>
      </c>
      <c r="I125" s="4" t="inlineStr">
        <is>
          <t>Core</t>
        </is>
      </c>
      <c r="J125" s="5" t="inlineStr">
        <is>
          <t>Advisory write-back into business workflow (case/action tracking) with human approval - never a setpoint/command to control.</t>
        </is>
      </c>
      <c r="K125" s="5" t="inlineStr">
        <is>
          <t>An approved advisory creates a tracked action; no OT write path exists. Evidence: workflow + code-search.</t>
        </is>
      </c>
      <c r="L125" s="7" t="n">
        <v>10</v>
      </c>
      <c r="M125" s="5" t="inlineStr">
        <is>
          <t>CARRIED</t>
        </is>
      </c>
      <c r="N125" s="4" t="inlineStr">
        <is>
          <t>M4-08</t>
        </is>
      </c>
    </row>
    <row r="126">
      <c r="A126" s="3" t="inlineStr">
        <is>
          <t>M4-09</t>
        </is>
      </c>
      <c r="B126" s="4" t="inlineStr">
        <is>
          <t>M4</t>
        </is>
      </c>
      <c r="C126" s="4" t="inlineStr">
        <is>
          <t>M4-P2</t>
        </is>
      </c>
      <c r="D126" s="5" t="inlineStr">
        <is>
          <t>Contract-shaped</t>
        </is>
      </c>
      <c r="E126" s="5" t="inlineStr">
        <is>
          <t>Load-test at reference-plant scale</t>
        </is>
      </c>
      <c r="F126" s="8" t="inlineStr">
        <is>
          <t>Very important</t>
        </is>
      </c>
      <c r="G126" s="4" t="inlineStr">
        <is>
          <t>feature</t>
        </is>
      </c>
      <c r="H126" s="4" t="inlineStr">
        <is>
          <t>Backend</t>
        </is>
      </c>
      <c r="I126" s="4" t="inlineStr">
        <is>
          <t>Core</t>
        </is>
      </c>
      <c r="J126" s="5" t="inlineStr">
        <is>
          <t>Load-test at realistic reference-plant scale (well beyond demo scale).</t>
        </is>
      </c>
      <c r="K126" s="5" t="inlineStr">
        <is>
          <t>The system holds at reference scale within budget. Evidence: load report.</t>
        </is>
      </c>
      <c r="L126" s="7" t="n">
        <v>8</v>
      </c>
      <c r="M126" s="5" t="inlineStr">
        <is>
          <t>CARRIED</t>
        </is>
      </c>
      <c r="N126" s="4" t="inlineStr">
        <is>
          <t>M4-09</t>
        </is>
      </c>
    </row>
    <row r="127">
      <c r="A127" s="3" t="inlineStr">
        <is>
          <t>M4-10</t>
        </is>
      </c>
      <c r="B127" s="4" t="inlineStr">
        <is>
          <t>M4</t>
        </is>
      </c>
      <c r="C127" s="4" t="inlineStr">
        <is>
          <t>M4-P3</t>
        </is>
      </c>
      <c r="D127" s="5" t="inlineStr">
        <is>
          <t>Contract-shaped</t>
        </is>
      </c>
      <c r="E127" s="5" t="inlineStr">
        <is>
          <t>Start SOC 2 Type II observation window</t>
        </is>
      </c>
      <c r="F127" s="8" t="inlineStr">
        <is>
          <t>Very important</t>
        </is>
      </c>
      <c r="G127" s="4" t="inlineStr">
        <is>
          <t>content</t>
        </is>
      </c>
      <c r="H127" s="4" t="inlineStr">
        <is>
          <t>Backend</t>
        </is>
      </c>
      <c r="I127" s="4" t="inlineStr">
        <is>
          <t>Core</t>
        </is>
      </c>
      <c r="J127" s="5" t="inlineStr">
        <is>
          <t>Begin the SOC 2 Type II observation window (controls evidenced over time).</t>
        </is>
      </c>
      <c r="K127" s="5" t="inlineStr">
        <is>
          <t>The observation window is open with controls evidenced. Evidence: the tracker.</t>
        </is>
      </c>
      <c r="L127" s="7" t="n">
        <v>10</v>
      </c>
      <c r="M127" s="5" t="inlineStr">
        <is>
          <t>CARRIED</t>
        </is>
      </c>
      <c r="N127" s="4" t="inlineStr">
        <is>
          <t>M4-10</t>
        </is>
      </c>
    </row>
    <row r="128">
      <c r="A128" s="3" t="inlineStr">
        <is>
          <t>M4-11</t>
        </is>
      </c>
      <c r="B128" s="4" t="inlineStr">
        <is>
          <t>M4</t>
        </is>
      </c>
      <c r="C128" s="4" t="inlineStr">
        <is>
          <t>M4-P3</t>
        </is>
      </c>
      <c r="D128" s="5" t="inlineStr">
        <is>
          <t>Contract-shaped</t>
        </is>
      </c>
      <c r="E128" s="5" t="inlineStr">
        <is>
          <t>Incorporate (UG/GmbH) + imprint</t>
        </is>
      </c>
      <c r="F128" s="8" t="inlineStr">
        <is>
          <t>Very important</t>
        </is>
      </c>
      <c r="G128" s="4" t="inlineStr">
        <is>
          <t>content</t>
        </is>
      </c>
      <c r="H128" s="4" t="inlineStr">
        <is>
          <t>Backend</t>
        </is>
      </c>
      <c r="I128" s="4" t="inlineStr">
        <is>
          <t>Core</t>
        </is>
      </c>
      <c r="J128" s="5" t="inlineStr">
        <is>
          <t>Incorporate the company (UG/GmbH) and add the legal imprint.</t>
        </is>
      </c>
      <c r="K128" s="5" t="inlineStr">
        <is>
          <t>The entity exists + imprint published. Evidence: the registration.</t>
        </is>
      </c>
      <c r="L128" s="7" t="n">
        <v>8</v>
      </c>
      <c r="M128" s="5" t="inlineStr">
        <is>
          <t>CARRIED</t>
        </is>
      </c>
      <c r="N128" s="4" t="inlineStr">
        <is>
          <t>M4-11</t>
        </is>
      </c>
    </row>
    <row r="129">
      <c r="A129" s="3" t="inlineStr">
        <is>
          <t>M4-12</t>
        </is>
      </c>
      <c r="B129" s="4" t="inlineStr">
        <is>
          <t>M4</t>
        </is>
      </c>
      <c r="C129" s="4" t="inlineStr">
        <is>
          <t>M4-P3</t>
        </is>
      </c>
      <c r="D129" s="5" t="inlineStr">
        <is>
          <t>Contract-shaped</t>
        </is>
      </c>
      <c r="E129" s="5" t="inlineStr">
        <is>
          <t>Pilot contract + MNDA + DPA templates</t>
        </is>
      </c>
      <c r="F129" s="8" t="inlineStr">
        <is>
          <t>Very important</t>
        </is>
      </c>
      <c r="G129" s="4" t="inlineStr">
        <is>
          <t>content</t>
        </is>
      </c>
      <c r="H129" s="4" t="inlineStr">
        <is>
          <t>Backend</t>
        </is>
      </c>
      <c r="I129" s="4" t="inlineStr">
        <is>
          <t>Core</t>
        </is>
      </c>
      <c r="J129" s="5" t="inlineStr">
        <is>
          <t>Pilot contract, mutual NDA, and DPA templates ready to sign (the 08-pilot doc is the commercial offer; these are the legal instruments).</t>
        </is>
      </c>
      <c r="K129" s="5" t="inlineStr">
        <is>
          <t>The three templates exist + reviewed. Evidence: the files.</t>
        </is>
      </c>
      <c r="L129" s="7" t="n">
        <v>8</v>
      </c>
      <c r="M129" s="5" t="inlineStr">
        <is>
          <t>CARRIED</t>
        </is>
      </c>
      <c r="N129" s="4" t="inlineStr">
        <is>
          <t>M4-12</t>
        </is>
      </c>
    </row>
    <row r="130">
      <c r="A130" s="3" t="inlineStr">
        <is>
          <t>M4-13</t>
        </is>
      </c>
      <c r="B130" s="4" t="inlineStr">
        <is>
          <t>M4</t>
        </is>
      </c>
      <c r="C130" s="4" t="inlineStr">
        <is>
          <t>M4-P3</t>
        </is>
      </c>
      <c r="D130" s="5" t="inlineStr">
        <is>
          <t>Contract-shaped</t>
        </is>
      </c>
      <c r="E130" s="5" t="inlineStr">
        <is>
          <t>Target list + outreach sequence (PSI network)</t>
        </is>
      </c>
      <c r="F130" s="8" t="inlineStr">
        <is>
          <t>Very important</t>
        </is>
      </c>
      <c r="G130" s="4" t="inlineStr">
        <is>
          <t>content</t>
        </is>
      </c>
      <c r="H130" s="4" t="inlineStr">
        <is>
          <t>Backend</t>
        </is>
      </c>
      <c r="I130" s="4" t="inlineStr">
        <is>
          <t>Core</t>
        </is>
      </c>
      <c r="J130" s="5" t="inlineStr">
        <is>
          <t>A target list + outreach sequence leveraging your PSI/SMS network.</t>
        </is>
      </c>
      <c r="K130" s="5" t="inlineStr">
        <is>
          <t>The list + sequence exist + first touches sent. Evidence: the tracker.</t>
        </is>
      </c>
      <c r="L130" s="7" t="n">
        <v>10</v>
      </c>
      <c r="M130" s="5" t="inlineStr">
        <is>
          <t>CARRIED</t>
        </is>
      </c>
      <c r="N130" s="4" t="inlineStr">
        <is>
          <t>M4-13</t>
        </is>
      </c>
    </row>
    <row r="131">
      <c r="A131" s="3" t="inlineStr">
        <is>
          <t>M4-14</t>
        </is>
      </c>
      <c r="B131" s="4" t="inlineStr">
        <is>
          <t>M4</t>
        </is>
      </c>
      <c r="C131" s="4" t="inlineStr">
        <is>
          <t>M4-P3</t>
        </is>
      </c>
      <c r="D131" s="5" t="inlineStr">
        <is>
          <t>Contract-shaped</t>
        </is>
      </c>
      <c r="E131" s="5" t="inlineStr">
        <is>
          <t>Produce the case study / reference</t>
        </is>
      </c>
      <c r="F131" s="8" t="inlineStr">
        <is>
          <t>Very important</t>
        </is>
      </c>
      <c r="G131" s="4" t="inlineStr">
        <is>
          <t>content</t>
        </is>
      </c>
      <c r="H131" s="4" t="inlineStr">
        <is>
          <t>Backend</t>
        </is>
      </c>
      <c r="I131" s="4" t="inlineStr">
        <is>
          <t>Core</t>
        </is>
      </c>
      <c r="J131" s="5" t="inlineStr">
        <is>
          <t>Produce a case study / reference from the pilot customer.</t>
        </is>
      </c>
      <c r="K131" s="5" t="inlineStr">
        <is>
          <t>A published case study + a reference contact. Evidence: the file.</t>
        </is>
      </c>
      <c r="L131" s="7" t="n">
        <v>6</v>
      </c>
      <c r="M131" s="5" t="inlineStr">
        <is>
          <t>CARRIED</t>
        </is>
      </c>
      <c r="N131" s="4" t="inlineStr">
        <is>
          <t>M4-14</t>
        </is>
      </c>
    </row>
    <row r="132">
      <c r="A132" s="3" t="inlineStr">
        <is>
          <t>M4-15</t>
        </is>
      </c>
      <c r="B132" s="4" t="inlineStr">
        <is>
          <t>M4</t>
        </is>
      </c>
      <c r="C132" s="4" t="inlineStr">
        <is>
          <t>M4-P4</t>
        </is>
      </c>
      <c r="D132" s="5" t="inlineStr">
        <is>
          <t>Contract-shaped</t>
        </is>
      </c>
      <c r="E132" s="5" t="inlineStr">
        <is>
          <t>Viability arrangement (hire / escrow+BCP / partner)</t>
        </is>
      </c>
      <c r="F132" s="8" t="inlineStr">
        <is>
          <t>Very important</t>
        </is>
      </c>
      <c r="G132" s="4" t="inlineStr">
        <is>
          <t>content</t>
        </is>
      </c>
      <c r="H132" s="4" t="inlineStr">
        <is>
          <t>Backend</t>
        </is>
      </c>
      <c r="I132" s="4" t="inlineStr">
        <is>
          <t>Core</t>
        </is>
      </c>
      <c r="J132" s="5" t="inlineStr">
        <is>
          <t>Close the bus-factor objection: a hire, source escrow + BCP, or a partner.</t>
        </is>
      </c>
      <c r="K132" s="5" t="inlineStr">
        <is>
          <t>A viability arrangement is in place. Evidence: the agreement.</t>
        </is>
      </c>
      <c r="L132" s="7" t="n">
        <v>12</v>
      </c>
      <c r="M132" s="5" t="inlineStr">
        <is>
          <t>CARRIED</t>
        </is>
      </c>
      <c r="N132" s="4" t="inlineStr">
        <is>
          <t>M4-15</t>
        </is>
      </c>
    </row>
    <row r="133">
      <c r="A133" s="3" t="inlineStr">
        <is>
          <t>M4-16</t>
        </is>
      </c>
      <c r="B133" s="4" t="inlineStr">
        <is>
          <t>M4</t>
        </is>
      </c>
      <c r="C133" s="4" t="inlineStr">
        <is>
          <t>M4-P4</t>
        </is>
      </c>
      <c r="D133" s="5" t="inlineStr">
        <is>
          <t>Contract-shaped</t>
        </is>
      </c>
      <c r="E133" s="5" t="inlineStr">
        <is>
          <t>Verify deploy rollback to :previous</t>
        </is>
      </c>
      <c r="F133" s="9" t="inlineStr">
        <is>
          <t>Important</t>
        </is>
      </c>
      <c r="G133" s="4" t="inlineStr">
        <is>
          <t>verification</t>
        </is>
      </c>
      <c r="H133" s="4" t="inlineStr">
        <is>
          <t>Backend</t>
        </is>
      </c>
      <c r="I133" s="4" t="inlineStr">
        <is>
          <t>Core</t>
        </is>
      </c>
      <c r="J133" s="5" t="inlineStr">
        <is>
          <t>The pipeline already tags :previous and rolls back on a failed health gate. Verify it end-to-end by inducing a health-gate failure and confirming the rollback restores service.</t>
        </is>
      </c>
      <c r="K133" s="5" t="inlineStr">
        <is>
          <t>An induced bad deploy rolls back to :previous and service stays up. Evidence: pipeline log.</t>
        </is>
      </c>
      <c r="L133" s="7" t="n">
        <v>3.5</v>
      </c>
      <c r="M133" s="5" t="inlineStr">
        <is>
          <t>CARRIED</t>
        </is>
      </c>
      <c r="N133" s="4" t="inlineStr">
        <is>
          <t>M4-16</t>
        </is>
      </c>
    </row>
    <row r="134">
      <c r="A134" s="3" t="inlineStr">
        <is>
          <t>M4-17</t>
        </is>
      </c>
      <c r="B134" s="4" t="inlineStr">
        <is>
          <t>M4</t>
        </is>
      </c>
      <c r="C134" s="4" t="inlineStr">
        <is>
          <t>M4-P4</t>
        </is>
      </c>
      <c r="D134" s="5" t="inlineStr">
        <is>
          <t>Contract-shaped</t>
        </is>
      </c>
      <c r="E134" s="5" t="inlineStr">
        <is>
          <t>Enforce performance budgets in CI</t>
        </is>
      </c>
      <c r="F134" s="9" t="inlineStr">
        <is>
          <t>Important</t>
        </is>
      </c>
      <c r="G134" s="4" t="inlineStr">
        <is>
          <t>feature</t>
        </is>
      </c>
      <c r="H134" s="4" t="inlineStr">
        <is>
          <t>Backend</t>
        </is>
      </c>
      <c r="I134" s="4" t="inlineStr">
        <is>
          <t>Core</t>
        </is>
      </c>
      <c r="J134" s="5" t="inlineStr">
        <is>
          <t>Add performance budgets as CI gates so regressions fail the build.</t>
        </is>
      </c>
      <c r="K134" s="5" t="inlineStr">
        <is>
          <t>A deliberate perf regression fails CI. Evidence: CI run.</t>
        </is>
      </c>
      <c r="L134" s="7" t="n">
        <v>6</v>
      </c>
      <c r="M134" s="5" t="inlineStr">
        <is>
          <t>CARRIED</t>
        </is>
      </c>
      <c r="N134" s="4" t="inlineStr">
        <is>
          <t>M4-17</t>
        </is>
      </c>
    </row>
    <row r="135">
      <c r="A135" s="3" t="inlineStr">
        <is>
          <t>M4-18</t>
        </is>
      </c>
      <c r="B135" s="4" t="inlineStr">
        <is>
          <t>M4</t>
        </is>
      </c>
      <c r="C135" s="4" t="inlineStr">
        <is>
          <t>M4-P4</t>
        </is>
      </c>
      <c r="D135" s="5" t="inlineStr">
        <is>
          <t>Contract-shaped</t>
        </is>
      </c>
      <c r="E135" s="5" t="inlineStr">
        <is>
          <t>ISO 27001 mapping + sensitive-data catalog</t>
        </is>
      </c>
      <c r="F135" s="9" t="inlineStr">
        <is>
          <t>Important</t>
        </is>
      </c>
      <c r="G135" s="4" t="inlineStr">
        <is>
          <t>content</t>
        </is>
      </c>
      <c r="H135" s="4" t="inlineStr">
        <is>
          <t>Backend</t>
        </is>
      </c>
      <c r="I135" s="4" t="inlineStr">
        <is>
          <t>Observability</t>
        </is>
      </c>
      <c r="J135" s="5" t="inlineStr">
        <is>
          <t>Map controls to ISO 27001 and catalog sensitive data.</t>
        </is>
      </c>
      <c r="K135" s="5" t="inlineStr">
        <is>
          <t>The mapping + catalog exist. Evidence: the docs.</t>
        </is>
      </c>
      <c r="L135" s="7" t="n">
        <v>8</v>
      </c>
      <c r="M135" s="5" t="inlineStr">
        <is>
          <t>CARRIED</t>
        </is>
      </c>
      <c r="N135" s="4" t="inlineStr">
        <is>
          <t>M4-18</t>
        </is>
      </c>
    </row>
    <row r="136">
      <c r="A136" s="3" t="inlineStr">
        <is>
          <t>M4-19</t>
        </is>
      </c>
      <c r="B136" s="4" t="inlineStr">
        <is>
          <t>M4</t>
        </is>
      </c>
      <c r="C136" s="4" t="inlineStr">
        <is>
          <t>M4-P4</t>
        </is>
      </c>
      <c r="D136" s="5" t="inlineStr">
        <is>
          <t>Contract-shaped</t>
        </is>
      </c>
      <c r="E136" s="5" t="inlineStr">
        <is>
          <t>AI triage loop (agent drafts fix PRs, human-approved)</t>
        </is>
      </c>
      <c r="F136" s="9" t="inlineStr">
        <is>
          <t>Important</t>
        </is>
      </c>
      <c r="G136" s="4" t="inlineStr">
        <is>
          <t>feature</t>
        </is>
      </c>
      <c r="H136" s="4" t="inlineStr">
        <is>
          <t>Backend</t>
        </is>
      </c>
      <c r="I136" s="4" t="inlineStr">
        <is>
          <t>Core</t>
        </is>
      </c>
      <c r="J136" s="5" t="inlineStr">
        <is>
          <t>An AI triage loop where an agent drafts fix PRs from failing tests, human-approved.</t>
        </is>
      </c>
      <c r="K136" s="5" t="inlineStr">
        <is>
          <t>The loop drafts a PR for an injected failure; human merges. Evidence: the PR.</t>
        </is>
      </c>
      <c r="L136" s="7" t="n">
        <v>10</v>
      </c>
      <c r="M136" s="5" t="inlineStr">
        <is>
          <t>CARRIED</t>
        </is>
      </c>
      <c r="N136" s="4" t="inlineStr">
        <is>
          <t>M4-19</t>
        </is>
      </c>
    </row>
    <row r="137">
      <c r="A137" s="3" t="inlineStr">
        <is>
          <t>M4-20</t>
        </is>
      </c>
      <c r="B137" s="4" t="inlineStr">
        <is>
          <t>M4</t>
        </is>
      </c>
      <c r="C137" s="4" t="inlineStr">
        <is>
          <t>M4-P4</t>
        </is>
      </c>
      <c r="D137" s="5" t="inlineStr">
        <is>
          <t>Contract-shaped</t>
        </is>
      </c>
      <c r="E137" s="5" t="inlineStr">
        <is>
          <t>Consolidate full operator/admin/security docs</t>
        </is>
      </c>
      <c r="F137" s="9" t="inlineStr">
        <is>
          <t>Important</t>
        </is>
      </c>
      <c r="G137" s="4" t="inlineStr">
        <is>
          <t>content</t>
        </is>
      </c>
      <c r="H137" s="4" t="inlineStr">
        <is>
          <t>Backend</t>
        </is>
      </c>
      <c r="I137" s="4" t="inlineStr">
        <is>
          <t>Core</t>
        </is>
      </c>
      <c r="J137" s="5" t="inlineStr">
        <is>
          <t>Consolidate the delivered doc suite (01-09) + the screenshot-embedded guides into one coherent, cross-linked, versioned doc set.</t>
        </is>
      </c>
      <c r="K137" s="5" t="inlineStr">
        <is>
          <t>One consolidated doc set, cross-linked. Evidence: the docs.</t>
        </is>
      </c>
      <c r="L137" s="7" t="n">
        <v>5.6</v>
      </c>
      <c r="M137" s="5" t="inlineStr">
        <is>
          <t>CARRIED</t>
        </is>
      </c>
      <c r="N137" s="4" t="inlineStr">
        <is>
          <t>M4-20</t>
        </is>
      </c>
    </row>
    <row r="138">
      <c r="A138" s="3" t="inlineStr">
        <is>
          <t>M4-21</t>
        </is>
      </c>
      <c r="B138" s="4" t="inlineStr">
        <is>
          <t>M4</t>
        </is>
      </c>
      <c r="C138" s="4" t="inlineStr">
        <is>
          <t>M4-P4</t>
        </is>
      </c>
      <c r="D138" s="5" t="inlineStr">
        <is>
          <t>Contract-shaped</t>
        </is>
      </c>
      <c r="E138" s="5" t="inlineStr">
        <is>
          <t>Support SLA offering</t>
        </is>
      </c>
      <c r="F138" s="9" t="inlineStr">
        <is>
          <t>Important</t>
        </is>
      </c>
      <c r="G138" s="4" t="inlineStr">
        <is>
          <t>content</t>
        </is>
      </c>
      <c r="H138" s="4" t="inlineStr">
        <is>
          <t>Backend</t>
        </is>
      </c>
      <c r="I138" s="4" t="inlineStr">
        <is>
          <t>Core</t>
        </is>
      </c>
      <c r="J138" s="5" t="inlineStr">
        <is>
          <t>A support SLA offering (tiers, response times).</t>
        </is>
      </c>
      <c r="K138" s="5" t="inlineStr">
        <is>
          <t>The SLA offering exists. Evidence: the doc.</t>
        </is>
      </c>
      <c r="L138" s="7" t="n">
        <v>5</v>
      </c>
      <c r="M138" s="5" t="inlineStr">
        <is>
          <t>CARRIED</t>
        </is>
      </c>
      <c r="N138" s="4" t="inlineStr">
        <is>
          <t>M4-21</t>
        </is>
      </c>
    </row>
    <row r="139">
      <c r="A139" s="3" t="inlineStr">
        <is>
          <t>M4-22</t>
        </is>
      </c>
      <c r="B139" s="4" t="inlineStr">
        <is>
          <t>M4</t>
        </is>
      </c>
      <c r="C139" s="4" t="inlineStr">
        <is>
          <t>M4-P5</t>
        </is>
      </c>
      <c r="D139" s="5" t="inlineStr">
        <is>
          <t>Contract-shaped</t>
        </is>
      </c>
      <c r="E139" s="5" t="inlineStr">
        <is>
          <t>Public status page</t>
        </is>
      </c>
      <c r="F139" s="9" t="inlineStr">
        <is>
          <t>Normal</t>
        </is>
      </c>
      <c r="G139" s="4" t="inlineStr">
        <is>
          <t>content</t>
        </is>
      </c>
      <c r="H139" s="4" t="inlineStr">
        <is>
          <t>Backend</t>
        </is>
      </c>
      <c r="I139" s="4" t="inlineStr">
        <is>
          <t>Core</t>
        </is>
      </c>
      <c r="J139" s="5" t="inlineStr">
        <is>
          <t>A public status page for the hosted service.</t>
        </is>
      </c>
      <c r="K139" s="5" t="inlineStr">
        <is>
          <t>The status page reflects real health. Evidence: the page.</t>
        </is>
      </c>
      <c r="L139" s="7" t="n">
        <v>4</v>
      </c>
      <c r="M139" s="5" t="inlineStr">
        <is>
          <t>CARRIED</t>
        </is>
      </c>
      <c r="N139" s="4" t="inlineStr">
        <is>
          <t>M4-22</t>
        </is>
      </c>
    </row>
    <row r="140">
      <c r="A140" s="3" t="inlineStr">
        <is>
          <t>M4-23</t>
        </is>
      </c>
      <c r="B140" s="4" t="inlineStr">
        <is>
          <t>M4</t>
        </is>
      </c>
      <c r="C140" s="4" t="inlineStr">
        <is>
          <t>M4-P5</t>
        </is>
      </c>
      <c r="D140" s="5" t="inlineStr">
        <is>
          <t>Contract-shaped</t>
        </is>
      </c>
      <c r="E140" s="5" t="inlineStr">
        <is>
          <t>Funding / partnership decision</t>
        </is>
      </c>
      <c r="F140" s="9" t="inlineStr">
        <is>
          <t>Normal</t>
        </is>
      </c>
      <c r="G140" s="4" t="inlineStr">
        <is>
          <t>content</t>
        </is>
      </c>
      <c r="H140" s="4" t="inlineStr">
        <is>
          <t>Backend</t>
        </is>
      </c>
      <c r="I140" s="4" t="inlineStr">
        <is>
          <t>Core</t>
        </is>
      </c>
      <c r="J140" s="5" t="inlineStr">
        <is>
          <t>Decide funding/partnership direction.</t>
        </is>
      </c>
      <c r="K140" s="5" t="inlineStr">
        <is>
          <t>A decision recorded. Evidence: the note.</t>
        </is>
      </c>
      <c r="L140" s="7" t="n">
        <v>4</v>
      </c>
      <c r="M140" s="5" t="inlineStr">
        <is>
          <t>CARRIED</t>
        </is>
      </c>
      <c r="N140" s="4" t="inlineStr">
        <is>
          <t>M4-23</t>
        </is>
      </c>
    </row>
    <row r="141">
      <c r="A141" s="3" t="inlineStr">
        <is>
          <t>M4-24</t>
        </is>
      </c>
      <c r="B141" s="4" t="inlineStr">
        <is>
          <t>M4</t>
        </is>
      </c>
      <c r="C141" s="4" t="inlineStr">
        <is>
          <t>M4-P5</t>
        </is>
      </c>
      <c r="D141" s="5" t="inlineStr">
        <is>
          <t>Contract-shaped</t>
        </is>
      </c>
      <c r="E141" s="5" t="inlineStr">
        <is>
          <t>GxP / 21 CFR Part 11 pack (audit trail, e-signature)</t>
        </is>
      </c>
      <c r="F141" s="9" t="inlineStr">
        <is>
          <t>Optional</t>
        </is>
      </c>
      <c r="G141" s="4" t="inlineStr">
        <is>
          <t>content</t>
        </is>
      </c>
      <c r="H141" s="4" t="inlineStr">
        <is>
          <t>Backend</t>
        </is>
      </c>
      <c r="I141" s="4" t="inlineStr">
        <is>
          <t>Core</t>
        </is>
      </c>
      <c r="J141" s="5" t="inlineStr">
        <is>
          <t>A GxP / 21 CFR Part 11 pack where required (audit trail + e-signature).</t>
        </is>
      </c>
      <c r="K141" s="5" t="inlineStr">
        <is>
          <t>The pack evidences audit trail + e-signature. Evidence: the docs.</t>
        </is>
      </c>
      <c r="L141" s="7" t="n">
        <v>12</v>
      </c>
      <c r="M141" s="5" t="inlineStr">
        <is>
          <t>CARRIED</t>
        </is>
      </c>
      <c r="N141" s="4" t="inlineStr">
        <is>
          <t>M4-24</t>
        </is>
      </c>
    </row>
    <row r="142">
      <c r="A142" s="3" t="inlineStr">
        <is>
          <t>M4-25</t>
        </is>
      </c>
      <c r="B142" s="4" t="inlineStr">
        <is>
          <t>M4</t>
        </is>
      </c>
      <c r="C142" s="4" t="inlineStr">
        <is>
          <t>M4-P3</t>
        </is>
      </c>
      <c r="D142" s="5" t="inlineStr">
        <is>
          <t>Contract-shaped</t>
        </is>
      </c>
      <c r="E142" s="5" t="inlineStr">
        <is>
          <t>Recorded certified dry-run (one-click readiness on video)</t>
        </is>
      </c>
      <c r="F142" s="8" t="inlineStr">
        <is>
          <t>Very important</t>
        </is>
      </c>
      <c r="G142" s="4" t="inlineStr">
        <is>
          <t>content</t>
        </is>
      </c>
      <c r="H142" s="4" t="inlineStr">
        <is>
          <t>Docs/Demo</t>
        </is>
      </c>
      <c r="I142" s="4" t="inlineStr">
        <is>
          <t>Rehearsal</t>
        </is>
      </c>
      <c r="J142" s="5" t="inlineStr">
        <is>
          <t>A recorded certified dry-run showing one-click readiness green - the reference acceptance artifact.</t>
        </is>
      </c>
      <c r="K142" s="5" t="inlineStr">
        <is>
          <t>The recording shows readiness green end-to-end. Evidence: the file.</t>
        </is>
      </c>
      <c r="L142" s="7" t="n">
        <v>4</v>
      </c>
      <c r="M142" s="5" t="inlineStr">
        <is>
          <t>CARRIED</t>
        </is>
      </c>
      <c r="N142" s="4" t="inlineStr">
        <is>
          <t>M4-25</t>
        </is>
      </c>
    </row>
  </sheetData>
  <autoFilter ref="A2:N142"/>
  <mergeCells count="1">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
  <sheetViews>
    <sheetView workbookViewId="0">
      <pane ySplit="2" topLeftCell="A3" activePane="bottomLeft" state="frozen"/>
      <selection pane="bottomLeft" activeCell="A1" sqref="A1"/>
    </sheetView>
  </sheetViews>
  <sheetFormatPr baseColWidth="8" defaultRowHeight="15"/>
  <cols>
    <col width="10" customWidth="1" min="1" max="1"/>
    <col width="44" customWidth="1" min="2" max="2"/>
    <col width="118" customWidth="1" min="3" max="3"/>
    <col width="40" customWidth="1" min="4" max="4"/>
  </cols>
  <sheetData>
    <row r="1">
      <c r="A1" s="1" t="inlineStr">
        <is>
          <t>WHAT CHANGED AND WHY  -  v18 was written earlier on 09-Jul and was already accurate. This is the delta from the packs that landed after it, and from what those packs exposed.</t>
        </is>
      </c>
    </row>
    <row r="2">
      <c r="A2" s="2" t="inlineStr">
        <is>
          <t>v18 ID</t>
        </is>
      </c>
      <c r="B2" s="2" t="inlineStr">
        <is>
          <t>Decision</t>
        </is>
      </c>
      <c r="C2" s="2" t="inlineStr">
        <is>
          <t>Evidence / measurement</t>
        </is>
      </c>
      <c r="D2" s="2" t="inlineStr">
        <is>
          <t>Where it went in v19</t>
        </is>
      </c>
    </row>
    <row r="3">
      <c r="A3" s="10" t="inlineStr">
        <is>
          <t>M1-06</t>
        </is>
      </c>
      <c r="B3" s="5" t="inlineStr">
        <is>
          <t>CONTEXT UPDATED (frontend half delivered)</t>
        </is>
      </c>
      <c r="C3" s="5" t="inlineStr">
        <is>
          <t>Apply-M1-11-AssistantChain: AssistantChat mounted in the ROUTED AssistantRuntimePage; GroundedAssistantPage (unrouted, raw fetch, duplicate types, P4 kicker) deleted; citations are buttons that expand the provenance handle; 49/49 gates. The card said "mount AssistantChat inside GroundedAssistantPage" - that page was routed by NOTHING. Remaining scope is the BACKEND provider only.</t>
        </is>
      </c>
      <c r="D3" s="5" t="inlineStr">
        <is>
          <t>M1-08 (3h, unchanged)</t>
        </is>
      </c>
    </row>
    <row r="4">
      <c r="A4" s="10" t="inlineStr">
        <is>
          <t>M1-10</t>
        </is>
      </c>
      <c r="B4" s="5" t="inlineStr">
        <is>
          <t>RE-ESTIMATED 1.5h -&gt; 1h</t>
        </is>
      </c>
      <c r="C4" s="5" t="inlineStr">
        <is>
          <t>M1-06 shipped the layout + 5 child routes + honest ConnectorTruthPage; 44/44. Only two loose ends: /prepare kept a top-level route (renders without the area header) and there is no sub-nav inside the area.</t>
        </is>
      </c>
      <c r="D4" s="5" t="inlineStr">
        <is>
          <t>M1-18</t>
        </is>
      </c>
    </row>
    <row r="5">
      <c r="A5" s="10" t="inlineStr">
        <is>
          <t>M1-12</t>
        </is>
      </c>
      <c r="B5" s="5" t="inlineStr">
        <is>
          <t>RE-ESTIMATED 1h -&gt; 2h</t>
        </is>
      </c>
      <c r="C5" s="5" t="inlineStr">
        <is>
          <t>Admin no longer imports DemoAnalyticsPages (M1-06 removed the last one). But App.tsx STILL lazily imports it for DynamicPage / SuggestionsPage / WidgetScriptCompilerPage, and DemoAnalyticsPages.tsx is a thin re-export that noThinReExports currently passes.</t>
        </is>
      </c>
      <c r="D5" s="5" t="inlineStr">
        <is>
          <t>M1-13</t>
        </is>
      </c>
    </row>
    <row r="6">
      <c r="A6" s="10" t="inlineStr">
        <is>
          <t>M1-14</t>
        </is>
      </c>
      <c r="B6" s="5" t="inlineStr">
        <is>
          <t>EXTENDED 1.5h -&gt; 2h, Frontend -&gt; Frontend+Backend</t>
        </is>
      </c>
      <c r="C6" s="5" t="inlineStr">
        <is>
          <t>M1-10 shipped a SECURITY boundary (/admin/system-logs reads files from disk) with no test. The traversal guard, the hour clamp, the Serilog level mapping and the continuation-line handling are all untested.</t>
        </is>
      </c>
      <c r="D6" s="5" t="inlineStr">
        <is>
          <t>M1-22</t>
        </is>
      </c>
    </row>
    <row r="7">
      <c r="A7" s="10" t="inlineStr">
        <is>
          <t>M2-11</t>
        </is>
      </c>
      <c r="B7" s="5" t="inlineStr">
        <is>
          <t>EXTENDED 3h -&gt; 4h</t>
        </is>
      </c>
      <c r="C7" s="5" t="inlineStr">
        <is>
          <t>The duplicate-object class bit TWICE: once via CREATE TABLE IF NOT EXISTS (310/320 -&gt; 42703), once via CREATE OR REPLACE FUNCTION (312/690 -&gt; 42804, and 865 diagnostics nobody had ever seen). Tables alone is half a gate.</t>
        </is>
      </c>
      <c r="D7" s="5" t="inlineStr">
        <is>
          <t>M2-11</t>
        </is>
      </c>
    </row>
    <row r="8">
      <c r="A8" s="10" t="inlineStr">
        <is>
          <t>M2-15</t>
        </is>
      </c>
      <c r="B8" s="5" t="inlineStr">
        <is>
          <t>CONTEXT UPDATED</t>
        </is>
      </c>
      <c r="C8" s="5" t="inlineStr">
        <is>
          <t>roleAccess.ts repaired 09-Jul: keys repointed to canonical routes, /connectors + /mapping (which were never routes) moved to /data-integration/*, fail-open default replaced by explicit deny, page states enforcement is server-side. What REMAINS is wiring routeDecision into real route guards.</t>
        </is>
      </c>
      <c r="D8" s="5" t="inlineStr">
        <is>
          <t>M2-15</t>
        </is>
      </c>
    </row>
    <row r="9">
      <c r="A9" s="10" t="inlineStr">
        <is>
          <t>-</t>
        </is>
      </c>
      <c r="B9" s="5" t="inlineStr">
        <is>
          <t>NEW: API does not answer on :5063</t>
        </is>
      </c>
      <c r="C9" s="5" t="inlineStr">
        <is>
          <t>After Apply-M1-10 the API reported a PID but nothing listened. dotnet build passes, so this is a MAP-time failure, not a compile error. Nothing delivered on 09-Jul has been seen in a browser.</t>
        </is>
      </c>
      <c r="D9" s="5" t="inlineStr">
        <is>
          <t>M1-06 (Critical, 1h)</t>
        </is>
      </c>
    </row>
    <row r="10">
      <c r="A10" s="10" t="inlineStr">
        <is>
          <t>-</t>
        </is>
      </c>
      <c r="B10" s="5" t="inlineStr">
        <is>
          <t>NEW: register /api/assistant in the RBAC matrix</t>
        </is>
      </c>
      <c r="C10" s="5" t="inlineStr">
        <is>
          <t>AccessControlMiddleware is deny-by-default by longest prefix and no /api/assistant entry exists. The same shape 403d /api/analysis-jobs and /analytics/phase2 earlier the same day. If the ask POST 403s, the chat is dead in the demo.</t>
        </is>
      </c>
      <c r="D10" s="5" t="inlineStr">
        <is>
          <t>M1-07 (Critical, 1h)</t>
        </is>
      </c>
    </row>
    <row r="11">
      <c r="A11" s="10" t="inlineStr">
        <is>
          <t>-</t>
        </is>
      </c>
      <c r="B11" s="5" t="inlineStr">
        <is>
          <t>NEW: browser render verification</t>
        </is>
      </c>
      <c r="C11" s="5" t="inlineStr">
        <is>
          <t>Seven packs landed, all proven by tsc + vitest + dotnet build. A gate cannot see layout, colour, focus order, or whether a fetch returns. Rehearsing an unseen UI is theatre.</t>
        </is>
      </c>
      <c r="D11" s="5" t="inlineStr">
        <is>
          <t>M1-21 (Critical, 1.5h) - blocks the dress rehearsal</t>
        </is>
      </c>
    </row>
    <row r="12">
      <c r="A12" s="10" t="inlineStr">
        <is>
          <t>-</t>
        </is>
      </c>
      <c r="B12" s="5" t="inlineStr">
        <is>
          <t>NEW: harden the phase-token gate</t>
        </is>
      </c>
      <c r="C12" s="5" t="inlineStr">
        <is>
          <t>Two blind spots found AFTER the gate was called repo-wide: single-digit P tokens (the deleted page carried "P4 . Production Assistant" and nothing would have caught it), and file/directory names (Phase8, Phase9, phase11, three stylesheets).</t>
        </is>
      </c>
      <c r="D12" s="5" t="inlineStr">
        <is>
          <t>M1-20 (Important, 1h)</t>
        </is>
      </c>
    </row>
    <row r="13">
      <c r="A13" s="10" t="inlineStr">
        <is>
          <t>-</t>
        </is>
      </c>
      <c r="B13" s="5" t="inlineStr">
        <is>
          <t>NEW: 320 takes ACCESS EXCLUSIVE unconditionally</t>
        </is>
      </c>
      <c r="C13" s="5" t="inlineStr">
        <is>
          <t>ALTER TABLE / DROP TRIGGER / CREATE TRIGGER lock before checking existence, so a no-op re-run still locks three times. It timed out at 30s against the test suite's own connections. On a customer DB at commissioning that is an outage, not a timeout. material_aliases holds 21 rows - the backfill was never the problem.</t>
        </is>
      </c>
      <c r="D13" s="5" t="inlineStr">
        <is>
          <t>M2-13 (Very important, 2h)</t>
        </is>
      </c>
    </row>
    <row r="14">
      <c r="A14" s="10" t="inlineStr">
        <is>
          <t>-</t>
        </is>
      </c>
      <c r="B14" s="5" t="inlineStr">
        <is>
          <t>NEW: mapping lifecycle proof mutates</t>
        </is>
      </c>
      <c r="C14" s="5" t="inlineStr">
        <is>
          <t>A function named "proof" publishes a mapping version on every call. 37 Published / 31 RolledBack rows accumulated; its output leads with PreviousDryRun/PreviousPublish. Its test asserts a rollback the domain explicitly forbids (CannotRollbackPublished). Decide which is true.</t>
        </is>
      </c>
      <c r="D14" s="5" t="inlineStr">
        <is>
          <t>M2-14 (Important, 2h)</t>
        </is>
      </c>
    </row>
    <row r="15">
      <c r="A15" s="10" t="inlineStr">
        <is>
          <t>-</t>
        </is>
      </c>
      <c r="B15" s="5" t="inlineStr">
        <is>
          <t>CONFIRMED DONE, not re-listed</t>
        </is>
      </c>
      <c r="C15" s="5" t="inlineStr">
        <is>
          <t>Phase3 fixture chain: 310/320 table-name collision, seed missing plant_time_zone_id + plant_utc_offset_minutes, incoherent SlabToCoil edge (provenance 2.0). 3/3 green; full backend suite 665 total / 0 failed. ppiq_normalize_business_key('coil','C-0044170') = ppiq_normalize_business_key('coil','44170') = 44170. B1.3 works for the first time.</t>
        </is>
      </c>
      <c r="D15" s="5" t="inlineStr">
        <is>
          <t>-</t>
        </is>
      </c>
    </row>
    <row r="16">
      <c r="A16" s="10" t="inlineStr">
        <is>
          <t>-</t>
        </is>
      </c>
      <c r="B16" s="5" t="inlineStr">
        <is>
          <t>ARCHITECTURAL FACT recovered</t>
        </is>
      </c>
      <c r="C16" s="5" t="inlineStr">
        <is>
          <t>genealogy_edges = weighted provenance ledger (trigger enforces sum=1.0 per child across ALL relationship types). canonical_genealogy_edges = structural graph, unweighted, no trigger. ppiq_golden_thread / ppiq_walk_genealogy read ONLY the canonical layer. A transition coil carries heat edges only; its coil-&gt;slab hop lives in the canonical layer.</t>
        </is>
      </c>
      <c r="D16" s="5" t="inlineStr">
        <is>
          <t>Belongs in Identity &amp; Topology v5</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9"/>
  <sheetViews>
    <sheetView workbookViewId="0">
      <pane ySplit="2" topLeftCell="A3" activePane="bottomLeft" state="frozen"/>
      <selection pane="bottomLeft" activeCell="A1" sqref="A1"/>
    </sheetView>
  </sheetViews>
  <sheetFormatPr baseColWidth="8" defaultRowHeight="15"/>
  <cols>
    <col width="9" customWidth="1" min="1" max="1"/>
    <col width="11" customWidth="1" min="2" max="2"/>
    <col width="8" customWidth="1" min="3" max="3"/>
    <col width="9" customWidth="1" min="4" max="4"/>
    <col width="9" customWidth="1" min="5" max="5"/>
    <col width="84" customWidth="1" min="6" max="6"/>
  </cols>
  <sheetData>
    <row r="1">
      <c r="A1" s="1" t="inlineStr">
        <is>
          <t>PHASE PLAN v19 - each phase a releasable increment. Hours are formula-driven from the Backlog sheet.</t>
        </is>
      </c>
    </row>
    <row r="2">
      <c r="A2" s="2" t="inlineStr">
        <is>
          <t>Phase</t>
        </is>
      </c>
      <c r="B2" s="2" t="inlineStr">
        <is>
          <t>Milestone</t>
        </is>
      </c>
      <c r="C2" s="2" t="inlineStr">
        <is>
          <t>Tasks</t>
        </is>
      </c>
      <c r="D2" s="2" t="inlineStr">
        <is>
          <t>Hours</t>
        </is>
      </c>
      <c r="E2" s="2" t="inlineStr">
        <is>
          <t>Critical</t>
        </is>
      </c>
      <c r="F2" s="2" t="inlineStr">
        <is>
          <t>Deliverable theme (what ships)</t>
        </is>
      </c>
    </row>
    <row r="3">
      <c r="A3" s="10" t="inlineStr">
        <is>
          <t>M1-P1</t>
        </is>
      </c>
      <c r="B3" s="5" t="inlineStr">
        <is>
          <t>M1</t>
        </is>
      </c>
      <c r="C3" s="5">
        <f>COUNTIFS(Backlog!$C$3:$C$142,$A3)</f>
        <v/>
      </c>
      <c r="D3" s="11">
        <f>SUMIFS(Backlog!$L$3:$L$142,Backlog!$C$3:$C$142,$A3)</f>
        <v/>
      </c>
      <c r="E3" s="12">
        <f>COUNTIFS(Backlog!$C$3:$C$142,$A3,Backlog!$F$3:$F$142,"Critical")</f>
        <v/>
      </c>
      <c r="F3" s="5" t="inlineStr">
        <is>
          <t>Runtime unblock (API up, assistant reachable), import pipeline, generic projector, analytics readiness</t>
        </is>
      </c>
    </row>
    <row r="4">
      <c r="A4" s="10" t="inlineStr">
        <is>
          <t>M1-P2</t>
        </is>
      </c>
      <c r="B4" s="5" t="inlineStr">
        <is>
          <t>M1</t>
        </is>
      </c>
      <c r="C4" s="5">
        <f>COUNTIFS(Backlog!$C$3:$C$142,$A4)</f>
        <v/>
      </c>
      <c r="D4" s="11">
        <f>SUMIFS(Backlog!$L$3:$L$142,Backlog!$C$3:$C$142,$A4)</f>
        <v/>
      </c>
      <c r="E4" s="12">
        <f>COUNTIFS(Backlog!$C$3:$C$142,$A4,Backlog!$F$3:$F$142,"Critical")</f>
        <v/>
      </c>
      <c r="F4" s="5" t="inlineStr">
        <is>
          <t>Surface-1 binding, Administrator content, demo eradication, i18n, gate hardening</t>
        </is>
      </c>
    </row>
    <row r="5">
      <c r="A5" s="10" t="inlineStr">
        <is>
          <t>M1-P3</t>
        </is>
      </c>
      <c r="B5" s="5" t="inlineStr">
        <is>
          <t>M1</t>
        </is>
      </c>
      <c r="C5" s="5">
        <f>COUNTIFS(Backlog!$C$3:$C$142,$A5)</f>
        <v/>
      </c>
      <c r="D5" s="11">
        <f>SUMIFS(Backlog!$L$3:$L$142,Backlog!$C$3:$C$142,$A5)</f>
        <v/>
      </c>
      <c r="E5" s="12">
        <f>COUNTIFS(Backlog!$C$3:$C$142,$A5,Backlog!$F$3:$F$142,"Critical")</f>
        <v/>
      </c>
      <c r="F5" s="5" t="inlineStr">
        <is>
          <t>Browser verification FIRST, then E2E realignment, grounding eval, rehearsal, demo assets</t>
        </is>
      </c>
    </row>
    <row r="6">
      <c r="A6" s="10" t="inlineStr">
        <is>
          <t>M2-P1</t>
        </is>
      </c>
      <c r="B6" s="5" t="inlineStr">
        <is>
          <t>M2</t>
        </is>
      </c>
      <c r="C6" s="5">
        <f>COUNTIFS(Backlog!$C$3:$C$142,$A6)</f>
        <v/>
      </c>
      <c r="D6" s="11">
        <f>SUMIFS(Backlog!$L$3:$L$142,Backlog!$C$3:$C$142,$A6)</f>
        <v/>
      </c>
      <c r="E6" s="12">
        <f>COUNTIFS(Backlog!$C$3:$C$142,$A6,Backlog!$F$3:$F$142,"Critical")</f>
        <v/>
      </c>
      <c r="F6" s="5" t="inlineStr"/>
    </row>
    <row r="7">
      <c r="A7" s="10" t="inlineStr">
        <is>
          <t>M2-P2</t>
        </is>
      </c>
      <c r="B7" s="5" t="inlineStr">
        <is>
          <t>M2</t>
        </is>
      </c>
      <c r="C7" s="5">
        <f>COUNTIFS(Backlog!$C$3:$C$142,$A7)</f>
        <v/>
      </c>
      <c r="D7" s="11">
        <f>SUMIFS(Backlog!$L$3:$L$142,Backlog!$C$3:$C$142,$A7)</f>
        <v/>
      </c>
      <c r="E7" s="12">
        <f>COUNTIFS(Backlog!$C$3:$C$142,$A7,Backlog!$F$3:$F$142,"Critical")</f>
        <v/>
      </c>
      <c r="F7" s="5" t="inlineStr"/>
    </row>
    <row r="8">
      <c r="A8" s="10" t="inlineStr">
        <is>
          <t>M2-P3</t>
        </is>
      </c>
      <c r="B8" s="5" t="inlineStr">
        <is>
          <t>M2</t>
        </is>
      </c>
      <c r="C8" s="5">
        <f>COUNTIFS(Backlog!$C$3:$C$142,$A8)</f>
        <v/>
      </c>
      <c r="D8" s="11">
        <f>SUMIFS(Backlog!$L$3:$L$142,Backlog!$C$3:$C$142,$A8)</f>
        <v/>
      </c>
      <c r="E8" s="12">
        <f>COUNTIFS(Backlog!$C$3:$C$142,$A8,Backlog!$F$3:$F$142,"Critical")</f>
        <v/>
      </c>
      <c r="F8" s="5" t="inlineStr"/>
    </row>
    <row r="9">
      <c r="A9" s="10" t="inlineStr">
        <is>
          <t>M2-P4</t>
        </is>
      </c>
      <c r="B9" s="5" t="inlineStr">
        <is>
          <t>M2</t>
        </is>
      </c>
      <c r="C9" s="5">
        <f>COUNTIFS(Backlog!$C$3:$C$142,$A9)</f>
        <v/>
      </c>
      <c r="D9" s="11">
        <f>SUMIFS(Backlog!$L$3:$L$142,Backlog!$C$3:$C$142,$A9)</f>
        <v/>
      </c>
      <c r="E9" s="12">
        <f>COUNTIFS(Backlog!$C$3:$C$142,$A9,Backlog!$F$3:$F$142,"Critical")</f>
        <v/>
      </c>
      <c r="F9" s="5" t="inlineStr"/>
    </row>
    <row r="10">
      <c r="A10" s="10" t="inlineStr">
        <is>
          <t>M2-P5</t>
        </is>
      </c>
      <c r="B10" s="5" t="inlineStr">
        <is>
          <t>M2</t>
        </is>
      </c>
      <c r="C10" s="5">
        <f>COUNTIFS(Backlog!$C$3:$C$142,$A10)</f>
        <v/>
      </c>
      <c r="D10" s="11">
        <f>SUMIFS(Backlog!$L$3:$L$142,Backlog!$C$3:$C$142,$A10)</f>
        <v/>
      </c>
      <c r="E10" s="12">
        <f>COUNTIFS(Backlog!$C$3:$C$142,$A10,Backlog!$F$3:$F$142,"Critical")</f>
        <v/>
      </c>
      <c r="F10" s="5" t="inlineStr"/>
    </row>
    <row r="11">
      <c r="A11" s="10" t="inlineStr">
        <is>
          <t>M2-P6</t>
        </is>
      </c>
      <c r="B11" s="5" t="inlineStr">
        <is>
          <t>M2</t>
        </is>
      </c>
      <c r="C11" s="5">
        <f>COUNTIFS(Backlog!$C$3:$C$142,$A11)</f>
        <v/>
      </c>
      <c r="D11" s="11">
        <f>SUMIFS(Backlog!$L$3:$L$142,Backlog!$C$3:$C$142,$A11)</f>
        <v/>
      </c>
      <c r="E11" s="12">
        <f>COUNTIFS(Backlog!$C$3:$C$142,$A11,Backlog!$F$3:$F$142,"Critical")</f>
        <v/>
      </c>
      <c r="F11" s="5" t="inlineStr"/>
    </row>
    <row r="12">
      <c r="A12" s="10" t="inlineStr">
        <is>
          <t>M2-P7</t>
        </is>
      </c>
      <c r="B12" s="5" t="inlineStr">
        <is>
          <t>M2</t>
        </is>
      </c>
      <c r="C12" s="5">
        <f>COUNTIFS(Backlog!$C$3:$C$142,$A12)</f>
        <v/>
      </c>
      <c r="D12" s="11">
        <f>SUMIFS(Backlog!$L$3:$L$142,Backlog!$C$3:$C$142,$A12)</f>
        <v/>
      </c>
      <c r="E12" s="12">
        <f>COUNTIFS(Backlog!$C$3:$C$142,$A12,Backlog!$F$3:$F$142,"Critical")</f>
        <v/>
      </c>
      <c r="F12" s="5" t="inlineStr"/>
    </row>
    <row r="13">
      <c r="A13" s="10" t="inlineStr">
        <is>
          <t>M3-P1</t>
        </is>
      </c>
      <c r="B13" s="5" t="inlineStr">
        <is>
          <t>M3</t>
        </is>
      </c>
      <c r="C13" s="5">
        <f>COUNTIFS(Backlog!$C$3:$C$142,$A13)</f>
        <v/>
      </c>
      <c r="D13" s="11">
        <f>SUMIFS(Backlog!$L$3:$L$142,Backlog!$C$3:$C$142,$A13)</f>
        <v/>
      </c>
      <c r="E13" s="12">
        <f>COUNTIFS(Backlog!$C$3:$C$142,$A13,Backlog!$F$3:$F$142,"Critical")</f>
        <v/>
      </c>
      <c r="F13" s="5" t="inlineStr"/>
    </row>
    <row r="14">
      <c r="A14" s="10" t="inlineStr">
        <is>
          <t>M3-P2</t>
        </is>
      </c>
      <c r="B14" s="5" t="inlineStr">
        <is>
          <t>M3</t>
        </is>
      </c>
      <c r="C14" s="5">
        <f>COUNTIFS(Backlog!$C$3:$C$142,$A14)</f>
        <v/>
      </c>
      <c r="D14" s="11">
        <f>SUMIFS(Backlog!$L$3:$L$142,Backlog!$C$3:$C$142,$A14)</f>
        <v/>
      </c>
      <c r="E14" s="12">
        <f>COUNTIFS(Backlog!$C$3:$C$142,$A14,Backlog!$F$3:$F$142,"Critical")</f>
        <v/>
      </c>
      <c r="F14" s="5" t="inlineStr"/>
    </row>
    <row r="15">
      <c r="A15" s="10" t="inlineStr">
        <is>
          <t>M3-P3</t>
        </is>
      </c>
      <c r="B15" s="5" t="inlineStr">
        <is>
          <t>M3</t>
        </is>
      </c>
      <c r="C15" s="5">
        <f>COUNTIFS(Backlog!$C$3:$C$142,$A15)</f>
        <v/>
      </c>
      <c r="D15" s="11">
        <f>SUMIFS(Backlog!$L$3:$L$142,Backlog!$C$3:$C$142,$A15)</f>
        <v/>
      </c>
      <c r="E15" s="12">
        <f>COUNTIFS(Backlog!$C$3:$C$142,$A15,Backlog!$F$3:$F$142,"Critical")</f>
        <v/>
      </c>
      <c r="F15" s="5" t="inlineStr"/>
    </row>
    <row r="16">
      <c r="A16" s="10" t="inlineStr">
        <is>
          <t>M3-P4</t>
        </is>
      </c>
      <c r="B16" s="5" t="inlineStr">
        <is>
          <t>M3</t>
        </is>
      </c>
      <c r="C16" s="5">
        <f>COUNTIFS(Backlog!$C$3:$C$142,$A16)</f>
        <v/>
      </c>
      <c r="D16" s="11">
        <f>SUMIFS(Backlog!$L$3:$L$142,Backlog!$C$3:$C$142,$A16)</f>
        <v/>
      </c>
      <c r="E16" s="12">
        <f>COUNTIFS(Backlog!$C$3:$C$142,$A16,Backlog!$F$3:$F$142,"Critical")</f>
        <v/>
      </c>
      <c r="F16" s="5" t="inlineStr"/>
    </row>
    <row r="17">
      <c r="A17" s="10" t="inlineStr">
        <is>
          <t>M3-P5</t>
        </is>
      </c>
      <c r="B17" s="5" t="inlineStr">
        <is>
          <t>M3</t>
        </is>
      </c>
      <c r="C17" s="5">
        <f>COUNTIFS(Backlog!$C$3:$C$142,$A17)</f>
        <v/>
      </c>
      <c r="D17" s="11">
        <f>SUMIFS(Backlog!$L$3:$L$142,Backlog!$C$3:$C$142,$A17)</f>
        <v/>
      </c>
      <c r="E17" s="12">
        <f>COUNTIFS(Backlog!$C$3:$C$142,$A17,Backlog!$F$3:$F$142,"Critical")</f>
        <v/>
      </c>
      <c r="F17" s="5" t="inlineStr"/>
    </row>
    <row r="18">
      <c r="A18" s="10" t="inlineStr">
        <is>
          <t>M4-P1</t>
        </is>
      </c>
      <c r="B18" s="5" t="inlineStr">
        <is>
          <t>M4</t>
        </is>
      </c>
      <c r="C18" s="5">
        <f>COUNTIFS(Backlog!$C$3:$C$142,$A18)</f>
        <v/>
      </c>
      <c r="D18" s="11">
        <f>SUMIFS(Backlog!$L$3:$L$142,Backlog!$C$3:$C$142,$A18)</f>
        <v/>
      </c>
      <c r="E18" s="12">
        <f>COUNTIFS(Backlog!$C$3:$C$142,$A18,Backlog!$F$3:$F$142,"Critical")</f>
        <v/>
      </c>
      <c r="F18" s="5" t="inlineStr"/>
    </row>
    <row r="19">
      <c r="A19" s="10" t="inlineStr">
        <is>
          <t>M4-P2</t>
        </is>
      </c>
      <c r="B19" s="5" t="inlineStr">
        <is>
          <t>M4</t>
        </is>
      </c>
      <c r="C19" s="5">
        <f>COUNTIFS(Backlog!$C$3:$C$142,$A19)</f>
        <v/>
      </c>
      <c r="D19" s="11">
        <f>SUMIFS(Backlog!$L$3:$L$142,Backlog!$C$3:$C$142,$A19)</f>
        <v/>
      </c>
      <c r="E19" s="12">
        <f>COUNTIFS(Backlog!$C$3:$C$142,$A19,Backlog!$F$3:$F$142,"Critical")</f>
        <v/>
      </c>
      <c r="F19" s="5" t="inlineStr"/>
    </row>
    <row r="20">
      <c r="A20" s="10" t="inlineStr">
        <is>
          <t>M4-P3</t>
        </is>
      </c>
      <c r="B20" s="5" t="inlineStr">
        <is>
          <t>M4</t>
        </is>
      </c>
      <c r="C20" s="5">
        <f>COUNTIFS(Backlog!$C$3:$C$142,$A20)</f>
        <v/>
      </c>
      <c r="D20" s="11">
        <f>SUMIFS(Backlog!$L$3:$L$142,Backlog!$C$3:$C$142,$A20)</f>
        <v/>
      </c>
      <c r="E20" s="12">
        <f>COUNTIFS(Backlog!$C$3:$C$142,$A20,Backlog!$F$3:$F$142,"Critical")</f>
        <v/>
      </c>
      <c r="F20" s="5" t="inlineStr"/>
    </row>
    <row r="21">
      <c r="A21" s="10" t="inlineStr">
        <is>
          <t>M4-P4</t>
        </is>
      </c>
      <c r="B21" s="5" t="inlineStr">
        <is>
          <t>M4</t>
        </is>
      </c>
      <c r="C21" s="5">
        <f>COUNTIFS(Backlog!$C$3:$C$142,$A21)</f>
        <v/>
      </c>
      <c r="D21" s="11">
        <f>SUMIFS(Backlog!$L$3:$L$142,Backlog!$C$3:$C$142,$A21)</f>
        <v/>
      </c>
      <c r="E21" s="12">
        <f>COUNTIFS(Backlog!$C$3:$C$142,$A21,Backlog!$F$3:$F$142,"Critical")</f>
        <v/>
      </c>
      <c r="F21" s="5" t="inlineStr"/>
    </row>
    <row r="22">
      <c r="A22" s="10" t="inlineStr">
        <is>
          <t>M4-P5</t>
        </is>
      </c>
      <c r="B22" s="5" t="inlineStr">
        <is>
          <t>M4</t>
        </is>
      </c>
      <c r="C22" s="5">
        <f>COUNTIFS(Backlog!$C$3:$C$142,$A22)</f>
        <v/>
      </c>
      <c r="D22" s="11">
        <f>SUMIFS(Backlog!$L$3:$L$142,Backlog!$C$3:$C$142,$A22)</f>
        <v/>
      </c>
      <c r="E22" s="12">
        <f>COUNTIFS(Backlog!$C$3:$C$142,$A22,Backlog!$F$3:$F$142,"Critical")</f>
        <v/>
      </c>
      <c r="F22" s="5" t="inlineStr"/>
    </row>
    <row r="24">
      <c r="A24" s="13" t="inlineStr">
        <is>
          <t>Milestone totals</t>
        </is>
      </c>
    </row>
    <row r="25">
      <c r="A25" s="14" t="inlineStr">
        <is>
          <t>Milestone</t>
        </is>
      </c>
      <c r="B25" s="14" t="inlineStr">
        <is>
          <t>Tasks</t>
        </is>
      </c>
      <c r="C25" s="14" t="inlineStr">
        <is>
          <t>Hours</t>
        </is>
      </c>
      <c r="D25" s="14" t="inlineStr">
        <is>
          <t>Critical</t>
        </is>
      </c>
    </row>
    <row r="26">
      <c r="A26" s="15" t="inlineStr">
        <is>
          <t>M1</t>
        </is>
      </c>
      <c r="B26" s="16">
        <f>COUNTIFS(Backlog!$B$3:$B$142,$A26)</f>
        <v/>
      </c>
      <c r="C26" s="17">
        <f>SUMIFS(Backlog!$L$3:$L$142,Backlog!$B$3:$B$142,$A26)</f>
        <v/>
      </c>
      <c r="D26" s="18">
        <f>COUNTIFS(Backlog!$B$3:$B$142,$A26,Backlog!$F$3:$F$142,"Critical")</f>
        <v/>
      </c>
    </row>
    <row r="27">
      <c r="A27" s="15" t="inlineStr">
        <is>
          <t>M2</t>
        </is>
      </c>
      <c r="B27" s="16">
        <f>COUNTIFS(Backlog!$B$3:$B$142,$A27)</f>
        <v/>
      </c>
      <c r="C27" s="17">
        <f>SUMIFS(Backlog!$L$3:$L$142,Backlog!$B$3:$B$142,$A27)</f>
        <v/>
      </c>
      <c r="D27" s="18">
        <f>COUNTIFS(Backlog!$B$3:$B$142,$A27,Backlog!$F$3:$F$142,"Critical")</f>
        <v/>
      </c>
    </row>
    <row r="28">
      <c r="A28" s="15" t="inlineStr">
        <is>
          <t>M3</t>
        </is>
      </c>
      <c r="B28" s="16">
        <f>COUNTIFS(Backlog!$B$3:$B$142,$A28)</f>
        <v/>
      </c>
      <c r="C28" s="17">
        <f>SUMIFS(Backlog!$L$3:$L$142,Backlog!$B$3:$B$142,$A28)</f>
        <v/>
      </c>
      <c r="D28" s="18">
        <f>COUNTIFS(Backlog!$B$3:$B$142,$A28,Backlog!$F$3:$F$142,"Critical")</f>
        <v/>
      </c>
    </row>
    <row r="29">
      <c r="A29" s="15" t="inlineStr">
        <is>
          <t>M4</t>
        </is>
      </c>
      <c r="B29" s="16">
        <f>COUNTIFS(Backlog!$B$3:$B$142,$A29)</f>
        <v/>
      </c>
      <c r="C29" s="17">
        <f>SUMIFS(Backlog!$L$3:$L$142,Backlog!$B$3:$B$142,$A29)</f>
        <v/>
      </c>
      <c r="D29" s="18">
        <f>COUNTIFS(Backlog!$B$3:$B$142,$A29,Backlog!$F$3:$F$142,"Critical")</f>
        <v/>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2026-07-09T13:32:46Z</dcterms:created>
  <dcterms:modified xmlns:dcterms="http://purl.org/dc/terms/" xmlns:xsi="http://www.w3.org/2001/XMLSchema-instance" xsi:type="dcterms:W3CDTF">2026-07-09T13:32:46Z</dcterms:modified>
</cp:coreProperties>
</file>