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hase Plan" sheetId="2" state="visible" r:id="rId4"/>
    <sheet name="Task List" sheetId="3" state="visible" r:id="rId5"/>
    <sheet name="Legend" sheetId="4" state="visible" r:id="rId6"/>
  </sheets>
  <definedNames>
    <definedName function="false" hidden="true" localSheetId="2" name="_xlnm._FilterDatabase" vbProcedure="false">'Task List'!$A$2:$K$45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<sst xmlns="http://schemas.openxmlformats.org/spreadsheetml/2006/main" count="533" uniqueCount="311">
  <si>
    <t xml:space="preserve">SOU  INDUSTRIAL  SOFTWARE</t>
  </si>
  <si>
    <t xml:space="preserve">PlantProcess IQ — Execution Task List</t>
  </si>
  <si>
    <t xml:space="preserve">From the current build (≈ 70 / 100) to the full Doctrine v7.0 vision (V6 ∪ V4)</t>
  </si>
  <si>
    <t xml:space="preserve">43 tasks · 7 phases · ≈ 361 hours · ordered by priority and prerequisites · a deployable, unbroken increment after every phase.</t>
  </si>
  <si>
    <t xml:space="preserve">How to use this workbook</t>
  </si>
  <si>
    <t xml:space="preserve">•  This task list turns the Build-Audit-vs-v7 findings into an execution plan. It does three things at once: (1) drives every v7 commitment to done; (2) re-works the items the audit flagged as fragile or non-generic; and (3) fixes the bugs found while reading the code.</t>
  </si>
  <si>
    <t xml:space="preserve">•  Tabs: ‘Phase Plan’ is the management view — phases, live hour totals, the deploy milestone and exit criteria for each. ‘Task List’ is the build view — every task with a junior-actionable description and hard, test-based acceptance criteria. ‘Legend’ defines the columns and colour coding.</t>
  </si>
  <si>
    <t xml:space="preserve">•  Phase rule: each phase is sized 45–65 hours and ends with a server deploy that shows something new and unbroken. Higher-value, higher-priority work is earlier; prerequisites are respected; similar work is grouped so the same file is not reopened many tasks apart.</t>
  </si>
  <si>
    <t xml:space="preserve">•  Acceptance rule: a task is ‘done’ only when its acceptance criteria pass — real unit / integration / e2e / dotnet tests — not merely when the build compiles. Every phase ends with a deep test task that also re-runs the whole suite so a change in one place cannot silently break another.</t>
  </si>
  <si>
    <t xml:space="preserve">•  Effort is in engineering hours and is indicative. Hours shown on the Phase Plan are computed live from the Task List via SUMIF, so editing an Effort cell updates the totals automatically.</t>
  </si>
  <si>
    <t xml:space="preserve">What this plan is built from</t>
  </si>
  <si>
    <t xml:space="preserve">Not started in the audit (&lt; 40%) → now built</t>
  </si>
  <si>
    <t xml:space="preserve">OT-safe Edge Collector + historian source (P5); a real, self-hostable embedding model for the assistant (P4).</t>
  </si>
  <si>
    <t xml:space="preserve">Partially done (40–65%) → now finished</t>
  </si>
  <si>
    <t xml:space="preserve">The grounded assistant (P4); schema-drift depth (P5); SSO/SCIM/SAML depth (P6).</t>
  </si>
  <si>
    <t xml:space="preserve">Flagged for rework → now refactored</t>
  </si>
  <si>
    <t xml:space="preserve">Consolidate four correlation engines (P2); generic SQL allowlist + one validator (P1); narrative-provider unification (P2); repo hygiene + bootstrap-tenant (P1).</t>
  </si>
  <si>
    <t xml:space="preserve">Bugs found in code → now fixed</t>
  </si>
  <si>
    <t xml:space="preserve">B1 KPI BasicSqlGuard substring (P1·T001); B2 dead SaveToken (P1·T003); B3 allowlist duplicate (P1·T004); B4 null material context (P1·T002 → real in P2).</t>
  </si>
  <si>
    <t xml:space="preserve">Mostly done → now driven to ‘done’</t>
  </si>
  <si>
    <t xml:space="preserve">Euro value + coverage + KPI views surfaced in the HMI (P3); demo-from-empty + signed-license wiring + RLS (P6); accessibility/i18n/ops/compliance (P7).</t>
  </si>
  <si>
    <t xml:space="preserve">PlantProcess IQ · Phase Plan — deployable increments to the v7 vision</t>
  </si>
  <si>
    <t xml:space="preserve">Phase</t>
  </si>
  <si>
    <t xml:space="preserve">Primary track</t>
  </si>
  <si>
    <t xml:space="preserve">Effort (h)</t>
  </si>
  <si>
    <t xml:space="preserve">Tasks</t>
  </si>
  <si>
    <t xml:space="preserve">Deploy milestone — what is new to show</t>
  </si>
  <si>
    <t xml:space="preserve">Exit criteria (phase is done when…)</t>
  </si>
  <si>
    <t xml:space="preserve">P1 · Stabilize &amp; Secure</t>
  </si>
  <si>
    <t xml:space="preserve">Hardening</t>
  </si>
  <si>
    <t xml:space="preserve">Bug-free build; SQL safety is now generic and unified on one validator; repo is clean. Nothing in the audit's B1-B4 remains.</t>
  </si>
  <si>
    <t xml:space="preserve">Zero known audit bugs; allowlist derived from schema/mapping; a single SQL validator; 20+ injection tests; full suite green.</t>
  </si>
  <si>
    <t xml:space="preserve">P2 · Consolidate Analytics</t>
  </si>
  <si>
    <t xml:space="preserve">AI+ML</t>
  </si>
  <si>
    <t xml:space="preserve">One authoritative, reproducible analysis engine; method + provenance + honesty caveat on every finding; the four-engine sprawl is gone.</t>
  </si>
  <si>
    <t xml:space="preserve">Single ICorrelationEngine default; the §7.4 golden finding reproduced deterministically; all correlation endpoints migrated; suite green.</t>
  </si>
  <si>
    <t xml:space="preserve">P3 · Value &amp; Evidence in HMI</t>
  </si>
  <si>
    <t xml:space="preserve">Workflow</t>
  </si>
  <si>
    <t xml:space="preserve">The euro impact range, coverage transparency and first-class KPI views are visible in the HMI - the value story becomes demonstrable.</t>
  </si>
  <si>
    <t xml:space="preserve">Worked €28k-€56k range reproduced and abstains correctly; coverage on every finding; &gt;=4 canonical KPI views; suite green.</t>
  </si>
  <si>
    <t xml:space="preserve">P4 · Production Assistant</t>
  </si>
  <si>
    <t xml:space="preserve">A grounded, self-hostable assistant that answers plant questions with citations and abstains honestly - the AI story becomes real.</t>
  </si>
  <si>
    <t xml:space="preserve">Real embeddings; grounding contract enforced (no invented numbers); air-gap no-egress proven; assistant UI e2e; suite green.</t>
  </si>
  <si>
    <t xml:space="preserve">P5 · OT-Safe Acquisition</t>
  </si>
  <si>
    <t xml:space="preserve">The OT-safe acquisition edge: Edge Collector + a historian source + schema-drift surfacing - and the 'never touches control' proof.</t>
  </si>
  <si>
    <t xml:space="preserve">Automated one-way/no-inbound network proof; historian ingest; drift detected and surfaced; idempotent re-push; suite green.</t>
  </si>
  <si>
    <t xml:space="preserve">P6 · Enterprise &amp; Demo</t>
  </si>
  <si>
    <t xml:space="preserve">Security</t>
  </si>
  <si>
    <t xml:space="preserve">Enterprise-ready: a demo that builds from empty via the HMI, tamper-proof signed licensing, Postgres RLS isolation and real SSO/SCIM.</t>
  </si>
  <si>
    <t xml:space="preserve">Empty-&gt;demo-&gt;reset e2e; tampered license demotes; RLS cross-tenant isolation; SSO/SCIM round-trips; suite green.</t>
  </si>
  <si>
    <t xml:space="preserve">P7 · Experience, Ops &amp; Compliance</t>
  </si>
  <si>
    <t xml:space="preserve">A polished, AA-accessible, fully internationalised, operable and compliant product - the release candidate for the vision.</t>
  </si>
  <si>
    <t xml:space="preserve">axe AA zero criticals; verified restore drill; immutable audit trail; performance smoke within budget; full green suite; RC tagged.</t>
  </si>
  <si>
    <t xml:space="preserve">TOTAL</t>
  </si>
  <si>
    <t xml:space="preserve">Seven deploys — each a clean, demonstrable step toward the high-tech vision.</t>
  </si>
  <si>
    <t xml:space="preserve">PlantProcess IQ · Execution Task List — current build → Doctrine v7.0</t>
  </si>
  <si>
    <t xml:space="preserve">Task ID</t>
  </si>
  <si>
    <t xml:space="preserve">Task Name</t>
  </si>
  <si>
    <t xml:space="preserve">Track</t>
  </si>
  <si>
    <t xml:space="preserve">Module</t>
  </si>
  <si>
    <t xml:space="preserve">Submodule</t>
  </si>
  <si>
    <t xml:space="preserve">Severity</t>
  </si>
  <si>
    <t xml:space="preserve">Description (what to build)</t>
  </si>
  <si>
    <t xml:space="preserve">Acceptance Criteria (hard tests, not just a build)</t>
  </si>
  <si>
    <t xml:space="preserve">Task Type</t>
  </si>
  <si>
    <t xml:space="preserve">PPIQ-T001</t>
  </si>
  <si>
    <t xml:space="preserve">Fix KPI BasicSqlGuard false-positive on read-only views</t>
  </si>
  <si>
    <t xml:space="preserve">Backend</t>
  </si>
  <si>
    <t xml:space="preserve">Analytics.Core / Kpi</t>
  </si>
  <si>
    <t xml:space="preserve">Critical</t>
  </si>
  <si>
    <t xml:space="preserve">KpiEngine.BasicSqlGuard validates SQL-view KPI text with naive lower.Contains(token) over a forbidden list that includes "create". Any legitimate read-only view that references columns such as created_at, create_date, or created_by is wrongly rejected with "forbidden token 'create'" (the same flaw affects other substrings). Replace the substring scan with word-boundary matching identical to SafeSqlValidator's \b{token}\b regex; PREFERRED: delete BasicSqlGuard entirely and route all KPI SQL-view validation through SafeSqlValidator so there is one source of truth. Update KpiEngine to call SafeSqlValidator.Validate and surface its SqlSafetyValidationResultDto errors verbatim.</t>
  </si>
  <si>
    <t xml:space="preserve">1) New unit test in P05_KpiEngineTests: a SELECT over a view referencing created_at AND updated_at PASSES. 2) A view containing ;DROP TABLE or pg_read_file FAILS with a clear error. 3) A view using OFFSET 10 PASSES (word-boundary, not substring). 4) If removed, a code search proves BasicSqlGuard is no longer referenced anywhere. 5) dotnet test green.</t>
  </si>
  <si>
    <t xml:space="preserve">Bug fix</t>
  </si>
  <si>
    <t xml:space="preserve">PPIQ-T002</t>
  </si>
  <si>
    <t xml:space="preserve">Withdraw or back the null material-correlation context</t>
  </si>
  <si>
    <t xml:space="preserve">Analytics / CorrelationService</t>
  </si>
  <si>
    <t xml:space="preserve">Important</t>
  </si>
  <si>
    <t xml:space="preserve">CorrelationService.GetMaterialCorrelationContextAsync returns MaterialParameterRiskIndicator rows with null baseline / expected / z-score (the code comments it as "full statistical matching comes later"). Shipping this surfaces empty analytic fields to the UI. Because Phase 2 consolidates the engines, the interim fix is to feature-flag this endpoint OFF and return an explicit "not yet available" contract instead of silently-null numbers; it is upgraded to a real engine-backed context in Phase 3 (T018/T012). Ensure the HMI shows an honest empty/abstain state, never blank numbers presented as analysis.</t>
  </si>
  <si>
    <t xml:space="preserve">1) The endpoint no longer returns silently-null analytic fields as if they were results. 2) The HMI material view shows an explicit empty/abstain state. 3) A contract test asserts the flagged-off response shape. 4) dotnet test + Playwright e2e green.</t>
  </si>
  <si>
    <t xml:space="preserve">PPIQ-T003</t>
  </si>
  <si>
    <t xml:space="preserve">Remove dead SaveToken assignment in JWT setup</t>
  </si>
  <si>
    <t xml:space="preserve">Security / Auth</t>
  </si>
  <si>
    <t xml:space="preserve">Normal</t>
  </si>
  <si>
    <t xml:space="preserve">In Program.cs AddJwtBearer, options.SaveToken = false; is immediately overwritten by options.SaveToken = true; — a dead line left from debugging. Remove the first assignment and add a one-line comment stating the intended value. Confirm the per-request IssuerSigningKeyResolver (the documented mint/validate fix) remains intact and is the path actually exercised in production and tests.</t>
  </si>
  <si>
    <t xml:space="preserve">1) Exactly one SaveToken assignment remains. 2) Integration auth test still passes: login -&gt; call a protected endpoint -&gt; 200. 3) A test asserts the IssuerSigningKeyResolver is invoked. 4) dotnet test green.</t>
  </si>
  <si>
    <t xml:space="preserve">PPIQ-T004</t>
  </si>
  <si>
    <t xml:space="preserve">De-duplicate and reconcile SafeSqlValidator allowlist</t>
  </si>
  <si>
    <t xml:space="preserve">Integration.Security</t>
  </si>
  <si>
    <t xml:space="preserve">SafeSqlValidator.AllowedTables lists downtime_events twice and carries both defect_catalog and defect_catalogs. De-duplicate the set, then reconcile the canonical defect table name against the EF Core configuration and the migration scripts so only the correct name remains. This is the cleanup precursor to T005 (genericisation).</t>
  </si>
  <si>
    <t xml:space="preserve">1) A unit test asserts AllowedTables has distinct count == element count (no duplicates). 2) The retained defect table name matches the EF Core entity-to-table mapping AND an applied migration. 3) dotnet test green.</t>
  </si>
  <si>
    <t xml:space="preserve">PPIQ-T005</t>
  </si>
  <si>
    <t xml:space="preserve">Genericise the SQL allowlist from registered schema/mapping</t>
  </si>
  <si>
    <t xml:space="preserve">Very important</t>
  </si>
  <si>
    <t xml:space="preserve">Today AllowedTables is a hardcoded HashSet in code that also contains demo-specific tables (hsm_coils, parsytec_surface_defects, qa_lab_results, ...). For a product whose premise is connecting to arbitrary customer schemas this blocks every new schema and couples security to the demo plant. Introduce an ITableAllowlistProvider that, per tenant, returns the permitted set = canonical schema tables (from EF model metadata or a canonical-table registry) UNION the tenant's registered source tables (source_dataset_definitions / source_field_definitions / canonical_schema_views). Change Validate(sql, allowlist) to accept the set (keep a small static set for pure unit tests). Remove ALL demo table literals from the validator source.</t>
  </si>
  <si>
    <t xml:space="preserve">1) Integration test: register a NEW source dataset via the API, then a view over it validates successfully without code changes. 2) A query over an unregistered table FAILS. 3) Demo tables are NOT special-cased anywhere. 4) grep shows no hsm_coils / parsytec_surface_defects literals in SafeSqlValidator. 5) dotnet test + schema-view e2e green.</t>
  </si>
  <si>
    <t xml:space="preserve">Refactor</t>
  </si>
  <si>
    <t xml:space="preserve">PPIQ-T006</t>
  </si>
  <si>
    <t xml:space="preserve">Unify every SQL path on SafeSqlValidator</t>
  </si>
  <si>
    <t xml:space="preserve">Audit every place raw SQL is accepted or compiled: KPI SQL-views (KpiEngine), the Schema View Builder, the widget script compiler (WidgetScriptSqlCompiler), and any preview/run endpoint. Ensure each routes through SafeSqlValidator with the per-tenant allowlist from T005. Delete KpiEngine.BasicSqlGuard. Optionally introduce one ISqlSafetyValidator abstraction so there is a single, testable entry point.</t>
  </si>
  <si>
    <t xml:space="preserve">1) A code/architecture test proves no SQL is executed or compiled without passing SafeSqlValidator. 2) An architecture test asserts BasicSqlGuard no longer exists. 3) Widget, KPI, and schema-view validation tests pass. 4) dotnet test green.</t>
  </si>
  <si>
    <t xml:space="preserve">PPIQ-T007</t>
  </si>
  <si>
    <t xml:space="preserve">Parameterise bootstrap tenant provisioning</t>
  </si>
  <si>
    <t xml:space="preserve">Security / Provisioning</t>
  </si>
  <si>
    <t xml:space="preserve">AuthStore.CreateOwnerAsync inserts using a hardcoded tenant GUID '00000000-0000-0000-0000-000000000001'. For real multi-tenant provisioning, accept tenantId (and tenantCode) parameters; FirstRunProvisioningHostedService should create/resolve the tenant and pass its id. Keep the single-tenant first-run default behind configuration so existing behaviour is unchanged on an empty database.</t>
  </si>
  <si>
    <t xml:space="preserve">1) Integration test: provisioning two tenants yields two owner users under two distinct tenant ids. 2) First-run on an empty DB still creates the default tenant + owner. 3) No hardcoded tenant GUID remains in the provisioning path. 4) dotnet test green.</t>
  </si>
  <si>
    <t xml:space="preserve">PPIQ-T008</t>
  </si>
  <si>
    <t xml:space="preserve">Purge committed backup files and harden .gitignore</t>
  </si>
  <si>
    <t xml:space="preserve">Infrastructure</t>
  </si>
  <si>
    <t xml:space="preserve">Repo Hygiene</t>
  </si>
  <si>
    <t xml:space="preserve">The snapshot contains 21 backup files in the tree (Program.cs.bak_state_di, .bak_fix_auth_di, .bak_final_audit_di, AuthEndpoints.cs.bak_*, MlFoundationEndpoints.cs.bak_*, *_225545, *.fixbak, ...). These pollute the codebase and risk a stale copy being read. Delete all of them; add ignore patterns (*.bak, *.bak_*, *.fixbak, *_225545) to .gitignore; confirm the solution and frontend build cleanly without them.</t>
  </si>
  <si>
    <t xml:space="preserve">1) git ls-files | grep -E '\.bak|fixbak|_225545' returns nothing. 2) dotnet build and npm run build both succeed. 3) .gitignore updated with the patterns. 4) CI green.</t>
  </si>
  <si>
    <t xml:space="preserve">PPIQ-T009</t>
  </si>
  <si>
    <t xml:space="preserve">Phase 1 regression + SQL-injection corpus tests</t>
  </si>
  <si>
    <t xml:space="preserve">Testing</t>
  </si>
  <si>
    <t xml:space="preserve">Security / SQL</t>
  </si>
  <si>
    <t xml:space="preserve">Lock in Phase-1 behaviour and prevent regressions. Add a SQL-injection corpus that must all be REJECTED: comment-obfuscation (/*..*/ and -- tricks), stacked statements, UNION into pg_catalog/information_schema, dblink, pg_sleep, xp_cmdshell, casing/whitespace evasions. Add legitimate analytic SELECTs that must all PASS: queries with created_at, OFFSET, multi-join, CTEs. Add a per-tenant isolation test (tenant A cannot reference tenant B's source tables via the T005 allowlist). Then run the FULL suite (dotnet test + npm run test + npm run e2e) and fix any breakage introduced by T001-T008.</t>
  </si>
  <si>
    <t xml:space="preserve">1) &gt;=20 new SafeSqlValidator cases (positive + negative) green. 2) Tenant-isolation test green. 3) Entire dotnet test, npm run test, and Playwright e2e suites green on a clean checkout. 4) CI green and a tag/deploy is cut.</t>
  </si>
  <si>
    <t xml:space="preserve">Test</t>
  </si>
  <si>
    <t xml:space="preserve">PPIQ-T010</t>
  </si>
  <si>
    <t xml:space="preserve">Define one canonical correlation engine + strategy registry</t>
  </si>
  <si>
    <t xml:space="preserve">Analytics</t>
  </si>
  <si>
    <t xml:space="preserve">Four correlation paths exist (CorrelationService binning/lift MVP; AdvancedCorrelationComputeService over PlantProcess.Analytics.Core; ManagedStatisticalComputeEngine; PostgresCorrelationComputeEngine) plus three narrative providers. Establish ONE authoritative interface (ICorrelationEngine) with the Analytics.Core path as the canonical default. Register the alternates (Postgres SQL engine, managed) as keyed/named strategies behind a selector with an explicit, documented default. Define one result contract (AdvancedAnalysisRunResult) that every path emits, always carrying method, effect, q-value, bootstrap CI, stratification verdict, provenance handle and the honesty caveat.</t>
  </si>
  <si>
    <t xml:space="preserve">1) Exactly one interface and one default engine. 2) The existing CorrelationConsolidationArchitectureTests passes and asserts the canonical engine is the default. 3) A unit test runs a fixed dataset through the canonical engine and gets the deterministic golden result. 4) dotnet test green.</t>
  </si>
  <si>
    <t xml:space="preserve">PPIQ-T011</t>
  </si>
  <si>
    <t xml:space="preserve">Migrate all analytics endpoints to the canonical engine</t>
  </si>
  <si>
    <t xml:space="preserve">API</t>
  </si>
  <si>
    <t xml:space="preserve">Repoint every correlation consumer to ICorrelationEngine: CorrelationEndpoints, MlFoundationEndpoints, AdvancedResultsEndpoints, Phase45ClosureEndpoints, MaterialInvestigationEndpoints, and any dashboard/widget query that requests correlations. Keep the request/response DTOs stable for the frontend (add an adapter if needed). Ensure the provenance handle and honesty caveat flow all the way to the API surface.</t>
  </si>
  <si>
    <t xml:space="preserve">1) All correlation endpoints return AdvancedAnalysisRunResult-shaped data with method name, effect, q-value, bootstrap CI, stratification verdict and provenance. 2) Integration tests hit each endpoint and assert these fields. 3) Frontend correlation pages still render (e2e). 4) dotnet test + e2e green.</t>
  </si>
  <si>
    <t xml:space="preserve">PPIQ-T012</t>
  </si>
  <si>
    <t xml:space="preserve">Retire the binning MVP + make material context real</t>
  </si>
  <si>
    <t xml:space="preserve">Replace remaining uses of the binning/lift CorrelationService with the canonical engine. Where binning/lift is still wanted as a descriptive view, express it as a NAMED strategy, not a parallel service. Convert GetMaterialCorrelationContextAsync (the T002 stub) to be engine-backed so baseline / expected / z-score are real numbers. Mark the legacy service [Obsolete] or delete it.</t>
  </si>
  <si>
    <t xml:space="preserve">1) Material context returns real baseline/expected/z-score from the canonical engine. 2) No endpoint depends on the legacy binning service for inferential claims. 3) A test reproduces a seeded material's risk context with expected values. 4) dotnet test green.</t>
  </si>
  <si>
    <t xml:space="preserve">PPIQ-T013</t>
  </si>
  <si>
    <t xml:space="preserve">Consolidate the three narrative providers</t>
  </si>
  <si>
    <t xml:space="preserve">Analytics / Narrative</t>
  </si>
  <si>
    <t xml:space="preserve">LocalNarrativeProvider, ApiNarrativeProvider and ConfiguredNarrativeProvider all generate finding explanations. Establish one INarrativeProvider contract with a configured default (local/extractive) and an optional external provider behind config. Guarantee narratives are grounded strictly in the finding's own numbers (no invented values) and always carry the honesty caveat.</t>
  </si>
  <si>
    <t xml:space="preserve">1) One provider selected by config; the others are strategies. 2) A grounding test asserts a narrative contains only numbers present in the finding object. 3) dotnet test green.</t>
  </si>
  <si>
    <t xml:space="preserve">PPIQ-T014</t>
  </si>
  <si>
    <t xml:space="preserve">Reproduce the §7.4 worked finding as a golden test</t>
  </si>
  <si>
    <t xml:space="preserve">Seed a fixed dataset and assert the canonical engine reproduces the doctrine's §7.4 worked correlation end-to-end: correct method auto-selected, effect size within tolerance, q-value significant under BH-FDR, bootstrap stable (CI excludes zero, sign consistency &gt;= 0.95), and survives stratification. Fixed seed -&gt; identical numbers on re-run. This is the regression anchor for all future analytics work.</t>
  </si>
  <si>
    <t xml:space="preserve">1) Golden test asserts exact method, effect (+/- tolerance), q-value significance, stability flag and stratification verdict. 2) Re-running yields byte-identical numbers (determinism). 3) Added to CI. 4) Full suite green.</t>
  </si>
  <si>
    <t xml:space="preserve">PPIQ-T015</t>
  </si>
  <si>
    <t xml:space="preserve">Phase 2 regression sweep</t>
  </si>
  <si>
    <t xml:space="preserve">Regression</t>
  </si>
  <si>
    <t xml:space="preserve">Run dotnet test + npm run test + npm run e2e. Fix any breakage from the engine migration. Confirm every analytics-dependent dashboard, widget and report still functions and now shows method + provenance. Confirm no endpoint silently lost a field during the DTO adapter work.</t>
  </si>
  <si>
    <t xml:space="preserve">1) Entire suite green on a clean checkout. 2) e2e correlation and dashboard flows pass. 3) CI green and a deploy is cut showing 'one engine, reproducible findings, provenance everywhere'.</t>
  </si>
  <si>
    <t xml:space="preserve">PPIQ-T016</t>
  </si>
  <si>
    <t xml:space="preserve">Cost-assumption store: per-tenant bands, versioned (backend)</t>
  </si>
  <si>
    <t xml:space="preserve">Analytics.Value</t>
  </si>
  <si>
    <t xml:space="preserve">ValueImpactEngine consumes a CostAssumptionSet with low/mid/high bands for scrap cost per ton, downgrade delta per ton, downtime cost per minute and grade premium per ton. Implement the ICostAssumptionStore-backed CRUD (NpgsqlCostAssumptionStore + ValueEndpoints) so each tenant manages its own cost bands with versioning and an effective-from date. Validate every band (low &lt;= mid &lt;= high; non-negative). The engine must pick the active version for the analysis window.</t>
  </si>
  <si>
    <t xml:space="preserve">1) API creates / updates / reads versioned cost sets per tenant. 2) Invalid bands (low&gt;mid, negatives) are rejected with clear errors. 3) The engine selects the active version for a given date. 4) Integration tests cover versioning + selection. 5) dotnet test green.</t>
  </si>
  <si>
    <t xml:space="preserve">New feature</t>
  </si>
  <si>
    <t xml:space="preserve">PPIQ-T017</t>
  </si>
  <si>
    <t xml:space="preserve">Cost-assumption management UI</t>
  </si>
  <si>
    <t xml:space="preserve">Web</t>
  </si>
  <si>
    <t xml:space="preserve">FrontEnd</t>
  </si>
  <si>
    <t xml:space="preserve">Value</t>
  </si>
  <si>
    <t xml:space="preserve">An admin HMI page to view/edit the tenant's cost bands, with inline validation, version history and who/when. Use the Dark Industrial Command Center styling, full i18n (en + ar) and RTL, accessible forms (associated labels, aria, full keyboard operation), and the established useOptimisticSave hook pattern for saves.</t>
  </si>
  <si>
    <t xml:space="preserve">1) Page CRUD round-trips to the API. 2) Validation errors shown inline. 3) No hardcoded user-facing strings (i18n keys present). 4) axe-core: no serious/critical violations. 5) Playwright e2e: edit a band, save, reload -&gt; value persists.</t>
  </si>
  <si>
    <t xml:space="preserve">PPIQ-T018</t>
  </si>
  <si>
    <t xml:space="preserve">Wire value engine into findings -&gt; € range with provenance (E2E)</t>
  </si>
  <si>
    <t xml:space="preserve">For each significant finding, compute the euro impact range via ValueImpactEngine using the finding's quantities and the tenant's active cost bands. Expose low/mid/high on the finding and report APIs; render the range with the provenance handle and the honesty caveat, and an explicit 'no basis - abstained' state when any band is missing. This realises the §7.5 worked €28k-€56k example end-to-end.</t>
  </si>
  <si>
    <t xml:space="preserve">1) A seeded finding + seeded bands shows the doctrine's worked range (+/- tolerance) in BOTH the API and the UI. 2) Removing one cost band flips the UI to the abstain state (never a fabricated number). 3) The provenance handle is visible and traceable to the finding. 4) Integration + e2e tests green.</t>
  </si>
  <si>
    <t xml:space="preserve">PPIQ-T019</t>
  </si>
  <si>
    <t xml:space="preserve">Author canonical KPIs as first-class SQL views</t>
  </si>
  <si>
    <t xml:space="preserve">Database</t>
  </si>
  <si>
    <t xml:space="preserve">Views / KPI</t>
  </si>
  <si>
    <t xml:space="preserve">Only one DB view file exists; the doctrine treats key KPIs (e.g., first-pass surface yield) as first-class canonical views. Author the canonical KPI views (parameterised, read-only, validated by SafeSqlValidator) via idempotent migration scripts, and register them in KpiEngine as KpiKind.SqlView while keeping Formula and MappedMeasure kinds working. Each view carries unit + threshold metadata.</t>
  </si>
  <si>
    <t xml:space="preserve">1) &gt;=4 canonical KPI views created via idempotent SQL (re-running the script is a no-op). 2) KpiEngine evaluates each with correct threshold/severity. 3) A test computes a KPI from seeded data and asserts the value AND the severity classification. 4) dotnet test green.</t>
  </si>
  <si>
    <t xml:space="preserve">PPIQ-T020</t>
  </si>
  <si>
    <t xml:space="preserve">Coverage transparency on every finding</t>
  </si>
  <si>
    <t xml:space="preserve">Provenance / Coverage</t>
  </si>
  <si>
    <t xml:space="preserve">The doctrine requires every finding to state its coverage: population analysed, count excluded with reasons, and completeness. Surface this from the readiness/analysis output on the finding API and render it beside each finding ('based on N heats; M excluded for X'). Coverage must reconcile arithmetically with the analysed population.</t>
  </si>
  <si>
    <t xml:space="preserve">1) Each finding response includes population, excluded, reasons and completeness. 2) The UI shows a coverage line on every finding. 3) A test asserts population == included + excluded and completeness is in [0,1]. 4) e2e shows coverage on a finding card.</t>
  </si>
  <si>
    <t xml:space="preserve">PPIQ-T021</t>
  </si>
  <si>
    <t xml:space="preserve">Surface blended provenance on the material view</t>
  </si>
  <si>
    <t xml:space="preserve">Provenance</t>
  </si>
  <si>
    <t xml:space="preserve">Blended/transition logic already exists server-side (provenance handles, transition flags). On a material/coil view, surface how a value was blended across transitions (which heat segments contributed and with what weight) using the existing provenance data, with an accessible, i18n'd, RTL-correct presentation.</t>
  </si>
  <si>
    <t xml:space="preserve">1) The material view shows a provenance/transition breakdown from REAL data. 2) i18n keys present + axe clean. 3) e2e renders the breakdown for a seeded material with a transition.</t>
  </si>
  <si>
    <t xml:space="preserve">Modification</t>
  </si>
  <si>
    <t xml:space="preserve">PPIQ-T022</t>
  </si>
  <si>
    <t xml:space="preserve">Phase 3 hard tests: value, coverage, KPI</t>
  </si>
  <si>
    <t xml:space="preserve">Deep validation: the value range reproduces the worked example and abstains correctly when a band is missing; coverage numbers reconcile; KPI views match hand-computed values and severities. Then full regression (dotnet test + npm run test + npm run e2e), fixing anything the value/coverage wiring broke.</t>
  </si>
  <si>
    <t xml:space="preserve">1) Value abstain + range tests green. 2) Coverage reconciliation test green. 3) KPI-view value + severity tests green. 4) Entire suite green; CI green; deploy cut showing '€ impact + coverage live in the HMI'.</t>
  </si>
  <si>
    <t xml:space="preserve">PPIQ-T023</t>
  </si>
  <si>
    <t xml:space="preserve">Pluggable real embedding model behind IEmbedder</t>
  </si>
  <si>
    <t xml:space="preserve">Assistant / Embeddings</t>
  </si>
  <si>
    <t xml:space="preserve">Replace the HashingEmbedder / DeterministicEmbeddingProvider placeholder in production with a real, self-hostable embedding model (e.g., a local sentence-transformer via an embedded ONNX runtime, or a configurable embeddings endpoint) implementing IEmbedder. It must be swappable and air-gappable to honour the data-sovereignty promise (no external calls when configured local). Store vectors in NpgsqlRetrievalIndex (pgvector or equivalent). Keep the deterministic provider available for tests via config.</t>
  </si>
  <si>
    <t xml:space="preserve">1) Real embeddings produced for a corpus; cosine retrieval returns semantically relevant chunks (a fixed query returns the expected top-k). 2) Provider is selectable by config. 3) Air-gapped mode performs zero external network calls (asserted by a test). 4) Retrieval-quality + test-provider-determinism tests pass. 5) dotnet test green.</t>
  </si>
  <si>
    <t xml:space="preserve">PPIQ-T024</t>
  </si>
  <si>
    <t xml:space="preserve">Retrieval index build + idempotent refresh job</t>
  </si>
  <si>
    <t xml:space="preserve">Assistant / Index</t>
  </si>
  <si>
    <t xml:space="preserve">Build/refresh the retrieval index from canonical entities, findings, KPI definitions and docs. A job (re)embeds changed content idempotently, with chunking and metadata (source, tenant) for grounding. Tenant scoping is mandatory.</t>
  </si>
  <si>
    <t xml:space="preserve">1) The index-build job populates vectors with tenant scoping. 2) Incremental refresh only re-embeds changed items (idempotent; a second run is a no-op). 3) Tenant A retrieval never returns tenant B chunks (isolation test). 4) Integration test green; dotnet test green.</t>
  </si>
  <si>
    <t xml:space="preserve">PPIQ-T025</t>
  </si>
  <si>
    <t xml:space="preserve">Harden grounded/extractive answers + gateway certification</t>
  </si>
  <si>
    <t xml:space="preserve">Assistant / Grounding</t>
  </si>
  <si>
    <t xml:space="preserve">Harden ExtractiveAssistantModel + GroundingService so every answer cites retrieved evidence and abstains when retrieval is weak. Wire ToolRegistry tools (run-a-finding, fetch-KPI, fetch-material) with read-only guarantees. Complete the V5PrivateModelGateway certification checks: no data egress in air-gapped mode and a pinned model identity.</t>
  </si>
  <si>
    <t xml:space="preserve">1) Extended GroundingContractTests: answers contain only claims supported by retrieved chunks; an unanswerable query yields an explicit 'insufficient evidence'. 2) A tool write attempt is blocked (read-only proven). 3) The certification endpoint asserts no egress in air-gap mode. 4) dotnet test green.</t>
  </si>
  <si>
    <t xml:space="preserve">PPIQ-T026</t>
  </si>
  <si>
    <t xml:space="preserve">Assistant UI: grounded chat with citations + abstention</t>
  </si>
  <si>
    <t xml:space="preserve">Assistant</t>
  </si>
  <si>
    <t xml:space="preserve">A HMI assistant panel that shows answers with inline evidence citations (links to the finding / KPI / material), an explicit abstain state, and a model + provenance footer. Dark Industrial styling, i18n (en+ar) + RTL, accessible (full keyboard, aria-live for streaming responses).</t>
  </si>
  <si>
    <t xml:space="preserve">1) Ask a seeded question -&gt; grounded answer with citation links that navigate to the source object. 2) A low-evidence question -&gt; abstain UI (no fabricated answer). 3) i18n keys present + axe clean. 4) Playwright e2e of the ask -&gt; cite -&gt; navigate flow.</t>
  </si>
  <si>
    <t xml:space="preserve">PPIQ-T027</t>
  </si>
  <si>
    <t xml:space="preserve">Phase 4 hard tests: grounding, retrieval, air-gap</t>
  </si>
  <si>
    <t xml:space="preserve">Deep tests: retrieval relevance on a labelled set (precision@k); grounding under adversarial prompts ('make up a number for X'); air-gap no-egress assertion; tenant isolation. Then full regression across dotnet test + npm run test + npm run e2e.</t>
  </si>
  <si>
    <t xml:space="preserve">1) Retrieval precision@k &gt;= an agreed threshold on a labelled set. 2) Adversarial 'invent a value' prompts are refused/abstained. 3) Network-egress test passes in air-gap mode. 4) Entire suite green; CI green; deploy cut showing a working grounded assistant.</t>
  </si>
  <si>
    <t xml:space="preserve">PPIQ-T028</t>
  </si>
  <si>
    <t xml:space="preserve">Build the OT-safe Edge Collector (one-way push agent)</t>
  </si>
  <si>
    <t xml:space="preserve">Acquisition / Collector</t>
  </si>
  <si>
    <t xml:space="preserve">Build the OT-safe Edge Collector the doctrine specifies: a lightweight agent the customer runs near their sources that PULLS from read-replicas/historians, applies a source-impact budget (rate + row caps), and PUSHES one-way into PPIQ staging over an authenticated, idempotent batch protocol. It is the ONLY component that holds source credentials; the PPIQ core never opens a connection back toward OT. Provide buffering and a unidirectional / data-diode deployment option. There must be NO inbound path to control, ever.</t>
  </si>
  <si>
    <t xml:space="preserve">1) The collector reads a sample source and pushes batches into staging idempotently (replays do not duplicate rows). 2) An automated network test proves the PPIQ core opens NO connection toward the source network (one-way only). 3) The source-impact budget is enforced under load (caps respected). 4) Integration test of collector -&gt; staging -&gt; canonical. 5) Docs + a deployment diagram.</t>
  </si>
  <si>
    <t xml:space="preserve">PPIQ-T029</t>
  </si>
  <si>
    <t xml:space="preserve">Historian / time-series source connector</t>
  </si>
  <si>
    <t xml:space="preserve">Connectors</t>
  </si>
  <si>
    <t xml:space="preserve">Add a historian-style time-series source connector (PI / IP.21-style, or a generic tag-history shape over ODBC/OPC-HDA) behind the existing IConnector + read-only-session abstraction, feeding the Edge Collector. Map tag history to parameter_observations with correct timestamps and units. Read-only must be enforced at the session level.</t>
  </si>
  <si>
    <t xml:space="preserve">1) The connector ingests tag history into parameter_observations with timestamps + units. 2) Read-only is proven (any write attempt fails). 3) Factory registration + config wired. 4) Integration test against a seeded historian fixture. 5) dotnet test green.</t>
  </si>
  <si>
    <t xml:space="preserve">PPIQ-T030</t>
  </si>
  <si>
    <t xml:space="preserve">Schema-drift detection and surfacing</t>
  </si>
  <si>
    <t xml:space="preserve">Integration / Drift</t>
  </si>
  <si>
    <t xml:space="preserve">Finish the ~45% drift surface. Detect when a registered source's schema changes under a live mapping (added / removed / renamed / retyped columns); record a drift event with before/after; surface it in the HMI with the affected mappings and a remediation prompt. A mapping over a dropped column must be flagged, not silently produce nulls.</t>
  </si>
  <si>
    <t xml:space="preserve">1) Altering a source column raises a drift event with before/after detail. 2) The UI lists drift events + impacted mappings. 3) A mapping over a dropped column is flagged (not silently null). 4) Integration + e2e tests; dotnet test green.</t>
  </si>
  <si>
    <t xml:space="preserve">PPIQ-T031</t>
  </si>
  <si>
    <t xml:space="preserve">Edge Collector management UI + live status</t>
  </si>
  <si>
    <t xml:space="preserve">Acquisition</t>
  </si>
  <si>
    <t xml:space="preserve">A HMI to register collectors and view last-push time, lag, source-impact-budget usage and health, plus rotate the collector's push credential. Dark Industrial styling, i18n + RTL, accessible.</t>
  </si>
  <si>
    <t xml:space="preserve">1) Register a collector and see live status + lag. 2) Credential rotation works and old credential is invalidated. 3) i18n keys present + axe clean. 4) e2e of register -&gt; status.</t>
  </si>
  <si>
    <t xml:space="preserve">PPIQ-T032</t>
  </si>
  <si>
    <t xml:space="preserve">Phase 5 hard tests: one-way proof, historian, drift</t>
  </si>
  <si>
    <t xml:space="preserve">Acquisition / Security</t>
  </si>
  <si>
    <t xml:space="preserve">Deep tests anchoring the acquisition edge: the one-way / no-inbound network assertion (the headline trust proof), historian ingest correctness against a fixture, schema-drift detection + block, and idempotent re-push (no duplicates). Then full regression.</t>
  </si>
  <si>
    <t xml:space="preserve">1) An automated network test proves there is no inbound path from PPIQ to the source. 2) Historian ingest matches the fixture exactly. 3) Drift is detected AND surfaced. 4) Re-push is idempotent (no duplicate rows). 5) Entire suite green; CI green; deploy cut showing the 'never touches control' proof.</t>
  </si>
  <si>
    <t xml:space="preserve">PPIQ-T033</t>
  </si>
  <si>
    <t xml:space="preserve">Demo builds from empty via the HMI (golden rule)</t>
  </si>
  <si>
    <t xml:space="preserve">Demo</t>
  </si>
  <si>
    <t xml:space="preserve">Demo / Lifecycle</t>
  </si>
  <si>
    <t xml:space="preserve">Ensure the demo can be built ENTIRELY from an empty database through the HMI: register source(s), map to canonical, import, run analysis, build dashboards - with nothing hardcoded. DemoLifecycleService orchestrates seed-source -&gt; connect -&gt; map -&gt; import -&gt; analyse -&gt; dashboards as a reproducible flow invoked from the UI, plus a reset-to-empty. No result rows may be pre-seeded.</t>
  </si>
  <si>
    <t xml:space="preserve">1) From a TRULY empty DB, a single HMI 'Build demo' flow produces materials, findings, KPIs and dashboards. 2) Reset returns the system to empty. 3) A headless e2e runs the full empty -&gt; demo -&gt; reset cycle. 4) A test asserts result tables are empty BEFORE the build (no hardcoded results).</t>
  </si>
  <si>
    <t xml:space="preserve">PPIQ-T034</t>
  </si>
  <si>
    <t xml:space="preserve">Wire signed license -&gt; tier enforcement (tamper demotes)</t>
  </si>
  <si>
    <t xml:space="preserve">Licensing</t>
  </si>
  <si>
    <t xml:space="preserve">Wire VerifiedEd25519LicenseService into LicenseService tier resolution so the ENFORCED tier comes from the cryptographically verified license. A missing / invalid / tampered signature must fail closed to the lowest tier (not be ignored). Log every verification outcome as a security event.</t>
  </si>
  <si>
    <t xml:space="preserve">1) A valid signed license grants its tier and feature gates reflect it. 2) A tampered license demotes to the lowest tier AND logs a security event. 3) An absent license -&gt; lowest tier. 4) Integration tests cover all three. 5) dotnet test green.</t>
  </si>
  <si>
    <t xml:space="preserve">PPIQ-T035</t>
  </si>
  <si>
    <t xml:space="preserve">Postgres Row-Level-Security depth</t>
  </si>
  <si>
    <t xml:space="preserve">Security / RLS</t>
  </si>
  <si>
    <t xml:space="preserve">Add real RLS policies on tenant-scoped tables (USING tenant_id = current_setting('app.tenant')::uuid) as defence-in-depth behind the existing app-level TenantId filters. Set the tenant GUC per request from HttpTenantAccessor. Migrations must be idempotent and reversible.</t>
  </si>
  <si>
    <t xml:space="preserve">1) With RLS enabled, a query issued WITHOUT the tenant GUC returns zero rows. 2) A connection in tenant A's context cannot read tenant B rows even if the app filter is bypassed (explicit test). 3) All application flows still work with RLS on. 4) dotnet test + e2e green.</t>
  </si>
  <si>
    <t xml:space="preserve">PPIQ-T036</t>
  </si>
  <si>
    <t xml:space="preserve">SSO / SCIM / SAML depth</t>
  </si>
  <si>
    <t xml:space="preserve">Identity / SSO</t>
  </si>
  <si>
    <t xml:space="preserve">Finish the ~50% enterprise identity flows. Implement real OIDC/SAML SSO login (assertion validation, JIT user provisioning into the tenant with role mapping) and SCIM 2.0 provisioning (create / update / deactivate users and groups) round-trips. Tie into PlantAccessControl roles and the existing MFA enforcement policy.</t>
  </si>
  <si>
    <t xml:space="preserve">1) An OIDC/SAML login provisions/maps a user and signs them in. 2) SCIM create AND deactivate are reflected in app_users. 3) Role mapping is enforced (an SSO user gets the mapped plant role). 4) Integration tests against a mock IdP + SCIM client. 5) dotnet test green.</t>
  </si>
  <si>
    <t xml:space="preserve">PPIQ-T037</t>
  </si>
  <si>
    <t xml:space="preserve">Phase 6 hard tests: demo, license tamper, RLS, SCIM</t>
  </si>
  <si>
    <t xml:space="preserve">Enterprise</t>
  </si>
  <si>
    <t xml:space="preserve">Deep tests: full empty -&gt; demo -&gt; reset e2e; license tamper -&gt; demotion; RLS cross-tenant isolation; SSO/SCIM round-trips. Then full regression across the suite.</t>
  </si>
  <si>
    <t xml:space="preserve">1) All four flows pass as automated tests. 2) Entire suite green. 3) CI green; deploy cut showing 'provable demo + tamper-proof licensing + tenant isolation + enterprise SSO'.</t>
  </si>
  <si>
    <t xml:space="preserve">PPIQ-T038</t>
  </si>
  <si>
    <t xml:space="preserve">Standardise UX edge states (empty/loading/error/abstain)</t>
  </si>
  <si>
    <t xml:space="preserve">UX / Edge States</t>
  </si>
  <si>
    <t xml:space="preserve">Standardise edge states across all data pages: loading skeletons, empty states, error-with-retry, and the honest 'abstain / insufficient data' state for analytics. Provide a shared component set and apply it everywhere; eliminate blank panels and silent failures.</t>
  </si>
  <si>
    <t xml:space="preserve">1) Every data page has explicit empty / loading / error / abstain states (audited checklist attached). 2) A fault-injection e2e shows the error + retry path. 3) axe clean. 4) e2e green.</t>
  </si>
  <si>
    <t xml:space="preserve">PPIQ-T039</t>
  </si>
  <si>
    <t xml:space="preserve">WCAG 2.1 AA conformance + RTL completeness</t>
  </si>
  <si>
    <t xml:space="preserve">Accessibility</t>
  </si>
  <si>
    <t xml:space="preserve">Drive the strong a11y base (≈3,992 aria attributes, 338 WCAG patterns) to verified AA: fix keyboard traps, focus order, colour contrast, missing labels and aria-live on async regions; complete RTL mirroring for Arabic using CSS logical properties and correct bidi handling.</t>
  </si>
  <si>
    <t xml:space="preserve">1) axe-core reports zero serious/critical violations across the key pages. 2) A keyboard-only walkthrough e2e completes the core flows. 3) An RTL snapshot for Arabic passes on the top pages. 4) e2e green.</t>
  </si>
  <si>
    <t xml:space="preserve">PPIQ-T040</t>
  </si>
  <si>
    <t xml:space="preserve">i18n completeness sweep (no hardcoded strings)</t>
  </si>
  <si>
    <t xml:space="preserve">i18n</t>
  </si>
  <si>
    <t xml:space="preserve">Audit for hardcoded user-facing strings and move them into the i18n catalogs (en + ar). Add a lint/test that fails the build on raw string literals in JSX text nodes for covered namespaces. Complete the Arabic catalog for the top flows.</t>
  </si>
  <si>
    <t xml:space="preserve">1) The i18n-coverage test passes (no untranslated literals in covered areas). 2) The ar catalog is complete for the top flows. 3) A language-switch e2e passes. 4) Build green.</t>
  </si>
  <si>
    <t xml:space="preserve">PPIQ-T041</t>
  </si>
  <si>
    <t xml:space="preserve">Ops: backup/restore drill + observability + SLA dashboard</t>
  </si>
  <si>
    <t xml:space="preserve">Ops / SLA</t>
  </si>
  <si>
    <t xml:space="preserve">Implement and document a VERIFIED database backup + restore drill (restore into a scratch instance and assert row counts / checksums), add health + metrics + log aggregation, and an internal SLA/ops dashboard (uptime, job lag, error rates).</t>
  </si>
  <si>
    <t xml:space="preserve">1) A scripted restore drill restores a backup and verifies integrity (checksum / row counts) and is runnable nightly/CI. 2) Metrics + health endpoints are scraped. 3) The ops dashboard shows live SLA metrics. 4) A documented runbook exists.</t>
  </si>
  <si>
    <t xml:space="preserve">PPIQ-T042</t>
  </si>
  <si>
    <t xml:space="preserve">Compliance / GxP pack: audit trail + e-signature</t>
  </si>
  <si>
    <t xml:space="preserve">Compliance</t>
  </si>
  <si>
    <t xml:space="preserve">Complete an audit trail for sensitive actions (who / what / when / before-after), building on the existing auth_events, and add an e-signature step where regulated. Provide an audit-report export.</t>
  </si>
  <si>
    <t xml:space="preserve">1) Sensitive mutations produce immutable audit records with before/after. 2) The audit-report export is verified against seeded actions. 3) The e-sign flow works where configured. 4) Integration tests; dotnet test green.</t>
  </si>
  <si>
    <t xml:space="preserve">PPIQ-T043</t>
  </si>
  <si>
    <t xml:space="preserve">Phase 7 release gate: full regression + perf smoke</t>
  </si>
  <si>
    <t xml:space="preserve">Release Gate</t>
  </si>
  <si>
    <t xml:space="preserve">The release gate for the high-tech vision. Run the a11y AA gate, the restore-drill gate, audit-completeness, a performance smoke (key endpoints under representative load within budget), and a complete green run of dotnet test + npm run test + npm run e2e on a clean checkout.</t>
  </si>
  <si>
    <t xml:space="preserve">1) All gates green. 2) Performance smoke is within the agreed budget. 3) Entire suite green on a clean checkout. 4) A release candidate is tagged and deployed.</t>
  </si>
  <si>
    <t xml:space="preserve">Legend &amp; conventions</t>
  </si>
  <si>
    <t xml:space="preserve">Severity (drives ordering within a phase)</t>
  </si>
  <si>
    <t xml:space="preserve">Breaks a real user flow or a security/trust guarantee — do first.</t>
  </si>
  <si>
    <t xml:space="preserve">High value or a prerequisite for later work; central to the vision.</t>
  </si>
  <si>
    <t xml:space="preserve">Materially improves quality, safety or completeness.</t>
  </si>
  <si>
    <t xml:space="preserve">Useful and expected, but lower risk if briefly deferred.</t>
  </si>
  <si>
    <t xml:space="preserve">Optional</t>
  </si>
  <si>
    <t xml:space="preserve">Nice to have; schedule only if capacity allows.</t>
  </si>
  <si>
    <t xml:space="preserve">Builds a capability the doctrine requires that is absent today.</t>
  </si>
  <si>
    <t xml:space="preserve">Re-works existing, working code that is fragile, duplicated or non-generic.</t>
  </si>
  <si>
    <t xml:space="preserve">Corrects a defect found while reading the code (audit §9).</t>
  </si>
  <si>
    <t xml:space="preserve">Strengthens security, safety, ops or resilience without new surface.</t>
  </si>
  <si>
    <t xml:space="preserve">Adjusts/extends existing behaviour (e.g., surfacing existing data).</t>
  </si>
  <si>
    <t xml:space="preserve">Adds realistic, deep validation and re-runs the full suite (end of each phase).</t>
  </si>
  <si>
    <t xml:space="preserve">Module &amp; Track</t>
  </si>
  <si>
    <t xml:space="preserve">Modules</t>
  </si>
  <si>
    <t xml:space="preserve">Backend · FrontEnd · Database · Infrastructure · Web · Documentation · Testing · Deploy · Security · AI+ML.</t>
  </si>
  <si>
    <t xml:space="preserve">Tracks</t>
  </si>
  <si>
    <t xml:space="preserve">Workflow · Demo · Hardening · AI+ML · Web · Security — the kind of work, used to group similar tasks and plan deploys.</t>
  </si>
  <si>
    <t xml:space="preserve">Acceptance criteria — the quality bar</t>
  </si>
  <si>
    <t xml:space="preserve">Definition of done</t>
  </si>
  <si>
    <t xml:space="preserve">A task is done only when its acceptance criteria pass as real tests (unit / integration / Playwright e2e / dotnet test), not when the build merely compiles. Each phase ends with a deep test task that also re-runs the entire suite so a change in one area cannot silently break another.</t>
  </si>
</sst>
</file>

<file path=xl/styles.xml><?xml version="1.0" encoding="utf-8"?>
<styleSheet xmlns="http://schemas.openxmlformats.org/spreadsheetml/2006/main">
  <numFmts count="2">
    <numFmt numFmtId="164" formatCode="General"/>
    <numFmt numFmtId="165" formatCode="General"/>
  </numFmts>
  <fonts count="28">
    <font>
      <sz val="11"/>
      <color theme="1"/>
      <name val="Calibri"/>
      <family val="2"/>
      <charset val="1"/>
    </font>
    <font>
      <sz val="10"/>
      <name val="Arial"/>
      <family val="0"/>
    </font>
    <font>
      <sz val="10"/>
      <name val="Arial"/>
      <family val="0"/>
    </font>
    <font>
      <sz val="10"/>
      <name val="Arial"/>
      <family val="0"/>
    </font>
    <font>
      <b val="true"/>
      <sz val="11"/>
      <color rgb="FF00D4FF"/>
      <name val="JetBrains Mono"/>
      <family val="0"/>
      <charset val="1"/>
    </font>
    <font>
      <b val="true"/>
      <sz val="24"/>
      <color rgb="FFEAF6FF"/>
      <name val="Inter"/>
      <family val="0"/>
      <charset val="1"/>
    </font>
    <font>
      <b val="true"/>
      <sz val="12.5"/>
      <color rgb="FF2CE6A2"/>
      <name val="Inter"/>
      <family val="0"/>
      <charset val="1"/>
    </font>
    <font>
      <sz val="11"/>
      <color rgb="FF8EA7C1"/>
      <name val="Inter"/>
      <family val="0"/>
      <charset val="1"/>
    </font>
    <font>
      <b val="true"/>
      <sz val="15"/>
      <color rgb="FF102A43"/>
      <name val="Inter"/>
      <family val="0"/>
      <charset val="1"/>
    </font>
    <font>
      <sz val="10.5"/>
      <color rgb="FF16263B"/>
      <name val="Inter"/>
      <family val="0"/>
      <charset val="1"/>
    </font>
    <font>
      <b val="true"/>
      <sz val="13"/>
      <color rgb="FF0A84FF"/>
      <name val="Inter"/>
      <family val="0"/>
      <charset val="1"/>
    </font>
    <font>
      <b val="true"/>
      <sz val="10.5"/>
      <color rgb="FF102A43"/>
      <name val="Inter"/>
      <family val="0"/>
      <charset val="1"/>
    </font>
    <font>
      <b val="true"/>
      <sz val="13"/>
      <color rgb="FFEAF6FF"/>
      <name val="Inter"/>
      <family val="0"/>
      <charset val="1"/>
    </font>
    <font>
      <b val="true"/>
      <sz val="10"/>
      <color rgb="FFEAF6FF"/>
      <name val="Inter"/>
      <family val="0"/>
      <charset val="1"/>
    </font>
    <font>
      <b val="true"/>
      <sz val="10.5"/>
      <color rgb="FF0B1320"/>
      <name val="Inter"/>
      <family val="0"/>
      <charset val="1"/>
    </font>
    <font>
      <b val="true"/>
      <sz val="10"/>
      <color rgb="FF102A43"/>
      <name val="Inter"/>
      <family val="0"/>
      <charset val="1"/>
    </font>
    <font>
      <b val="true"/>
      <sz val="11"/>
      <color rgb="FF102A43"/>
      <name val="Inter"/>
      <family val="0"/>
      <charset val="1"/>
    </font>
    <font>
      <sz val="10"/>
      <color rgb="FF16263B"/>
      <name val="Inter"/>
      <family val="0"/>
      <charset val="1"/>
    </font>
    <font>
      <b val="true"/>
      <sz val="11"/>
      <color rgb="FFEAF6FF"/>
      <name val="Inter"/>
      <family val="0"/>
      <charset val="1"/>
    </font>
    <font>
      <b val="true"/>
      <sz val="11"/>
      <color rgb="FF00D4FF"/>
      <name val="Inter"/>
      <family val="0"/>
      <charset val="1"/>
    </font>
    <font>
      <b val="true"/>
      <sz val="9.5"/>
      <color rgb="FF102A43"/>
      <name val="JetBrains Mono"/>
      <family val="0"/>
      <charset val="1"/>
    </font>
    <font>
      <b val="true"/>
      <sz val="9.5"/>
      <color rgb="FF0B1320"/>
      <name val="Inter"/>
      <family val="0"/>
      <charset val="1"/>
    </font>
    <font>
      <b val="true"/>
      <sz val="9"/>
      <color rgb="FF0B1320"/>
      <name val="Inter"/>
      <family val="0"/>
      <charset val="1"/>
    </font>
    <font>
      <sz val="9.5"/>
      <color rgb="FF16263B"/>
      <name val="Inter"/>
      <family val="0"/>
      <charset val="1"/>
    </font>
    <font>
      <b val="true"/>
      <sz val="9"/>
      <color rgb="FFEAF6FF"/>
      <name val="Inter"/>
      <family val="0"/>
      <charset val="1"/>
    </font>
    <font>
      <b val="true"/>
      <sz val="11.5"/>
      <color rgb="FF0A84FF"/>
      <name val="Inter"/>
      <family val="0"/>
      <charset val="1"/>
    </font>
    <font>
      <b val="true"/>
      <sz val="10"/>
      <color rgb="FF0B1320"/>
      <name val="Inter"/>
      <family val="0"/>
      <charset val="1"/>
    </font>
    <font>
      <b val="true"/>
      <sz val="10"/>
      <color rgb="FF16263B"/>
      <name val="Inter"/>
      <family val="0"/>
      <charset val="1"/>
    </font>
  </fonts>
  <fills count="15">
    <fill>
      <patternFill patternType="none"/>
    </fill>
    <fill>
      <patternFill patternType="gray125"/>
    </fill>
    <fill>
      <patternFill patternType="solid">
        <fgColor rgb="FF050B18"/>
        <bgColor rgb="FF0B1320"/>
      </patternFill>
    </fill>
    <fill>
      <patternFill patternType="solid">
        <fgColor rgb="FF102A43"/>
        <bgColor rgb="FF16263B"/>
      </patternFill>
    </fill>
    <fill>
      <patternFill patternType="solid">
        <fgColor rgb="FF00D4FF"/>
        <bgColor rgb="FF00FFFF"/>
      </patternFill>
    </fill>
    <fill>
      <patternFill patternType="solid">
        <fgColor rgb="FFF4F6F8"/>
        <bgColor rgb="FFEEF3F8"/>
      </patternFill>
    </fill>
    <fill>
      <patternFill patternType="solid">
        <fgColor rgb="FF0A84FF"/>
        <bgColor rgb="FF3366FF"/>
      </patternFill>
    </fill>
    <fill>
      <patternFill patternType="solid">
        <fgColor rgb="FFFFFFFF"/>
        <bgColor rgb="FFF4F6F8"/>
      </patternFill>
    </fill>
    <fill>
      <patternFill patternType="solid">
        <fgColor rgb="FF2CE6A2"/>
        <bgColor rgb="FF00D4FF"/>
      </patternFill>
    </fill>
    <fill>
      <patternFill patternType="solid">
        <fgColor rgb="FF7C5CFF"/>
        <bgColor rgb="FF3366FF"/>
      </patternFill>
    </fill>
    <fill>
      <patternFill patternType="solid">
        <fgColor rgb="FFFFB020"/>
        <bgColor rgb="FFFFCC00"/>
      </patternFill>
    </fill>
    <fill>
      <patternFill patternType="solid">
        <fgColor rgb="FFFF4D6D"/>
        <bgColor rgb="FFFF6600"/>
      </patternFill>
    </fill>
    <fill>
      <patternFill patternType="solid">
        <fgColor rgb="FF8EA7C1"/>
        <bgColor rgb="FF9999FF"/>
      </patternFill>
    </fill>
    <fill>
      <patternFill patternType="solid">
        <fgColor rgb="FFEEF3F8"/>
        <bgColor rgb="FFEAF6FF"/>
      </patternFill>
    </fill>
    <fill>
      <patternFill patternType="solid">
        <fgColor rgb="FFE7FBFF"/>
        <bgColor rgb="FFEAF6FF"/>
      </patternFill>
    </fill>
  </fills>
  <borders count="4">
    <border diagonalUp="false" diagonalDown="false">
      <left/>
      <right/>
      <top/>
      <bottom/>
      <diagonal/>
    </border>
    <border diagonalUp="false" diagonalDown="false">
      <left style="thin">
        <color rgb="FF102A43"/>
      </left>
      <right style="thin">
        <color rgb="FF102A43"/>
      </right>
      <top style="thin">
        <color rgb="FF102A43"/>
      </top>
      <bottom style="thin">
        <color rgb="FF102A43"/>
      </bottom>
      <diagonal/>
    </border>
    <border diagonalUp="false" diagonalDown="false">
      <left style="thin">
        <color rgb="FFD6DEE8"/>
      </left>
      <right style="thin">
        <color rgb="FFD6DEE8"/>
      </right>
      <top style="thin">
        <color rgb="FFD6DEE8"/>
      </top>
      <bottom style="thin">
        <color rgb="FFD6DEE8"/>
      </bottom>
      <diagonal/>
    </border>
    <border diagonalUp="false" diagonalDown="false">
      <left style="thin">
        <color rgb="FF050B18"/>
      </left>
      <right style="thin">
        <color rgb="FF050B18"/>
      </right>
      <top style="thin">
        <color rgb="FF050B18"/>
      </top>
      <bottom style="thin">
        <color rgb="FF050B1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2" fillId="2" borderId="0" xfId="0" applyFont="true" applyBorder="true" applyAlignment="true" applyProtection="false">
      <alignment horizontal="left"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left" vertical="top" textRotation="0" wrapText="true" indent="0" shrinkToFit="false"/>
      <protection locked="true" hidden="false"/>
    </xf>
    <xf numFmtId="164" fontId="15" fillId="5" borderId="2" xfId="0" applyFont="true" applyBorder="true" applyAlignment="true" applyProtection="false">
      <alignment horizontal="center" vertical="center" textRotation="0" wrapText="true" indent="0" shrinkToFit="false"/>
      <protection locked="true" hidden="false"/>
    </xf>
    <xf numFmtId="165" fontId="16" fillId="5" borderId="2" xfId="0" applyFont="true" applyBorder="true" applyAlignment="true" applyProtection="false">
      <alignment horizontal="center" vertical="center" textRotation="0" wrapText="true" indent="0" shrinkToFit="false"/>
      <protection locked="true" hidden="false"/>
    </xf>
    <xf numFmtId="165" fontId="17" fillId="5" borderId="2" xfId="0" applyFont="true" applyBorder="true" applyAlignment="true" applyProtection="false">
      <alignment horizontal="center" vertical="center" textRotation="0" wrapText="true" indent="0" shrinkToFit="false"/>
      <protection locked="true" hidden="false"/>
    </xf>
    <xf numFmtId="164" fontId="17" fillId="5" borderId="2" xfId="0" applyFont="true" applyBorder="true" applyAlignment="true" applyProtection="false">
      <alignment horizontal="left"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5" fillId="7" borderId="2" xfId="0" applyFont="true" applyBorder="true" applyAlignment="true" applyProtection="false">
      <alignment horizontal="center" vertical="center" textRotation="0" wrapText="true" indent="0" shrinkToFit="false"/>
      <protection locked="true" hidden="false"/>
    </xf>
    <xf numFmtId="165" fontId="16" fillId="7" borderId="2" xfId="0" applyFont="true" applyBorder="true" applyAlignment="true" applyProtection="false">
      <alignment horizontal="center" vertical="center" textRotation="0" wrapText="true" indent="0" shrinkToFit="false"/>
      <protection locked="true" hidden="false"/>
    </xf>
    <xf numFmtId="165" fontId="17" fillId="7" borderId="2" xfId="0" applyFont="true" applyBorder="true" applyAlignment="true" applyProtection="false">
      <alignment horizontal="center" vertical="center" textRotation="0" wrapText="true" indent="0" shrinkToFit="false"/>
      <protection locked="true" hidden="false"/>
    </xf>
    <xf numFmtId="164" fontId="17" fillId="7" borderId="2" xfId="0" applyFont="true" applyBorder="true" applyAlignment="true" applyProtection="false">
      <alignment horizontal="left" vertical="top" textRotation="0" wrapText="true" indent="0" shrinkToFit="false"/>
      <protection locked="true" hidden="false"/>
    </xf>
    <xf numFmtId="164" fontId="14" fillId="8" borderId="2" xfId="0" applyFont="true" applyBorder="true" applyAlignment="true" applyProtection="false">
      <alignment horizontal="left" vertical="top" textRotation="0" wrapText="true" indent="0" shrinkToFit="false"/>
      <protection locked="true" hidden="false"/>
    </xf>
    <xf numFmtId="164" fontId="14" fillId="9" borderId="2" xfId="0" applyFont="true" applyBorder="true" applyAlignment="true" applyProtection="false">
      <alignment horizontal="left" vertical="top" textRotation="0" wrapText="true" indent="0" shrinkToFit="false"/>
      <protection locked="true" hidden="false"/>
    </xf>
    <xf numFmtId="164" fontId="14" fillId="10" borderId="2" xfId="0" applyFont="true" applyBorder="true" applyAlignment="true" applyProtection="false">
      <alignment horizontal="left" vertical="top" textRotation="0" wrapText="true" indent="0" shrinkToFit="false"/>
      <protection locked="true" hidden="false"/>
    </xf>
    <xf numFmtId="164" fontId="14" fillId="11" borderId="2" xfId="0" applyFont="true" applyBorder="true" applyAlignment="true" applyProtection="false">
      <alignment horizontal="left" vertical="top" textRotation="0" wrapText="true" indent="0" shrinkToFit="false"/>
      <protection locked="true" hidden="false"/>
    </xf>
    <xf numFmtId="164" fontId="14" fillId="12" borderId="2" xfId="0" applyFont="true" applyBorder="true" applyAlignment="true" applyProtection="false">
      <alignment horizontal="left" vertical="top" textRotation="0" wrapText="true" indent="0" shrinkToFit="false"/>
      <protection locked="true" hidden="false"/>
    </xf>
    <xf numFmtId="164" fontId="18" fillId="2" borderId="3" xfId="0" applyFont="true" applyBorder="true" applyAlignment="true" applyProtection="false">
      <alignment horizontal="left" vertical="center"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5" fontId="19" fillId="2" borderId="3" xfId="0" applyFont="true" applyBorder="true" applyAlignment="true" applyProtection="false">
      <alignment horizontal="center" vertical="center" textRotation="0" wrapText="true" indent="0" shrinkToFit="false"/>
      <protection locked="true" hidden="false"/>
    </xf>
    <xf numFmtId="164" fontId="13" fillId="2" borderId="3" xfId="0" applyFont="true" applyBorder="true" applyAlignment="true" applyProtection="false">
      <alignment horizontal="left" vertical="center" textRotation="0" wrapText="true" indent="0" shrinkToFit="false"/>
      <protection locked="true" hidden="false"/>
    </xf>
    <xf numFmtId="164" fontId="20" fillId="7" borderId="2" xfId="0" applyFont="true" applyBorder="true" applyAlignment="true" applyProtection="false">
      <alignment horizontal="center" vertical="top" textRotation="0" wrapText="true" indent="0" shrinkToFit="false"/>
      <protection locked="true" hidden="false"/>
    </xf>
    <xf numFmtId="164" fontId="21" fillId="7" borderId="2" xfId="0" applyFont="true" applyBorder="true" applyAlignment="true" applyProtection="false">
      <alignment horizontal="left" vertical="top" textRotation="0" wrapText="true" indent="0" shrinkToFit="false"/>
      <protection locked="true" hidden="false"/>
    </xf>
    <xf numFmtId="164" fontId="22" fillId="4" borderId="2" xfId="0" applyFont="true" applyBorder="true" applyAlignment="true" applyProtection="false">
      <alignment horizontal="center" vertical="top" textRotation="0" wrapText="true" indent="0" shrinkToFit="false"/>
      <protection locked="true" hidden="false"/>
    </xf>
    <xf numFmtId="164" fontId="23" fillId="7" borderId="2" xfId="0" applyFont="true" applyBorder="true" applyAlignment="true" applyProtection="false">
      <alignment horizontal="center" vertical="top" textRotation="0" wrapText="true" indent="0" shrinkToFit="false"/>
      <protection locked="true" hidden="false"/>
    </xf>
    <xf numFmtId="164" fontId="23" fillId="7" borderId="2" xfId="0" applyFont="true" applyBorder="true" applyAlignment="true" applyProtection="false">
      <alignment horizontal="left" vertical="top" textRotation="0" wrapText="true" indent="0" shrinkToFit="false"/>
      <protection locked="true" hidden="false"/>
    </xf>
    <xf numFmtId="164" fontId="24" fillId="11" borderId="2" xfId="0" applyFont="true" applyBorder="true" applyAlignment="true" applyProtection="false">
      <alignment horizontal="center" vertical="center" textRotation="0" wrapText="true" indent="0" shrinkToFit="false"/>
      <protection locked="true" hidden="false"/>
    </xf>
    <xf numFmtId="164" fontId="20" fillId="13" borderId="2" xfId="0" applyFont="true" applyBorder="true" applyAlignment="true" applyProtection="false">
      <alignment horizontal="center" vertical="top" textRotation="0" wrapText="true" indent="0" shrinkToFit="false"/>
      <protection locked="true" hidden="false"/>
    </xf>
    <xf numFmtId="164" fontId="21" fillId="13" borderId="2" xfId="0" applyFont="true" applyBorder="true" applyAlignment="true" applyProtection="false">
      <alignment horizontal="left" vertical="top" textRotation="0" wrapText="true" indent="0" shrinkToFit="false"/>
      <protection locked="true" hidden="false"/>
    </xf>
    <xf numFmtId="164" fontId="23" fillId="13" borderId="2" xfId="0" applyFont="true" applyBorder="true" applyAlignment="true" applyProtection="false">
      <alignment horizontal="center" vertical="top" textRotation="0" wrapText="true" indent="0" shrinkToFit="false"/>
      <protection locked="true" hidden="false"/>
    </xf>
    <xf numFmtId="164" fontId="23" fillId="13" borderId="2" xfId="0" applyFont="true" applyBorder="true" applyAlignment="true" applyProtection="false">
      <alignment horizontal="left" vertical="top" textRotation="0" wrapText="true" indent="0" shrinkToFit="false"/>
      <protection locked="true" hidden="false"/>
    </xf>
    <xf numFmtId="164" fontId="24" fillId="6" borderId="2" xfId="0" applyFont="true" applyBorder="true" applyAlignment="true" applyProtection="false">
      <alignment horizontal="center" vertical="center" textRotation="0" wrapText="true" indent="0" shrinkToFit="false"/>
      <protection locked="true" hidden="false"/>
    </xf>
    <xf numFmtId="164" fontId="15" fillId="13" borderId="2" xfId="0" applyFont="true" applyBorder="true" applyAlignment="true" applyProtection="false">
      <alignment horizontal="center" vertical="center" textRotation="0" wrapText="true" indent="0" shrinkToFit="false"/>
      <protection locked="true" hidden="false"/>
    </xf>
    <xf numFmtId="164" fontId="22" fillId="12" borderId="2" xfId="0" applyFont="true" applyBorder="true" applyAlignment="true" applyProtection="false">
      <alignment horizontal="center" vertical="center" textRotation="0" wrapText="true" indent="0" shrinkToFit="false"/>
      <protection locked="true" hidden="false"/>
    </xf>
    <xf numFmtId="164" fontId="22" fillId="10" borderId="2" xfId="0" applyFont="true" applyBorder="true" applyAlignment="true" applyProtection="false">
      <alignment horizontal="center" vertical="center" textRotation="0" wrapText="true" indent="0" shrinkToFit="false"/>
      <protection locked="true" hidden="false"/>
    </xf>
    <xf numFmtId="164" fontId="22" fillId="6" borderId="2" xfId="0" applyFont="true" applyBorder="true" applyAlignment="true" applyProtection="false">
      <alignment horizontal="center" vertical="top" textRotation="0" wrapText="true" indent="0" shrinkToFit="false"/>
      <protection locked="true" hidden="false"/>
    </xf>
    <xf numFmtId="164" fontId="22" fillId="8" borderId="2" xfId="0" applyFont="true" applyBorder="true" applyAlignment="true" applyProtection="false">
      <alignment horizontal="center" vertical="top" textRotation="0" wrapText="true" indent="0" shrinkToFit="false"/>
      <protection locked="true" hidden="false"/>
    </xf>
    <xf numFmtId="164" fontId="22" fillId="9" borderId="2" xfId="0" applyFont="true" applyBorder="true" applyAlignment="true" applyProtection="false">
      <alignment horizontal="center" vertical="top" textRotation="0" wrapText="true" indent="0" shrinkToFit="false"/>
      <protection locked="true" hidden="false"/>
    </xf>
    <xf numFmtId="164" fontId="22" fillId="10" borderId="2" xfId="0" applyFont="true" applyBorder="true" applyAlignment="true" applyProtection="false">
      <alignment horizontal="center" vertical="top" textRotation="0" wrapText="true" indent="0" shrinkToFit="false"/>
      <protection locked="true" hidden="false"/>
    </xf>
    <xf numFmtId="164" fontId="22" fillId="11" borderId="2" xfId="0" applyFont="true" applyBorder="true" applyAlignment="true" applyProtection="false">
      <alignment horizontal="center" vertical="top" textRotation="0" wrapText="true" indent="0" shrinkToFit="false"/>
      <protection locked="true" hidden="false"/>
    </xf>
    <xf numFmtId="164" fontId="22" fillId="12" borderId="2" xfId="0" applyFont="true" applyBorder="true" applyAlignment="true" applyProtection="false">
      <alignment horizontal="center"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25" fillId="14" borderId="0" xfId="0" applyFont="true" applyBorder="tru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left" vertical="top" textRotation="0" wrapText="true" indent="0" shrinkToFit="false"/>
      <protection locked="true" hidden="false"/>
    </xf>
    <xf numFmtId="164" fontId="26" fillId="10" borderId="0" xfId="0" applyFont="true" applyBorder="false" applyAlignment="true" applyProtection="false">
      <alignment horizontal="left" vertical="center" textRotation="0" wrapText="true" indent="0" shrinkToFit="false"/>
      <protection locked="true" hidden="false"/>
    </xf>
    <xf numFmtId="164" fontId="13" fillId="6" borderId="0" xfId="0" applyFont="true" applyBorder="false" applyAlignment="true" applyProtection="false">
      <alignment horizontal="left" vertical="center" textRotation="0" wrapText="true" indent="0" shrinkToFit="false"/>
      <protection locked="true" hidden="false"/>
    </xf>
    <xf numFmtId="164" fontId="26" fillId="12" borderId="0" xfId="0" applyFont="true" applyBorder="false" applyAlignment="true" applyProtection="false">
      <alignment horizontal="left" vertical="center" textRotation="0" wrapText="true" indent="0" shrinkToFit="false"/>
      <protection locked="true" hidden="false"/>
    </xf>
    <xf numFmtId="164" fontId="27" fillId="5" borderId="0" xfId="0" applyFont="true" applyBorder="false" applyAlignment="true" applyProtection="false">
      <alignment horizontal="left" vertical="center" textRotation="0" wrapText="true" indent="0" shrinkToFit="false"/>
      <protection locked="true" hidden="false"/>
    </xf>
    <xf numFmtId="164" fontId="26"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02A43"/>
          <bgColor rgb="FF000000"/>
        </patternFill>
      </fill>
    </dxf>
    <dxf>
      <fill>
        <patternFill patternType="solid">
          <fgColor rgb="FFEEF3F8"/>
          <bgColor rgb="FF000000"/>
        </patternFill>
      </fill>
    </dxf>
    <dxf>
      <fill>
        <patternFill patternType="solid">
          <fgColor rgb="FFFFFFFF"/>
          <bgColor rgb="FF000000"/>
        </patternFill>
      </fill>
    </dxf>
    <dxf>
      <fill>
        <patternFill patternType="solid">
          <fgColor rgb="FFEAF6FF"/>
          <bgColor rgb="FF000000"/>
        </patternFill>
      </fill>
    </dxf>
    <dxf>
      <fill>
        <patternFill patternType="solid">
          <fgColor rgb="FF0B1320"/>
          <bgColor rgb="FF000000"/>
        </patternFill>
      </fill>
    </dxf>
    <dxf>
      <fill>
        <patternFill patternType="solid">
          <fgColor rgb="FF00D4FF"/>
          <bgColor rgb="FF000000"/>
        </patternFill>
      </fill>
    </dxf>
    <dxf>
      <fill>
        <patternFill patternType="solid">
          <fgColor rgb="FF0A84FF"/>
          <bgColor rgb="FF000000"/>
        </patternFill>
      </fill>
    </dxf>
    <dxf>
      <fill>
        <patternFill patternType="solid">
          <fgColor rgb="FF2CE6A2"/>
          <bgColor rgb="FF000000"/>
        </patternFill>
      </fill>
    </dxf>
    <dxf>
      <fill>
        <patternFill patternType="solid">
          <fgColor rgb="FF7C5CFF"/>
          <bgColor rgb="FF000000"/>
        </patternFill>
      </fill>
    </dxf>
    <dxf>
      <fill>
        <patternFill patternType="solid">
          <fgColor rgb="FF8EA7C1"/>
          <bgColor rgb="FF000000"/>
        </patternFill>
      </fill>
    </dxf>
    <dxf>
      <fill>
        <patternFill patternType="solid">
          <fgColor rgb="FFFF4D6D"/>
          <bgColor rgb="FF000000"/>
        </patternFill>
      </fill>
    </dxf>
    <dxf>
      <fill>
        <patternFill patternType="solid">
          <fgColor rgb="FFFFB020"/>
          <bgColor rgb="FF000000"/>
        </patternFill>
      </fill>
    </dxf>
    <dxf>
      <fill>
        <patternFill patternType="solid">
          <fgColor rgb="FF16263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50B18"/>
      <rgbColor rgb="FF808000"/>
      <rgbColor rgb="FF800080"/>
      <rgbColor rgb="FF008080"/>
      <rgbColor rgb="FFC0C0C0"/>
      <rgbColor rgb="FF808080"/>
      <rgbColor rgb="FF9999FF"/>
      <rgbColor rgb="FF993366"/>
      <rgbColor rgb="FFF4F6F8"/>
      <rgbColor rgb="FFE7FBFF"/>
      <rgbColor rgb="FF660066"/>
      <rgbColor rgb="FFFF4D6D"/>
      <rgbColor rgb="FF0A84FF"/>
      <rgbColor rgb="FFD6DEE8"/>
      <rgbColor rgb="FF000080"/>
      <rgbColor rgb="FFFF00FF"/>
      <rgbColor rgb="FFFFFF00"/>
      <rgbColor rgb="FF00FFFF"/>
      <rgbColor rgb="FF800080"/>
      <rgbColor rgb="FF800000"/>
      <rgbColor rgb="FF008080"/>
      <rgbColor rgb="FF0000FF"/>
      <rgbColor rgb="FF00D4FF"/>
      <rgbColor rgb="FFEAF6FF"/>
      <rgbColor rgb="FFEEF3F8"/>
      <rgbColor rgb="FFFFFF99"/>
      <rgbColor rgb="FF99CCFF"/>
      <rgbColor rgb="FFFF99CC"/>
      <rgbColor rgb="FFCC99FF"/>
      <rgbColor rgb="FFFFCC99"/>
      <rgbColor rgb="FF3366FF"/>
      <rgbColor rgb="FF2CE6A2"/>
      <rgbColor rgb="FF99CC00"/>
      <rgbColor rgb="FFFFCC00"/>
      <rgbColor rgb="FFFFB020"/>
      <rgbColor rgb="FFFF6600"/>
      <rgbColor rgb="FF7C5CFF"/>
      <rgbColor rgb="FF8EA7C1"/>
      <rgbColor rgb="FF102A43"/>
      <rgbColor rgb="FF339966"/>
      <rgbColor rgb="FF0B1320"/>
      <rgbColor rgb="FF333300"/>
      <rgbColor rgb="FF993300"/>
      <rgbColor rgb="FF993366"/>
      <rgbColor rgb="FF333399"/>
      <rgbColor rgb="FF1626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4" min="2" style="0" width="46"/>
    <col collapsed="false" customWidth="true" hidden="false" outlineLevel="0" max="5" min="5" style="0" width="2"/>
  </cols>
  <sheetData>
    <row r="2" customFormat="false" ht="9.75" hidden="false" customHeight="true" outlineLevel="0" collapsed="false">
      <c r="B2" s="1"/>
      <c r="C2" s="1"/>
      <c r="D2" s="1"/>
    </row>
    <row r="3" customFormat="false" ht="15" hidden="false" customHeight="true" outlineLevel="0" collapsed="false">
      <c r="B3" s="2" t="s">
        <v>0</v>
      </c>
      <c r="C3" s="2"/>
      <c r="D3" s="2"/>
    </row>
    <row r="4" customFormat="false" ht="33.75" hidden="false" customHeight="true" outlineLevel="0" collapsed="false">
      <c r="B4" s="3" t="s">
        <v>1</v>
      </c>
      <c r="C4" s="3"/>
      <c r="D4" s="3"/>
    </row>
    <row r="5" customFormat="false" ht="19.5" hidden="false" customHeight="true" outlineLevel="0" collapsed="false">
      <c r="B5" s="4" t="s">
        <v>2</v>
      </c>
      <c r="C5" s="4"/>
      <c r="D5" s="4"/>
    </row>
    <row r="6" customFormat="false" ht="30" hidden="false" customHeight="true" outlineLevel="0" collapsed="false">
      <c r="B6" s="5" t="s">
        <v>3</v>
      </c>
      <c r="C6" s="5"/>
      <c r="D6" s="5"/>
    </row>
    <row r="7" customFormat="false" ht="7.5" hidden="false" customHeight="true" outlineLevel="0" collapsed="false">
      <c r="B7" s="1"/>
      <c r="C7" s="1"/>
      <c r="D7" s="1"/>
    </row>
    <row r="9" customFormat="false" ht="24" hidden="false" customHeight="true" outlineLevel="0" collapsed="false">
      <c r="B9" s="6" t="s">
        <v>4</v>
      </c>
      <c r="C9" s="6"/>
      <c r="D9" s="6"/>
    </row>
    <row r="10" customFormat="false" ht="51" hidden="false" customHeight="true" outlineLevel="0" collapsed="false">
      <c r="B10" s="7" t="s">
        <v>5</v>
      </c>
      <c r="C10" s="7"/>
      <c r="D10" s="7"/>
    </row>
    <row r="11" customFormat="false" ht="51" hidden="false" customHeight="true" outlineLevel="0" collapsed="false">
      <c r="B11" s="7" t="s">
        <v>6</v>
      </c>
      <c r="C11" s="7"/>
      <c r="D11" s="7"/>
    </row>
    <row r="12" customFormat="false" ht="51" hidden="false" customHeight="true" outlineLevel="0" collapsed="false">
      <c r="B12" s="7" t="s">
        <v>7</v>
      </c>
      <c r="C12" s="7"/>
      <c r="D12" s="7"/>
    </row>
    <row r="13" customFormat="false" ht="51" hidden="false" customHeight="true" outlineLevel="0" collapsed="false">
      <c r="B13" s="7" t="s">
        <v>8</v>
      </c>
      <c r="C13" s="7"/>
      <c r="D13" s="7"/>
    </row>
    <row r="14" customFormat="false" ht="36" hidden="false" customHeight="true" outlineLevel="0" collapsed="false">
      <c r="B14" s="7" t="s">
        <v>9</v>
      </c>
      <c r="C14" s="7"/>
      <c r="D14" s="7"/>
    </row>
    <row r="16" customFormat="false" ht="21.75" hidden="false" customHeight="true" outlineLevel="0" collapsed="false">
      <c r="B16" s="8" t="s">
        <v>10</v>
      </c>
      <c r="C16" s="8"/>
      <c r="D16" s="8"/>
    </row>
    <row r="17" customFormat="false" ht="36" hidden="false" customHeight="true" outlineLevel="0" collapsed="false">
      <c r="B17" s="9" t="s">
        <v>11</v>
      </c>
      <c r="C17" s="7" t="s">
        <v>12</v>
      </c>
      <c r="D17" s="7"/>
    </row>
    <row r="18" customFormat="false" ht="36" hidden="false" customHeight="true" outlineLevel="0" collapsed="false">
      <c r="B18" s="9" t="s">
        <v>13</v>
      </c>
      <c r="C18" s="7" t="s">
        <v>14</v>
      </c>
      <c r="D18" s="7"/>
    </row>
    <row r="19" customFormat="false" ht="51" hidden="false" customHeight="true" outlineLevel="0" collapsed="false">
      <c r="B19" s="9" t="s">
        <v>15</v>
      </c>
      <c r="C19" s="7" t="s">
        <v>16</v>
      </c>
      <c r="D19" s="7"/>
    </row>
    <row r="20" customFormat="false" ht="51" hidden="false" customHeight="true" outlineLevel="0" collapsed="false">
      <c r="B20" s="9" t="s">
        <v>17</v>
      </c>
      <c r="C20" s="7" t="s">
        <v>18</v>
      </c>
      <c r="D20" s="7"/>
    </row>
    <row r="21" customFormat="false" ht="51" hidden="false" customHeight="true" outlineLevel="0" collapsed="false">
      <c r="B21" s="9" t="s">
        <v>19</v>
      </c>
      <c r="C21" s="7" t="s">
        <v>20</v>
      </c>
      <c r="D21" s="7"/>
    </row>
  </sheetData>
  <mergeCells count="16">
    <mergeCell ref="B3:D3"/>
    <mergeCell ref="B4:D4"/>
    <mergeCell ref="B5:D5"/>
    <mergeCell ref="B6:D6"/>
    <mergeCell ref="B9:D9"/>
    <mergeCell ref="B10:D10"/>
    <mergeCell ref="B11:D11"/>
    <mergeCell ref="B12:D12"/>
    <mergeCell ref="B13:D13"/>
    <mergeCell ref="B14:D14"/>
    <mergeCell ref="B16:D16"/>
    <mergeCell ref="C17:D17"/>
    <mergeCell ref="C18:D18"/>
    <mergeCell ref="C19:D19"/>
    <mergeCell ref="C20:D20"/>
    <mergeCell ref="C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5"/>
    <col collapsed="false" customWidth="true" hidden="false" outlineLevel="0" max="3" min="3" style="0" width="11"/>
    <col collapsed="false" customWidth="true" hidden="false" outlineLevel="0" max="4" min="4" style="0" width="8"/>
    <col collapsed="false" customWidth="true" hidden="false" outlineLevel="0" max="5" min="5" style="0" width="52"/>
    <col collapsed="false" customWidth="true" hidden="false" outlineLevel="0" max="6" min="6" style="0" width="60"/>
  </cols>
  <sheetData>
    <row r="1" customFormat="false" ht="25.5" hidden="false" customHeight="true" outlineLevel="0" collapsed="false">
      <c r="A1" s="10" t="s">
        <v>21</v>
      </c>
      <c r="B1" s="10"/>
      <c r="C1" s="10"/>
      <c r="D1" s="10"/>
      <c r="E1" s="10"/>
      <c r="F1" s="10"/>
    </row>
    <row r="2" customFormat="false" ht="39.75" hidden="false" customHeight="true" outlineLevel="0" collapsed="false">
      <c r="A2" s="11" t="s">
        <v>22</v>
      </c>
      <c r="B2" s="11" t="s">
        <v>23</v>
      </c>
      <c r="C2" s="11" t="s">
        <v>24</v>
      </c>
      <c r="D2" s="11" t="s">
        <v>25</v>
      </c>
      <c r="E2" s="11" t="s">
        <v>26</v>
      </c>
      <c r="F2" s="11" t="s">
        <v>27</v>
      </c>
    </row>
    <row r="3" customFormat="false" ht="51.75" hidden="false" customHeight="true" outlineLevel="0" collapsed="false">
      <c r="A3" s="12" t="s">
        <v>28</v>
      </c>
      <c r="B3" s="13" t="s">
        <v>29</v>
      </c>
      <c r="C3" s="14" t="n">
        <f aca="false">SUMIF('Task List'!C:C,A3,'Task List'!K:K)</f>
        <v>48</v>
      </c>
      <c r="D3" s="15" t="n">
        <f aca="false">COUNTIF('Task List'!C:C,A3)</f>
        <v>9</v>
      </c>
      <c r="E3" s="16" t="s">
        <v>30</v>
      </c>
      <c r="F3" s="16" t="s">
        <v>31</v>
      </c>
    </row>
    <row r="4" customFormat="false" ht="51.75" hidden="false" customHeight="true" outlineLevel="0" collapsed="false">
      <c r="A4" s="17" t="s">
        <v>32</v>
      </c>
      <c r="B4" s="18" t="s">
        <v>33</v>
      </c>
      <c r="C4" s="19" t="n">
        <f aca="false">SUMIF('Task List'!C:C,A4,'Task List'!K:K)</f>
        <v>47</v>
      </c>
      <c r="D4" s="20" t="n">
        <f aca="false">COUNTIF('Task List'!C:C,A4)</f>
        <v>6</v>
      </c>
      <c r="E4" s="21" t="s">
        <v>34</v>
      </c>
      <c r="F4" s="21" t="s">
        <v>35</v>
      </c>
    </row>
    <row r="5" customFormat="false" ht="51.75" hidden="false" customHeight="true" outlineLevel="0" collapsed="false">
      <c r="A5" s="22" t="s">
        <v>36</v>
      </c>
      <c r="B5" s="13" t="s">
        <v>37</v>
      </c>
      <c r="C5" s="14" t="n">
        <f aca="false">SUMIF('Task List'!C:C,A5,'Task List'!K:K)</f>
        <v>59</v>
      </c>
      <c r="D5" s="15" t="n">
        <f aca="false">COUNTIF('Task List'!C:C,A5)</f>
        <v>7</v>
      </c>
      <c r="E5" s="16" t="s">
        <v>38</v>
      </c>
      <c r="F5" s="16" t="s">
        <v>39</v>
      </c>
    </row>
    <row r="6" customFormat="false" ht="51.75" hidden="false" customHeight="true" outlineLevel="0" collapsed="false">
      <c r="A6" s="23" t="s">
        <v>40</v>
      </c>
      <c r="B6" s="18" t="s">
        <v>33</v>
      </c>
      <c r="C6" s="19" t="n">
        <f aca="false">SUMIF('Task List'!C:C,A6,'Task List'!K:K)</f>
        <v>50</v>
      </c>
      <c r="D6" s="20" t="n">
        <f aca="false">COUNTIF('Task List'!C:C,A6)</f>
        <v>5</v>
      </c>
      <c r="E6" s="21" t="s">
        <v>41</v>
      </c>
      <c r="F6" s="21" t="s">
        <v>42</v>
      </c>
    </row>
    <row r="7" customFormat="false" ht="51.75" hidden="false" customHeight="true" outlineLevel="0" collapsed="false">
      <c r="A7" s="24" t="s">
        <v>43</v>
      </c>
      <c r="B7" s="13" t="s">
        <v>29</v>
      </c>
      <c r="C7" s="14" t="n">
        <f aca="false">SUMIF('Task List'!C:C,A7,'Task List'!K:K)</f>
        <v>55</v>
      </c>
      <c r="D7" s="15" t="n">
        <f aca="false">COUNTIF('Task List'!C:C,A7)</f>
        <v>5</v>
      </c>
      <c r="E7" s="16" t="s">
        <v>44</v>
      </c>
      <c r="F7" s="16" t="s">
        <v>45</v>
      </c>
    </row>
    <row r="8" customFormat="false" ht="51.75" hidden="false" customHeight="true" outlineLevel="0" collapsed="false">
      <c r="A8" s="25" t="s">
        <v>46</v>
      </c>
      <c r="B8" s="18" t="s">
        <v>47</v>
      </c>
      <c r="C8" s="19" t="n">
        <f aca="false">SUMIF('Task List'!C:C,A8,'Task List'!K:K)</f>
        <v>52</v>
      </c>
      <c r="D8" s="20" t="n">
        <f aca="false">COUNTIF('Task List'!C:C,A8)</f>
        <v>5</v>
      </c>
      <c r="E8" s="21" t="s">
        <v>48</v>
      </c>
      <c r="F8" s="21" t="s">
        <v>49</v>
      </c>
    </row>
    <row r="9" customFormat="false" ht="51.75" hidden="false" customHeight="true" outlineLevel="0" collapsed="false">
      <c r="A9" s="26" t="s">
        <v>50</v>
      </c>
      <c r="B9" s="13" t="s">
        <v>29</v>
      </c>
      <c r="C9" s="14" t="n">
        <f aca="false">SUMIF('Task List'!C:C,A9,'Task List'!K:K)</f>
        <v>50</v>
      </c>
      <c r="D9" s="15" t="n">
        <f aca="false">COUNTIF('Task List'!C:C,A9)</f>
        <v>6</v>
      </c>
      <c r="E9" s="16" t="s">
        <v>51</v>
      </c>
      <c r="F9" s="16" t="s">
        <v>52</v>
      </c>
    </row>
    <row r="10" customFormat="false" ht="24" hidden="false" customHeight="true" outlineLevel="0" collapsed="false">
      <c r="A10" s="27" t="s">
        <v>53</v>
      </c>
      <c r="B10" s="28"/>
      <c r="C10" s="29" t="n">
        <f aca="false">SUM(C3:C9)</f>
        <v>361</v>
      </c>
      <c r="D10" s="29" t="n">
        <f aca="false">SUM(D3:D9)</f>
        <v>43</v>
      </c>
      <c r="E10" s="30" t="s">
        <v>54</v>
      </c>
      <c r="F10" s="28"/>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5"/>
    <col collapsed="false" customWidth="true" hidden="false" outlineLevel="0" max="2" min="2" style="0" width="33"/>
    <col collapsed="false" customWidth="true" hidden="false" outlineLevel="0" max="3" min="3" style="0" width="26"/>
    <col collapsed="false" customWidth="true" hidden="false" outlineLevel="0" max="4" min="4" style="0" width="12"/>
    <col collapsed="false" customWidth="true" hidden="false" outlineLevel="0" max="5" min="5" style="0" width="13"/>
    <col collapsed="false" customWidth="true" hidden="false" outlineLevel="0" max="6" min="6" style="0" width="21"/>
    <col collapsed="false" customWidth="true" hidden="false" outlineLevel="0" max="7" min="7" style="0" width="14"/>
    <col collapsed="false" customWidth="true" hidden="false" outlineLevel="0" max="8" min="8" style="0" width="78"/>
    <col collapsed="false" customWidth="true" hidden="false" outlineLevel="0" max="9" min="9" style="0" width="64"/>
    <col collapsed="false" customWidth="true" hidden="false" outlineLevel="0" max="10" min="10" style="0" width="14"/>
    <col collapsed="false" customWidth="true" hidden="false" outlineLevel="0" max="11" min="11" style="0" width="9"/>
  </cols>
  <sheetData>
    <row r="1" customFormat="false" ht="25.5" hidden="false" customHeight="true" outlineLevel="0" collapsed="false">
      <c r="A1" s="10" t="s">
        <v>55</v>
      </c>
      <c r="B1" s="10"/>
      <c r="C1" s="10"/>
      <c r="D1" s="10"/>
      <c r="E1" s="10"/>
      <c r="F1" s="10"/>
      <c r="G1" s="10"/>
      <c r="H1" s="10"/>
      <c r="I1" s="10"/>
      <c r="J1" s="10"/>
      <c r="K1" s="10"/>
    </row>
    <row r="2" customFormat="false" ht="42" hidden="false" customHeight="true" outlineLevel="0" collapsed="false">
      <c r="A2" s="11" t="s">
        <v>56</v>
      </c>
      <c r="B2" s="11" t="s">
        <v>57</v>
      </c>
      <c r="C2" s="11" t="s">
        <v>22</v>
      </c>
      <c r="D2" s="11" t="s">
        <v>58</v>
      </c>
      <c r="E2" s="11" t="s">
        <v>59</v>
      </c>
      <c r="F2" s="11" t="s">
        <v>60</v>
      </c>
      <c r="G2" s="11" t="s">
        <v>61</v>
      </c>
      <c r="H2" s="11" t="s">
        <v>62</v>
      </c>
      <c r="I2" s="11" t="s">
        <v>63</v>
      </c>
      <c r="J2" s="11" t="s">
        <v>64</v>
      </c>
      <c r="K2" s="11" t="s">
        <v>24</v>
      </c>
    </row>
    <row r="3" customFormat="false" ht="121.5" hidden="false" customHeight="true" outlineLevel="0" collapsed="false">
      <c r="A3" s="31" t="s">
        <v>65</v>
      </c>
      <c r="B3" s="32" t="s">
        <v>66</v>
      </c>
      <c r="C3" s="33" t="s">
        <v>28</v>
      </c>
      <c r="D3" s="34" t="s">
        <v>29</v>
      </c>
      <c r="E3" s="34" t="s">
        <v>67</v>
      </c>
      <c r="F3" s="35" t="s">
        <v>68</v>
      </c>
      <c r="G3" s="36" t="s">
        <v>69</v>
      </c>
      <c r="H3" s="35" t="s">
        <v>70</v>
      </c>
      <c r="I3" s="35" t="s">
        <v>71</v>
      </c>
      <c r="J3" s="34" t="s">
        <v>72</v>
      </c>
      <c r="K3" s="18" t="n">
        <v>4</v>
      </c>
    </row>
    <row r="4" customFormat="false" ht="108" hidden="false" customHeight="true" outlineLevel="0" collapsed="false">
      <c r="A4" s="37" t="s">
        <v>73</v>
      </c>
      <c r="B4" s="38" t="s">
        <v>74</v>
      </c>
      <c r="C4" s="33" t="s">
        <v>28</v>
      </c>
      <c r="D4" s="39" t="s">
        <v>29</v>
      </c>
      <c r="E4" s="39" t="s">
        <v>67</v>
      </c>
      <c r="F4" s="40" t="s">
        <v>75</v>
      </c>
      <c r="G4" s="41" t="s">
        <v>76</v>
      </c>
      <c r="H4" s="40" t="s">
        <v>77</v>
      </c>
      <c r="I4" s="40" t="s">
        <v>78</v>
      </c>
      <c r="J4" s="39" t="s">
        <v>72</v>
      </c>
      <c r="K4" s="42" t="n">
        <v>6</v>
      </c>
    </row>
    <row r="5" customFormat="false" ht="79.5" hidden="false" customHeight="true" outlineLevel="0" collapsed="false">
      <c r="A5" s="31" t="s">
        <v>79</v>
      </c>
      <c r="B5" s="32" t="s">
        <v>80</v>
      </c>
      <c r="C5" s="33" t="s">
        <v>28</v>
      </c>
      <c r="D5" s="34" t="s">
        <v>29</v>
      </c>
      <c r="E5" s="34" t="s">
        <v>67</v>
      </c>
      <c r="F5" s="35" t="s">
        <v>81</v>
      </c>
      <c r="G5" s="43" t="s">
        <v>82</v>
      </c>
      <c r="H5" s="35" t="s">
        <v>83</v>
      </c>
      <c r="I5" s="35" t="s">
        <v>84</v>
      </c>
      <c r="J5" s="34" t="s">
        <v>72</v>
      </c>
      <c r="K5" s="18" t="n">
        <v>1</v>
      </c>
    </row>
    <row r="6" customFormat="false" ht="66" hidden="false" customHeight="true" outlineLevel="0" collapsed="false">
      <c r="A6" s="37" t="s">
        <v>85</v>
      </c>
      <c r="B6" s="38" t="s">
        <v>86</v>
      </c>
      <c r="C6" s="33" t="s">
        <v>28</v>
      </c>
      <c r="D6" s="39" t="s">
        <v>29</v>
      </c>
      <c r="E6" s="39" t="s">
        <v>67</v>
      </c>
      <c r="F6" s="40" t="s">
        <v>87</v>
      </c>
      <c r="G6" s="43" t="s">
        <v>82</v>
      </c>
      <c r="H6" s="40" t="s">
        <v>88</v>
      </c>
      <c r="I6" s="40" t="s">
        <v>89</v>
      </c>
      <c r="J6" s="39" t="s">
        <v>72</v>
      </c>
      <c r="K6" s="42" t="n">
        <v>2</v>
      </c>
    </row>
    <row r="7" customFormat="false" ht="121.5" hidden="false" customHeight="true" outlineLevel="0" collapsed="false">
      <c r="A7" s="31" t="s">
        <v>90</v>
      </c>
      <c r="B7" s="32" t="s">
        <v>91</v>
      </c>
      <c r="C7" s="33" t="s">
        <v>28</v>
      </c>
      <c r="D7" s="34" t="s">
        <v>29</v>
      </c>
      <c r="E7" s="34" t="s">
        <v>67</v>
      </c>
      <c r="F7" s="35" t="s">
        <v>87</v>
      </c>
      <c r="G7" s="44" t="s">
        <v>92</v>
      </c>
      <c r="H7" s="35" t="s">
        <v>93</v>
      </c>
      <c r="I7" s="35" t="s">
        <v>94</v>
      </c>
      <c r="J7" s="34" t="s">
        <v>95</v>
      </c>
      <c r="K7" s="18" t="n">
        <v>14</v>
      </c>
    </row>
    <row r="8" customFormat="false" ht="79.5" hidden="false" customHeight="true" outlineLevel="0" collapsed="false">
      <c r="A8" s="37" t="s">
        <v>96</v>
      </c>
      <c r="B8" s="38" t="s">
        <v>97</v>
      </c>
      <c r="C8" s="33" t="s">
        <v>28</v>
      </c>
      <c r="D8" s="39" t="s">
        <v>29</v>
      </c>
      <c r="E8" s="39" t="s">
        <v>67</v>
      </c>
      <c r="F8" s="40" t="s">
        <v>87</v>
      </c>
      <c r="G8" s="41" t="s">
        <v>76</v>
      </c>
      <c r="H8" s="40" t="s">
        <v>98</v>
      </c>
      <c r="I8" s="40" t="s">
        <v>99</v>
      </c>
      <c r="J8" s="39" t="s">
        <v>95</v>
      </c>
      <c r="K8" s="42" t="n">
        <v>5</v>
      </c>
    </row>
    <row r="9" customFormat="false" ht="79.5" hidden="false" customHeight="true" outlineLevel="0" collapsed="false">
      <c r="A9" s="31" t="s">
        <v>100</v>
      </c>
      <c r="B9" s="32" t="s">
        <v>101</v>
      </c>
      <c r="C9" s="33" t="s">
        <v>28</v>
      </c>
      <c r="D9" s="34" t="s">
        <v>29</v>
      </c>
      <c r="E9" s="34" t="s">
        <v>67</v>
      </c>
      <c r="F9" s="35" t="s">
        <v>102</v>
      </c>
      <c r="G9" s="43" t="s">
        <v>82</v>
      </c>
      <c r="H9" s="35" t="s">
        <v>103</v>
      </c>
      <c r="I9" s="35" t="s">
        <v>104</v>
      </c>
      <c r="J9" s="34" t="s">
        <v>95</v>
      </c>
      <c r="K9" s="18" t="n">
        <v>4</v>
      </c>
    </row>
    <row r="10" customFormat="false" ht="79.5" hidden="false" customHeight="true" outlineLevel="0" collapsed="false">
      <c r="A10" s="37" t="s">
        <v>105</v>
      </c>
      <c r="B10" s="38" t="s">
        <v>106</v>
      </c>
      <c r="C10" s="33" t="s">
        <v>28</v>
      </c>
      <c r="D10" s="39" t="s">
        <v>29</v>
      </c>
      <c r="E10" s="39" t="s">
        <v>107</v>
      </c>
      <c r="F10" s="40" t="s">
        <v>108</v>
      </c>
      <c r="G10" s="43" t="s">
        <v>82</v>
      </c>
      <c r="H10" s="40" t="s">
        <v>109</v>
      </c>
      <c r="I10" s="40" t="s">
        <v>110</v>
      </c>
      <c r="J10" s="39" t="s">
        <v>29</v>
      </c>
      <c r="K10" s="42" t="n">
        <v>2</v>
      </c>
    </row>
    <row r="11" customFormat="false" ht="108" hidden="false" customHeight="true" outlineLevel="0" collapsed="false">
      <c r="A11" s="31" t="s">
        <v>111</v>
      </c>
      <c r="B11" s="32" t="s">
        <v>112</v>
      </c>
      <c r="C11" s="33" t="s">
        <v>28</v>
      </c>
      <c r="D11" s="34" t="s">
        <v>29</v>
      </c>
      <c r="E11" s="34" t="s">
        <v>113</v>
      </c>
      <c r="F11" s="35" t="s">
        <v>114</v>
      </c>
      <c r="G11" s="44" t="s">
        <v>92</v>
      </c>
      <c r="H11" s="35" t="s">
        <v>115</v>
      </c>
      <c r="I11" s="35" t="s">
        <v>116</v>
      </c>
      <c r="J11" s="34" t="s">
        <v>117</v>
      </c>
      <c r="K11" s="18" t="n">
        <v>10</v>
      </c>
    </row>
    <row r="12" customFormat="false" ht="121.5" hidden="false" customHeight="true" outlineLevel="0" collapsed="false">
      <c r="A12" s="37" t="s">
        <v>118</v>
      </c>
      <c r="B12" s="38" t="s">
        <v>119</v>
      </c>
      <c r="C12" s="45" t="s">
        <v>32</v>
      </c>
      <c r="D12" s="39" t="s">
        <v>33</v>
      </c>
      <c r="E12" s="39" t="s">
        <v>67</v>
      </c>
      <c r="F12" s="40" t="s">
        <v>120</v>
      </c>
      <c r="G12" s="44" t="s">
        <v>92</v>
      </c>
      <c r="H12" s="40" t="s">
        <v>121</v>
      </c>
      <c r="I12" s="40" t="s">
        <v>122</v>
      </c>
      <c r="J12" s="39" t="s">
        <v>95</v>
      </c>
      <c r="K12" s="42" t="n">
        <v>8</v>
      </c>
    </row>
    <row r="13" customFormat="false" ht="79.5" hidden="false" customHeight="true" outlineLevel="0" collapsed="false">
      <c r="A13" s="31" t="s">
        <v>123</v>
      </c>
      <c r="B13" s="32" t="s">
        <v>124</v>
      </c>
      <c r="C13" s="45" t="s">
        <v>32</v>
      </c>
      <c r="D13" s="34" t="s">
        <v>33</v>
      </c>
      <c r="E13" s="34" t="s">
        <v>67</v>
      </c>
      <c r="F13" s="35" t="s">
        <v>125</v>
      </c>
      <c r="G13" s="44" t="s">
        <v>92</v>
      </c>
      <c r="H13" s="35" t="s">
        <v>126</v>
      </c>
      <c r="I13" s="35" t="s">
        <v>127</v>
      </c>
      <c r="J13" s="34" t="s">
        <v>95</v>
      </c>
      <c r="K13" s="18" t="n">
        <v>11</v>
      </c>
    </row>
    <row r="14" customFormat="false" ht="79.5" hidden="false" customHeight="true" outlineLevel="0" collapsed="false">
      <c r="A14" s="37" t="s">
        <v>128</v>
      </c>
      <c r="B14" s="38" t="s">
        <v>129</v>
      </c>
      <c r="C14" s="45" t="s">
        <v>32</v>
      </c>
      <c r="D14" s="39" t="s">
        <v>33</v>
      </c>
      <c r="E14" s="39" t="s">
        <v>67</v>
      </c>
      <c r="F14" s="40" t="s">
        <v>120</v>
      </c>
      <c r="G14" s="41" t="s">
        <v>76</v>
      </c>
      <c r="H14" s="40" t="s">
        <v>130</v>
      </c>
      <c r="I14" s="40" t="s">
        <v>131</v>
      </c>
      <c r="J14" s="39" t="s">
        <v>95</v>
      </c>
      <c r="K14" s="42" t="n">
        <v>8</v>
      </c>
    </row>
    <row r="15" customFormat="false" ht="66" hidden="false" customHeight="true" outlineLevel="0" collapsed="false">
      <c r="A15" s="31" t="s">
        <v>132</v>
      </c>
      <c r="B15" s="32" t="s">
        <v>133</v>
      </c>
      <c r="C15" s="45" t="s">
        <v>32</v>
      </c>
      <c r="D15" s="34" t="s">
        <v>33</v>
      </c>
      <c r="E15" s="34" t="s">
        <v>67</v>
      </c>
      <c r="F15" s="35" t="s">
        <v>134</v>
      </c>
      <c r="G15" s="43" t="s">
        <v>82</v>
      </c>
      <c r="H15" s="35" t="s">
        <v>135</v>
      </c>
      <c r="I15" s="35" t="s">
        <v>136</v>
      </c>
      <c r="J15" s="34" t="s">
        <v>95</v>
      </c>
      <c r="K15" s="18" t="n">
        <v>5</v>
      </c>
    </row>
    <row r="16" customFormat="false" ht="79.5" hidden="false" customHeight="true" outlineLevel="0" collapsed="false">
      <c r="A16" s="37" t="s">
        <v>137</v>
      </c>
      <c r="B16" s="38" t="s">
        <v>138</v>
      </c>
      <c r="C16" s="45" t="s">
        <v>32</v>
      </c>
      <c r="D16" s="39" t="s">
        <v>33</v>
      </c>
      <c r="E16" s="39" t="s">
        <v>113</v>
      </c>
      <c r="F16" s="40" t="s">
        <v>120</v>
      </c>
      <c r="G16" s="44" t="s">
        <v>92</v>
      </c>
      <c r="H16" s="40" t="s">
        <v>139</v>
      </c>
      <c r="I16" s="40" t="s">
        <v>140</v>
      </c>
      <c r="J16" s="39" t="s">
        <v>117</v>
      </c>
      <c r="K16" s="42" t="n">
        <v>9</v>
      </c>
    </row>
    <row r="17" customFormat="false" ht="51.75" hidden="false" customHeight="true" outlineLevel="0" collapsed="false">
      <c r="A17" s="31" t="s">
        <v>141</v>
      </c>
      <c r="B17" s="32" t="s">
        <v>142</v>
      </c>
      <c r="C17" s="45" t="s">
        <v>32</v>
      </c>
      <c r="D17" s="34" t="s">
        <v>33</v>
      </c>
      <c r="E17" s="34" t="s">
        <v>113</v>
      </c>
      <c r="F17" s="35" t="s">
        <v>143</v>
      </c>
      <c r="G17" s="41" t="s">
        <v>76</v>
      </c>
      <c r="H17" s="35" t="s">
        <v>144</v>
      </c>
      <c r="I17" s="35" t="s">
        <v>145</v>
      </c>
      <c r="J17" s="34" t="s">
        <v>117</v>
      </c>
      <c r="K17" s="18" t="n">
        <v>6</v>
      </c>
    </row>
    <row r="18" customFormat="false" ht="79.5" hidden="false" customHeight="true" outlineLevel="0" collapsed="false">
      <c r="A18" s="37" t="s">
        <v>146</v>
      </c>
      <c r="B18" s="38" t="s">
        <v>147</v>
      </c>
      <c r="C18" s="46" t="s">
        <v>36</v>
      </c>
      <c r="D18" s="39" t="s">
        <v>37</v>
      </c>
      <c r="E18" s="39" t="s">
        <v>67</v>
      </c>
      <c r="F18" s="40" t="s">
        <v>148</v>
      </c>
      <c r="G18" s="44" t="s">
        <v>92</v>
      </c>
      <c r="H18" s="40" t="s">
        <v>149</v>
      </c>
      <c r="I18" s="40" t="s">
        <v>150</v>
      </c>
      <c r="J18" s="39" t="s">
        <v>151</v>
      </c>
      <c r="K18" s="42" t="n">
        <v>8</v>
      </c>
    </row>
    <row r="19" customFormat="false" ht="66" hidden="false" customHeight="true" outlineLevel="0" collapsed="false">
      <c r="A19" s="31" t="s">
        <v>152</v>
      </c>
      <c r="B19" s="32" t="s">
        <v>153</v>
      </c>
      <c r="C19" s="46" t="s">
        <v>36</v>
      </c>
      <c r="D19" s="34" t="s">
        <v>154</v>
      </c>
      <c r="E19" s="34" t="s">
        <v>155</v>
      </c>
      <c r="F19" s="35" t="s">
        <v>156</v>
      </c>
      <c r="G19" s="41" t="s">
        <v>76</v>
      </c>
      <c r="H19" s="35" t="s">
        <v>157</v>
      </c>
      <c r="I19" s="35" t="s">
        <v>158</v>
      </c>
      <c r="J19" s="34" t="s">
        <v>151</v>
      </c>
      <c r="K19" s="18" t="n">
        <v>8</v>
      </c>
    </row>
    <row r="20" customFormat="false" ht="79.5" hidden="false" customHeight="true" outlineLevel="0" collapsed="false">
      <c r="A20" s="37" t="s">
        <v>159</v>
      </c>
      <c r="B20" s="38" t="s">
        <v>160</v>
      </c>
      <c r="C20" s="46" t="s">
        <v>36</v>
      </c>
      <c r="D20" s="39" t="s">
        <v>37</v>
      </c>
      <c r="E20" s="39" t="s">
        <v>67</v>
      </c>
      <c r="F20" s="40" t="s">
        <v>148</v>
      </c>
      <c r="G20" s="44" t="s">
        <v>92</v>
      </c>
      <c r="H20" s="40" t="s">
        <v>161</v>
      </c>
      <c r="I20" s="40" t="s">
        <v>162</v>
      </c>
      <c r="J20" s="39" t="s">
        <v>151</v>
      </c>
      <c r="K20" s="42" t="n">
        <v>11</v>
      </c>
    </row>
    <row r="21" customFormat="false" ht="79.5" hidden="false" customHeight="true" outlineLevel="0" collapsed="false">
      <c r="A21" s="31" t="s">
        <v>163</v>
      </c>
      <c r="B21" s="32" t="s">
        <v>164</v>
      </c>
      <c r="C21" s="46" t="s">
        <v>36</v>
      </c>
      <c r="D21" s="34" t="s">
        <v>37</v>
      </c>
      <c r="E21" s="34" t="s">
        <v>165</v>
      </c>
      <c r="F21" s="35" t="s">
        <v>166</v>
      </c>
      <c r="G21" s="41" t="s">
        <v>76</v>
      </c>
      <c r="H21" s="35" t="s">
        <v>167</v>
      </c>
      <c r="I21" s="35" t="s">
        <v>168</v>
      </c>
      <c r="J21" s="34" t="s">
        <v>151</v>
      </c>
      <c r="K21" s="18" t="n">
        <v>9</v>
      </c>
    </row>
    <row r="22" customFormat="false" ht="66" hidden="false" customHeight="true" outlineLevel="0" collapsed="false">
      <c r="A22" s="37" t="s">
        <v>169</v>
      </c>
      <c r="B22" s="38" t="s">
        <v>170</v>
      </c>
      <c r="C22" s="46" t="s">
        <v>36</v>
      </c>
      <c r="D22" s="39" t="s">
        <v>37</v>
      </c>
      <c r="E22" s="39" t="s">
        <v>67</v>
      </c>
      <c r="F22" s="40" t="s">
        <v>171</v>
      </c>
      <c r="G22" s="44" t="s">
        <v>92</v>
      </c>
      <c r="H22" s="40" t="s">
        <v>172</v>
      </c>
      <c r="I22" s="40" t="s">
        <v>173</v>
      </c>
      <c r="J22" s="39" t="s">
        <v>151</v>
      </c>
      <c r="K22" s="42" t="n">
        <v>9</v>
      </c>
    </row>
    <row r="23" customFormat="false" ht="66" hidden="false" customHeight="true" outlineLevel="0" collapsed="false">
      <c r="A23" s="31" t="s">
        <v>174</v>
      </c>
      <c r="B23" s="32" t="s">
        <v>175</v>
      </c>
      <c r="C23" s="46" t="s">
        <v>36</v>
      </c>
      <c r="D23" s="34" t="s">
        <v>154</v>
      </c>
      <c r="E23" s="34" t="s">
        <v>155</v>
      </c>
      <c r="F23" s="35" t="s">
        <v>176</v>
      </c>
      <c r="G23" s="43" t="s">
        <v>82</v>
      </c>
      <c r="H23" s="35" t="s">
        <v>177</v>
      </c>
      <c r="I23" s="35" t="s">
        <v>178</v>
      </c>
      <c r="J23" s="34" t="s">
        <v>179</v>
      </c>
      <c r="K23" s="18" t="n">
        <v>5</v>
      </c>
    </row>
    <row r="24" customFormat="false" ht="66" hidden="false" customHeight="true" outlineLevel="0" collapsed="false">
      <c r="A24" s="37" t="s">
        <v>180</v>
      </c>
      <c r="B24" s="38" t="s">
        <v>181</v>
      </c>
      <c r="C24" s="46" t="s">
        <v>36</v>
      </c>
      <c r="D24" s="39" t="s">
        <v>37</v>
      </c>
      <c r="E24" s="39" t="s">
        <v>113</v>
      </c>
      <c r="F24" s="40" t="s">
        <v>120</v>
      </c>
      <c r="G24" s="44" t="s">
        <v>92</v>
      </c>
      <c r="H24" s="40" t="s">
        <v>182</v>
      </c>
      <c r="I24" s="40" t="s">
        <v>183</v>
      </c>
      <c r="J24" s="39" t="s">
        <v>117</v>
      </c>
      <c r="K24" s="42" t="n">
        <v>9</v>
      </c>
    </row>
    <row r="25" customFormat="false" ht="93.75" hidden="false" customHeight="true" outlineLevel="0" collapsed="false">
      <c r="A25" s="31" t="s">
        <v>184</v>
      </c>
      <c r="B25" s="32" t="s">
        <v>185</v>
      </c>
      <c r="C25" s="47" t="s">
        <v>40</v>
      </c>
      <c r="D25" s="34" t="s">
        <v>33</v>
      </c>
      <c r="E25" s="34" t="s">
        <v>33</v>
      </c>
      <c r="F25" s="35" t="s">
        <v>186</v>
      </c>
      <c r="G25" s="44" t="s">
        <v>92</v>
      </c>
      <c r="H25" s="35" t="s">
        <v>187</v>
      </c>
      <c r="I25" s="35" t="s">
        <v>188</v>
      </c>
      <c r="J25" s="34" t="s">
        <v>151</v>
      </c>
      <c r="K25" s="18" t="n">
        <v>13</v>
      </c>
    </row>
    <row r="26" customFormat="false" ht="66" hidden="false" customHeight="true" outlineLevel="0" collapsed="false">
      <c r="A26" s="37" t="s">
        <v>189</v>
      </c>
      <c r="B26" s="38" t="s">
        <v>190</v>
      </c>
      <c r="C26" s="47" t="s">
        <v>40</v>
      </c>
      <c r="D26" s="39" t="s">
        <v>33</v>
      </c>
      <c r="E26" s="39" t="s">
        <v>33</v>
      </c>
      <c r="F26" s="40" t="s">
        <v>191</v>
      </c>
      <c r="G26" s="41" t="s">
        <v>76</v>
      </c>
      <c r="H26" s="40" t="s">
        <v>192</v>
      </c>
      <c r="I26" s="40" t="s">
        <v>193</v>
      </c>
      <c r="J26" s="39" t="s">
        <v>151</v>
      </c>
      <c r="K26" s="42" t="n">
        <v>9</v>
      </c>
    </row>
    <row r="27" customFormat="false" ht="66" hidden="false" customHeight="true" outlineLevel="0" collapsed="false">
      <c r="A27" s="31" t="s">
        <v>194</v>
      </c>
      <c r="B27" s="32" t="s">
        <v>195</v>
      </c>
      <c r="C27" s="47" t="s">
        <v>40</v>
      </c>
      <c r="D27" s="34" t="s">
        <v>33</v>
      </c>
      <c r="E27" s="34" t="s">
        <v>33</v>
      </c>
      <c r="F27" s="35" t="s">
        <v>196</v>
      </c>
      <c r="G27" s="44" t="s">
        <v>92</v>
      </c>
      <c r="H27" s="35" t="s">
        <v>197</v>
      </c>
      <c r="I27" s="35" t="s">
        <v>198</v>
      </c>
      <c r="J27" s="34" t="s">
        <v>29</v>
      </c>
      <c r="K27" s="18" t="n">
        <v>10</v>
      </c>
    </row>
    <row r="28" customFormat="false" ht="66" hidden="false" customHeight="true" outlineLevel="0" collapsed="false">
      <c r="A28" s="37" t="s">
        <v>199</v>
      </c>
      <c r="B28" s="38" t="s">
        <v>200</v>
      </c>
      <c r="C28" s="47" t="s">
        <v>40</v>
      </c>
      <c r="D28" s="39" t="s">
        <v>154</v>
      </c>
      <c r="E28" s="39" t="s">
        <v>155</v>
      </c>
      <c r="F28" s="40" t="s">
        <v>201</v>
      </c>
      <c r="G28" s="41" t="s">
        <v>76</v>
      </c>
      <c r="H28" s="40" t="s">
        <v>202</v>
      </c>
      <c r="I28" s="40" t="s">
        <v>203</v>
      </c>
      <c r="J28" s="39" t="s">
        <v>151</v>
      </c>
      <c r="K28" s="42" t="n">
        <v>9</v>
      </c>
    </row>
    <row r="29" customFormat="false" ht="66" hidden="false" customHeight="true" outlineLevel="0" collapsed="false">
      <c r="A29" s="31" t="s">
        <v>204</v>
      </c>
      <c r="B29" s="32" t="s">
        <v>205</v>
      </c>
      <c r="C29" s="47" t="s">
        <v>40</v>
      </c>
      <c r="D29" s="34" t="s">
        <v>33</v>
      </c>
      <c r="E29" s="34" t="s">
        <v>113</v>
      </c>
      <c r="F29" s="35" t="s">
        <v>201</v>
      </c>
      <c r="G29" s="44" t="s">
        <v>92</v>
      </c>
      <c r="H29" s="35" t="s">
        <v>206</v>
      </c>
      <c r="I29" s="35" t="s">
        <v>207</v>
      </c>
      <c r="J29" s="34" t="s">
        <v>117</v>
      </c>
      <c r="K29" s="18" t="n">
        <v>9</v>
      </c>
    </row>
    <row r="30" customFormat="false" ht="93.75" hidden="false" customHeight="true" outlineLevel="0" collapsed="false">
      <c r="A30" s="37" t="s">
        <v>208</v>
      </c>
      <c r="B30" s="38" t="s">
        <v>209</v>
      </c>
      <c r="C30" s="48" t="s">
        <v>43</v>
      </c>
      <c r="D30" s="39" t="s">
        <v>29</v>
      </c>
      <c r="E30" s="39" t="s">
        <v>107</v>
      </c>
      <c r="F30" s="40" t="s">
        <v>210</v>
      </c>
      <c r="G30" s="44" t="s">
        <v>92</v>
      </c>
      <c r="H30" s="40" t="s">
        <v>211</v>
      </c>
      <c r="I30" s="40" t="s">
        <v>212</v>
      </c>
      <c r="J30" s="39" t="s">
        <v>151</v>
      </c>
      <c r="K30" s="42" t="n">
        <v>15</v>
      </c>
    </row>
    <row r="31" customFormat="false" ht="66" hidden="false" customHeight="true" outlineLevel="0" collapsed="false">
      <c r="A31" s="31" t="s">
        <v>213</v>
      </c>
      <c r="B31" s="32" t="s">
        <v>214</v>
      </c>
      <c r="C31" s="48" t="s">
        <v>43</v>
      </c>
      <c r="D31" s="34" t="s">
        <v>29</v>
      </c>
      <c r="E31" s="34" t="s">
        <v>67</v>
      </c>
      <c r="F31" s="35" t="s">
        <v>215</v>
      </c>
      <c r="G31" s="41" t="s">
        <v>76</v>
      </c>
      <c r="H31" s="35" t="s">
        <v>216</v>
      </c>
      <c r="I31" s="35" t="s">
        <v>217</v>
      </c>
      <c r="J31" s="34" t="s">
        <v>151</v>
      </c>
      <c r="K31" s="18" t="n">
        <v>11</v>
      </c>
    </row>
    <row r="32" customFormat="false" ht="66" hidden="false" customHeight="true" outlineLevel="0" collapsed="false">
      <c r="A32" s="37" t="s">
        <v>218</v>
      </c>
      <c r="B32" s="38" t="s">
        <v>219</v>
      </c>
      <c r="C32" s="48" t="s">
        <v>43</v>
      </c>
      <c r="D32" s="39" t="s">
        <v>37</v>
      </c>
      <c r="E32" s="39" t="s">
        <v>67</v>
      </c>
      <c r="F32" s="40" t="s">
        <v>220</v>
      </c>
      <c r="G32" s="41" t="s">
        <v>76</v>
      </c>
      <c r="H32" s="40" t="s">
        <v>221</v>
      </c>
      <c r="I32" s="40" t="s">
        <v>222</v>
      </c>
      <c r="J32" s="39" t="s">
        <v>151</v>
      </c>
      <c r="K32" s="42" t="n">
        <v>11</v>
      </c>
    </row>
    <row r="33" customFormat="false" ht="51.75" hidden="false" customHeight="true" outlineLevel="0" collapsed="false">
      <c r="A33" s="31" t="s">
        <v>223</v>
      </c>
      <c r="B33" s="32" t="s">
        <v>224</v>
      </c>
      <c r="C33" s="48" t="s">
        <v>43</v>
      </c>
      <c r="D33" s="34" t="s">
        <v>154</v>
      </c>
      <c r="E33" s="34" t="s">
        <v>155</v>
      </c>
      <c r="F33" s="35" t="s">
        <v>225</v>
      </c>
      <c r="G33" s="43" t="s">
        <v>82</v>
      </c>
      <c r="H33" s="35" t="s">
        <v>226</v>
      </c>
      <c r="I33" s="35" t="s">
        <v>227</v>
      </c>
      <c r="J33" s="34" t="s">
        <v>151</v>
      </c>
      <c r="K33" s="18" t="n">
        <v>7</v>
      </c>
    </row>
    <row r="34" customFormat="false" ht="66" hidden="false" customHeight="true" outlineLevel="0" collapsed="false">
      <c r="A34" s="37" t="s">
        <v>228</v>
      </c>
      <c r="B34" s="38" t="s">
        <v>229</v>
      </c>
      <c r="C34" s="48" t="s">
        <v>43</v>
      </c>
      <c r="D34" s="39" t="s">
        <v>29</v>
      </c>
      <c r="E34" s="39" t="s">
        <v>113</v>
      </c>
      <c r="F34" s="40" t="s">
        <v>230</v>
      </c>
      <c r="G34" s="44" t="s">
        <v>92</v>
      </c>
      <c r="H34" s="40" t="s">
        <v>231</v>
      </c>
      <c r="I34" s="40" t="s">
        <v>232</v>
      </c>
      <c r="J34" s="39" t="s">
        <v>117</v>
      </c>
      <c r="K34" s="42" t="n">
        <v>11</v>
      </c>
    </row>
    <row r="35" customFormat="false" ht="66" hidden="false" customHeight="true" outlineLevel="0" collapsed="false">
      <c r="A35" s="31" t="s">
        <v>233</v>
      </c>
      <c r="B35" s="32" t="s">
        <v>234</v>
      </c>
      <c r="C35" s="49" t="s">
        <v>46</v>
      </c>
      <c r="D35" s="34" t="s">
        <v>235</v>
      </c>
      <c r="E35" s="34" t="s">
        <v>67</v>
      </c>
      <c r="F35" s="35" t="s">
        <v>236</v>
      </c>
      <c r="G35" s="44" t="s">
        <v>92</v>
      </c>
      <c r="H35" s="35" t="s">
        <v>237</v>
      </c>
      <c r="I35" s="35" t="s">
        <v>238</v>
      </c>
      <c r="J35" s="34" t="s">
        <v>151</v>
      </c>
      <c r="K35" s="18" t="n">
        <v>12</v>
      </c>
    </row>
    <row r="36" customFormat="false" ht="66" hidden="false" customHeight="true" outlineLevel="0" collapsed="false">
      <c r="A36" s="37" t="s">
        <v>239</v>
      </c>
      <c r="B36" s="38" t="s">
        <v>240</v>
      </c>
      <c r="C36" s="49" t="s">
        <v>46</v>
      </c>
      <c r="D36" s="39" t="s">
        <v>47</v>
      </c>
      <c r="E36" s="39" t="s">
        <v>47</v>
      </c>
      <c r="F36" s="40" t="s">
        <v>241</v>
      </c>
      <c r="G36" s="44" t="s">
        <v>92</v>
      </c>
      <c r="H36" s="40" t="s">
        <v>242</v>
      </c>
      <c r="I36" s="40" t="s">
        <v>243</v>
      </c>
      <c r="J36" s="39" t="s">
        <v>29</v>
      </c>
      <c r="K36" s="42" t="n">
        <v>8</v>
      </c>
    </row>
    <row r="37" customFormat="false" ht="66" hidden="false" customHeight="true" outlineLevel="0" collapsed="false">
      <c r="A37" s="31" t="s">
        <v>244</v>
      </c>
      <c r="B37" s="32" t="s">
        <v>245</v>
      </c>
      <c r="C37" s="49" t="s">
        <v>46</v>
      </c>
      <c r="D37" s="34" t="s">
        <v>47</v>
      </c>
      <c r="E37" s="34" t="s">
        <v>165</v>
      </c>
      <c r="F37" s="35" t="s">
        <v>246</v>
      </c>
      <c r="G37" s="44" t="s">
        <v>92</v>
      </c>
      <c r="H37" s="35" t="s">
        <v>247</v>
      </c>
      <c r="I37" s="35" t="s">
        <v>248</v>
      </c>
      <c r="J37" s="34" t="s">
        <v>29</v>
      </c>
      <c r="K37" s="18" t="n">
        <v>10</v>
      </c>
    </row>
    <row r="38" customFormat="false" ht="66" hidden="false" customHeight="true" outlineLevel="0" collapsed="false">
      <c r="A38" s="37" t="s">
        <v>249</v>
      </c>
      <c r="B38" s="38" t="s">
        <v>250</v>
      </c>
      <c r="C38" s="49" t="s">
        <v>46</v>
      </c>
      <c r="D38" s="39" t="s">
        <v>47</v>
      </c>
      <c r="E38" s="39" t="s">
        <v>47</v>
      </c>
      <c r="F38" s="40" t="s">
        <v>251</v>
      </c>
      <c r="G38" s="41" t="s">
        <v>76</v>
      </c>
      <c r="H38" s="40" t="s">
        <v>252</v>
      </c>
      <c r="I38" s="40" t="s">
        <v>253</v>
      </c>
      <c r="J38" s="39" t="s">
        <v>151</v>
      </c>
      <c r="K38" s="42" t="n">
        <v>12</v>
      </c>
    </row>
    <row r="39" customFormat="false" ht="51.75" hidden="false" customHeight="true" outlineLevel="0" collapsed="false">
      <c r="A39" s="31" t="s">
        <v>254</v>
      </c>
      <c r="B39" s="32" t="s">
        <v>255</v>
      </c>
      <c r="C39" s="49" t="s">
        <v>46</v>
      </c>
      <c r="D39" s="34" t="s">
        <v>47</v>
      </c>
      <c r="E39" s="34" t="s">
        <v>113</v>
      </c>
      <c r="F39" s="35" t="s">
        <v>256</v>
      </c>
      <c r="G39" s="44" t="s">
        <v>92</v>
      </c>
      <c r="H39" s="35" t="s">
        <v>257</v>
      </c>
      <c r="I39" s="35" t="s">
        <v>258</v>
      </c>
      <c r="J39" s="34" t="s">
        <v>117</v>
      </c>
      <c r="K39" s="18" t="n">
        <v>10</v>
      </c>
    </row>
    <row r="40" customFormat="false" ht="51.75" hidden="false" customHeight="true" outlineLevel="0" collapsed="false">
      <c r="A40" s="37" t="s">
        <v>259</v>
      </c>
      <c r="B40" s="38" t="s">
        <v>260</v>
      </c>
      <c r="C40" s="50" t="s">
        <v>50</v>
      </c>
      <c r="D40" s="39" t="s">
        <v>154</v>
      </c>
      <c r="E40" s="39" t="s">
        <v>155</v>
      </c>
      <c r="F40" s="40" t="s">
        <v>261</v>
      </c>
      <c r="G40" s="41" t="s">
        <v>76</v>
      </c>
      <c r="H40" s="40" t="s">
        <v>262</v>
      </c>
      <c r="I40" s="40" t="s">
        <v>263</v>
      </c>
      <c r="J40" s="39" t="s">
        <v>179</v>
      </c>
      <c r="K40" s="42" t="n">
        <v>8</v>
      </c>
    </row>
    <row r="41" customFormat="false" ht="51.75" hidden="false" customHeight="true" outlineLevel="0" collapsed="false">
      <c r="A41" s="31" t="s">
        <v>264</v>
      </c>
      <c r="B41" s="32" t="s">
        <v>265</v>
      </c>
      <c r="C41" s="50" t="s">
        <v>50</v>
      </c>
      <c r="D41" s="34" t="s">
        <v>154</v>
      </c>
      <c r="E41" s="34" t="s">
        <v>155</v>
      </c>
      <c r="F41" s="35" t="s">
        <v>266</v>
      </c>
      <c r="G41" s="41" t="s">
        <v>76</v>
      </c>
      <c r="H41" s="35" t="s">
        <v>267</v>
      </c>
      <c r="I41" s="35" t="s">
        <v>268</v>
      </c>
      <c r="J41" s="34" t="s">
        <v>29</v>
      </c>
      <c r="K41" s="18" t="n">
        <v>10</v>
      </c>
    </row>
    <row r="42" customFormat="false" ht="51.75" hidden="false" customHeight="true" outlineLevel="0" collapsed="false">
      <c r="A42" s="37" t="s">
        <v>269</v>
      </c>
      <c r="B42" s="38" t="s">
        <v>270</v>
      </c>
      <c r="C42" s="50" t="s">
        <v>50</v>
      </c>
      <c r="D42" s="39" t="s">
        <v>154</v>
      </c>
      <c r="E42" s="39" t="s">
        <v>155</v>
      </c>
      <c r="F42" s="40" t="s">
        <v>271</v>
      </c>
      <c r="G42" s="43" t="s">
        <v>82</v>
      </c>
      <c r="H42" s="40" t="s">
        <v>272</v>
      </c>
      <c r="I42" s="40" t="s">
        <v>273</v>
      </c>
      <c r="J42" s="39" t="s">
        <v>179</v>
      </c>
      <c r="K42" s="42" t="n">
        <v>6</v>
      </c>
    </row>
    <row r="43" customFormat="false" ht="66" hidden="false" customHeight="true" outlineLevel="0" collapsed="false">
      <c r="A43" s="31" t="s">
        <v>274</v>
      </c>
      <c r="B43" s="32" t="s">
        <v>275</v>
      </c>
      <c r="C43" s="50" t="s">
        <v>50</v>
      </c>
      <c r="D43" s="34" t="s">
        <v>29</v>
      </c>
      <c r="E43" s="34" t="s">
        <v>107</v>
      </c>
      <c r="F43" s="35" t="s">
        <v>276</v>
      </c>
      <c r="G43" s="44" t="s">
        <v>92</v>
      </c>
      <c r="H43" s="35" t="s">
        <v>277</v>
      </c>
      <c r="I43" s="35" t="s">
        <v>278</v>
      </c>
      <c r="J43" s="34" t="s">
        <v>29</v>
      </c>
      <c r="K43" s="18" t="n">
        <v>10</v>
      </c>
    </row>
    <row r="44" customFormat="false" ht="51.75" hidden="false" customHeight="true" outlineLevel="0" collapsed="false">
      <c r="A44" s="37" t="s">
        <v>279</v>
      </c>
      <c r="B44" s="38" t="s">
        <v>280</v>
      </c>
      <c r="C44" s="50" t="s">
        <v>50</v>
      </c>
      <c r="D44" s="39" t="s">
        <v>29</v>
      </c>
      <c r="E44" s="39" t="s">
        <v>47</v>
      </c>
      <c r="F44" s="40" t="s">
        <v>281</v>
      </c>
      <c r="G44" s="43" t="s">
        <v>82</v>
      </c>
      <c r="H44" s="40" t="s">
        <v>282</v>
      </c>
      <c r="I44" s="40" t="s">
        <v>283</v>
      </c>
      <c r="J44" s="39" t="s">
        <v>151</v>
      </c>
      <c r="K44" s="42" t="n">
        <v>8</v>
      </c>
    </row>
    <row r="45" customFormat="false" ht="51.75" hidden="false" customHeight="true" outlineLevel="0" collapsed="false">
      <c r="A45" s="31" t="s">
        <v>284</v>
      </c>
      <c r="B45" s="32" t="s">
        <v>285</v>
      </c>
      <c r="C45" s="50" t="s">
        <v>50</v>
      </c>
      <c r="D45" s="34" t="s">
        <v>29</v>
      </c>
      <c r="E45" s="34" t="s">
        <v>113</v>
      </c>
      <c r="F45" s="35" t="s">
        <v>286</v>
      </c>
      <c r="G45" s="44" t="s">
        <v>92</v>
      </c>
      <c r="H45" s="35" t="s">
        <v>287</v>
      </c>
      <c r="I45" s="35" t="s">
        <v>288</v>
      </c>
      <c r="J45" s="34" t="s">
        <v>117</v>
      </c>
      <c r="K45" s="18" t="n">
        <v>8</v>
      </c>
    </row>
  </sheetData>
  <autoFilter ref="A2:K45"/>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86"/>
    <col collapsed="false" customWidth="true" hidden="false" outlineLevel="0" max="4" min="4" style="0" width="2"/>
  </cols>
  <sheetData>
    <row r="2" customFormat="false" ht="18.55" hidden="false" customHeight="false" outlineLevel="0" collapsed="false">
      <c r="B2" s="51" t="s">
        <v>289</v>
      </c>
      <c r="C2" s="51"/>
    </row>
    <row r="4" customFormat="false" ht="19.5" hidden="false" customHeight="true" outlineLevel="0" collapsed="false">
      <c r="B4" s="52" t="s">
        <v>290</v>
      </c>
      <c r="C4" s="52"/>
    </row>
    <row r="5" customFormat="false" ht="21" hidden="false" customHeight="true" outlineLevel="0" collapsed="false">
      <c r="B5" s="53" t="s">
        <v>69</v>
      </c>
      <c r="C5" s="54" t="s">
        <v>291</v>
      </c>
    </row>
    <row r="6" customFormat="false" ht="21" hidden="false" customHeight="true" outlineLevel="0" collapsed="false">
      <c r="B6" s="55" t="s">
        <v>92</v>
      </c>
      <c r="C6" s="54" t="s">
        <v>292</v>
      </c>
    </row>
    <row r="7" customFormat="false" ht="21" hidden="false" customHeight="true" outlineLevel="0" collapsed="false">
      <c r="B7" s="56" t="s">
        <v>76</v>
      </c>
      <c r="C7" s="54" t="s">
        <v>293</v>
      </c>
    </row>
    <row r="8" customFormat="false" ht="21" hidden="false" customHeight="true" outlineLevel="0" collapsed="false">
      <c r="B8" s="57" t="s">
        <v>82</v>
      </c>
      <c r="C8" s="54" t="s">
        <v>294</v>
      </c>
    </row>
    <row r="9" customFormat="false" ht="21" hidden="false" customHeight="true" outlineLevel="0" collapsed="false">
      <c r="B9" s="58" t="s">
        <v>295</v>
      </c>
      <c r="C9" s="54" t="s">
        <v>296</v>
      </c>
    </row>
    <row r="11" customFormat="false" ht="19.5" hidden="false" customHeight="true" outlineLevel="0" collapsed="false">
      <c r="B11" s="52" t="s">
        <v>64</v>
      </c>
      <c r="C11" s="52"/>
    </row>
    <row r="12" customFormat="false" ht="21" hidden="false" customHeight="true" outlineLevel="0" collapsed="false">
      <c r="B12" s="59" t="s">
        <v>151</v>
      </c>
      <c r="C12" s="54" t="s">
        <v>297</v>
      </c>
    </row>
    <row r="13" customFormat="false" ht="21" hidden="false" customHeight="true" outlineLevel="0" collapsed="false">
      <c r="B13" s="59" t="s">
        <v>95</v>
      </c>
      <c r="C13" s="54" t="s">
        <v>298</v>
      </c>
    </row>
    <row r="14" customFormat="false" ht="21" hidden="false" customHeight="true" outlineLevel="0" collapsed="false">
      <c r="B14" s="59" t="s">
        <v>72</v>
      </c>
      <c r="C14" s="54" t="s">
        <v>299</v>
      </c>
    </row>
    <row r="15" customFormat="false" ht="21" hidden="false" customHeight="true" outlineLevel="0" collapsed="false">
      <c r="B15" s="59" t="s">
        <v>29</v>
      </c>
      <c r="C15" s="54" t="s">
        <v>300</v>
      </c>
    </row>
    <row r="16" customFormat="false" ht="21" hidden="false" customHeight="true" outlineLevel="0" collapsed="false">
      <c r="B16" s="59" t="s">
        <v>179</v>
      </c>
      <c r="C16" s="54" t="s">
        <v>301</v>
      </c>
    </row>
    <row r="17" customFormat="false" ht="21" hidden="false" customHeight="true" outlineLevel="0" collapsed="false">
      <c r="B17" s="59" t="s">
        <v>117</v>
      </c>
      <c r="C17" s="54" t="s">
        <v>302</v>
      </c>
    </row>
    <row r="19" customFormat="false" ht="19.5" hidden="false" customHeight="true" outlineLevel="0" collapsed="false">
      <c r="B19" s="52" t="s">
        <v>303</v>
      </c>
      <c r="C19" s="52"/>
    </row>
    <row r="20" customFormat="false" ht="36" hidden="false" customHeight="true" outlineLevel="0" collapsed="false">
      <c r="B20" s="59" t="s">
        <v>304</v>
      </c>
      <c r="C20" s="54" t="s">
        <v>305</v>
      </c>
    </row>
    <row r="21" customFormat="false" ht="36" hidden="false" customHeight="true" outlineLevel="0" collapsed="false">
      <c r="B21" s="59" t="s">
        <v>306</v>
      </c>
      <c r="C21" s="54" t="s">
        <v>307</v>
      </c>
    </row>
    <row r="23" customFormat="false" ht="19.5" hidden="false" customHeight="true" outlineLevel="0" collapsed="false">
      <c r="B23" s="52" t="s">
        <v>308</v>
      </c>
      <c r="C23" s="52"/>
    </row>
    <row r="24" customFormat="false" ht="51" hidden="false" customHeight="true" outlineLevel="0" collapsed="false">
      <c r="B24" s="59" t="s">
        <v>309</v>
      </c>
      <c r="C24" s="54" t="s">
        <v>310</v>
      </c>
    </row>
  </sheetData>
  <mergeCells count="5">
    <mergeCell ref="B2:C2"/>
    <mergeCell ref="B4:C4"/>
    <mergeCell ref="B11:C11"/>
    <mergeCell ref="B19:C19"/>
    <mergeCell ref="B23:C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2026-06-03T15:52:44Z</dcterms:created>
  <dc:creator>openpyxl</dc:creator>
  <dc:description/>
  <dc:language>en-US</dc:language>
  <cp:lastModifiedBy/>
  <dcterms:modified xsi:type="dcterms:W3CDTF">2026-06-03T15:52:44Z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