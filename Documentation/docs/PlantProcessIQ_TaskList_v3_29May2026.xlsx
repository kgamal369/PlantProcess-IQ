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Task List" sheetId="2" state="visible" r:id="rId4"/>
    <sheet name="Phase Summary" sheetId="3" state="visible" r:id="rId5"/>
    <sheet name="UI Standards Reference" sheetId="4" state="visible" r:id="rId6"/>
    <sheet name="Rollup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<sst xmlns="http://schemas.openxmlformats.org/spreadsheetml/2006/main" count="1111" uniqueCount="619">
  <si>
    <t xml:space="preserve">How to Use This Workbook</t>
  </si>
  <si>
    <t xml:space="preserve">Audience</t>
  </si>
  <si>
    <t xml:space="preserve">Founder, lead developer (Karim), and any future contributor. The workbook is the single source of truth for what 'finished' means against the 4-Track Vision and the Material Search &amp; Drilldown UI standardization mandate.</t>
  </si>
  <si>
    <t xml:space="preserve">Sheets</t>
  </si>
  <si>
    <t xml:space="preserve">1) Task List — all 91 tasks grouped by phase, with developer-grade detail.  2) Phase Summary — effort and severity rollup per phase.  3) UI Standards Reference — the canonical component contract every page must conform to.  4) Rollups — pivot views by severity, track, module, type.</t>
  </si>
  <si>
    <t xml:space="preserve">Severity scale</t>
  </si>
  <si>
    <t xml:space="preserve">critical (P0, do today) &gt; very important (P1, this sprint) &gt; important (P2, before paid pilot) &gt; normal (P3) &gt; optional (P4). Every phase below P03 contains at least one very-important task — none can be skipped.</t>
  </si>
  <si>
    <t xml:space="preserve">Tracks</t>
  </si>
  <si>
    <t xml:space="preserve">Track 1 Workflow (44% complete pre-this-plan), Track 2 Hardening (38%), Track 3 Demo (36%), Track 4 Website (50%). Plan rebalances toward Track 1 + Track 2 to unblock paid-pilot readiness.</t>
  </si>
  <si>
    <t xml:space="preserve">Module taxonomy</t>
  </si>
  <si>
    <t xml:space="preserve">App Frontend (React/TS), App Backend (.NET 9), Database (PostgreSQL 17 + EF Core migrations), Web (marketing site), Infrastructure (Docker, Caddy, Jenkins, Hetzner), Documentation.</t>
  </si>
  <si>
    <t xml:space="preserve">Task ID format</t>
  </si>
  <si>
    <t xml:space="preserve">PPIQ-T### — globally unique. Phase tag (P01-P13) is in the Phase ID column for grouping.</t>
  </si>
  <si>
    <t xml:space="preserve">Effort estimates</t>
  </si>
  <si>
    <t xml:space="preserve">Hours for a single experienced full-stack engineer (Karim's profile). Calendar days = hours / 6 productive hours/day. Add 25-35% buffer for review and integration. Total: 327 hrs ≈ 55 engineer-days raw, ~75 calendar-days with buffer.</t>
  </si>
  <si>
    <t xml:space="preserve">Recommended order</t>
  </si>
  <si>
    <t xml:space="preserve">Strictly top-to-bottom by Phase. Phase 1 closes P0 security and brand blockers — must complete before any external demo. Phases 2-4 deliver the UI standardization mandate. Phases 5-6 propagate the standard. Phases 7-9 unblock demo storytelling. Phases 10-13 close remaining vision gaps.</t>
  </si>
  <si>
    <t xml:space="preserve">Validation column</t>
  </si>
  <si>
    <t xml:space="preserve">Every task carries explicit verification steps. A task is not Done until every validation step passes. CI gates and Jenkins post-deploy probes enforce this automatically where possible.</t>
  </si>
  <si>
    <t xml:space="preserve">Vision alignment</t>
  </si>
  <si>
    <t xml:space="preserve">Each task is tagged to one of the four Vision tracks. Across the 91 tasks, Hardening dominates (45) because of the UI-standardization mandate that touches every page. The deliverable is a product that consistently demonstrates the brand grammar, has zero forbidden phrases, and has a credible end-to-end demo path.</t>
  </si>
  <si>
    <t xml:space="preserve">Update cadence</t>
  </si>
  <si>
    <t xml:space="preserve">Re-audit weekly. After completing each phase, run the validation steps end-to-end, snapshot the workbook with Status column appended (Done / Blocked / In Progress), and commit to docs/planning/.</t>
  </si>
  <si>
    <t xml:space="preserve">PlantProcess IQ — Phase-Grouped Task List</t>
  </si>
  <si>
    <t xml:space="preserve">91 tasks across 13 phases — aligned to 4-Track Vision (Workflow / Hardening / Demo / Website)</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</si>
  <si>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</si>
  <si>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</si>
  <si>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</si>
  <si>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</si>
  <si>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</si>
  <si>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</si>
  <si>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</si>
  <si>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</si>
  <si>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</si>
  <si>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</si>
  <si>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Effort (hrs)</t>
  </si>
  <si>
    <t xml:space="preserve">  Phase 01 — P0 Critical Security &amp; Brand Compliance   |   8 tasks   |   17.0 hrs</t>
  </si>
  <si>
    <t xml:space="preserve">PPIQ-T001</t>
  </si>
  <si>
    <t xml:space="preserve">Eliminate forbidden phrase 'could not be loaded' from frontend</t>
  </si>
  <si>
    <t xml:space="preserve">P01</t>
  </si>
  <si>
    <t xml:space="preserve">critical</t>
  </si>
  <si>
    <t xml:space="preserve">Track 2 — Hardening</t>
  </si>
  <si>
    <t xml:space="preserve">App Frontend</t>
  </si>
  <si>
    <t xml:space="preserve">Error Surface / Copy</t>
  </si>
  <si>
    <t xml:space="preserve">The phrase 'could not be loaded' / 'could not load' is the founder's #1 non-negotiable per 4-Track Vision §2. It currently appears in 16 locations across the frontend bundle. Confirmed targets: 12 fallbackTitle prop strings in src/App.tsx lines 5602-5734; src/components/hardening/DataFetchBoundary.tsx; src/hardening/DataFetchBoundary.tsx; src/components/hardening/ErrorBoundary.tsx. Replace every occurrence with the 'Refreshing {entity}' pattern — for example 'Material list could not be loaded' becomes 'Refreshing material list…'. The replacement copy must frame the state as in-progress retry, not failure. Additionally, after the fix, add a CI lint rule (regex grep in pre-commit + GitHub Actions / Jenkins) that fails the build if the forbidden phrase reappears in any .ts/.tsx/.js/.jsx file. Coordinate copy with the founder's brand voice in the Vision doc: industrial, evidence-grade, never apologetic.</t>
  </si>
  <si>
    <t xml:space="preserve">Bug Fix</t>
  </si>
  <si>
    <t xml:space="preserve">1) Run `grep -rin 'could not be loaded\|could not load' src/` from the frontend root — MUST return zero matches. 2) Deliberately kill the backend API and load each page that previously showed the phrase; verify each now shows 'Refreshing X…' with a spinner or skeleton. 3) Verify the new CI lint rule fails locally when you reintroduce the phrase in a scratch branch. 4) Verify Jenkins job rejects a PR with the phrase reintroduced.</t>
  </si>
  <si>
    <t xml:space="preserve">PPIQ-T002</t>
  </si>
  <si>
    <t xml:space="preserve">Bind PostgreSQL port 5432 to 127.0.0.1 only</t>
  </si>
  <si>
    <t xml:space="preserve">Infrastructure</t>
  </si>
  <si>
    <t xml:space="preserve">Docker Compose / Network Exposure</t>
  </si>
  <si>
    <t xml:space="preserve">In Infrastructure/deploy/docker-compose.demo.yml at line 497, the PostgreSQL service publishes port 5432 on all interfaces via `${POSTGRES_PORT:-5432}:5432`. This exposes the production database to the public internet. Change the binding to `127.0.0.1:${POSTGRES_PORT:-5432}:5432` so the port is only reachable from the host loopback. Audit every other service in the same compose file (redis, seq, jaeger, grafana, prometheus, jenkins, etc.) and apply the same loopback-binding pattern unless that service is intentionally public (Caddy 80/443 only). Document the rationale in Infrastructure/deploy/README.md. After redeploying, run an external port scan to confirm.</t>
  </si>
  <si>
    <t xml:space="preserve">1) `nmap -p5432 178.105.152.180` from an external network — MUST report filtered or closed. 2) `docker exec ppiq-backend pg_isready -h postgres -U ppiq` — MUST report ready (internal traffic unaffected). 3) From your laptop `psql -h 178.105.152.180 -p 5432 -U postgres` — connection MUST be refused. 4) Repeat scans for redis/seq/jaeger/grafana/prometheus ports — only 80, 443, 9090 (Jenkins behind basicauth) MUST be open.</t>
  </si>
  <si>
    <t xml:space="preserve">PPIQ-T003</t>
  </si>
  <si>
    <t xml:space="preserve">Replace Jenkins basicauth bcrypt placeholder in Caddyfile</t>
  </si>
  <si>
    <t xml:space="preserve">Caddy / Reverse Proxy Auth</t>
  </si>
  <si>
    <t xml:space="preserve">Infrastructure/deploy/Caddyfile line 444 contains the bcrypt placeholder `$2a$14$REPLACE_WITH_REAL_CADDY_BCRYPT_HASH` inside the Jenkins basicauth directive on the :9090 host block. Generate a real bcrypt hash with `caddy hash-password --algorithm bcrypt` using a strong passphrase (20+ chars from a password manager). Replace the placeholder in the Caddyfile, redeploy, and verify the Jenkins UI now requires basic auth and that the placeholder string is no longer in the repo (search with `git log -S 'REPLACE_WITH_REAL'`). Store the cleartext password only in the team password vault. Rotate any pre-existing Jenkins admin tokens that may have been issued while the placeholder was in place.</t>
  </si>
  <si>
    <t xml:space="preserve">1) `curl -I http://178.105.152.180:9090` — MUST return HTTP 401 with `WWW-Authenticate: Basic`. 2) `curl -I -u wrong:wrong http://178.105.152.180:9090` — MUST return 401. 3) With the correct credentials, the Jenkins UI MUST load. 4) `grep -r 'REPLACE_WITH_REAL' Infrastructure/` — MUST return zero matches. 5) Verify the hash in Caddyfile is a valid bcrypt 60-char string starting with `$2a$14$` or `$2b$14$`.</t>
  </si>
  <si>
    <t xml:space="preserve">PPIQ-T004</t>
  </si>
  <si>
    <t xml:space="preserve">Add HSTS + CSP + security headers to Caddyfile globally</t>
  </si>
  <si>
    <t xml:space="preserve">Caddy / HTTP Response Headers</t>
  </si>
  <si>
    <t xml:space="preserve">Add a `header` directive at Caddyfile global scope (or per-host) injecting: `Strict-Transport-Security "max-age=31536000; includeSubDomains; preload"`; `Content-Security-Policy "default-src 'self'; script-src 'self' 'unsafe-inline'; style-src 'self' 'unsafe-inline'; img-src 'self' data: https:; connect-src 'self' https://api.178.105.152.180.sslip.io; frame-ancestors 'none'"`; `X-Frame-Options DENY`; `X-Content-Type-Options nosniff`; `Referrer-Policy strict-origin-when-cross-origin`; `Permissions-Policy "camera=(), microphone=(), geolocation=()"`. CSP must be tuned to the actual asset hosts — start in report-only mode for 24 hours, collect violations from the diagnostics endpoint, then promote to enforce. Apply to all four Caddy hosts (api, app, admin, website).</t>
  </si>
  <si>
    <t xml:space="preserve">Enhancement</t>
  </si>
  <si>
    <t xml:space="preserve">1) `curl -I https://app.178.105.152.180.sslip.io` — MUST include all six headers verbatim. 2) Run https://securityheaders.com against each host — MUST score A or better. 3) Open browser DevTools → Console while navigating every page — MUST be zero CSP violations after the 24h tuning period. 4) Attempt to iframe the app from a different origin — MUST be blocked by X-Frame-Options.</t>
  </si>
  <si>
    <t xml:space="preserve">PPIQ-T005</t>
  </si>
  <si>
    <t xml:space="preserve">Complete JWT-authenticated API probe and assert no anonymous admin reach</t>
  </si>
  <si>
    <t xml:space="preserve">App Backend</t>
  </si>
  <si>
    <t xml:space="preserve">Auth / Endpoint Authorization</t>
  </si>
  <si>
    <t xml:space="preserve">Karim's outstanding item: complete the authenticated API probe. Build a smoke-test bash script (scripts/probes/auth-matrix-probe.sh) that hits every admin endpoint group (/admin/phase1/*, /admin/phase2/*, /admin/license/*, /admin/widgets/*, /admin/users/*, /demo-lifecycle/*, /diagnostics/*) under three conditions: (a) no token → expect 401; (b) operator-tier JWT → expect 403 on admin routes, 200 on operator routes; (c) admin-tier JWT → expect 200. Output a markdown report to scripts/probes/output/auth-matrix-{date}.md. Wire into Jenkins as a post-deploy gate; failed expected status = pipeline red. Snapshot the report into the validation report archive on every successful run.</t>
  </si>
  <si>
    <t xml:space="preserve">New Feature</t>
  </si>
  <si>
    <t xml:space="preserve">1) Run the script against staging — every row in the markdown report must show the expected status. 2) Deliberately remove the [Authorize] attribute from one admin endpoint in a scratch branch — the script MUST detect and fail. 3) The Jenkins pipeline MUST execute the script and mark the build red on any deviation. 4) Archive output is timestamped and persisted across deploys.</t>
  </si>
  <si>
    <t xml:space="preserve">PPIQ-T006</t>
  </si>
  <si>
    <t xml:space="preserve">Investigate and resolve 'syntax error at or near plantadmin' SQL error</t>
  </si>
  <si>
    <t xml:space="preserve">Database</t>
  </si>
  <si>
    <t xml:space="preserve">Migration / Bootstrap SQL</t>
  </si>
  <si>
    <t xml:space="preserve">During the recent script application a PostgreSQL error was raised: `syntax error at or near "plantadmin"`. Locate the offending SQL — start with grep across Backend/PlantProcess.Infrastructure/Migrations/, the loose scripts under Backend/scripts/sql/, and the seed runners. Most likely cause: an unquoted identifier in a CREATE ROLE/CREATE USER statement, or a reserved word collision, or a templated string where {{admin_name}} was not interpolated. Fix by either quoting the identifier ("plantadmin") or renaming the role to ppiq_admin. Re-run the migration on a fresh local Postgres instance and on the Hetzner staging clone. Document the root cause in Backend/scripts/sql/CHANGELOG.md.</t>
  </si>
  <si>
    <t xml:space="preserve">1) `grep -rn 'plantadmin' Backend/` to find every reference; identify the source script. 2) Spin up a fresh Postgres 17 container, point Backend at it, run `dotnet ef database update` plus all loose scripts in order — MUST complete without syntax error. 3) Repeat on the Hetzner staging clone via Jenkins. 4) Inspect pg_roles in psql — the admin role MUST exist with the corrected name and only the minimum required privileges (no SUPERUSER).</t>
  </si>
  <si>
    <t xml:space="preserve">PPIQ-T007</t>
  </si>
  <si>
    <t xml:space="preserve">Replace bootstrap admin account with non-default service identity</t>
  </si>
  <si>
    <t xml:space="preserve">Auth / Identity Bootstrap</t>
  </si>
  <si>
    <t xml:space="preserve">The current bootstrap admin account exists with a default/weak credential profile suitable for first-run only. For demo-and-onwards posture: (a) on first run, create a service identity ppiq_platform with a random 32-char password stored in /etc/ppiq/secrets/platform.token (root-readable only); (b) disable the default 'admin' login after the platform identity is provisioned; (c) require human admins to be created via the platform identity and tied to a real email + tier; (d) write an audit log entry for every bootstrap step. The change MUST be safe to re-run (idempotent) and MUST NOT break the existing demo environment — wrap behind a feature flag PPIQ__BootstrapV2.</t>
  </si>
  <si>
    <t xml:space="preserve">1) Fresh deploy → /etc/ppiq/secrets/platform.token exists with mode 0400, owned by root. 2) The legacy 'admin' login MUST be disabled and return 401 with a clear 'Account migrated' audit-log marker. 3) Login as the platform identity, create a new human admin, verify they can perform admin actions. 4) Restart the backend — the bootstrap MUST be idempotent and produce zero new tokens. 5) Audit log MUST contain BootstrapV2.Started, .Completed, and LegacyAdminDisabled events with correlation ID.</t>
  </si>
  <si>
    <t xml:space="preserve">PPIQ-T008</t>
  </si>
  <si>
    <t xml:space="preserve">Force-rotate all default credentials and seeded secrets</t>
  </si>
  <si>
    <t xml:space="preserve">Secrets / Credential Hygiene</t>
  </si>
  <si>
    <t xml:space="preserve">Enumerate every default credential in the repo and production environment: Postgres ppiq user, Redis, Seq, Grafana admin, Jenkins admin (post-T003), bootstrap admin (post-T007), JWT signing key, OAuth client secrets, license-signer private key, S3 access keys if any. For each, generate a strong replacement (32+ chars from openssl rand), inject via .env on Hetzner (file mode 0600, owner root), and verify the live containers pick up the new value. Build a checklist scripts/security/credential-rotation-checklist.md listing each credential, its location, rotation cadence, and last rotation date. Add a monthly Jenkins job that pings if any credential is older than 90 days.</t>
  </si>
  <si>
    <t xml:space="preserve">1) Every credential in the checklist has a 'Last Rotated' date within today's window. 2) `grep -rni 'password.*=.*changeme\|password.*=.*admin123\|password.*=.*ppiq_default' .` MUST return zero. 3) After rotation, all eight containers MUST come up healthy in `docker compose ps`. 4) The 90-day-stale Jenkins job MUST execute and email the founder if any cred is overdue.</t>
  </si>
  <si>
    <t xml:space="preserve">  Phase 02 — Standard UI Component System Foundation   |   10 tasks   |   46.0 hrs</t>
  </si>
  <si>
    <t xml:space="preserve">PPIQ-T009</t>
  </si>
  <si>
    <t xml:space="preserve">Audit all existing button instances across the frontend</t>
  </si>
  <si>
    <t xml:space="preserve">P02</t>
  </si>
  <si>
    <t xml:space="preserve">very important</t>
  </si>
  <si>
    <t xml:space="preserve">UI Standards / Inventory</t>
  </si>
  <si>
    <t xml:space="preserve">Produce a comprehensive inventory of every interactive button in the application. For each, record: file path, line number, current implementation (native &lt;button&gt;, native &lt;a&gt;, StandardButton, MUI Button, etc.), label text, intended action (CTA / secondary / destructive / etc.), current style (inline CSS, Tailwind classes, MUI sx prop, CSS module), wired handler or null, page/component context. Output to docs/ui-standards/button-inventory.csv. This is the truth source for the migration tasks in Phases 4-6. Use grep + ts-morph or a simple AST scan; manually verify the top 20 highest-traffic pages.</t>
  </si>
  <si>
    <t xml:space="preserve">1) CSV exists with one row per button instance — expect 150-300 rows. 2) Reviewer sample-checks 10 random rows and confirms accuracy. 3) Each row has a non-empty action or is marked 'DEAD' for non-functional buttons. 4) Total count of distinct implementation styles is captured in a summary header.</t>
  </si>
  <si>
    <t xml:space="preserve">PPIQ-T010</t>
  </si>
  <si>
    <t xml:space="preserve">Audit all existing table instances across the frontend</t>
  </si>
  <si>
    <t xml:space="preserve">Produce a comprehensive inventory of every tabular data display: HTML &lt;table&gt;, MUI DataGrid, react-table, ag-grid, custom flex-grid divs presenting tabular data. For each, record: file path, page, data source endpoint, row count typical, columns, features in use (sort/filter/page/select/export/density/sticky-header/resize), styling approach, loading state, empty state, error state, accessibility props. Output to docs/ui-standards/table-inventory.csv. Flag any table with missing loading/empty/error states as a P3 migration candidate.</t>
  </si>
  <si>
    <t xml:space="preserve">1) CSV exists with one row per table — expect 20-50 rows. 2) Every Analytics page table (Material Investigation, Risk Intelligence, Data Quality, Correlations, ML Readiness) is represented. 3) The materials results table from the screenshots (Material Search and Drilldown) MUST be present, flagged as non-standard, with missing-state assessment noted.</t>
  </si>
  <si>
    <t xml:space="preserve">PPIQ-T011</t>
  </si>
  <si>
    <t xml:space="preserve">Audit all tab / segmented control / navigation instances</t>
  </si>
  <si>
    <t xml:space="preserve">Inventory every tab strip, segmented control, sub-nav, and breadcrumb in the app. Distinguish primary navigation (left sidebar) from in-page tabs (e.g. Material Investigation → Genealogy / Process History / Quality Events / Features / Risk). Capture: file, current implementation, count of items, active-indicator style, badge support, keyboard navigation, lazy loading, responsive behavior. Output to docs/ui-standards/tabs-inventory.csv.</t>
  </si>
  <si>
    <t xml:space="preserve">1) CSV exists with one row per tab instance — expect 15-30 rows. 2) Every page that has sub-tabs is represented. 3) Each row flagged 'standard' or 'non-standard' against the spec produced in PPIQ-T015.</t>
  </si>
  <si>
    <t xml:space="preserve">PPIQ-T012</t>
  </si>
  <si>
    <t xml:space="preserve">Audit all input / form-field / select instances</t>
  </si>
  <si>
    <t xml:space="preserve">Inventory every text input, textarea, select, checkbox, radio, switch, slider, date picker, file picker across the app. For each, capture: file, page, current implementation (native, MUI, custom), validation behavior, error state, helper-text support, label position, required-marker style, focus ring. Output to docs/ui-standards/input-inventory.csv. Highlight the 'Search material code…' field in Material Search and Drilldown as the canonical example of a non-standard input that must be migrated first (PPIQ-T025).</t>
  </si>
  <si>
    <t xml:space="preserve">1) CSV exists with one row per input instance — expect 80-150 rows. 2) Each row tagged with intent (search / filter / data-entry / config). 3) Search material code input is explicitly flagged for Phase 4 migration.</t>
  </si>
  <si>
    <t xml:space="preserve">PPIQ-T013</t>
  </si>
  <si>
    <t xml:space="preserve">Define canonical StandardButton component spec</t>
  </si>
  <si>
    <t xml:space="preserve">UI Standards / Component Library</t>
  </si>
  <si>
    <t xml:space="preserve">Author src/components/standard/StandardButton.tsx as the SINGLE button component for the entire application. Variants: primary (brand electric blue #0A84FF bg, white text — main CTA), secondary (transparent bg, brand-blue border + text), ghost (no border, brand-blue text, hover bg-surface-2), danger (red #FF4D6D bg, white text), success (green #2CE6A2 bg, deep-navy text), icon-only (square, icon centered, all variants). Sizes: sm (28px h, 12px text, 8px-12px padding), md (36px h, 14px text, 12px-16px padding, default), lg (44px h, 16px text, 16px-24px padding). States: default, hover, focus (4px brand-cyan outline, 2px offset), active (translate-y 1px), disabled (40% opacity, no pointer), loading (spinner replaces icon, label dimmed, button non-interactive). Props: variant, size, leadingIcon, trailingIcon, isLoading, isDisabled, fullWidth, onClick, type, ariaLabel. Must support both &lt;button&gt; and &lt;a&gt; rendering via `as` prop for navigation buttons. No external dependencies beyond lucide-react for icons. Add a story file with every variant × size × state combination.</t>
  </si>
  <si>
    <t xml:space="preserve">1) Component renders in Storybook with all variant×size×state combinations rendering correctly in dark mode and light mode. 2) Keyboard tab navigation reaches the button; Enter and Space trigger onClick; focus ring is visible at 4px. 3) Loading state disables clicks and announces 'Loading' to screen readers via aria-busy. 4) `as="a"` renders a real anchor with href, retains all visual styling. 5) Unit tests cover all five variants and three sizes (35+ snapshots).</t>
  </si>
  <si>
    <t xml:space="preserve">PPIQ-T014</t>
  </si>
  <si>
    <t xml:space="preserve">Define canonical StandardTable component spec</t>
  </si>
  <si>
    <t xml:space="preserve">Author src/components/standard/StandardTable.tsx as the SINGLE table component for the entire application. Features (all opt-in via props): sortable column headers (multi-column with shift-click), pagination (page sizes 5/10/25/50/100 default 25, jump-to-page input), client-side filter input above header, server-side query mode with onQueryChange callback, row selection (checkbox column, single + multi modes), density toggle (compact 36px / comfortable 44px / spacious 56px row height), column resizing via drag handles, column visibility toggle, sticky header on scroll, export to CSV button, empty state (illustration + message + primary CTA), loading state (skeleton rows matching density), error state (icon + 'Refreshing…' copy per PPIQ-T001 + Retry button), virtualization for &gt;500 rows via @tanstack/react-virtual. Props: columns (with custom cell renderers), data, isLoading, hasError, onRetry, totalCount (for server mode), onRowClick, primaryAction. Brand styling: row hover bg-surface-2, selected row 2px left-border brand-cyan, sortable headers with chevron icon, even-row banding optional. Author Storybook stories covering each feature.</t>
  </si>
  <si>
    <t xml:space="preserve">1) Storybook stories render: empty, loading, error, populated, sorted, filtered, paginated, selected, exported, virtualized-1000-rows. 2) ARIA: table has role=table, headers have role=columnheader with aria-sort, rows role=row, selectable rows have aria-selected. 3) Keyboard: tab navigates header + first interactive cell per row; Space toggles selection; arrow keys move within. 4) CSV export downloads a file with current sort/filter applied. 5) Performance: 1000-row virtualized table scrolls at 60fps in Chrome DevTools.</t>
  </si>
  <si>
    <t xml:space="preserve">PPIQ-T015</t>
  </si>
  <si>
    <t xml:space="preserve">Define canonical StandardTabs component spec</t>
  </si>
  <si>
    <t xml:space="preserve">Author src/components/standard/StandardTabs.tsx. Modes: horizontal (default) and vertical. Active indicator: 4px brand-electric-blue underline (horizontal) or left-border (vertical), animated 200ms ease-out on change. Each tab supports: label, icon, badge (count or dot), disabled flag. Overflow behavior: horizontal scroll with leading/trailing fade + chevron buttons on overflow. Lazy content rendering: only mount the active tab's children unless preload=true. Keyboard: arrow keys cycle, Home/End jump, Enter activates. URL sync: optional searchParam=`tab` for shareable links. Props: items (id, label, icon?, badge?, content), value, onChange, orientation, lazy, urlParam.</t>
  </si>
  <si>
    <t xml:space="preserve">1) Storybook stories cover: horizontal default, vertical, with-icons, with-badges, disabled-tab, overflow-scroll, lazy-mount, url-synced. 2) Keyboard navigation passes WAI-ARIA tabs pattern conformance. 3) URL-synced mode reflects active tab in querystring; deep link to `?tab=feature-vector` opens the right tab on page load. 4) Active indicator animation is 60fps in DevTools.</t>
  </si>
  <si>
    <t xml:space="preserve">PPIQ-T016</t>
  </si>
  <si>
    <t xml:space="preserve">Define canonical StandardInput / StandardSelect / StandardTextArea spec</t>
  </si>
  <si>
    <t xml:space="preserve">Author src/components/standard/StandardInput.tsx, StandardSelect.tsx, StandardTextArea.tsx with consistent visual and behavioral contract: 36px height (md, default), 28px (sm), 44px (lg); rounded-md (6px); 1px border-subtle default, 2px border-brand on focus, 2px border-danger on error; placeholder color text-muted; label above field with required asterisk; helper text below in text-muted; error text below replacing helper in text-danger; leading and trailing icon slots; for Input: support type text/email/password/number/search (search variant has clear-button); for Select: searchable dropdown via headless-ui or downshift, multi-select mode with chips, keyboard navigation. Props: label, helperText, error, leadingIcon, trailingIcon, value, onChange, placeholder, required, disabled, isLoading, size.</t>
  </si>
  <si>
    <t xml:space="preserve">1) Storybook stories for each component cover all states and sizes. 2) Required-asterisk + helper text + error text all render without layout shift when error appears. 3) Search variant clear-button clears value and fires onChange with empty string. 4) Select keyboard navigation: type-ahead jumps to matching option; arrows move; Enter selects; Escape closes.</t>
  </si>
  <si>
    <t xml:space="preserve">PPIQ-T017</t>
  </si>
  <si>
    <t xml:space="preserve">Define canonical StandardCard / StandardModal / StandardToast spec</t>
  </si>
  <si>
    <t xml:space="preserve">Author the surface components. StandardCard: surface bg, rounded-lg (8px), 1px border-subtle, optional header with title + actions slot, body, footer; elevation variants flat / raised / floating. StandardModal: focus-trapped, Escape closes, click-outside closes (optional), sizes sm/md/lg/xl, backdrop with brand-tinted blur; header with title + close X; body with overflow-auto; footer with action buttons (right-aligned for primary, left for cancel/secondary). StandardToast: stacked top-right, auto-dismiss 5s with progress bar, variants info/success/warning/error/loading, dismissible, action button slot ('Undo', 'View', etc.); built on Sonner.</t>
  </si>
  <si>
    <t xml:space="preserve">1) Modal focus trap: Tab/Shift-Tab cycles within modal, Escape closes, focus returns to trigger on close. 2) Toast stack: triggering 5 toasts shows top 3 visible with overflow indicator; dismissing one cascades the stack with 200ms animation. 3) Card variants render correctly in Storybook, all elevations match design tokens. 4) Modal click-outside MUST be disabled when isDirty=true to prevent data loss.</t>
  </si>
  <si>
    <t xml:space="preserve">PPIQ-T018</t>
  </si>
  <si>
    <t xml:space="preserve">Publish UI Standards Storybook with brand tokens and Do/Don't examples</t>
  </si>
  <si>
    <t xml:space="preserve">Documentation</t>
  </si>
  <si>
    <t xml:space="preserve">UI Standards / Storybook</t>
  </si>
  <si>
    <t xml:space="preserve">Set up Storybook 8 at frontend/.storybook with: (a) all Standard* components from PPIQ-T013-T017 with full story coverage; (b) a Design Tokens page rendering the brand palette (navy, electric blue, electric cyan, success, warning, critical), typography scale, spacing scale, radius scale, elevation scale, motion timings — all sourced from a single tokens.ts file; (c) a Do / Don't page with side-by-side screenshots of the Material Search &amp; Drilldown BEFORE state (the screenshots Karim provided) and the AFTER state with Standard* components; (d) an Onboarding page explaining the import paths, the ESLint rule (PPIQ-T024), and the contribution checklist. Build the static Storybook to /opt/PlantProcess-IQ/Website/storybook/ and serve via Caddy at storybook.178.105.152.180.sslip.io with basic-auth gating.</t>
  </si>
  <si>
    <t xml:space="preserve">1) Storybook builds with zero errors; `pnpm build-storybook` completes successfully. 2) Every Standard* component has at least 5 stories. 3) Design Tokens page renders all six color tokens, four size scales. 4) Storybook is reachable at the declared URL behind basic auth. 5) A new contributor following the Onboarding page can build and submit a new Standard variant in &lt;30 min.</t>
  </si>
  <si>
    <t xml:space="preserve">  Phase 03 — Component Consolidation &amp; Duplicate Removal   |   6 tasks   |   13.5 hrs</t>
  </si>
  <si>
    <t xml:space="preserve">PPIQ-T019</t>
  </si>
  <si>
    <t xml:space="preserve">Consolidate duplicate StandardButton.tsx paths</t>
  </si>
  <si>
    <t xml:space="preserve">P03</t>
  </si>
  <si>
    <t xml:space="preserve">Refactor / Dead Code</t>
  </si>
  <si>
    <t xml:space="preserve">The frontend currently has two StandardButton implementations: src/components/hardening/StandardButton.tsx (42 lines) and src/hardening/StandardButton.tsx (51 lines). Neither matches the new canonical contract from PPIQ-T013. Delete BOTH legacy files. Replace all imports with the new canonical path src/components/standard/StandardButton. Use a codemod (ts-morph or jscodeshift) to update imports atomically across all .tsx files. Verify with `git grep` that zero references to either legacy path remain. The new component MUST be the only StandardButton in the repo.</t>
  </si>
  <si>
    <t xml:space="preserve">1) `find src -name 'StandardButton.tsx'` returns exactly ONE result, in src/components/standard/. 2) `git grep -E "from .*(components/hardening/StandardButton|hardening/StandardButton)"` returns zero. 3) Frontend builds cleanly. 4) Every page that previously rendered a StandardButton still renders one, visually unchanged or improved.</t>
  </si>
  <si>
    <t xml:space="preserve">PPIQ-T020</t>
  </si>
  <si>
    <t xml:space="preserve">Consolidate duplicate DataFetchBoundary.tsx paths</t>
  </si>
  <si>
    <t xml:space="preserve">The frontend has two DataFetchBoundary implementations: src/components/hardening/DataFetchBoundary.tsx (56 lines) and src/hardening/DataFetchBoundary.tsx (78 lines). Both contain the forbidden 'could not be loaded' phrase. Author a single canonical src/components/standard/DataFetchBoundary.tsx that uses the new 'Refreshing X' copy, accepts isLoading / hasError / onRetry / loadingFallback / errorFallback / children. Delete both legacy files. Update all imports via codemod. The component MUST also emit a diagnostics beacon on error for client-error telemetry.</t>
  </si>
  <si>
    <t xml:space="preserve">1) `find src -name 'DataFetchBoundary.tsx'` returns exactly ONE result. 2) Forbidden phrase absent from the canonical implementation. 3) Triggering an error in any consuming page shows 'Refreshing X…' + retry, and a POST to /diagnostics/client-error is observed in Network tab. 4) Frontend builds cleanly with no broken imports.</t>
  </si>
  <si>
    <t xml:space="preserve">PPIQ-T021</t>
  </si>
  <si>
    <t xml:space="preserve">Standardize ErrorBoundary.tsx location and copy</t>
  </si>
  <si>
    <t xml:space="preserve">important</t>
  </si>
  <si>
    <t xml:space="preserve">Move src/components/hardening/ErrorBoundary.tsx to src/components/standard/ErrorBoundary.tsx, rewrite the error copy per PPIQ-T001 to use 'We're refreshing this view…' instead of 'could not load'. The boundary MUST: (a) catch render errors via componentDidCatch; (b) log to /diagnostics/client-error with stack + component path + user-agent + URL; (c) show a brand-styled fallback with Retry button; (d) reset error state on retry; (e) be wrapped at app root and per-route. Update App.tsx wrapping.</t>
  </si>
  <si>
    <t xml:space="preserve">1) Deliberately throw in a route component — fallback renders, error logged to backend, Retry clears the error. 2) Forbidden phrase absent. 3) Backend audit log shows the client-error entry with full context. 4) Per-route boundaries prevent app-wide white-screen.</t>
  </si>
  <si>
    <t xml:space="preserve">PPIQ-T022</t>
  </si>
  <si>
    <t xml:space="preserve">Delete orphan / dead frontend files identified in manifest</t>
  </si>
  <si>
    <t xml:space="preserve">Cross-reference the 681-file manifest with App.tsx + router config to identify files that are present in the repo but imported nowhere. Known orphans: confirm and either wire (in Phase 7) or delete. Generic orphan candidates: any *.tsx in src/ with zero importers after the consolidation in T019-T021. Use `dpdm` or `madge` to produce the unreferenced list. For each file: decide WIRE (track to Phase 7 task), KEEP (e.g. a Storybook-only example, annotate with @storybook-only header), or DELETE. Commit the deletion list with rationale to docs/refactor/dead-code-removal-{date}.md.</t>
  </si>
  <si>
    <t xml:space="preserve">1) `npx dpdm src/main.tsx --no-output` shows zero unreferenced files after the cleanup. 2) Frontend bundle size drops measurably (track with `pnpm build` size delta). 3) The 3 known orphans (Phase1WorkflowTruthPanel, SaveInspectionJobModal, OperationProgressPanel) are tracked to Phase 7 tasks, not deleted. 4) The rationale document lists every deletion with a one-line reason.</t>
  </si>
  <si>
    <t xml:space="preserve">PPIQ-T023</t>
  </si>
  <si>
    <t xml:space="preserve">Update all import statements to canonical paths via codemod</t>
  </si>
  <si>
    <t xml:space="preserve">Refactor / Codemod</t>
  </si>
  <si>
    <t xml:space="preserve">Write a jscodeshift codemod scripts/codemods/standardize-imports.js that rewrites every import of a Standard* component from its old path to src/components/standard/*. Run it across the full frontend. Verify visual parity via Playwright screenshot diffs before and after. Commit the codemod itself to the repo so future contributors can re-run if a stray legacy import appears in a long-lived branch.</t>
  </si>
  <si>
    <t xml:space="preserve">1) Codemod runs successfully and reports number of files modified. 2) `git grep -E "from .*(components/hardening/|hardening/)(Standard|DataFetchBoundary|ErrorBoundary)"` returns zero. 3) Playwright screenshot diff job shows zero pixel difference on the top 10 pages. 4) Codemod script is checked in and documented in docs/refactor/codemods.md.</t>
  </si>
  <si>
    <t xml:space="preserve">PPIQ-T024</t>
  </si>
  <si>
    <t xml:space="preserve">Add ESLint rules banning non-standard imports and patterns</t>
  </si>
  <si>
    <t xml:space="preserve">Lint / Quality Gate</t>
  </si>
  <si>
    <t xml:space="preserve">Add ESLint rules to .eslintrc.cjs: (a) no-restricted-imports forbidding src/components/hardening/* and src/hardening/* entirely; (b) no-restricted-syntax forbidding native &lt;button&gt;, native &lt;table&gt;, native &lt;input type=text&gt;, native &lt;select&gt; in any .tsx file under src/pages and src/features (with an allowlist for src/components/standard/* internals); (c) custom rule (eslint-plugin-ppiq) banning the forbidden phrase 'could not be loaded' / 'could not load' in any string literal. Each violation message must include the canonical replacement guidance. Wire into Jenkins build and pre-commit hook.</t>
  </si>
  <si>
    <t xml:space="preserve">1) Running `pnpm lint` on the cleaned codebase produces zero violations. 2) Introducing a native &lt;button&gt; in any feature file produces a clear lint error pointing to StandardButton. 3) Reintroducing the forbidden phrase fails lint with the rewrite suggestion. 4) Jenkins fails the build on any lint violation; pre-commit hook blocks the commit locally.</t>
  </si>
  <si>
    <t xml:space="preserve">  Phase 04 — Material Search &amp; Drilldown Standardization   |   8 tasks   |   20.8 hrs</t>
  </si>
  <si>
    <t xml:space="preserve">PPIQ-T025</t>
  </si>
  <si>
    <t xml:space="preserve">Replace native search input with StandardInput (search variant)</t>
  </si>
  <si>
    <t xml:space="preserve">P04</t>
  </si>
  <si>
    <t xml:space="preserve">Track 1 — Workflow</t>
  </si>
  <si>
    <t xml:space="preserve">Material Search Page / Inputs</t>
  </si>
  <si>
    <t xml:space="preserve">On the Material Search and Drilldown page (Image 1 / 2 from the founder), replace the current 'Search material code…' native input with StandardInput variant='search' size='md'. Include leading magnifying-glass icon, clear-X trailing button when value present, debounced onChange at 250ms. Maintain existing state binding to the searchQuery ref and existing onSubmit-on-Enter behavior. The visual contract MUST match the rest of the app (border-subtle, focus brand-cyan ring, exact 36px height) — currently the input is taller and uses default browser styling that breaks brand grammar.</t>
  </si>
  <si>
    <t xml:space="preserve">1) Material Search page renders with the new input, visually consistent with inputs elsewhere. 2) Typing triggers debounced search after 250ms idle. 3) Pressing Enter triggers immediate search. 4) Clear-X clears value and fires onChange(''). 5) Focus ring is brand-cyan, 4px, 2px offset. 6) Visual regression Playwright snapshot diff approved.</t>
  </si>
  <si>
    <t xml:space="preserve">PPIQ-T026</t>
  </si>
  <si>
    <t xml:space="preserve">Replace Search button with StandardButton primary + icon</t>
  </si>
  <si>
    <t xml:space="preserve">Material Search Page / Buttons</t>
  </si>
  <si>
    <t xml:space="preserve">Replace the current 'Search' button with &lt;StandardButton variant='primary' size='md' leadingIcon={SearchIcon}&gt;Search&lt;/StandardButton&gt;. Wire onClick to the existing search handler. Verify the search endpoint /api/materials/search returns 200 with the current input value, and the results table updates. The current implementation looks like a default HTML button which violates the Vision §6 brand contract.</t>
  </si>
  <si>
    <t xml:space="preserve">1) Button renders in primary style — electric-blue background, white text, magnifying glass icon. 2) Click fires the search and the results table updates within 800ms (P95). 3) Loading state during fetch — button shows spinner, disabled, label stays visible. 4) Empty result correctly shows the StandardTable empty state.</t>
  </si>
  <si>
    <t xml:space="preserve">PPIQ-T027</t>
  </si>
  <si>
    <t xml:space="preserve">Replace Load Investigation button with StandardButton secondary</t>
  </si>
  <si>
    <t xml:space="preserve">Replace 'Load Investigation' button with &lt;StandardButton variant='secondary' size='md' leadingIcon={FolderOpenIcon}&gt;Load Investigation&lt;/StandardButton&gt;. This button's function must open the SaveInvestigationLoadModal listing the user's saved investigations, allowing them to load a previously saved drilldown. If the modal does not exist, build it now (it pairs with PPIQ-T049 SaveInspectionJobModal but is the read counterpart). Wire to GET /api/investigations?owner={userId}&amp;pageSize=20.</t>
  </si>
  <si>
    <t xml:space="preserve">1) Button renders in secondary style — transparent bg, brand-blue border + text. 2) Click opens a StandardModal listing saved investigations with name, created date, last accessed. 3) Selecting one loads the investigation state (filters, material, drilldown) into the page. 4) Empty state shows 'No saved investigations yet' with CTA to save the current view.</t>
  </si>
  <si>
    <t xml:space="preserve">PPIQ-T028</t>
  </si>
  <si>
    <t xml:space="preserve">Replace Calculate Risk button with StandardButton primary</t>
  </si>
  <si>
    <t xml:space="preserve">Replace 'Calculate Risk' button with &lt;StandardButton variant='primary' size='md' leadingIcon={ShieldCheckIcon}&gt;Calculate Risk&lt;/StandardButton&gt;. The button MUST be enabled only when a material is selected in the results table. Wire onClick to POST /api/risk/calculate with body {materialCode, contextFilters}. On success, the page displays the risk score and contributors in a StandardCard below the table. On error, show a StandardToast variant='error' with retry action. Currently the button styling is non-standard and (per founder report) the function does not always work — investigate why.</t>
  </si>
  <si>
    <t xml:space="preserve">1) Button is disabled until a row is selected. 2) Click triggers POST and renders the risk panel within 1200ms (P95). 3) Risk panel uses StandardCard with brand-styled headers, risk score numerator/contributors. 4) Backend endpoint returns deterministic output for the same input (verify with two consecutive calls). 5) Error path shows toast with Retry; retry fires the same call.</t>
  </si>
  <si>
    <t xml:space="preserve">PPIQ-T029</t>
  </si>
  <si>
    <t xml:space="preserve">Replace PDF Report anchor with StandardButton ghost + download icon</t>
  </si>
  <si>
    <t xml:space="preserve">Replace the underlined '⇩PDF Report' hyperlink anchor with &lt;StandardButton variant='ghost' size='md' leadingIcon={DownloadIcon}&gt;PDF Report&lt;/StandardButton&gt;. The current implementation is a default &lt;a&gt; with browser underline that breaks brand grammar. On click, fetch /api/investigations/{id}/report.pdf with auth headers, stream the response, and trigger a file download named 'PPIQ-Investigation-{materialCode}-{date}.pdf'. Show loading state while generating. Handle the 'no investigation loaded' case with a toast 'Load or perform an investigation first'.</t>
  </si>
  <si>
    <t xml:space="preserve">1) Button renders in ghost style — no border, brand-blue text. 2) Click downloads a PDF with the correct filename. 3) PDF MUST contain: header with logo, plant name, material code, generated-by, generated-at; body with the risk score, contributors, top correlations, recent events; footer with PPIQ version and evidence hash. 4) Empty-investigation case shows the warning toast. 5) Generation time &lt;3s for a typical investigation.</t>
  </si>
  <si>
    <t xml:space="preserve">PPIQ-T030</t>
  </si>
  <si>
    <t xml:space="preserve">Replace materials results table with StandardTable</t>
  </si>
  <si>
    <t xml:space="preserve">Material Search Page / Tables</t>
  </si>
  <si>
    <t xml:space="preserve">Replace the current 23-row materials results table (visible in Image 1) with &lt;StandardTable&gt; from PPIQ-T014. Columns: Material (clickable, opens drilldown), Type, Family, Risk (with color chip — Low green, Medium amber, High red), Defects (right-aligned numeric). Enable: sort on every column, density toggle (default compact for tabular density), pagination (default 25 / actual 23), row click → drill down + sync global filters, CSV export (includes plant context + timestamp in filename), empty state. Loading skeleton must match the 5-column layout. Currently the table uses default browser styling (visible in screenshot) which violates the standard.</t>
  </si>
  <si>
    <t xml:space="preserve">1) Table renders with brand-styled headers, even-row banding, proper alignment per type. 2) Risk column shows colored chip not plain text. 3) Clicking a row triggers the drilldown panel update with that material's data. 4) Sort works on every column. 5) CSV export downloads the visible filtered/sorted view. 6) Empty state shown when search returns zero matches.</t>
  </si>
  <si>
    <t xml:space="preserve">PPIQ-T031</t>
  </si>
  <si>
    <t xml:space="preserve">Wire all four Material Search buttons to working backend endpoints</t>
  </si>
  <si>
    <t xml:space="preserve">Material Search / API Wiring</t>
  </si>
  <si>
    <t xml:space="preserve">Per founder report, 'some of [the buttons'] function not working' on this page. Audit every button's onClick handler against the live backend: Search → GET /api/materials/search; Load Investigation → GET /api/investigations; Calculate Risk → POST /api/risk/calculate; PDF Report → GET /api/investigations/{id}/report.pdf. For each, verify: (a) endpoint exists and returns 200 with valid auth; (b) request body / params match the frontend's call; (c) response shape matches the frontend's parser; (d) error paths return structured ProblemDetails. If any endpoint is missing or returns 404, implement it; if it returns 500, fix the bug. Document the contract in Backend/PlantProcess.Api/Endpoints/Materials/README.md with sample request/response for each.</t>
  </si>
  <si>
    <t xml:space="preserve">1) Four curl scripts in scripts/probes/material-search/*.sh — each returns 200 with the expected shape. 2) Frontend Network tab: each button click results in exactly one successful XHR with status 200. 3) Killing the backend, retry the action — frontend shows the new 'Refreshing X…' boundary, then succeeds on retry. 4) Backend integration tests cover each endpoint with at least 3 cases (happy, missing-input-400, no-data-empty).</t>
  </si>
  <si>
    <t xml:space="preserve">PPIQ-T032</t>
  </si>
  <si>
    <t xml:space="preserve">Add loading / error / empty / success states to Material Search page</t>
  </si>
  <si>
    <t xml:space="preserve">Material Search Page / State Surface</t>
  </si>
  <si>
    <t xml:space="preserve">Audit the page for missing state surfaces. Wrap the results table in &lt;DataFetchBoundary&gt; (canonical, from PPIQ-T020). Wrap the risk panel similarly. Define explicit copy for each state — never use the forbidden phrase. Loading: 'Refreshing materials list…' with 3-row skeleton. Error: 'Refreshing materials list…' + auto-retry every 5s + manual retry button + a small 'i' info icon with the actual error text in a tooltip for power users. Empty: 'No materials match your filters. Try a broader search or clear filters.' with a 'Clear filters' StandardButton. Success: the table renders. Apply the same surface to every dependent panel on this page.</t>
  </si>
  <si>
    <t xml:space="preserve">1) Stop the backend; the page shows 'Refreshing…' with skeleton, no error console noise. 2) Search a code that returns zero rows — empty state with Clear Filters CTA appears; clicking it resets. 3) Backend returns 500 — error fallback appears, auto-retries every 5s, manual Retry works. 4) Forbidden phrase MUST be absent from all states. 5) Playwright tests cover all four states.</t>
  </si>
  <si>
    <t xml:space="preserve">  Phase 05 — Global UI Migration: Analytics Pages   |   7 tasks   |   32.0 hrs</t>
  </si>
  <si>
    <t xml:space="preserve">PPIQ-T033</t>
  </si>
  <si>
    <t xml:space="preserve">Migrate Command Dashboard to Standard* components</t>
  </si>
  <si>
    <t xml:space="preserve">P05</t>
  </si>
  <si>
    <t xml:space="preserve">Command Dashboard Page</t>
  </si>
  <si>
    <t xml:space="preserve">Refactor src/pages/CommandDashboard.tsx (or equivalent) to use only Standard* components. Every &lt;button&gt; → StandardButton, every &lt;table&gt; → StandardTable, every &lt;input/select&gt; → StandardInput/StandardSelect, every tab strip → StandardTabs, every modal → StandardModal, every toast → StandardToast. Cards holding KPIs → StandardCard. Charts (recharts) remain as-is but their wrapping cards must be StandardCard. Preserve existing data wiring and interactions. Re-test all interactive elements. Compare Playwright screenshots before / after for visual review.</t>
  </si>
  <si>
    <t xml:space="preserve">1) `git grep -E '&lt;(button|table|input|select|textarea)\b' src/pages/CommandDashboard.tsx` returns zero matches. 2) Every KPI card uses StandardCard. 3) All interactions still work — verify each click path. 4) Visual regression baseline captured.</t>
  </si>
  <si>
    <t xml:space="preserve">PPIQ-T034</t>
  </si>
  <si>
    <t xml:space="preserve">Migrate Material Investigation page (sub-tabs) to Standard* components</t>
  </si>
  <si>
    <t xml:space="preserve">Material Investigation Page</t>
  </si>
  <si>
    <t xml:space="preserve">The Material Investigation page (sidebar nav item 'Material Investigation') hosts the drilldown sub-tabs: Genealogy, Process History, Quality Events, Feature Vector, Risk. Migrate the page-level container and each sub-tab's content to Standard* components. The tab strip itself → StandardTabs with URL-sync (so deep links to ?tab=feature-vector work). Each sub-tab's table → StandardTable. Each filter input → StandardInput. The page shares state with the Material Search section (filters, selected material), so the global filter context must stay intact.</t>
  </si>
  <si>
    <t xml:space="preserve">1) All sub-tabs render via StandardTabs with URL-sync. 2) Tab content lazy-mounts (verify in DevTools Network — switching to a tab triggers its fetch only when first opened). 3) Global filters apply across all sub-tabs. 4) Visual regression baseline captured.</t>
  </si>
  <si>
    <t xml:space="preserve">PPIQ-T035</t>
  </si>
  <si>
    <t xml:space="preserve">Migrate Risk Intelligence page to Standard* components</t>
  </si>
  <si>
    <t xml:space="preserve">Risk Intelligence Page</t>
  </si>
  <si>
    <t xml:space="preserve">Refactor the Risk Intelligence page (sidebar 'Risk Intelligence — Quality risk score and contributors'). All primary interactive elements migrated. The risk-contributors table → StandardTable with the colored Risk chip column treatment defined in PPIQ-T030. Score gauges remain as-is but wrap in StandardCard. Filter pills → StandardButton variant='secondary' size='sm' with active state showing selected via filled bg.</t>
  </si>
  <si>
    <t xml:space="preserve">1) Page renders with only Standard* primitives. 2) Risk chip color treatment is identical across Risk Intelligence and Material Search pages — same hex codes, same border-radius, same horizontal padding. 3) Filter pills behave consistently with the rest of the app. 4) Visual regression baseline captured.</t>
  </si>
  <si>
    <t xml:space="preserve">PPIQ-T036</t>
  </si>
  <si>
    <t xml:space="preserve">Migrate Data Quality page to Standard* components</t>
  </si>
  <si>
    <t xml:space="preserve">Data Quality Page</t>
  </si>
  <si>
    <t xml:space="preserve">Refactor the Data Quality page ('Readiness and validation findings'). Findings list → StandardTable with severity chip (matches Risk chip pattern), category filter → StandardSelect multi, summary cards → StandardCard. The page must allow drill-through from a finding row to the offending data source / table — wire that link to the Administrator page's source detail.</t>
  </si>
  <si>
    <t xml:space="preserve">1) Findings table renders via StandardTable. 2) Severity chip colors map: critical→red, high→amber, medium→yellow, low→muted. 3) Drill-through from a finding row navigates to the related source detail. 4) Visual regression baseline captured.</t>
  </si>
  <si>
    <t xml:space="preserve">PPIQ-T037</t>
  </si>
  <si>
    <t xml:space="preserve">Migrate Correlations page to Standard* components</t>
  </si>
  <si>
    <t xml:space="preserve">Correlations Page</t>
  </si>
  <si>
    <t xml:space="preserve">Refactor the Correlations page ('Process-to-quality analytics'). Correlation matrix → keep visualization, wrap in StandardCard. Top-N table → StandardTable. Threshold sliders → StandardInput type=range or equivalent custom with the same focus ring and styling. Drill-down on a correlation row → opens the related materials in Material Investigation page with global filter applied.</t>
  </si>
  <si>
    <t xml:space="preserve">1) Page renders with Standard* primitives. 2) Threshold sliders use brand-styled track and thumb. 3) Drill-down works and applies filters to Material Investigation. 4) Visual regression baseline captured.</t>
  </si>
  <si>
    <t xml:space="preserve">PPIQ-T038</t>
  </si>
  <si>
    <t xml:space="preserve">Add visual regression test snapshots for all Analytics pages</t>
  </si>
  <si>
    <t xml:space="preserve">Quality / Visual Regression</t>
  </si>
  <si>
    <t xml:space="preserve">Set up Playwright + @playwright/test snapshot mode at frontend/e2e/visual/. Capture baseline screenshots for every Analytics page in dark mode and light mode at three viewports (1920×1080, 1440×900, 768×1024). On every PR, Jenkins runs the snapshot job and posts a diff comment if any pixel difference &gt;0.5% is detected. Add an UPDATE command in package.json to refresh baselines after a deliberate visual change.</t>
  </si>
  <si>
    <t xml:space="preserve">1) `pnpm test:visual` runs and produces baseline screenshots on first run. 2) Re-running with no code change produces zero diffs. 3) Introducing a visual change in a scratch branch produces a diff report. 4) Jenkins job is wired and fails the PR on undeclared visual changes.</t>
  </si>
  <si>
    <t xml:space="preserve">PPIQ-T039</t>
  </si>
  <si>
    <t xml:space="preserve">Add Playwright e2e tests for primary user flows in Analytics</t>
  </si>
  <si>
    <t xml:space="preserve">Quality / End-to-End</t>
  </si>
  <si>
    <t xml:space="preserve">Author Playwright e2e tests covering the canonical demo paths: (1) login → Command Dashboard renders KPIs; (2) Material Investigation → search 'ADV_COIL4002' → drilldown shows quality events; (3) Risk Intelligence → filter by Medium-risk → verify chip color; (4) Data Quality → findings list loads → drill to source; (5) Correlations → matrix renders → adjust threshold → table updates. Each test asserts both functional outcomes and the absence of the forbidden phrase. Run on every PR.</t>
  </si>
  <si>
    <t xml:space="preserve">1) Five e2e tests pass against staging. 2) Each test runs under 90 seconds. 3) Forbidden-phrase assertion is included in each test as a final check. 4) Jenkins job runs them on every PR and on the post-deploy gate.</t>
  </si>
  <si>
    <t xml:space="preserve">  Phase 06 — Global UI Migration: Intelligence &amp; System Pages   |   8 tasks   |   34.0 hrs</t>
  </si>
  <si>
    <t xml:space="preserve">PPIQ-T040</t>
  </si>
  <si>
    <t xml:space="preserve">Migrate ML Readiness page to Standard* components</t>
  </si>
  <si>
    <t xml:space="preserve">P06</t>
  </si>
  <si>
    <t xml:space="preserve">ML Readiness Page</t>
  </si>
  <si>
    <t xml:space="preserve">Refactor ML Readiness page ('Labels, features and training gates'). Gates list → StandardTable with status chip (passing/warning/failing). Feature inventory → StandardTable with sortable last-updated. 'Run training gate check' → StandardButton primary with loading spinner. Result panels → StandardCard. Honest empty state when no model has run: 'No models in production yet. Train your first model from the ML Pipeline tab.'</t>
  </si>
  <si>
    <t xml:space="preserve">1) Page renders with Standard* primitives. 2) Status chip color treatment matches the rest of the app. 3) Run-gate-check loading state is visible and dismissible only after completion. 4) Empty state is honest about no_production_prediction state.</t>
  </si>
  <si>
    <t xml:space="preserve">PPIQ-T041</t>
  </si>
  <si>
    <t xml:space="preserve">Migrate Demo Lifecycle page to Standard* components</t>
  </si>
  <si>
    <t xml:space="preserve">Track 3 — Demo</t>
  </si>
  <si>
    <t xml:space="preserve">Demo Lifecycle Page</t>
  </si>
  <si>
    <t xml:space="preserve">Refactor Demo Lifecycle page ('Connector to ML result workflow'). All controls migrated. Add the new 'Reset Demo' StandardButton variant='danger' size='md' which opens a StandardModal confirming reset and triggers POST /demo-lifecycle/reset (PPIQ-T051). Add a 'Demo Status' StandardCard showing current step, last reset time, active persona. The OperationProgressPanel orphan (PPIQ-T050) is wired into this page.</t>
  </si>
  <si>
    <t xml:space="preserve">1) Page renders with Standard* primitives. 2) Reset Demo button opens confirmation modal; confirm fires the reset and shows progress. 3) Demo Status card updates after reset. 4) Visual regression baseline captured.</t>
  </si>
  <si>
    <t xml:space="preserve">PPIQ-T042</t>
  </si>
  <si>
    <t xml:space="preserve">Migrate Admin Preview page to Standard* components</t>
  </si>
  <si>
    <t xml:space="preserve">Admin Preview Page</t>
  </si>
  <si>
    <t xml:space="preserve">Refactor Admin Preview ('License, roles, ML scripts, report'). License section → StandardCard with the live tier toggle (PPIQ-T078). Roles list → StandardTable. ML scripts list → StandardTable with run-button per row. Report download → StandardButton ghost with download icon (same pattern as PDF Report in PPIQ-T029).</t>
  </si>
  <si>
    <t xml:space="preserve">1) Page renders with Standard* primitives. 2) Live tier toggle persists changes to backend and updates UI immediately. 3) Visual regression baseline captured.</t>
  </si>
  <si>
    <t xml:space="preserve">PPIQ-T043</t>
  </si>
  <si>
    <t xml:space="preserve">Migrate Administrator page (DB config, schema, jobs) to Standard* components</t>
  </si>
  <si>
    <t xml:space="preserve">Administrator Page</t>
  </si>
  <si>
    <t xml:space="preserve">Refactor Administrator page ('DB config, schema mapping and jobs'). The page is the heaviest in the app — was AdminPageContent.tsx (2362 lines) broken into six sub-components per recent work. Audit each sub-component: DBLinkConfig, TableBrowser, ImportJobSchedule, SQLViewEditor, KPIDefinition. Each must use only Standard* primitives. The SQL view editor's text area → StandardTextArea with monospace font and syntax highlighting (via highlight.js or codemirror). Job-trigger buttons → StandardButton primary.</t>
  </si>
  <si>
    <t xml:space="preserve">1) Each of the six sub-components uses only Standard* primitives. 2) SQL editor has syntax highlighting and the standard focus ring. 3) All admin job triggers work and show loading + success/error toasts. 4) Visual regression baseline captured.</t>
  </si>
  <si>
    <t xml:space="preserve">PPIQ-T044</t>
  </si>
  <si>
    <t xml:space="preserve">Migrate Brand page to Standard* components</t>
  </si>
  <si>
    <t xml:space="preserve">normal</t>
  </si>
  <si>
    <t xml:space="preserve">Track 4 — Website</t>
  </si>
  <si>
    <t xml:space="preserve">Brand Page</t>
  </si>
  <si>
    <t xml:space="preserve">Refactor Brand page ('Identity, positioning and proof'). This page showcases the brand grammar internally — ironic if it isn't on standard. Convert any non-standard primitives. Add a 'Brand Tokens' section that imports directly from the tokens.ts file used by Storybook (PPIQ-T018), so the Brand page is the in-app reference for designers and stakeholders.</t>
  </si>
  <si>
    <t xml:space="preserve">1) Page renders with Standard* primitives. 2) Brand Tokens section is live and reflects any token change immediately. 3) Visual regression baseline captured.</t>
  </si>
  <si>
    <t xml:space="preserve">PPIQ-T045</t>
  </si>
  <si>
    <t xml:space="preserve">Audit Investigation Detail / Material Drilldown drilldown views</t>
  </si>
  <si>
    <t xml:space="preserve">Drilldown Views</t>
  </si>
  <si>
    <t xml:space="preserve">When a user clicks a material row, the drilldown view opens — this is the most-visited path in the product. Audit every component in this view: header (material identity), tab strip (genealogy / process / quality / features / risk), action bar (Save / Share / Export / Calculate Risk). Migrate any laggard to Standard* primitives. Particular attention: the Save Investigation button must open SaveInspectionJobModal (PPIQ-T049 once wired).</t>
  </si>
  <si>
    <t xml:space="preserve">1) Drilldown view renders with Standard* primitives only. 2) Save Investigation button opens the now-wired modal. 3) Tab navigation uses StandardTabs with URL-sync per PPIQ-T034. 4) Visual regression baseline captured.</t>
  </si>
  <si>
    <t xml:space="preserve">PPIQ-T046</t>
  </si>
  <si>
    <t xml:space="preserve">Add visual regression snapshots for Intelligence &amp; System pages</t>
  </si>
  <si>
    <t xml:space="preserve">Extend the Playwright snapshot suite from PPIQ-T038 to cover ML Readiness, Demo Lifecycle, Admin Preview, Administrator (each sub-component view), Brand, and the Material Investigation drilldown. Same viewports + themes. Bring the total snapshot count to ~80.</t>
  </si>
  <si>
    <t xml:space="preserve">1) Snapshot count grows to ~80, all baseline. 2) Re-run with no change → zero diffs. 3) Jenkins job time still under 8 minutes total.</t>
  </si>
  <si>
    <t xml:space="preserve">PPIQ-T047</t>
  </si>
  <si>
    <t xml:space="preserve">Run full accessibility audit and fix WCAG AA violations</t>
  </si>
  <si>
    <t xml:space="preserve">Accessibility</t>
  </si>
  <si>
    <t xml:space="preserve">Run axe-core via @axe-core/playwright on every page in the e2e suite. Capture all WCAG 2.1 AA violations. Categorize: missing alt text, color contrast, missing labels, focus order issues, ARIA misuse. Triage to the Standard* library where the fix belongs once (e.g. button focus ring contrast) versus per-page fixes. Fix all Critical and Serious violations; document Moderate and Minor with rationale. Add the axe check to the e2e suite as a gating assertion.</t>
  </si>
  <si>
    <t xml:space="preserve">1) `pnpm test:a11y` runs and reports zero Critical/Serious violations across the suite. 2) Triage document docs/a11y/audit-{date}.md lists every detected issue and its resolution. 3) Jenkins fails on any new Critical/Serious axe violation.</t>
  </si>
  <si>
    <t xml:space="preserve">  Phase 07 — Demo Lifecycle &amp; Workflow Orphan Wiring   |   7 tasks   |   29.0 hrs</t>
  </si>
  <si>
    <t xml:space="preserve">PPIQ-T048</t>
  </si>
  <si>
    <t xml:space="preserve">Wire Phase1WorkflowTruthPanel into App.tsx and Phase 1 routes</t>
  </si>
  <si>
    <t xml:space="preserve">P07</t>
  </si>
  <si>
    <t xml:space="preserve">Workflow / Orphan Wiring</t>
  </si>
  <si>
    <t xml:space="preserve">src/components/workflow/Phase1WorkflowTruthPanel.tsx is built (285 lines) but never imported. Wire it as the primary content of the /admin/phase1 route's 'Connector Truth' tab. The panel summarizes the live state of each source connector: last successful sync, schema fingerprint, drift since last sync, sample row count. The backend data source is Phase1WorkflowTruthEndpoints.cs (1366 lines, already built). Confirm the contract matches; refactor the panel to consume only Standard* primitives.</t>
  </si>
  <si>
    <t xml:space="preserve">1) /admin/phase1 page shows the panel as the first tab's content. 2) Panel renders connector truth with all expected columns; data round-trips from backend. 3) Panel uses Standard* primitives only. 4) Test deliberately drift the source schema in the demo DB; verify the panel surfaces the drift.</t>
  </si>
  <si>
    <t xml:space="preserve">PPIQ-T049</t>
  </si>
  <si>
    <t xml:space="preserve">Wire SaveInspectionJobModal into investigation save flow</t>
  </si>
  <si>
    <t xml:space="preserve">src/components/investigation/SaveInspectionJobModal.tsx is built (185 lines) but never imported. Wire it to trigger from the 'Save Investigation' button in the Material Investigation drilldown view (PPIQ-T045). The modal collects: name (required), description, schedule (none / daily / weekly), notify-on-change toggle. On submit POST /api/investigations with the current filter and material context. Refactor the modal to use StandardModal, StandardInput, StandardSelect, StandardButton.</t>
  </si>
  <si>
    <t xml:space="preserve">1) Save Investigation button opens the modal. 2) Submit creates a saved investigation visible in Load Investigation list (PPIQ-T027). 3) Scheduled investigations enqueue jobs visible in Administrator → Jobs. 4) Modal uses Standard* primitives only.</t>
  </si>
  <si>
    <t xml:space="preserve">PPIQ-T050</t>
  </si>
  <si>
    <t xml:space="preserve">Wire OperationProgressPanel into demo lifecycle and import jobs</t>
  </si>
  <si>
    <t xml:space="preserve">src/components/ops/OperationProgressPanel.tsx is built (57 lines) but never imported. Wire it to two places: (a) Demo Lifecycle page → during a demo reset (PPIQ-T051), the panel polls /demo-lifecycle/reset/{jobId}/progress every 1s and renders step-by-step progress (Stopped containers ✓ / Cleaned volumes ✓ / Re-seeded data 60% / Reloaded canonical layout / Verified health checks); (b) Administrator → Import Jobs → during an active import, renders the same panel against the import job progress endpoint. Refactor to use Standard* primitives.</t>
  </si>
  <si>
    <t xml:space="preserve">1) Demo reset shows the panel polling progress; each step ticks to ✓ in real time. 2) Import jobs show the same panel pattern. 3) The panel handles errors mid-job: shows the failed step with red-X icon and an exception detail expand. 4) Panel uses Standard* primitives only.</t>
  </si>
  <si>
    <t xml:space="preserve">PPIQ-T051</t>
  </si>
  <si>
    <t xml:space="preserve">Implement POST /demo-lifecycle/reset endpoint (PPIQ-WF-022)</t>
  </si>
  <si>
    <t xml:space="preserve">Demo Lifecycle / Reset Workflow</t>
  </si>
  <si>
    <t xml:space="preserve">DemoLifecycleEndpoints.cs is currently 28 lines and missing the reset endpoint. Implement POST /demo-lifecycle/reset as a long-running job: (1) accept optional body {scope: 'data-only' | 'full' | 'identities-only'}; (2) return 202 Accepted with {jobId, statusUrl}; (3) execute the reset asynchronously via Hangfire or background channel — invalidate caches, truncate transactional tables, re-seed canonical layout (per Vision §3), re-seed demo personas, reset license tier to default; (4) write audit log entries for every step; (5) expose GET /demo-lifecycle/reset/{jobId} returning progress + steps. Authorization: require Admin or DemoOperator role. Rate-limit: max 1 reset per 5 minutes per tenant.</t>
  </si>
  <si>
    <t xml:space="preserve">1) POST returns 202 with jobId. 2) GET progress endpoint returns step-by-step progress matching the OperationProgressPanel contract. 3) After reset, the demo plant has the canonical layout from Vision §3. 4) Audit log captures every reset with operator, timestamp, scope. 5) Rate limit kicks in on second call within 5 min.</t>
  </si>
  <si>
    <t xml:space="preserve">PPIQ-T052</t>
  </si>
  <si>
    <t xml:space="preserve">Add demo reset button to UI with confirmation modal</t>
  </si>
  <si>
    <t xml:space="preserve">Demo Lifecycle / Reset UX</t>
  </si>
  <si>
    <t xml:space="preserve">On the Demo Lifecycle page, add 'Reset Demo' StandardButton variant='danger'. On click open StandardModal asking the user to type 'RESET' to confirm, plus a scope selector (StandardSelect: 'Data only' / 'Full reset' / 'Identities only'). On confirm POST /demo-lifecycle/reset and show OperationProgressPanel (PPIQ-T050). After completion show a success StandardToast 'Demo reset complete. Canonical layout active.' Disabled state while a reset is in progress, with tooltip 'Reset already in progress — wait for completion'.</t>
  </si>
  <si>
    <t xml:space="preserve">1) Button opens modal; typing RESET enables Confirm. 2) Scope selector default = 'Data only'. 3) Progress panel ticks through to completion. 4) Disabled state during in-progress reset. 5) Success toast appears.</t>
  </si>
  <si>
    <t xml:space="preserve">PPIQ-T053</t>
  </si>
  <si>
    <t xml:space="preserve">Implement tier-override endpoint with role-based gating (PPIQ-WF-021)</t>
  </si>
  <si>
    <t xml:space="preserve">License / Tier Override</t>
  </si>
  <si>
    <t xml:space="preserve">Implement POST /admin/license/tier-override accepting {tier: 'Free' | 'Pro' | 'ProPlus' | 'Enterprise', expiresAt}. Only callable by Admin role. Persist to license_overrides table with audit. On read of effective tier, override takes precedence until expiry. Add GET /admin/license/effective-tier returning {tier, source: 'license' | 'override', expiresAt}. Wire to the front-end tier toggle (PPIQ-T078).</t>
  </si>
  <si>
    <t xml:space="preserve">1) POST with valid body returns 200 and persists override. 2) GET effective-tier reflects override immediately. 3) Override expires automatically — verify with a 30s test override. 4) Non-admin role gets 403. 5) Audit log entry on every change.</t>
  </si>
  <si>
    <t xml:space="preserve">PPIQ-T054</t>
  </si>
  <si>
    <t xml:space="preserve">Add /suggestions and /pages/{slug} dynamic routes (PPIQ-WF-019, 020)</t>
  </si>
  <si>
    <t xml:space="preserve">Routing / Dynamic Content</t>
  </si>
  <si>
    <t xml:space="preserve">Two missing routes per the v2 task list. /suggestions: a page surfacing AI-driven recommendations for the user based on current investigation context — connect to backend /api/suggestions returning a ranked list of recommended actions. /pages/{slug}: a dynamic CMS-style route loading user-defined dashboard pages stored in the platform; backend at /api/pages/{slug}. Both pages use Standard* primitives.</t>
  </si>
  <si>
    <t xml:space="preserve">1) /suggestions renders ranked recommendations with reasoning. 2) /pages/{slug} loads a user-defined page; 404 for missing slug. 3) Both pages use Standard* primitives only. 4) Smoke e2e test for each route passes.</t>
  </si>
  <si>
    <t xml:space="preserve">  Phase 08 — Widget Script Layer Compiler   |   8 tasks   |   38.0 hrs</t>
  </si>
  <si>
    <t xml:space="preserve">PPIQ-T055</t>
  </si>
  <si>
    <t xml:space="preserve">Update DashboardWidgetDefinition entity with 7 new columns</t>
  </si>
  <si>
    <t xml:space="preserve">P08</t>
  </si>
  <si>
    <t xml:space="preserve">Widget Script Layer / Domain Model</t>
  </si>
  <si>
    <t xml:space="preserve">Script 113_phase1_widget_script_layer.sql added 7 columns to dashboard_widget_definitions: query_expression, advanced_expression_json, expression_version, expression_enabled, expression_last_validated_at_utc, expression_last_validation_status, expression_last_validation_message — plus the audit table dashboard_widget_expression_audit. The C# entity DashboardWidgetDefinition.cs (168 lines, dated 19 May) does not yet map these. Update the entity with the new fields, default values, and any required value-objects. Add an enum WidgetExpressionStatus { Valid, Invalid, Pending }.</t>
  </si>
  <si>
    <t xml:space="preserve">1) Entity exposes all 7 new properties with correct types. 2) Default values applied (expression_enabled = false on insert). 3) Domain validation invariants: cannot set expression_enabled = true unless expression_last_validation_status = Valid. 4) Unit tests cover the invariants.</t>
  </si>
  <si>
    <t xml:space="preserve">PPIQ-T056</t>
  </si>
  <si>
    <t xml:space="preserve">Update EF Core configuration to map new widget script columns</t>
  </si>
  <si>
    <t xml:space="preserve">Widget Script Layer / EF Mapping</t>
  </si>
  <si>
    <t xml:space="preserve">Update DashboardWidgetDefinitionConfiguration.cs to map the 7 new columns to the right Postgres types: jsonb for advanced_expression_json, text for the rest where reasonable, timestamptz for expression_last_validated_at_utc, smallint for expression_version. Add an EF index on (expression_enabled, expression_last_validated_at_utc) to speed up the daily refresh job. Run `dotnet ef migrations add WidgetScriptLayerEntityMapping`.</t>
  </si>
  <si>
    <t xml:space="preserve">1) Migration generated and applies cleanly on a fresh DB. 2) Existing records survive the migration (default values backfilled). 3) Index created and used by the planned daily refresh job (verify with EXPLAIN). 4) Round-trip test: write a widget with expression, read it back, fields preserved.</t>
  </si>
  <si>
    <t xml:space="preserve">PPIQ-T057</t>
  </si>
  <si>
    <t xml:space="preserve">Build compiled WidgetQueryExpression record with full grammar</t>
  </si>
  <si>
    <t xml:space="preserve">Widget Script Layer / Compiler</t>
  </si>
  <si>
    <t xml:space="preserve">WidgetQueryExpressionService.cs (341 lines) is currently a token-string parser (allowed keys widget, dimension, measure, etc.). The v2 spec requires a compiled WidgetQueryExpression record type with a structured grammar: { widgetId, source (canonical schema view), dimensions[], measures[] (each with aggregate fn), filters[] (col, op, value), sort[], limit, timeWindow }. Implement a Pratt-style parser that produces the record, with explicit failure modes (UnknownKeyword, MissingValue, TypeMismatch). The current token parser MUST be kept as a fallback for backward compatibility behind a feature flag PPIQ__UseCompiledWidgetGrammar; once round-trip tests are green, flip the flag.</t>
  </si>
  <si>
    <t xml:space="preserve">1) WidgetQueryExpression.Parse("source: vw_quality_events; dimension: material_code; measure: count(*); filter: risk_level = 'High'") returns a populated record. 2) Invalid input returns a structured ParseError with line/column. 3) Round-trip: parse → serialize → parse produces the same record. 4) 100 valid expression unit tests pass. 5) 20 invalid expression unit tests produce the expected error.</t>
  </si>
  <si>
    <t xml:space="preserve">PPIQ-T058</t>
  </si>
  <si>
    <t xml:space="preserve">Build SchemaViewResolver to validate widget expressions against schema</t>
  </si>
  <si>
    <t xml:space="preserve">Widget Script Layer / Schema Validation</t>
  </si>
  <si>
    <t xml:space="preserve">Build SchemaViewResolver: given a parsed WidgetQueryExpression, validate that (a) the source view exists in the canonical view catalog (canonical_schema_views table); (b) each dimension and measure column exists in that view; (c) the aggregate functions are allowed for the column type; (d) filter operators are valid for the column type. On failure return SchemaValidationError with the specific column / operator at fault. Cache the canonical view schema in IMemoryCache with 60s expiry.</t>
  </si>
  <si>
    <t xml:space="preserve">1) Valid expression against an existing view returns success. 2) Reference to a non-existent view fails with NoSuchView error. 3) Reference to a non-existent column fails with NoSuchColumn error. 4) sum() on a text column fails with InvalidAggregateForType. 5) Cache hits visible in metrics; cache invalidation on schema change works.</t>
  </si>
  <si>
    <t xml:space="preserve">PPIQ-T059</t>
  </si>
  <si>
    <t xml:space="preserve">Build SafeSqlValidator second-pass for widget compiled output</t>
  </si>
  <si>
    <t xml:space="preserve">Widget Script Layer / SQL Safety</t>
  </si>
  <si>
    <t xml:space="preserve">After the WidgetQueryExpression compiles to a SQL string for the read replica, run SafeSqlValidator (already hardened with CTE extraction) as a second-pass check. Block: any DDL keyword (DROP, ALTER, CREATE, TRUNCATE); any cross-tenant joins (must include WHERE tenant_id = @tenantId); any pg_* function usage; query timeout &gt; 30s in EXPLAIN. Return SqlSafetyReport with categorized findings. The validator MUST run on every save AND every execution.</t>
  </si>
  <si>
    <t xml:space="preserve">1) A widget with WHERE 1=1; DROP TABLE users -- is blocked at save. 2) A widget joining across tenants is blocked. 3) An execution-time hot-reload of a malicious widget is blocked. 4) The 20 malicious expression test cases from PPIQ-T057 all block correctly. 5) Audit log records every block with full payload.</t>
  </si>
  <si>
    <t xml:space="preserve">PPIQ-T060</t>
  </si>
  <si>
    <t xml:space="preserve">Add widget expression audit logging via dashboard_widget_expression_audit</t>
  </si>
  <si>
    <t xml:space="preserve">Widget Script Layer / Audit</t>
  </si>
  <si>
    <t xml:space="preserve">Use the new dashboard_widget_expression_audit table (from script 113) to log every change to a widget's expression: actor (user id + role), timestamp, before-value, after-value, validation outcome, IP. Apply via EF Core interceptor or AuditLogMiddleware so it's automatic for any save through the standard service. The audit table MUST be immutable — already covered by the trigger work in AuditLogImmutabilityTests.cs from 29 May.</t>
  </si>
  <si>
    <t xml:space="preserve">1) Saving a widget expression writes exactly one audit row with all fields populated. 2) Attempt to UPDATE or DELETE the audit row fails (trigger blocks). 3) /admin/widgets/{id}/audit returns the audit history for a widget. 4) Test: actor + role correctly captured under different JWT identities.</t>
  </si>
  <si>
    <t xml:space="preserve">PPIQ-T061</t>
  </si>
  <si>
    <t xml:space="preserve">Build WidgetExpressionEditor frontend with live validation</t>
  </si>
  <si>
    <t xml:space="preserve">Widget Script Layer / Editor UX</t>
  </si>
  <si>
    <t xml:space="preserve">In Administrator → KPI Definitions, build the widget expression editor. Use codemirror or monaco with custom language for the widget grammar; show inline errors from a debounced POST /admin/widgets/validate endpoint every 500ms. Show schema-aware autocomplete: typing 'source: ' shows available canonical views; typing 'dimension: ' after a source shows that view's columns. Save button disabled until expression validates. The editor must use Standard* primitives for its surround (StandardCard, StandardButton, StandardToast).</t>
  </si>
  <si>
    <t xml:space="preserve">1) Editor renders with syntax highlighting. 2) Debounced validation produces inline errors after 500ms idle. 3) Autocomplete shows view names and columns context-sensitively. 4) Save is gated on a valid expression. 5) Editor uses Standard* primitives.</t>
  </si>
  <si>
    <t xml:space="preserve">PPIQ-T062</t>
  </si>
  <si>
    <t xml:space="preserve">Add round-trip tests covering valid + 20 malicious expressions</t>
  </si>
  <si>
    <t xml:space="preserve">Widget Script Layer / Test Coverage</t>
  </si>
  <si>
    <t xml:space="preserve">Author the test suite WidgetExpressionLayerTests.cs with: (a) 100 valid expressions covering all grammar paths, all aggregates, all filter operators; (b) 20 malicious expressions covering DDL injection, cross-tenant joins, pg_* function calls, comment-out attacks, UNION-based exfiltration, timing attacks, deep nesting; (c) round-trip tests parse→serialize→parse; (d) performance tests asserting &lt;50ms per parse on a typical expression. Integrate into the standard test gate so a future contributor can't regress.</t>
  </si>
  <si>
    <t xml:space="preserve">1) 100+20 tests run in &lt;30s total. 2) Performance test confirms &lt;50ms parse time. 3) All valid expressions parse cleanly. 4) All malicious expressions are blocked. 5) Test suite wired to Jenkins gate.</t>
  </si>
  <si>
    <t xml:space="preserve">  Phase 09 — Source Database Connector Demo Suite   |   7 tasks   |   27.0 hrs</t>
  </si>
  <si>
    <t xml:space="preserve">PPIQ-T063</t>
  </si>
  <si>
    <t xml:space="preserve">Create docker-compose.demo-sources.yml with 6 source DB containers</t>
  </si>
  <si>
    <t xml:space="preserve">P09</t>
  </si>
  <si>
    <t xml:space="preserve">Demo Sources / Compose</t>
  </si>
  <si>
    <t xml:space="preserve">Author Infrastructure/deploy/docker-compose.demo-sources.yml provisioning 6 source DB containers: postgres-source, mysql-source, mssql-source, oracle-xe-source, csv-drop (a folder volume mounted in the backend container at /srv/drops/csv with a watcher), excel-drop (same pattern at /srv/drops/excel). Each container exposes its port ONLY on 127.0.0.1 (per PPIQ-T002). Each container is provisioned with a seed SQL/CSV file at first run via init scripts in Infrastructure/deploy/source-seeds/{vendor}/. The compose file references the main docker-compose.demo.yml via networks: external so backend can reach each source.</t>
  </si>
  <si>
    <t xml:space="preserve">1) `docker compose -f docker-compose.demo-sources.yml up -d` brings up all six. 2) `docker compose ps` shows healthy for all six within 60s. 3) Backend can reach each source via its internal hostname. 4) External port scan confirms no source DB is publicly reachable. 5) Re-running brings up clean state idempotently.</t>
  </si>
  <si>
    <t xml:space="preserve">PPIQ-T064</t>
  </si>
  <si>
    <t xml:space="preserve">Provision seed data for the six source DBs</t>
  </si>
  <si>
    <t xml:space="preserve">Demo Sources / Seed Data</t>
  </si>
  <si>
    <t xml:space="preserve">For each source, author seed scripts that create a realistic 'manufacturing source system' schema: Postgres → ERP-style (work_orders, batches, lots, packs); MySQL → MES-style (operations, machine_runs, operators, downtimes); MSSQL → LIMS-style (samples, tests, results, certificates); Oracle → maintenance-style (assets, work_orders, parts, technicians); CSV → daily ops drops (per-shift quality summaries, 30 days); Excel → operator handover sheets (weekly, 12 weeks). The seed data MUST be coherent across sources so a demo can show end-to-end traceability of one material across all six systems.</t>
  </si>
  <si>
    <t xml:space="preserve">1) Seeded materials in Postgres ERP have matching lot ids in MySQL MES, sample ids in MSSQL LIMS, asset ids in Oracle maintenance, daily summaries in CSV drops, and handover entries in Excel sheets. 2) A demo script can trace material ADV_COIL4002 from ERP all the way to a maintenance log. 3) Re-seeding is idempotent — running twice doesn't duplicate. 4) Total seed size &lt;500MB.</t>
  </si>
  <si>
    <t xml:space="preserve">PPIQ-T065</t>
  </si>
  <si>
    <t xml:space="preserve">Add PostgresConnector smoke test with golden dataset</t>
  </si>
  <si>
    <t xml:space="preserve">Connectors / Smoke Tests</t>
  </si>
  <si>
    <t xml:space="preserve">Author Backend/PlantProcess.Infrastructure.IntegrationTests/Connectors/PostgresConnectorSmokeTests.cs. Connect to the postgres-source container, run the canonical operations: ListTables, DescribeTable, SamplePage(100), FullSync(work_orders). Compare results to a checked-in golden file Backend/tests/golden/postgres-erp-snapshot.json. Test must be opt-in via env var PPIQ_RUN_CONNECTOR_INTEGRATION=1 so it doesn't run in pure unit-test mode. Wire into the post-deploy Jenkins gate.</t>
  </si>
  <si>
    <t xml:space="preserve">1) Test passes against the seeded postgres-source. 2) Test detects drift if seed data is altered. 3) Test runs in &lt;20s. 4) Jenkins post-deploy gate runs it and the run is logged.</t>
  </si>
  <si>
    <t xml:space="preserve">PPIQ-T066</t>
  </si>
  <si>
    <t xml:space="preserve">Add MsSqlConnector smoke test with golden dataset</t>
  </si>
  <si>
    <t xml:space="preserve">Same pattern as PPIQ-T065 but against the mssql-source container. Use the existing MsSqlConnector.cs. Golden file Backend/tests/golden/mssql-lims-snapshot.json. Verify TDS connection, schema enumeration, sampling, full sync.</t>
  </si>
  <si>
    <t xml:space="preserve">1) Test passes against the seeded mssql-source. 2) Test detects drift if seed data is altered. 3) Test runs in &lt;30s (TDS handshake is slower than libpq).</t>
  </si>
  <si>
    <t xml:space="preserve">PPIQ-T067</t>
  </si>
  <si>
    <t xml:space="preserve">Add MySqlConnector smoke test with golden dataset</t>
  </si>
  <si>
    <t xml:space="preserve">Same pattern as PPIQ-T065 but against the mysql-source container. Use the existing MySqlDataConnector.cs. Golden file Backend/tests/golden/mysql-mes-snapshot.json.</t>
  </si>
  <si>
    <t xml:space="preserve">1) Test passes against the seeded mysql-source. 2) Test detects drift if seed data is altered. 3) Test runs in &lt;20s.</t>
  </si>
  <si>
    <t xml:space="preserve">PPIQ-T068</t>
  </si>
  <si>
    <t xml:space="preserve">Add OracleConnector smoke test with golden dataset</t>
  </si>
  <si>
    <t xml:space="preserve">Same pattern as PPIQ-T065 but against the oracle-xe-source container. Use the existing OracleConnector.cs (494 lines, May 25 — cleanest connector in the suite per the 25 May audit). Golden file Backend/tests/golden/oracle-maint-snapshot.json. Oracle XE container startup is slow — give the test a 90s warm-up window.</t>
  </si>
  <si>
    <t xml:space="preserve">1) Test passes against the seeded oracle-xe-source. 2) Warm-up handles cold-start latency. 3) Test runs in &lt;60s after warm-up.</t>
  </si>
  <si>
    <t xml:space="preserve">PPIQ-T069</t>
  </si>
  <si>
    <t xml:space="preserve">Add CSV + Excel connector smoke tests with golden files</t>
  </si>
  <si>
    <t xml:space="preserve">Author CsvDropConnectorSmokeTests.cs and ExcelDropConnectorSmokeTests.cs against the csv-drop and excel-drop volumes from PPIQ-T063. Validate the file watcher picks up new drops within 30s, parses correctly, deduplicates on idempotency keys, handles malformed rows gracefully (skip + log, do not crash). Golden files in Backend/tests/golden/csv-shift-snapshot.json and excel-handover-snapshot.json.</t>
  </si>
  <si>
    <t xml:space="preserve">1) Dropping a fresh CSV into the volume triggers detection + parse within 30s. 2) Malformed rows are logged but don't crash the import. 3) Re-dropping the same file is idempotent. 4) Excel multi-sheet files parse the right sheet per config. 5) Tests run in &lt;30s.</t>
  </si>
  <si>
    <t xml:space="preserve">  Phase 10 — Demo Track Storytelling   |   6 tasks   |   20.0 hrs</t>
  </si>
  <si>
    <t xml:space="preserve">PPIQ-T070</t>
  </si>
  <si>
    <t xml:space="preserve">Write 25-step technical demo script with verification points</t>
  </si>
  <si>
    <t xml:space="preserve">P10</t>
  </si>
  <si>
    <t xml:space="preserve">Demo Scripts / Technical</t>
  </si>
  <si>
    <t xml:space="preserve">Author docs/demo/technical-demo-25-steps.md: 25 steps, each with [Action], [Expected UI state], [Verification checkpoint], [Recovery line if it fails], [Backend log indicator]. Covers: log in, connect each of the 6 source DBs, schema-map one, run a delta sync, see findings in Data Quality, save an investigation, calculate risk, export PDF, run an ML readiness gate, deploy a widget with a script expression, view audit log, reset demo. Each step's expected state references screenshots in docs/demo/screenshots/ that match the Standard* migrated UI.</t>
  </si>
  <si>
    <t xml:space="preserve">1) Document is 25 steps long, each with all 5 fields populated. 2) Screenshots match the post-migration UI. 3) A new SE can run the demo end-to-end following the script in &lt;40 minutes. 4) Each verification checkpoint is concrete and unambiguous.</t>
  </si>
  <si>
    <t xml:space="preserve">PPIQ-T071</t>
  </si>
  <si>
    <t xml:space="preserve">Write 5-minute executive demo script with talk track</t>
  </si>
  <si>
    <t xml:space="preserve">Demo Scripts / Executive</t>
  </si>
  <si>
    <t xml:space="preserve">Author docs/demo/executive-demo-5min.md: 5 minutes, 4 acts: (1) the problem in 60s (manual quality forensics, 60min per investigation, $X cost); (2) the solution in 90s (one workspace, evidence-grade, 4-track vision in one breath); (3) the demo in 2m30s (search material → drilldown → calculate risk → PDF report); (4) the close in 60s (pricing, pilot scope, next step). Each act has the exact words to say plus the screen to show.</t>
  </si>
  <si>
    <t xml:space="preserve">1) Document is 4 acts, total spoken time 4:30-5:00 measured. 2) Founder can deliver from the script without rehearsal in &lt;5min. 3) Each act's screen reference is a specific page + state.</t>
  </si>
  <si>
    <t xml:space="preserve">PPIQ-T072</t>
  </si>
  <si>
    <t xml:space="preserve">Write recovery lines for known fail-points</t>
  </si>
  <si>
    <t xml:space="preserve">Demo Scripts / Recovery</t>
  </si>
  <si>
    <t xml:space="preserve">Author docs/demo/recovery-lines.md: list every known weak point in the live demo (slow connector first-load, Oracle warm-up time, occasional PDF render delay, network hiccup, stale cache) and give a one-line recovery line plus a remediation gesture. Example: 'Oracle takes about 20 seconds to warm up on first query — this is a characteristic of the source system, not PPIQ. While we wait, let me explain what we're about to see.' Each line builds confidence, never apologizes.</t>
  </si>
  <si>
    <t xml:space="preserve">1) At least 12 fail-points covered. 2) Each has a calm, confident recovery line consistent with the brand voice. 3) Founder review approves the tone.</t>
  </si>
  <si>
    <t xml:space="preserve">PPIQ-T073</t>
  </si>
  <si>
    <t xml:space="preserve">Create demo persona accounts (Operator, QA Lead, Plant Manager, Admin)</t>
  </si>
  <si>
    <t xml:space="preserve">Demo Lifecycle / Personas</t>
  </si>
  <si>
    <t xml:space="preserve">Seed four persona accounts in the demo plant with deterministic credentials (rotated per demo reset): operator@demo.local / qa-lead@demo.local / plant-manager@demo.local / admin@demo.local. Each has the right role + tier. Each persona's homepage is tuned: Operator → Today's quality events; QA Lead → Open investigations; Plant Manager → Risk by line; Admin → System health. Seeded via the demo reset job (PPIQ-T051).</t>
  </si>
  <si>
    <t xml:space="preserve">1) After demo reset, all four personas exist and login succeeds. 2) Each persona's first page is tuned per spec. 3) Role/tier restrictions are enforced (operator cannot reach Admin pages). 4) Credentials are documented in docs/demo/persona-credentials.md (gitignored copy + vaulted real values).</t>
  </si>
  <si>
    <t xml:space="preserve">PPIQ-T074</t>
  </si>
  <si>
    <t xml:space="preserve">Seed canonical layout in demo plant per Vision §3</t>
  </si>
  <si>
    <t xml:space="preserve">Demo Lifecycle / Canonical Layout</t>
  </si>
  <si>
    <t xml:space="preserve">The 4-Track Vision §3 specifies a canonical demo plant layout: 3 production lines (Cast/Heat/Coil), 1 batch line (Pharma), 1 packaging line. Total ~23 materials with realistic genealogy (parent-child relationships, lot/batch/pack hierarchy). The materials list visible in Image 1 (ADV_C2001, ADV_COIL400X, ADV_H100X, ADV_PH_*, ADV_S300X, ADV_TIRE_*) is the basis. Seed exactly this layout via the demo reset job. Document at docs/demo/canonical-layout.md.</t>
  </si>
  <si>
    <t xml:space="preserve">1) Materials list after reset exactly matches Vision §3. 2) Genealogy is intact — each material has plausible parents/children. 3) Process history, quality events, risk profile are realistic per material type. 4) Seed re-applies cleanly via demo reset.</t>
  </si>
  <si>
    <t xml:space="preserve">PPIQ-T075</t>
  </si>
  <si>
    <t xml:space="preserve">Record final dry-run demo video and capture website screenshots</t>
  </si>
  <si>
    <t xml:space="preserve">Demo Recording / Website Assets</t>
  </si>
  <si>
    <t xml:space="preserve">After all prior phases are green, perform a single recorded dry-run of the 5-minute executive demo (screen + voice). Use the Standard*-migrated UI. Capture 8-12 high-resolution screenshots of key states (login, dashboard, Material Search, drilldown, risk panel, PDF report preview, audit log, demo reset). Place into /opt/PlantProcess-IQ/Website/assets/demo/. The website's hero section, features section, and case-study section use these screenshots.</t>
  </si>
  <si>
    <t xml:space="preserve">1) 5-minute demo video produced at 1080p+. 2) 10+ screenshots captured at 1920×1080. 3) Website renders the new assets at /. 4) Visual consistency between in-app UI and website screenshots is confirmed.</t>
  </si>
  <si>
    <t xml:space="preserve">  Phase 11 — Hardening Completion   |   6 tasks   |   17.5 hrs</t>
  </si>
  <si>
    <t xml:space="preserve">PPIQ-T076</t>
  </si>
  <si>
    <t xml:space="preserve">Implement HeatMapWidget for Risk Intelligence (PPIQ-HARD-019)</t>
  </si>
  <si>
    <t xml:space="preserve">P11</t>
  </si>
  <si>
    <t xml:space="preserve">Widgets / Visualization</t>
  </si>
  <si>
    <t xml:space="preserve">On the Risk Intelligence page, add HeatMapWidget showing risk score by line × shift × day-of-week. Use d3 or recharts. Color scale: green→amber→red mapped to risk score thresholds. Hover shows exact cell value + tooltip with breakdown. Click on a cell drills down to the materials in that cell. Widget data via /api/risk/heatmap?dimensions=line,shift,dayOfWeek&amp;measure=avg_risk_score. Wrap in StandardCard.</t>
  </si>
  <si>
    <t xml:space="preserve">1) HeatMap renders in the Risk Intelligence page. 2) Color scale matches the existing chip color treatment. 3) Click drilldown applies filters to Material Investigation. 4) Loading + empty + error states use Standard* primitives. 5) Performance: 30×7×24 grid renders in &lt;200ms.</t>
  </si>
  <si>
    <t xml:space="preserve">PPIQ-T077</t>
  </si>
  <si>
    <t xml:space="preserve">Add live license tier toggle in Admin Preview</t>
  </si>
  <si>
    <t xml:space="preserve">License / Tier Toggle</t>
  </si>
  <si>
    <t xml:space="preserve">In Admin Preview, expose a StandardSelect bound to GET/POST /admin/license/effective-tier and /admin/license/tier-override (PPIQ-T053). Operators with admin role can override the tier to demo Pro Plus features without swapping licenses. Show a banner across the app when an override is active: 'Tier override active: Pro Plus (expires in 23h 47m). Reset.' Banner uses Standard styling, not freeform.</t>
  </si>
  <si>
    <t xml:space="preserve">1) Toggle changes effective tier immediately, UI refreshes feature gating. 2) Banner appears at app shell when override active. 3) Reset clears override. 4) Audit log captures every toggle.</t>
  </si>
  <si>
    <t xml:space="preserve">PPIQ-T078</t>
  </si>
  <si>
    <t xml:space="preserve">Archive synthetic seeds out of production code paths</t>
  </si>
  <si>
    <t xml:space="preserve">Seeds / Hygiene</t>
  </si>
  <si>
    <t xml:space="preserve">Identify any seed code that runs against any non-demo tenant. Move synthetic / placeholder data seeds out of the boot path and into Backend/scripts/seeds/demo-only/ — invoked only by the demo reset job (PPIQ-T051) and only when tenant.is_demo = true. Any seed that touches a real-customer tenant MUST be explicit and approved.</t>
  </si>
  <si>
    <t xml:space="preserve">1) `grep -rn 'SeedDemo\|DemoSeed' Backend/PlantProcess.Api/Startup` — zero matches in production boot path. 2) On a fresh non-demo tenant, the DB has zero synthetic rows. 3) On the demo tenant, a reset re-seeds correctly. 4) Audit log shows seed activity only on demo tenants.</t>
  </si>
  <si>
    <t xml:space="preserve">PPIQ-T079</t>
  </si>
  <si>
    <t xml:space="preserve">Add CI lint rule preventing reintroduction of forbidden phrases</t>
  </si>
  <si>
    <t xml:space="preserve">CI / Quality Gate</t>
  </si>
  <si>
    <t xml:space="preserve">Beyond the ESLint rule (PPIQ-T024), add a generic CI grep step that scans ALL files (not just .ts/.tsx) for the forbidden phrase. The phrase MUST NOT appear in markdown, JSON config, .cs files, .sql files, prompts, demo scripts. The CI step is Jenkinsfile stage('ForbiddenPhraseSweep'). Failure exits with a clear message naming every offending file.</t>
  </si>
  <si>
    <t xml:space="preserve">1) Stage runs in the standard pipeline. 2) Reintroducing the phrase anywhere in the repo fails the build with a clear listing. 3) Pass time &lt;5s.</t>
  </si>
  <si>
    <t xml:space="preserve">PPIQ-T080</t>
  </si>
  <si>
    <t xml:space="preserve">Add CI lint rule blocking non-standard component imports</t>
  </si>
  <si>
    <t xml:space="preserve">Augment Jenkins pipeline with a stage that runs `pnpm lint` with the no-restricted-imports rule from PPIQ-T024. On failure, post-comment the PR with the offending file + the canonical replacement guidance. Wire on the GitHub webhook so the gate runs on every push.</t>
  </si>
  <si>
    <t xml:space="preserve">1) Lint stage in Jenkinsfile. 2) Failure on PR posts a clear comment with the offending file and remediation. 3) Pre-commit hook also enforces locally.</t>
  </si>
  <si>
    <t xml:space="preserve">PPIQ-T081</t>
  </si>
  <si>
    <t xml:space="preserve">Add component contract tests for Standard* library</t>
  </si>
  <si>
    <t xml:space="preserve">Quality / Contract Tests</t>
  </si>
  <si>
    <t xml:space="preserve">For each Standard* component, author contract tests asserting the public prop API doesn't break: prop names, prop types, default values, render shape (data-testid hooks). Use @testing-library/react. The contract suite prevents future PRs from silently breaking downstream pages. Run on every PR.</t>
  </si>
  <si>
    <t xml:space="preserve">1) Contract tests exist for all Standard* primitives (PPIQ-T013-T017). 2) Changing a prop type in a non-backward-compatible way fails the contract test. 3) Suite runs in &lt;30s.</t>
  </si>
  <si>
    <t xml:space="preserve">  Phase 12 — Website Track &amp; Legal Templates   |   5 tasks   |   14.0 hrs</t>
  </si>
  <si>
    <t xml:space="preserve">PPIQ-T082</t>
  </si>
  <si>
    <t xml:space="preserve">Create mutual NDA template</t>
  </si>
  <si>
    <t xml:space="preserve">P12</t>
  </si>
  <si>
    <t xml:space="preserve">Legal / NDA</t>
  </si>
  <si>
    <t xml:space="preserve">Author docs/legal/NDA-mutual-v1.docx, parameterized for {EffectiveDate} {Counterparty} {Term}. Cover: confidential info definition, exclusions, term (default 3y), purpose limitation, return of materials, no implied license, governing law (Düsseldorf / German law default). Reviewed by counsel before first use. Also provide a plain-md version for diffing.</t>
  </si>
  <si>
    <t xml:space="preserve">1) Docx template renders with placeholders. 2) Counsel sign-off captured in docs/legal/REVIEWS.md. 3) MD diff version checked in.</t>
  </si>
  <si>
    <t xml:space="preserve">PPIQ-T083</t>
  </si>
  <si>
    <t xml:space="preserve">Create SOW template parameterized for pilot scope</t>
  </si>
  <si>
    <t xml:space="preserve">Legal / SOW</t>
  </si>
  <si>
    <t xml:space="preserve">Author docs/legal/SOW-pilot-v1.docx covering: scope of the pilot (sources connected, modules enabled, success metrics), pilot duration (default 8 weeks), price, deliverables, acceptance criteria, change-control. Aligned with the 4-Track Vision pricing model. Counsel review.</t>
  </si>
  <si>
    <t xml:space="preserve">1) Docx template renders with placeholders. 2) Pricing fields match the website pricing page (PPIQ-T085). 3) Counsel sign-off captured.</t>
  </si>
  <si>
    <t xml:space="preserve">PPIQ-T084</t>
  </si>
  <si>
    <t xml:space="preserve">Create DPA template aligned with GDPR / SOC 2 Type I</t>
  </si>
  <si>
    <t xml:space="preserve">Legal / DPA</t>
  </si>
  <si>
    <t xml:space="preserve">Author docs/legal/DPA-gdpr-v1.docx: data controller / processor roles, processing purposes, data categories, subprocessors list (Hetzner, Anthropic only if used), security measures, breach notification (72h), audit rights, data retention, deletion on termination. Counsel review.</t>
  </si>
  <si>
    <t xml:space="preserve">1) Docx template renders with placeholders. 2) Subprocessors list matches actual production deployment. 3) Counsel sign-off captured.</t>
  </si>
  <si>
    <t xml:space="preserve">PPIQ-T085</t>
  </si>
  <si>
    <t xml:space="preserve">Update marketing website pricing and CTA wired to demo lifecycle</t>
  </si>
  <si>
    <t xml:space="preserve">Web</t>
  </si>
  <si>
    <t xml:space="preserve">Website / Pricing</t>
  </si>
  <si>
    <t xml:space="preserve">Update Website/src/pages/pricing/* with three tiers: Pro (one plant, basic widgets), Pro Plus (multi-source, advanced widgets, ML readiness), Enterprise (custom, on-prem option). CTA buttons → StandardButton equivalent for the website (a parallel WebStandardButton with matching brand styling). 'Book a demo' CTA POSTs to /api/leads with utm params, then triggers a calendar booking flow.</t>
  </si>
  <si>
    <t xml:space="preserve">1) Pricing page renders three tiers with feature matrix. 2) Book-a-demo button submits a lead and shows a calendar embed. 3) Lead lands in the CRM (admin page or notification). 4) Visual consistency with the in-app brand grammar.</t>
  </si>
  <si>
    <t xml:space="preserve">PPIQ-T086</t>
  </si>
  <si>
    <t xml:space="preserve">Add evidence-grade screenshots and case-study snippets to website</t>
  </si>
  <si>
    <t xml:space="preserve">Website / Proof</t>
  </si>
  <si>
    <t xml:space="preserve">On Website/src/pages/index/* and /features/*, integrate the screenshots captured in PPIQ-T075. Each screenshot has a 'See it in the live demo' link CTA. Add a Brief 'case study' snippet (1 paragraph) for the canonical plant — evidence-grade tone per Vision §6, no exaggeration. Use the brand grammar.</t>
  </si>
  <si>
    <t xml:space="preserve">1) Hero, features, and proof sections all show post-migration UI screenshots. 2) CTAs link to the live demo with a deep-link to the page being shown. 3) Brand grammar consistency.</t>
  </si>
  <si>
    <t xml:space="preserve">  Phase 13 — Documentation &amp; Runbook   |   5 tasks   |   18.5 hrs</t>
  </si>
  <si>
    <t xml:space="preserve">PPIQ-T087</t>
  </si>
  <si>
    <t xml:space="preserve">Document deployment runbook (server, Compose, Caddy, Jenkins)</t>
  </si>
  <si>
    <t xml:space="preserve">P13</t>
  </si>
  <si>
    <t xml:space="preserve">Runbook / Deployment</t>
  </si>
  <si>
    <t xml:space="preserve">Author docs/runbook/deployment.md: bootstrap a fresh Hetzner Ubuntu 26.04 server from zero to running PPIQ in under 30 minutes. Cover: SSH hardening, Docker install, repo clone, .env preparation, Caddy install + Caddyfile, Jenkins install + plugin setup + webhook, first deploy, post-deploy verification. Every step has the exact command, expected output, and failure-mode-and-remediation note.</t>
  </si>
  <si>
    <t xml:space="preserve">1) A new engineer can bootstrap a fresh server in &lt;30 min following the runbook. 2) Every command in the runbook is verified live by Karim. 3) Failure modes documented with their fixes.</t>
  </si>
  <si>
    <t xml:space="preserve">PPIQ-T088</t>
  </si>
  <si>
    <t xml:space="preserve">Document incident response runbook (rollback, restore, comms)</t>
  </si>
  <si>
    <t xml:space="preserve">Runbook / Incident Response</t>
  </si>
  <si>
    <t xml:space="preserve">Author docs/runbook/incident-response.md covering: rollback to the previous container tag in &lt;5 min, restore from Postgres backup, restore from audit log replay, customer communication templates (acknowledge, RCA, follow-up), severity matrix, on-call escalation. Reference the Jenkinsfile rollback path and the daily backup job (verify the latter exists; if not, build it as part of this task).</t>
  </si>
  <si>
    <t xml:space="preserve">1) Runbook covers the four scenarios with concrete commands. 2) Daily backup job exists, runs, and stores backups offsite (S3 or equivalent). 3) Restore path tested end-to-end in a sandbox in &lt;30 min. 4) Severity matrix and comms templates approved.</t>
  </si>
  <si>
    <t xml:space="preserve">PPIQ-T089</t>
  </si>
  <si>
    <t xml:space="preserve">Document UI Standards onboarding for future contributors</t>
  </si>
  <si>
    <t xml:space="preserve">Documentation / Onboarding</t>
  </si>
  <si>
    <t xml:space="preserve">Author docs/ui-standards/contributing.md: the canonical import paths, the ESLint rules, how to add a new Standard* component, how to extend an existing one without breaking the contract, how to update the design tokens. Reference the Storybook URL (PPIQ-T018). Include a worked example: adding a new ProgressBar primitive from scratch in &lt;60 min.</t>
  </si>
  <si>
    <t xml:space="preserve">1) Document exists and references all Standard* primitives. 2) Worked example is reproducible. 3) A new contributor can author a PR adding a primitive in &lt;60 min following the doc.</t>
  </si>
  <si>
    <t xml:space="preserve">PPIQ-T090</t>
  </si>
  <si>
    <t xml:space="preserve">Document widget script grammar reference for power users</t>
  </si>
  <si>
    <t xml:space="preserve">Documentation / Widget Grammar</t>
  </si>
  <si>
    <t xml:space="preserve">Author docs/widget-grammar/reference.md: the full grammar from PPIQ-T057, every aggregate function, every filter operator, every limitation. Include 10+ worked examples covering common widget patterns (count by category, sum over time, top-N with rank, conditional aggregates). Include the explicit list of canonical schema views available. Include the SafeSqlValidator blocked patterns and why.</t>
  </si>
  <si>
    <t xml:space="preserve">1) Reference doc covers full grammar. 2) 10+ worked examples each compile and execute. 3) Linked from the WidgetExpressionEditor (PPIQ-T061) as inline help.</t>
  </si>
  <si>
    <t xml:space="preserve">PPIQ-T091</t>
  </si>
  <si>
    <t xml:space="preserve">Document tenant isolation, data retention, and audit log architecture</t>
  </si>
  <si>
    <t xml:space="preserve">Documentation / Security Architecture</t>
  </si>
  <si>
    <t xml:space="preserve">Author docs/architecture/security-and-isolation.md covering: SingleTenantPerPilot mode (per memory), tenant_id enforcement at SQL level via row-level security policies, audit log immutability via trigger guards, data retention defaults (audit 7y, telemetry 90d, application 365d), encryption at rest and in transit, key rotation, backup encryption. This document is used in SOC 2 conversations and customer security reviews.</t>
  </si>
  <si>
    <t xml:space="preserve">1) Document covers all six topics with diagrams. 2) Cross-references the AuditLogImmutabilityTests.cs (29 May) as the verification proof. 3) Diagrams in mermaid or excalidraw, checked in as source + exported PNG. 4) Founder review and counsel review for accuracy.</t>
  </si>
  <si>
    <t xml:space="preserve">Phase Summary — effort, severity, and module distribution</t>
  </si>
  <si>
    <t xml:space="preserve">Recommended execution order: top-to-bottom. Phase 1 is non-negotiable before any demo.</t>
  </si>
  <si>
    <t xml:space="preserve">Phase Name</t>
  </si>
  <si>
    <t xml:space="preserve">Tasks</t>
  </si>
  <si>
    <t xml:space="preserve">Critical</t>
  </si>
  <si>
    <t xml:space="preserve">Very Important</t>
  </si>
  <si>
    <t xml:space="preserve">Important</t>
  </si>
  <si>
    <t xml:space="preserve">Effort (days)</t>
  </si>
  <si>
    <t xml:space="preserve">P0 Critical Security &amp; Brand Compliance</t>
  </si>
  <si>
    <t xml:space="preserve">Standard UI Component System Foundation</t>
  </si>
  <si>
    <t xml:space="preserve">Component Consolidation &amp; Duplicate Removal</t>
  </si>
  <si>
    <t xml:space="preserve">Material Search &amp; Drilldown Standardization</t>
  </si>
  <si>
    <t xml:space="preserve">Global UI Migration: Analytics Pages</t>
  </si>
  <si>
    <t xml:space="preserve">Global UI Migration: Intelligence &amp; System Pages</t>
  </si>
  <si>
    <t xml:space="preserve">Demo Lifecycle &amp; Workflow Orphan Wiring</t>
  </si>
  <si>
    <t xml:space="preserve">Widget Script Layer Compiler</t>
  </si>
  <si>
    <t xml:space="preserve">Source Database Connector Demo Suite</t>
  </si>
  <si>
    <t xml:space="preserve">Demo Track Storytelling</t>
  </si>
  <si>
    <t xml:space="preserve">Hardening Completion</t>
  </si>
  <si>
    <t xml:space="preserve">Website Track &amp; Legal Templates</t>
  </si>
  <si>
    <t xml:space="preserve">Documentation &amp; Runbook</t>
  </si>
  <si>
    <t xml:space="preserve">TOTAL</t>
  </si>
  <si>
    <t xml:space="preserve">All phases</t>
  </si>
  <si>
    <t xml:space="preserve">Effort-days assume 6 productive engineering hours per workday. Add 25-35% buffer for review, integration, and validation cycles when planning calendar dates.</t>
  </si>
  <si>
    <t xml:space="preserve">UI Standards — Canonical Component Contract</t>
  </si>
  <si>
    <t xml:space="preserve">Every interactive element across all existing AND future pages must conform to this contract. Enforced via ESLint, CI lint, code review, and Storybook reference.</t>
  </si>
  <si>
    <t xml:space="preserve">Component</t>
  </si>
  <si>
    <t xml:space="preserve">Canonical Path</t>
  </si>
  <si>
    <t xml:space="preserve">Variants / Modes</t>
  </si>
  <si>
    <t xml:space="preserve">Required Props</t>
  </si>
  <si>
    <t xml:space="preserve">Required States</t>
  </si>
  <si>
    <t xml:space="preserve">StandardButton</t>
  </si>
  <si>
    <t xml:space="preserve">src/components/standard/StandardButton.tsx</t>
  </si>
  <si>
    <t xml:space="preserve">primary | secondary | ghost | danger | success | icon-only</t>
  </si>
  <si>
    <t xml:space="preserve">variant, size (sm|md|lg), leadingIcon, trailingIcon, isLoading, isDisabled, fullWidth, onClick, type, ariaLabel, as ('button'|'a'), href</t>
  </si>
  <si>
    <t xml:space="preserve">default, hover, focus (4px brand-cyan ring 2px offset), active (translate-y 1px), disabled (40% opacity), loading (spinner + aria-busy)</t>
  </si>
  <si>
    <t xml:space="preserve">StandardTable</t>
  </si>
  <si>
    <t xml:space="preserve">src/components/standard/StandardTable.tsx</t>
  </si>
  <si>
    <t xml:space="preserve">client-mode | server-mode | virtualized (&gt;500 rows)</t>
  </si>
  <si>
    <t xml:space="preserve">columns (with cell renderers), data, isLoading, hasError, onRetry, totalCount, onRowClick, primaryAction, density, selectable, exportable</t>
  </si>
  <si>
    <t xml:space="preserve">loading (skeleton rows matching density), error ('Refreshing X…' + retry), empty (illustration + CTA), populated, sorted, filtered, paginated, selected</t>
  </si>
  <si>
    <t xml:space="preserve">StandardTabs</t>
  </si>
  <si>
    <t xml:space="preserve">src/components/standard/StandardTabs.tsx</t>
  </si>
  <si>
    <t xml:space="preserve">horizontal | vertical | scroll-on-overflow</t>
  </si>
  <si>
    <t xml:space="preserve">items (id, label, icon?, badge?, content), value, onChange, orientation, lazy, urlParam</t>
  </si>
  <si>
    <t xml:space="preserve">default, active (4px brand-blue indicator), hover, disabled, overflow-scrollable, keyboard-focused</t>
  </si>
  <si>
    <t xml:space="preserve">StandardInput</t>
  </si>
  <si>
    <t xml:space="preserve">src/components/standard/StandardInput.tsx</t>
  </si>
  <si>
    <t xml:space="preserve">text | email | password | number | search</t>
  </si>
  <si>
    <t xml:space="preserve">label, helperText, error, leadingIcon, trailingIcon, value, onChange, placeholder, required, disabled, isLoading, size, type</t>
  </si>
  <si>
    <t xml:space="preserve">default, focus (2px brand border), error (2px danger border + helper-text), disabled, with-value, search-clearable</t>
  </si>
  <si>
    <t xml:space="preserve">StandardSelect</t>
  </si>
  <si>
    <t xml:space="preserve">src/components/standard/StandardSelect.tsx</t>
  </si>
  <si>
    <t xml:space="preserve">single | multi | searchable</t>
  </si>
  <si>
    <t xml:space="preserve">label, helperText, error, options, value, onChange, placeholder, required, disabled, size, multiple, searchable</t>
  </si>
  <si>
    <t xml:space="preserve">closed, open (dropdown), searching, no-results, multi-selected (chips), keyboard-navigated</t>
  </si>
  <si>
    <t xml:space="preserve">StandardTextArea</t>
  </si>
  <si>
    <t xml:space="preserve">src/components/standard/StandardTextArea.tsx</t>
  </si>
  <si>
    <t xml:space="preserve">default | code (monospace + syntax highlight)</t>
  </si>
  <si>
    <t xml:space="preserve">label, helperText, error, value, onChange, placeholder, required, disabled, rows, autoResize, language</t>
  </si>
  <si>
    <t xml:space="preserve">default, focus, error, disabled, autoresize-growing</t>
  </si>
  <si>
    <t xml:space="preserve">StandardCard</t>
  </si>
  <si>
    <t xml:space="preserve">src/components/standard/StandardCard.tsx</t>
  </si>
  <si>
    <t xml:space="preserve">flat | raised | floating</t>
  </si>
  <si>
    <t xml:space="preserve">title, subtitle, headerActions, footerActions, elevation, children</t>
  </si>
  <si>
    <t xml:space="preserve">default, hover (raised only), with-actions, without-header</t>
  </si>
  <si>
    <t xml:space="preserve">StandardModal</t>
  </si>
  <si>
    <t xml:space="preserve">src/components/standard/StandardModal.tsx</t>
  </si>
  <si>
    <t xml:space="preserve">sm | md | lg | xl</t>
  </si>
  <si>
    <t xml:space="preserve">open, onClose, title, size, children, footerActions, dismissOnBackdrop, dismissOnEscape, isDirty</t>
  </si>
  <si>
    <t xml:space="preserve">open (focus-trapped), closing, dirty-blocked (cannot dismiss by backdrop)</t>
  </si>
  <si>
    <t xml:space="preserve">StandardToast</t>
  </si>
  <si>
    <t xml:space="preserve">src/components/standard/StandardToast.tsx (built on Sonner)</t>
  </si>
  <si>
    <t xml:space="preserve">info | success | warning | error | loading</t>
  </si>
  <si>
    <t xml:space="preserve">title, description, action (label + onClick), duration, dismissible, variant</t>
  </si>
  <si>
    <t xml:space="preserve">incoming (slide-in), shown (with progress bar), dismissing (slide-out), stacked-overflow</t>
  </si>
  <si>
    <t xml:space="preserve">DataFetchBoundary</t>
  </si>
  <si>
    <t xml:space="preserve">src/components/standard/DataFetchBoundary.tsx</t>
  </si>
  <si>
    <t xml:space="preserve">default | with-skeleton-mirror</t>
  </si>
  <si>
    <t xml:space="preserve">isLoading, hasError, onRetry, loadingFallback, errorFallback, children</t>
  </si>
  <si>
    <t xml:space="preserve">loading ('Refreshing X…'), error ('Refreshing X…' + retry + auto-retry-5s), success (renders children)</t>
  </si>
  <si>
    <t xml:space="preserve">ErrorBoundary</t>
  </si>
  <si>
    <t xml:space="preserve">src/components/standard/ErrorBoundary.tsx</t>
  </si>
  <si>
    <t xml:space="preserve">app-level | route-level | component-level</t>
  </si>
  <si>
    <t xml:space="preserve">fallback, onError, resetKeys, children</t>
  </si>
  <si>
    <t xml:space="preserve">caught (renders fallback + logs to /diagnostics/client-error), retrying, recovered</t>
  </si>
  <si>
    <t xml:space="preserve">  FORBIDDEN PATTERNS (CI-enforced)</t>
  </si>
  <si>
    <t xml:space="preserve">Phrase</t>
  </si>
  <si>
    <t xml:space="preserve">'could not be loaded' / 'could not load'</t>
  </si>
  <si>
    <t xml:space="preserve">Use 'Refreshing X…' pattern. Founder's #1 non-negotiable (Vision §2).</t>
  </si>
  <si>
    <t xml:space="preserve">Native element</t>
  </si>
  <si>
    <t xml:space="preserve">&lt;button&gt;, &lt;input&gt;, &lt;select&gt;, &lt;table&gt;, &lt;textarea&gt; in src/pages/* or src/features/*</t>
  </si>
  <si>
    <t xml:space="preserve">Use Standard* primitives. ESLint no-restricted-syntax enforces this.</t>
  </si>
  <si>
    <t xml:space="preserve">Deprecated path</t>
  </si>
  <si>
    <t xml:space="preserve">import from src/components/hardening/* or src/hardening/*</t>
  </si>
  <si>
    <t xml:space="preserve">Use src/components/standard/*. Legacy paths are deleted; ESLint blocks reintroduction.</t>
  </si>
  <si>
    <t xml:space="preserve">Inline styling</t>
  </si>
  <si>
    <t xml:space="preserve">style={{...}} on interactive elements outside Standard* internals</t>
  </si>
  <si>
    <t xml:space="preserve">Use Standard* variant + size props. Custom styling lives inside the component, not at call site.</t>
  </si>
  <si>
    <t xml:space="preserve">Rollups — by Severity, Track, Module, Type</t>
  </si>
  <si>
    <t xml:space="preserve">By Severity</t>
  </si>
  <si>
    <t xml:space="preserve">By Track</t>
  </si>
  <si>
    <t xml:space="preserve">By Module</t>
  </si>
  <si>
    <t xml:space="preserve">By Type</t>
  </si>
  <si>
    <t xml:space="preserve">Count</t>
  </si>
  <si>
    <t xml:space="preserve">Type</t>
  </si>
</sst>
</file>

<file path=xl/styles.xml><?xml version="1.0" encoding="utf-8"?>
<styleSheet xmlns="http://schemas.openxmlformats.org/spreadsheetml/2006/main">
  <numFmts count="3">
    <numFmt numFmtId="164" formatCode="General"/>
    <numFmt numFmtId="165" formatCode="0.00"/>
    <numFmt numFmtId="166" formatCode="0.0"/>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b val="true"/>
      <sz val="11"/>
      <color rgb="FF0B1730"/>
      <name val="Calibri"/>
      <family val="0"/>
      <charset val="1"/>
    </font>
    <font>
      <sz val="10"/>
      <name val="Calibri"/>
      <family val="0"/>
      <charset val="1"/>
    </font>
    <font>
      <i val="true"/>
      <sz val="10"/>
      <color rgb="FFFFFFFF"/>
      <name val="Calibri"/>
      <family val="0"/>
      <charset val="1"/>
    </font>
    <font>
      <b val="true"/>
      <sz val="11"/>
      <color rgb="FFFFFFFF"/>
      <name val="Calibri"/>
      <family val="0"/>
      <charset val="1"/>
    </font>
    <font>
      <b val="true"/>
      <sz val="12"/>
      <color rgb="FFFFFFFF"/>
      <name val="Calibri"/>
      <family val="0"/>
      <charset val="1"/>
    </font>
    <font>
      <b val="true"/>
      <sz val="10"/>
      <color rgb="FF0B1730"/>
      <name val="Calibri"/>
      <family val="0"/>
      <charset val="1"/>
    </font>
    <font>
      <b val="true"/>
      <sz val="10"/>
      <color rgb="FFFFFFFF"/>
      <name val="Calibri"/>
      <family val="0"/>
      <charset val="1"/>
    </font>
    <font>
      <b val="true"/>
      <sz val="10"/>
      <color rgb="FFD62728"/>
      <name val="Calibri"/>
      <family val="0"/>
      <charset val="1"/>
    </font>
    <font>
      <b val="true"/>
      <sz val="10"/>
      <color rgb="FF0A84FF"/>
      <name val="Calibri"/>
      <family val="0"/>
      <charset val="1"/>
    </font>
    <font>
      <b val="true"/>
      <sz val="10"/>
      <color rgb="FFFF4D6D"/>
      <name val="Calibri"/>
      <family val="0"/>
      <charset val="1"/>
    </font>
    <font>
      <b val="true"/>
      <sz val="10"/>
      <color rgb="FFEC4899"/>
      <name val="Calibri"/>
      <family val="0"/>
      <charset val="1"/>
    </font>
    <font>
      <b val="true"/>
      <sz val="10"/>
      <color rgb="FFFFB020"/>
      <name val="Calibri"/>
      <family val="0"/>
      <charset val="1"/>
    </font>
    <font>
      <b val="true"/>
      <sz val="10"/>
      <color rgb="FF8B5CF6"/>
      <name val="Calibri"/>
      <family val="0"/>
      <charset val="1"/>
    </font>
    <font>
      <b val="true"/>
      <sz val="10"/>
      <color rgb="FF2CE6A2"/>
      <name val="Calibri"/>
      <family val="0"/>
      <charset val="1"/>
    </font>
    <font>
      <b val="true"/>
      <sz val="10"/>
      <color rgb="FF10B981"/>
      <name val="Calibri"/>
      <family val="0"/>
      <charset val="1"/>
    </font>
    <font>
      <b val="true"/>
      <sz val="10"/>
      <color rgb="FF1A1A1A"/>
      <name val="Calibri"/>
      <family val="0"/>
      <charset val="1"/>
    </font>
    <font>
      <b val="true"/>
      <sz val="10"/>
      <color rgb="FF64748B"/>
      <name val="Calibri"/>
      <family val="0"/>
      <charset val="1"/>
    </font>
    <font>
      <b val="true"/>
      <sz val="10"/>
      <color rgb="FF1F77B4"/>
      <name val="Calibri"/>
      <family val="0"/>
      <charset val="1"/>
    </font>
    <font>
      <b val="true"/>
      <sz val="10"/>
      <color rgb="FF2CA02C"/>
      <name val="Calibri"/>
      <family val="0"/>
      <charset val="1"/>
    </font>
    <font>
      <b val="true"/>
      <sz val="10"/>
      <color rgb="FF9467BD"/>
      <name val="Calibri"/>
      <family val="0"/>
      <charset val="1"/>
    </font>
    <font>
      <b val="true"/>
      <sz val="10"/>
      <color rgb="FFF59E0B"/>
      <name val="Calibri"/>
      <family val="0"/>
      <charset val="1"/>
    </font>
    <font>
      <sz val="10"/>
      <color rgb="FF1A1A1A"/>
      <name val="Calibri"/>
      <family val="0"/>
      <charset val="1"/>
    </font>
    <font>
      <i val="true"/>
      <sz val="9"/>
      <color rgb="FF5A6779"/>
      <name val="Calibri"/>
      <family val="0"/>
      <charset val="1"/>
    </font>
    <font>
      <i val="true"/>
      <sz val="10"/>
      <name val="Calibri"/>
      <family val="0"/>
      <charset val="1"/>
    </font>
  </fonts>
  <fills count="10">
    <fill>
      <patternFill patternType="none"/>
    </fill>
    <fill>
      <patternFill patternType="gray125"/>
    </fill>
    <fill>
      <patternFill patternType="solid">
        <fgColor rgb="FF0B1730"/>
        <bgColor rgb="FF1A1A1A"/>
      </patternFill>
    </fill>
    <fill>
      <patternFill patternType="solid">
        <fgColor rgb="FFF4F7FB"/>
        <bgColor rgb="FFFFFFFF"/>
      </patternFill>
    </fill>
    <fill>
      <patternFill patternType="solid">
        <fgColor rgb="FFFFFFFF"/>
        <bgColor rgb="FFF4F7FB"/>
      </patternFill>
    </fill>
    <fill>
      <patternFill patternType="solid">
        <fgColor rgb="FF102A43"/>
        <bgColor rgb="FF0B1730"/>
      </patternFill>
    </fill>
    <fill>
      <patternFill patternType="solid">
        <fgColor rgb="FFFF4D6D"/>
        <bgColor rgb="FFEC4899"/>
      </patternFill>
    </fill>
    <fill>
      <patternFill patternType="solid">
        <fgColor rgb="FFFFB020"/>
        <bgColor rgb="FFF59E0B"/>
      </patternFill>
    </fill>
    <fill>
      <patternFill patternType="solid">
        <fgColor rgb="FF0A84FF"/>
        <bgColor rgb="FF1F77B4"/>
      </patternFill>
    </fill>
    <fill>
      <patternFill patternType="solid">
        <fgColor rgb="FF64748B"/>
        <bgColor rgb="FF5A6779"/>
      </patternFill>
    </fill>
  </fills>
  <borders count="2">
    <border diagonalUp="false" diagonalDown="false">
      <left/>
      <right/>
      <top/>
      <bottom/>
      <diagonal/>
    </border>
    <border diagonalUp="false" diagonalDown="false">
      <left style="thin">
        <color rgb="FFC9D6E5"/>
      </left>
      <right style="thin">
        <color rgb="FFC9D6E5"/>
      </right>
      <top style="thin">
        <color rgb="FFC9D6E5"/>
      </top>
      <bottom style="thin">
        <color rgb="FFC9D6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left" vertical="top" textRotation="0" wrapText="true" indent="1" shrinkToFit="false"/>
      <protection locked="true" hidden="false"/>
    </xf>
    <xf numFmtId="164" fontId="6" fillId="3" borderId="1" xfId="0" applyFont="true" applyBorder="true" applyAlignment="true" applyProtection="false">
      <alignment horizontal="left" vertical="top" textRotation="0" wrapText="true" indent="1" shrinkToFit="false"/>
      <protection locked="true" hidden="false"/>
    </xf>
    <xf numFmtId="164" fontId="5" fillId="4" borderId="1" xfId="0" applyFont="true" applyBorder="true" applyAlignment="true" applyProtection="false">
      <alignment horizontal="left" vertical="top" textRotation="0" wrapText="true" indent="1" shrinkToFit="false"/>
      <protection locked="true" hidden="false"/>
    </xf>
    <xf numFmtId="164" fontId="6" fillId="4" borderId="1" xfId="0" applyFont="true" applyBorder="true" applyAlignment="true" applyProtection="false">
      <alignment horizontal="left" vertical="top" textRotation="0" wrapText="true" indent="1" shrinkToFit="false"/>
      <protection locked="true" hidden="false"/>
    </xf>
    <xf numFmtId="164" fontId="7" fillId="5" borderId="0"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5"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5" fontId="6" fillId="4"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center" vertical="top" textRotation="0" wrapText="true" indent="0" shrinkToFit="false"/>
      <protection locked="true" hidden="false"/>
    </xf>
    <xf numFmtId="164" fontId="18" fillId="3"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center" vertical="top" textRotation="0" wrapText="true" indent="0" shrinkToFit="false"/>
      <protection locked="true" hidden="false"/>
    </xf>
    <xf numFmtId="164" fontId="20" fillId="7"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8" fillId="4" borderId="1" xfId="0" applyFont="true" applyBorder="true" applyAlignment="true" applyProtection="false">
      <alignment horizontal="center" vertical="top" textRotation="0" wrapText="true" indent="0" shrinkToFit="false"/>
      <protection locked="true" hidden="false"/>
    </xf>
    <xf numFmtId="164" fontId="21" fillId="4"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center" vertical="top" textRotation="0" wrapText="true" indent="0" shrinkToFit="false"/>
      <protection locked="true" hidden="false"/>
    </xf>
    <xf numFmtId="164" fontId="22" fillId="4" borderId="1" xfId="0" applyFont="true" applyBorder="true" applyAlignment="true" applyProtection="false">
      <alignment horizontal="center" vertical="top" textRotation="0" wrapText="true" indent="0" shrinkToFit="false"/>
      <protection locked="true" hidden="false"/>
    </xf>
    <xf numFmtId="164" fontId="23" fillId="4"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center" vertical="top" textRotation="0" wrapText="true" indent="0" shrinkToFit="false"/>
      <protection locked="true" hidden="false"/>
    </xf>
    <xf numFmtId="164" fontId="23" fillId="3" borderId="1" xfId="0" applyFont="true" applyBorder="true" applyAlignment="true" applyProtection="false">
      <alignment horizontal="center" vertical="top" textRotation="0" wrapText="true" indent="0" shrinkToFit="false"/>
      <protection locked="true" hidden="false"/>
    </xf>
    <xf numFmtId="164" fontId="17" fillId="4" borderId="1" xfId="0" applyFont="true" applyBorder="true" applyAlignment="true" applyProtection="false">
      <alignment horizontal="center" vertical="top" textRotation="0" wrapText="true" indent="0" shrinkToFit="false"/>
      <protection locked="true" hidden="false"/>
    </xf>
    <xf numFmtId="164" fontId="19" fillId="3" borderId="1" xfId="0" applyFont="true" applyBorder="true" applyAlignment="true" applyProtection="false">
      <alignment horizontal="center" vertical="top" textRotation="0" wrapText="true" indent="0" shrinkToFit="false"/>
      <protection locked="true" hidden="false"/>
    </xf>
    <xf numFmtId="164" fontId="21" fillId="3" borderId="1" xfId="0" applyFont="true" applyBorder="true" applyAlignment="true" applyProtection="false">
      <alignment horizontal="center" vertical="top" textRotation="0" wrapText="true" indent="0" shrinkToFit="false"/>
      <protection locked="true" hidden="false"/>
    </xf>
    <xf numFmtId="164" fontId="24" fillId="4" borderId="1" xfId="0" applyFont="true" applyBorder="true" applyAlignment="true" applyProtection="false">
      <alignment horizontal="center" vertical="top" textRotation="0" wrapText="true" indent="0" shrinkToFit="false"/>
      <protection locked="true" hidden="false"/>
    </xf>
    <xf numFmtId="164" fontId="25" fillId="4" borderId="1" xfId="0" applyFont="true" applyBorder="true" applyAlignment="true" applyProtection="false">
      <alignment horizontal="center" vertical="top" textRotation="0" wrapText="true" indent="0" shrinkToFit="false"/>
      <protection locked="true" hidden="false"/>
    </xf>
    <xf numFmtId="164" fontId="25" fillId="3"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26" fillId="3" borderId="1" xfId="0" applyFont="true" applyBorder="true" applyAlignment="true" applyProtection="false">
      <alignment horizontal="left" vertical="center" textRotation="0" wrapText="false" indent="0" shrinkToFit="false"/>
      <protection locked="true" hidden="false"/>
    </xf>
    <xf numFmtId="164" fontId="26"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6" fontId="26"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26" fillId="4" borderId="1" xfId="0" applyFont="true" applyBorder="true" applyAlignment="true" applyProtection="false">
      <alignment horizontal="left" vertical="center" textRotation="0" wrapText="false" indent="0" shrinkToFit="false"/>
      <protection locked="true" hidden="false"/>
    </xf>
    <xf numFmtId="164" fontId="26" fillId="4"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6" fontId="26" fillId="4"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1" shrinkToFit="false"/>
      <protection locked="true" hidden="false"/>
    </xf>
    <xf numFmtId="166" fontId="8" fillId="2" borderId="0" xfId="0" applyFont="true" applyBorder="false" applyAlignment="true" applyProtection="false">
      <alignment horizontal="center" vertical="center" textRotation="0" wrapText="false" indent="0" shrinkToFit="false"/>
      <protection locked="true" hidden="false"/>
    </xf>
    <xf numFmtId="164" fontId="27" fillId="0" borderId="0" xfId="0" applyFont="true" applyBorder="true" applyAlignment="true" applyProtection="false">
      <alignment horizontal="left" vertical="center" textRotation="0" wrapText="true" indent="1" shrinkToFit="false"/>
      <protection locked="true" hidden="false"/>
    </xf>
    <xf numFmtId="164" fontId="7" fillId="5" borderId="0" xfId="0" applyFont="true" applyBorder="true" applyAlignment="true" applyProtection="false">
      <alignment horizontal="left" vertical="center" textRotation="0" wrapText="true" indent="1"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26"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26" fillId="4" borderId="1" xfId="0" applyFont="true" applyBorder="true" applyAlignment="true" applyProtection="false">
      <alignment horizontal="left" vertical="top" textRotation="0" wrapText="tru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28" fillId="3"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28" fillId="4" borderId="1" xfId="0" applyFont="true" applyBorder="true" applyAlignment="true" applyProtection="false">
      <alignment horizontal="left" vertical="top"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1" shrinkToFit="false"/>
      <protection locked="true" hidden="false"/>
    </xf>
    <xf numFmtId="164" fontId="10" fillId="4" borderId="1" xfId="0" applyFont="true" applyBorder="true" applyAlignment="true" applyProtection="false">
      <alignment horizontal="left" vertical="center" textRotation="0" wrapText="false" indent="1" shrinkToFit="false"/>
      <protection locked="true" hidden="false"/>
    </xf>
    <xf numFmtId="166" fontId="8"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0B981"/>
      <rgbColor rgb="FFC0C0C0"/>
      <rgbColor rgb="FF5A6779"/>
      <rgbColor rgb="FF8B5CF6"/>
      <rgbColor rgb="FFEC4899"/>
      <rgbColor rgb="FFF4F7FB"/>
      <rgbColor rgb="FFCCFFFF"/>
      <rgbColor rgb="FF660066"/>
      <rgbColor rgb="FFFF4D6D"/>
      <rgbColor rgb="FF1F77B4"/>
      <rgbColor rgb="FFC9D6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0A84FF"/>
      <rgbColor rgb="FF2CE6A2"/>
      <rgbColor rgb="FF99CC00"/>
      <rgbColor rgb="FFFFB020"/>
      <rgbColor rgb="FFF59E0B"/>
      <rgbColor rgb="FFFF6600"/>
      <rgbColor rgb="FF64748B"/>
      <rgbColor rgb="FF9467BD"/>
      <rgbColor rgb="FF102A43"/>
      <rgbColor rgb="FF2CA02C"/>
      <rgbColor rgb="FF0B1730"/>
      <rgbColor rgb="FF333300"/>
      <rgbColor rgb="FFD62728"/>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1.5" hidden="false" customHeight="true" outlineLevel="0" collapsed="false">
      <c r="A1" s="1" t="s">
        <v>0</v>
      </c>
      <c r="B1" s="1"/>
    </row>
    <row r="3" customFormat="false" ht="64.5" hidden="false" customHeight="true" outlineLevel="0" collapsed="false">
      <c r="A3" s="2" t="s">
        <v>1</v>
      </c>
      <c r="B3" s="3" t="s">
        <v>2</v>
      </c>
    </row>
    <row r="4" customFormat="false" ht="64.5" hidden="false" customHeight="true" outlineLevel="0" collapsed="false">
      <c r="A4" s="4" t="s">
        <v>3</v>
      </c>
      <c r="B4" s="5" t="s">
        <v>4</v>
      </c>
    </row>
    <row r="5" customFormat="false" ht="64.5" hidden="false" customHeight="true" outlineLevel="0" collapsed="false">
      <c r="A5" s="2" t="s">
        <v>5</v>
      </c>
      <c r="B5" s="3" t="s">
        <v>6</v>
      </c>
    </row>
    <row r="6" customFormat="false" ht="64.5" hidden="false" customHeight="true" outlineLevel="0" collapsed="false">
      <c r="A6" s="4" t="s">
        <v>7</v>
      </c>
      <c r="B6" s="5" t="s">
        <v>8</v>
      </c>
    </row>
    <row r="7" customFormat="false" ht="64.5" hidden="false" customHeight="true" outlineLevel="0" collapsed="false">
      <c r="A7" s="2" t="s">
        <v>9</v>
      </c>
      <c r="B7" s="3" t="s">
        <v>10</v>
      </c>
    </row>
    <row r="8" customFormat="false" ht="64.5" hidden="false" customHeight="true" outlineLevel="0" collapsed="false">
      <c r="A8" s="4" t="s">
        <v>11</v>
      </c>
      <c r="B8" s="5" t="s">
        <v>12</v>
      </c>
    </row>
    <row r="9" customFormat="false" ht="64.5" hidden="false" customHeight="true" outlineLevel="0" collapsed="false">
      <c r="A9" s="2" t="s">
        <v>13</v>
      </c>
      <c r="B9" s="3" t="s">
        <v>14</v>
      </c>
    </row>
    <row r="10" customFormat="false" ht="64.5" hidden="false" customHeight="true" outlineLevel="0" collapsed="false">
      <c r="A10" s="4" t="s">
        <v>15</v>
      </c>
      <c r="B10" s="5" t="s">
        <v>16</v>
      </c>
    </row>
    <row r="11" customFormat="false" ht="64.5" hidden="false" customHeight="true" outlineLevel="0" collapsed="false">
      <c r="A11" s="2" t="s">
        <v>17</v>
      </c>
      <c r="B11" s="3" t="s">
        <v>18</v>
      </c>
    </row>
    <row r="12" customFormat="false" ht="64.5" hidden="false" customHeight="true" outlineLevel="0" collapsed="false">
      <c r="A12" s="4" t="s">
        <v>19</v>
      </c>
      <c r="B12" s="5" t="s">
        <v>20</v>
      </c>
    </row>
    <row r="13" customFormat="false" ht="64.5" hidden="false" customHeight="true" outlineLevel="0" collapsed="false">
      <c r="A13" s="2" t="s">
        <v>21</v>
      </c>
      <c r="B13" s="3" t="s">
        <v>22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8"/>
    <col collapsed="false" customWidth="true" hidden="false" outlineLevel="0" max="3" min="3" style="0" width="1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28"/>
    <col collapsed="false" customWidth="true" hidden="false" outlineLevel="0" max="8" min="8" style="0" width="90"/>
    <col collapsed="false" customWidth="true" hidden="false" outlineLevel="0" max="9" min="9" style="0" width="14"/>
    <col collapsed="false" customWidth="true" hidden="false" outlineLevel="0" max="10" min="10" style="0" width="85"/>
    <col collapsed="false" customWidth="true" hidden="false" outlineLevel="0" max="11" min="11" style="0" width="12"/>
  </cols>
  <sheetData>
    <row r="1" customFormat="false" ht="31.5" hidden="false" customHeight="true" outlineLevel="0" collapsed="false">
      <c r="A1" s="1" t="s">
        <v>23</v>
      </c>
      <c r="B1" s="1"/>
      <c r="C1" s="1"/>
      <c r="D1" s="1"/>
      <c r="E1" s="1"/>
      <c r="F1" s="1"/>
      <c r="G1" s="1"/>
      <c r="H1" s="1"/>
      <c r="I1" s="1"/>
      <c r="J1" s="1"/>
      <c r="K1" s="1"/>
    </row>
    <row r="2" customFormat="false" ht="21.75" hidden="false" customHeight="true" outlineLevel="0" collapsed="false">
      <c r="A2" s="6" t="s">
        <v>24</v>
      </c>
      <c r="B2" s="6"/>
      <c r="C2" s="6"/>
      <c r="D2" s="6"/>
      <c r="E2" s="6"/>
      <c r="F2" s="6"/>
      <c r="G2" s="6"/>
      <c r="H2" s="6"/>
      <c r="I2" s="6"/>
      <c r="J2" s="6"/>
      <c r="K2" s="6"/>
    </row>
    <row r="4" customFormat="false" ht="30" hidden="false" customHeight="true" outlineLevel="0" collapsed="false">
      <c r="A4" s="7" t="s">
        <v>25</v>
      </c>
      <c r="B4" s="7" t="s">
        <v>26</v>
      </c>
      <c r="C4" s="7" t="s">
        <v>27</v>
      </c>
      <c r="D4" s="7" t="s">
        <v>28</v>
      </c>
      <c r="E4" s="7" t="s">
        <v>29</v>
      </c>
      <c r="F4" s="7" t="s">
        <v>30</v>
      </c>
      <c r="G4" s="7" t="s">
        <v>31</v>
      </c>
      <c r="H4" s="7" t="s">
        <v>32</v>
      </c>
      <c r="I4" s="7" t="s">
        <v>33</v>
      </c>
      <c r="J4" s="7" t="s">
        <v>34</v>
      </c>
      <c r="K4" s="7" t="s">
        <v>35</v>
      </c>
    </row>
    <row r="5" customFormat="false" ht="25.5" hidden="false" customHeight="true" outlineLevel="0" collapsed="false">
      <c r="A5" s="8" t="s">
        <v>36</v>
      </c>
      <c r="B5" s="8"/>
      <c r="C5" s="8"/>
      <c r="D5" s="8"/>
      <c r="E5" s="8"/>
      <c r="F5" s="8"/>
      <c r="G5" s="8"/>
      <c r="H5" s="8"/>
      <c r="I5" s="8"/>
      <c r="J5" s="8"/>
      <c r="K5" s="8"/>
    </row>
    <row r="6" customFormat="false" ht="180" hidden="false" customHeight="true" outlineLevel="0" collapsed="false">
      <c r="A6" s="9" t="s">
        <v>37</v>
      </c>
      <c r="B6" s="10" t="s">
        <v>38</v>
      </c>
      <c r="C6" s="11" t="s">
        <v>39</v>
      </c>
      <c r="D6" s="12" t="s">
        <v>40</v>
      </c>
      <c r="E6" s="13" t="s">
        <v>41</v>
      </c>
      <c r="F6" s="14" t="s">
        <v>42</v>
      </c>
      <c r="G6" s="10" t="s">
        <v>43</v>
      </c>
      <c r="H6" s="10" t="s">
        <v>44</v>
      </c>
      <c r="I6" s="15" t="s">
        <v>45</v>
      </c>
      <c r="J6" s="10" t="s">
        <v>46</v>
      </c>
      <c r="K6" s="16" t="n">
        <v>2</v>
      </c>
    </row>
    <row r="7" customFormat="false" ht="180" hidden="false" customHeight="true" outlineLevel="0" collapsed="false">
      <c r="A7" s="17" t="s">
        <v>47</v>
      </c>
      <c r="B7" s="18" t="s">
        <v>48</v>
      </c>
      <c r="C7" s="19" t="s">
        <v>39</v>
      </c>
      <c r="D7" s="12" t="s">
        <v>40</v>
      </c>
      <c r="E7" s="20" t="s">
        <v>41</v>
      </c>
      <c r="F7" s="21" t="s">
        <v>49</v>
      </c>
      <c r="G7" s="18" t="s">
        <v>50</v>
      </c>
      <c r="H7" s="18" t="s">
        <v>51</v>
      </c>
      <c r="I7" s="22" t="s">
        <v>45</v>
      </c>
      <c r="J7" s="18" t="s">
        <v>52</v>
      </c>
      <c r="K7" s="23" t="n">
        <v>0.5</v>
      </c>
    </row>
    <row r="8" customFormat="false" ht="180" hidden="false" customHeight="true" outlineLevel="0" collapsed="false">
      <c r="A8" s="9" t="s">
        <v>53</v>
      </c>
      <c r="B8" s="10" t="s">
        <v>54</v>
      </c>
      <c r="C8" s="11" t="s">
        <v>39</v>
      </c>
      <c r="D8" s="12" t="s">
        <v>40</v>
      </c>
      <c r="E8" s="13" t="s">
        <v>41</v>
      </c>
      <c r="F8" s="24" t="s">
        <v>49</v>
      </c>
      <c r="G8" s="10" t="s">
        <v>55</v>
      </c>
      <c r="H8" s="10" t="s">
        <v>56</v>
      </c>
      <c r="I8" s="15" t="s">
        <v>45</v>
      </c>
      <c r="J8" s="10" t="s">
        <v>57</v>
      </c>
      <c r="K8" s="16" t="n">
        <v>0.5</v>
      </c>
    </row>
    <row r="9" customFormat="false" ht="180" hidden="false" customHeight="true" outlineLevel="0" collapsed="false">
      <c r="A9" s="17" t="s">
        <v>58</v>
      </c>
      <c r="B9" s="18" t="s">
        <v>59</v>
      </c>
      <c r="C9" s="19" t="s">
        <v>39</v>
      </c>
      <c r="D9" s="12" t="s">
        <v>40</v>
      </c>
      <c r="E9" s="20" t="s">
        <v>41</v>
      </c>
      <c r="F9" s="21" t="s">
        <v>49</v>
      </c>
      <c r="G9" s="18" t="s">
        <v>60</v>
      </c>
      <c r="H9" s="18" t="s">
        <v>61</v>
      </c>
      <c r="I9" s="25" t="s">
        <v>62</v>
      </c>
      <c r="J9" s="18" t="s">
        <v>63</v>
      </c>
      <c r="K9" s="23" t="n">
        <v>1</v>
      </c>
    </row>
    <row r="10" customFormat="false" ht="180" hidden="false" customHeight="true" outlineLevel="0" collapsed="false">
      <c r="A10" s="9" t="s">
        <v>64</v>
      </c>
      <c r="B10" s="10" t="s">
        <v>65</v>
      </c>
      <c r="C10" s="11" t="s">
        <v>39</v>
      </c>
      <c r="D10" s="12" t="s">
        <v>40</v>
      </c>
      <c r="E10" s="13" t="s">
        <v>41</v>
      </c>
      <c r="F10" s="26" t="s">
        <v>66</v>
      </c>
      <c r="G10" s="10" t="s">
        <v>67</v>
      </c>
      <c r="H10" s="10" t="s">
        <v>68</v>
      </c>
      <c r="I10" s="27" t="s">
        <v>69</v>
      </c>
      <c r="J10" s="10" t="s">
        <v>70</v>
      </c>
      <c r="K10" s="16" t="n">
        <v>4</v>
      </c>
    </row>
    <row r="11" customFormat="false" ht="180" hidden="false" customHeight="true" outlineLevel="0" collapsed="false">
      <c r="A11" s="17" t="s">
        <v>71</v>
      </c>
      <c r="B11" s="18" t="s">
        <v>72</v>
      </c>
      <c r="C11" s="19" t="s">
        <v>39</v>
      </c>
      <c r="D11" s="12" t="s">
        <v>40</v>
      </c>
      <c r="E11" s="20" t="s">
        <v>41</v>
      </c>
      <c r="F11" s="28" t="s">
        <v>73</v>
      </c>
      <c r="G11" s="18" t="s">
        <v>74</v>
      </c>
      <c r="H11" s="18" t="s">
        <v>75</v>
      </c>
      <c r="I11" s="22" t="s">
        <v>45</v>
      </c>
      <c r="J11" s="18" t="s">
        <v>76</v>
      </c>
      <c r="K11" s="23" t="n">
        <v>2</v>
      </c>
    </row>
    <row r="12" customFormat="false" ht="180" hidden="false" customHeight="true" outlineLevel="0" collapsed="false">
      <c r="A12" s="9" t="s">
        <v>77</v>
      </c>
      <c r="B12" s="10" t="s">
        <v>78</v>
      </c>
      <c r="C12" s="11" t="s">
        <v>39</v>
      </c>
      <c r="D12" s="12" t="s">
        <v>40</v>
      </c>
      <c r="E12" s="13" t="s">
        <v>41</v>
      </c>
      <c r="F12" s="26" t="s">
        <v>66</v>
      </c>
      <c r="G12" s="10" t="s">
        <v>79</v>
      </c>
      <c r="H12" s="10" t="s">
        <v>80</v>
      </c>
      <c r="I12" s="29" t="s">
        <v>62</v>
      </c>
      <c r="J12" s="10" t="s">
        <v>81</v>
      </c>
      <c r="K12" s="16" t="n">
        <v>4</v>
      </c>
    </row>
    <row r="13" customFormat="false" ht="180" hidden="false" customHeight="true" outlineLevel="0" collapsed="false">
      <c r="A13" s="17" t="s">
        <v>82</v>
      </c>
      <c r="B13" s="18" t="s">
        <v>83</v>
      </c>
      <c r="C13" s="19" t="s">
        <v>39</v>
      </c>
      <c r="D13" s="12" t="s">
        <v>40</v>
      </c>
      <c r="E13" s="20" t="s">
        <v>41</v>
      </c>
      <c r="F13" s="21" t="s">
        <v>49</v>
      </c>
      <c r="G13" s="18" t="s">
        <v>84</v>
      </c>
      <c r="H13" s="18" t="s">
        <v>85</v>
      </c>
      <c r="I13" s="25" t="s">
        <v>62</v>
      </c>
      <c r="J13" s="18" t="s">
        <v>86</v>
      </c>
      <c r="K13" s="23" t="n">
        <v>3</v>
      </c>
    </row>
    <row r="14" customFormat="false" ht="25.5" hidden="false" customHeight="true" outlineLevel="0" collapsed="false">
      <c r="A14" s="8" t="s">
        <v>87</v>
      </c>
      <c r="B14" s="8"/>
      <c r="C14" s="8"/>
      <c r="D14" s="8"/>
      <c r="E14" s="8"/>
      <c r="F14" s="8"/>
      <c r="G14" s="8"/>
      <c r="H14" s="8"/>
      <c r="I14" s="8"/>
      <c r="J14" s="8"/>
      <c r="K14" s="8"/>
    </row>
    <row r="15" customFormat="false" ht="180" hidden="false" customHeight="true" outlineLevel="0" collapsed="false">
      <c r="A15" s="9" t="s">
        <v>88</v>
      </c>
      <c r="B15" s="10" t="s">
        <v>89</v>
      </c>
      <c r="C15" s="11" t="s">
        <v>90</v>
      </c>
      <c r="D15" s="30" t="s">
        <v>91</v>
      </c>
      <c r="E15" s="13" t="s">
        <v>41</v>
      </c>
      <c r="F15" s="14" t="s">
        <v>42</v>
      </c>
      <c r="G15" s="10" t="s">
        <v>92</v>
      </c>
      <c r="H15" s="10" t="s">
        <v>93</v>
      </c>
      <c r="I15" s="27" t="s">
        <v>69</v>
      </c>
      <c r="J15" s="10" t="s">
        <v>94</v>
      </c>
      <c r="K15" s="16" t="n">
        <v>3</v>
      </c>
    </row>
    <row r="16" customFormat="false" ht="180" hidden="false" customHeight="true" outlineLevel="0" collapsed="false">
      <c r="A16" s="17" t="s">
        <v>95</v>
      </c>
      <c r="B16" s="18" t="s">
        <v>96</v>
      </c>
      <c r="C16" s="19" t="s">
        <v>90</v>
      </c>
      <c r="D16" s="30" t="s">
        <v>91</v>
      </c>
      <c r="E16" s="20" t="s">
        <v>41</v>
      </c>
      <c r="F16" s="31" t="s">
        <v>42</v>
      </c>
      <c r="G16" s="18" t="s">
        <v>92</v>
      </c>
      <c r="H16" s="18" t="s">
        <v>97</v>
      </c>
      <c r="I16" s="32" t="s">
        <v>69</v>
      </c>
      <c r="J16" s="18" t="s">
        <v>98</v>
      </c>
      <c r="K16" s="23" t="n">
        <v>2.5</v>
      </c>
    </row>
    <row r="17" customFormat="false" ht="180" hidden="false" customHeight="true" outlineLevel="0" collapsed="false">
      <c r="A17" s="9" t="s">
        <v>99</v>
      </c>
      <c r="B17" s="10" t="s">
        <v>100</v>
      </c>
      <c r="C17" s="11" t="s">
        <v>90</v>
      </c>
      <c r="D17" s="30" t="s">
        <v>91</v>
      </c>
      <c r="E17" s="13" t="s">
        <v>41</v>
      </c>
      <c r="F17" s="14" t="s">
        <v>42</v>
      </c>
      <c r="G17" s="10" t="s">
        <v>92</v>
      </c>
      <c r="H17" s="10" t="s">
        <v>101</v>
      </c>
      <c r="I17" s="27" t="s">
        <v>69</v>
      </c>
      <c r="J17" s="10" t="s">
        <v>102</v>
      </c>
      <c r="K17" s="16" t="n">
        <v>2</v>
      </c>
    </row>
    <row r="18" customFormat="false" ht="180" hidden="false" customHeight="true" outlineLevel="0" collapsed="false">
      <c r="A18" s="17" t="s">
        <v>103</v>
      </c>
      <c r="B18" s="18" t="s">
        <v>104</v>
      </c>
      <c r="C18" s="19" t="s">
        <v>90</v>
      </c>
      <c r="D18" s="30" t="s">
        <v>91</v>
      </c>
      <c r="E18" s="20" t="s">
        <v>41</v>
      </c>
      <c r="F18" s="31" t="s">
        <v>42</v>
      </c>
      <c r="G18" s="18" t="s">
        <v>92</v>
      </c>
      <c r="H18" s="18" t="s">
        <v>105</v>
      </c>
      <c r="I18" s="32" t="s">
        <v>69</v>
      </c>
      <c r="J18" s="18" t="s">
        <v>106</v>
      </c>
      <c r="K18" s="23" t="n">
        <v>2.5</v>
      </c>
    </row>
    <row r="19" customFormat="false" ht="180" hidden="false" customHeight="true" outlineLevel="0" collapsed="false">
      <c r="A19" s="9" t="s">
        <v>107</v>
      </c>
      <c r="B19" s="10" t="s">
        <v>108</v>
      </c>
      <c r="C19" s="11" t="s">
        <v>90</v>
      </c>
      <c r="D19" s="30" t="s">
        <v>91</v>
      </c>
      <c r="E19" s="13" t="s">
        <v>41</v>
      </c>
      <c r="F19" s="14" t="s">
        <v>42</v>
      </c>
      <c r="G19" s="10" t="s">
        <v>109</v>
      </c>
      <c r="H19" s="10" t="s">
        <v>110</v>
      </c>
      <c r="I19" s="27" t="s">
        <v>69</v>
      </c>
      <c r="J19" s="10" t="s">
        <v>111</v>
      </c>
      <c r="K19" s="16" t="n">
        <v>6</v>
      </c>
    </row>
    <row r="20" customFormat="false" ht="180" hidden="false" customHeight="true" outlineLevel="0" collapsed="false">
      <c r="A20" s="17" t="s">
        <v>112</v>
      </c>
      <c r="B20" s="18" t="s">
        <v>113</v>
      </c>
      <c r="C20" s="19" t="s">
        <v>90</v>
      </c>
      <c r="D20" s="30" t="s">
        <v>91</v>
      </c>
      <c r="E20" s="20" t="s">
        <v>41</v>
      </c>
      <c r="F20" s="31" t="s">
        <v>42</v>
      </c>
      <c r="G20" s="18" t="s">
        <v>109</v>
      </c>
      <c r="H20" s="18" t="s">
        <v>114</v>
      </c>
      <c r="I20" s="32" t="s">
        <v>69</v>
      </c>
      <c r="J20" s="18" t="s">
        <v>115</v>
      </c>
      <c r="K20" s="23" t="n">
        <v>10</v>
      </c>
    </row>
    <row r="21" customFormat="false" ht="180" hidden="false" customHeight="true" outlineLevel="0" collapsed="false">
      <c r="A21" s="9" t="s">
        <v>116</v>
      </c>
      <c r="B21" s="10" t="s">
        <v>117</v>
      </c>
      <c r="C21" s="11" t="s">
        <v>90</v>
      </c>
      <c r="D21" s="30" t="s">
        <v>91</v>
      </c>
      <c r="E21" s="13" t="s">
        <v>41</v>
      </c>
      <c r="F21" s="14" t="s">
        <v>42</v>
      </c>
      <c r="G21" s="10" t="s">
        <v>109</v>
      </c>
      <c r="H21" s="10" t="s">
        <v>118</v>
      </c>
      <c r="I21" s="27" t="s">
        <v>69</v>
      </c>
      <c r="J21" s="10" t="s">
        <v>119</v>
      </c>
      <c r="K21" s="16" t="n">
        <v>4</v>
      </c>
    </row>
    <row r="22" customFormat="false" ht="180" hidden="false" customHeight="true" outlineLevel="0" collapsed="false">
      <c r="A22" s="17" t="s">
        <v>120</v>
      </c>
      <c r="B22" s="18" t="s">
        <v>121</v>
      </c>
      <c r="C22" s="19" t="s">
        <v>90</v>
      </c>
      <c r="D22" s="30" t="s">
        <v>91</v>
      </c>
      <c r="E22" s="20" t="s">
        <v>41</v>
      </c>
      <c r="F22" s="31" t="s">
        <v>42</v>
      </c>
      <c r="G22" s="18" t="s">
        <v>109</v>
      </c>
      <c r="H22" s="18" t="s">
        <v>122</v>
      </c>
      <c r="I22" s="32" t="s">
        <v>69</v>
      </c>
      <c r="J22" s="18" t="s">
        <v>123</v>
      </c>
      <c r="K22" s="23" t="n">
        <v>6</v>
      </c>
    </row>
    <row r="23" customFormat="false" ht="180" hidden="false" customHeight="true" outlineLevel="0" collapsed="false">
      <c r="A23" s="9" t="s">
        <v>124</v>
      </c>
      <c r="B23" s="10" t="s">
        <v>125</v>
      </c>
      <c r="C23" s="11" t="s">
        <v>90</v>
      </c>
      <c r="D23" s="30" t="s">
        <v>91</v>
      </c>
      <c r="E23" s="13" t="s">
        <v>41</v>
      </c>
      <c r="F23" s="14" t="s">
        <v>42</v>
      </c>
      <c r="G23" s="10" t="s">
        <v>109</v>
      </c>
      <c r="H23" s="10" t="s">
        <v>126</v>
      </c>
      <c r="I23" s="27" t="s">
        <v>69</v>
      </c>
      <c r="J23" s="10" t="s">
        <v>127</v>
      </c>
      <c r="K23" s="16" t="n">
        <v>6</v>
      </c>
    </row>
    <row r="24" customFormat="false" ht="180" hidden="false" customHeight="true" outlineLevel="0" collapsed="false">
      <c r="A24" s="17" t="s">
        <v>128</v>
      </c>
      <c r="B24" s="18" t="s">
        <v>129</v>
      </c>
      <c r="C24" s="19" t="s">
        <v>90</v>
      </c>
      <c r="D24" s="30" t="s">
        <v>91</v>
      </c>
      <c r="E24" s="20" t="s">
        <v>41</v>
      </c>
      <c r="F24" s="33" t="s">
        <v>130</v>
      </c>
      <c r="G24" s="18" t="s">
        <v>131</v>
      </c>
      <c r="H24" s="18" t="s">
        <v>132</v>
      </c>
      <c r="I24" s="32" t="s">
        <v>69</v>
      </c>
      <c r="J24" s="18" t="s">
        <v>133</v>
      </c>
      <c r="K24" s="23" t="n">
        <v>4</v>
      </c>
    </row>
    <row r="25" customFormat="false" ht="25.5" hidden="false" customHeight="true" outlineLevel="0" collapsed="false">
      <c r="A25" s="8" t="s">
        <v>134</v>
      </c>
      <c r="B25" s="8"/>
      <c r="C25" s="8"/>
      <c r="D25" s="8"/>
      <c r="E25" s="8"/>
      <c r="F25" s="8"/>
      <c r="G25" s="8"/>
      <c r="H25" s="8"/>
      <c r="I25" s="8"/>
      <c r="J25" s="8"/>
      <c r="K25" s="8"/>
    </row>
    <row r="26" customFormat="false" ht="180" hidden="false" customHeight="true" outlineLevel="0" collapsed="false">
      <c r="A26" s="9" t="s">
        <v>135</v>
      </c>
      <c r="B26" s="10" t="s">
        <v>136</v>
      </c>
      <c r="C26" s="11" t="s">
        <v>137</v>
      </c>
      <c r="D26" s="30" t="s">
        <v>91</v>
      </c>
      <c r="E26" s="13" t="s">
        <v>41</v>
      </c>
      <c r="F26" s="14" t="s">
        <v>42</v>
      </c>
      <c r="G26" s="10" t="s">
        <v>138</v>
      </c>
      <c r="H26" s="10" t="s">
        <v>139</v>
      </c>
      <c r="I26" s="15" t="s">
        <v>45</v>
      </c>
      <c r="J26" s="10" t="s">
        <v>140</v>
      </c>
      <c r="K26" s="16" t="n">
        <v>1.5</v>
      </c>
    </row>
    <row r="27" customFormat="false" ht="180" hidden="false" customHeight="true" outlineLevel="0" collapsed="false">
      <c r="A27" s="17" t="s">
        <v>141</v>
      </c>
      <c r="B27" s="18" t="s">
        <v>142</v>
      </c>
      <c r="C27" s="19" t="s">
        <v>137</v>
      </c>
      <c r="D27" s="30" t="s">
        <v>91</v>
      </c>
      <c r="E27" s="20" t="s">
        <v>41</v>
      </c>
      <c r="F27" s="31" t="s">
        <v>42</v>
      </c>
      <c r="G27" s="18" t="s">
        <v>138</v>
      </c>
      <c r="H27" s="18" t="s">
        <v>143</v>
      </c>
      <c r="I27" s="22" t="s">
        <v>45</v>
      </c>
      <c r="J27" s="18" t="s">
        <v>144</v>
      </c>
      <c r="K27" s="23" t="n">
        <v>2</v>
      </c>
    </row>
    <row r="28" customFormat="false" ht="180" hidden="false" customHeight="true" outlineLevel="0" collapsed="false">
      <c r="A28" s="9" t="s">
        <v>145</v>
      </c>
      <c r="B28" s="10" t="s">
        <v>146</v>
      </c>
      <c r="C28" s="11" t="s">
        <v>137</v>
      </c>
      <c r="D28" s="34" t="s">
        <v>147</v>
      </c>
      <c r="E28" s="13" t="s">
        <v>41</v>
      </c>
      <c r="F28" s="14" t="s">
        <v>42</v>
      </c>
      <c r="G28" s="10" t="s">
        <v>138</v>
      </c>
      <c r="H28" s="10" t="s">
        <v>148</v>
      </c>
      <c r="I28" s="29" t="s">
        <v>62</v>
      </c>
      <c r="J28" s="10" t="s">
        <v>149</v>
      </c>
      <c r="K28" s="16" t="n">
        <v>2</v>
      </c>
    </row>
    <row r="29" customFormat="false" ht="180" hidden="false" customHeight="true" outlineLevel="0" collapsed="false">
      <c r="A29" s="17" t="s">
        <v>150</v>
      </c>
      <c r="B29" s="18" t="s">
        <v>151</v>
      </c>
      <c r="C29" s="19" t="s">
        <v>137</v>
      </c>
      <c r="D29" s="34" t="s">
        <v>147</v>
      </c>
      <c r="E29" s="20" t="s">
        <v>41</v>
      </c>
      <c r="F29" s="31" t="s">
        <v>42</v>
      </c>
      <c r="G29" s="18" t="s">
        <v>138</v>
      </c>
      <c r="H29" s="18" t="s">
        <v>152</v>
      </c>
      <c r="I29" s="22" t="s">
        <v>45</v>
      </c>
      <c r="J29" s="18" t="s">
        <v>153</v>
      </c>
      <c r="K29" s="23" t="n">
        <v>3</v>
      </c>
    </row>
    <row r="30" customFormat="false" ht="180" hidden="false" customHeight="true" outlineLevel="0" collapsed="false">
      <c r="A30" s="9" t="s">
        <v>154</v>
      </c>
      <c r="B30" s="10" t="s">
        <v>155</v>
      </c>
      <c r="C30" s="11" t="s">
        <v>137</v>
      </c>
      <c r="D30" s="34" t="s">
        <v>147</v>
      </c>
      <c r="E30" s="13" t="s">
        <v>41</v>
      </c>
      <c r="F30" s="14" t="s">
        <v>42</v>
      </c>
      <c r="G30" s="10" t="s">
        <v>156</v>
      </c>
      <c r="H30" s="10" t="s">
        <v>157</v>
      </c>
      <c r="I30" s="15" t="s">
        <v>45</v>
      </c>
      <c r="J30" s="10" t="s">
        <v>158</v>
      </c>
      <c r="K30" s="16" t="n">
        <v>2</v>
      </c>
    </row>
    <row r="31" customFormat="false" ht="180" hidden="false" customHeight="true" outlineLevel="0" collapsed="false">
      <c r="A31" s="17" t="s">
        <v>159</v>
      </c>
      <c r="B31" s="18" t="s">
        <v>160</v>
      </c>
      <c r="C31" s="19" t="s">
        <v>137</v>
      </c>
      <c r="D31" s="30" t="s">
        <v>91</v>
      </c>
      <c r="E31" s="20" t="s">
        <v>41</v>
      </c>
      <c r="F31" s="31" t="s">
        <v>42</v>
      </c>
      <c r="G31" s="18" t="s">
        <v>161</v>
      </c>
      <c r="H31" s="18" t="s">
        <v>162</v>
      </c>
      <c r="I31" s="32" t="s">
        <v>69</v>
      </c>
      <c r="J31" s="18" t="s">
        <v>163</v>
      </c>
      <c r="K31" s="23" t="n">
        <v>3</v>
      </c>
    </row>
    <row r="32" customFormat="false" ht="25.5" hidden="false" customHeight="true" outlineLevel="0" collapsed="false">
      <c r="A32" s="8" t="s">
        <v>164</v>
      </c>
      <c r="B32" s="8"/>
      <c r="C32" s="8"/>
      <c r="D32" s="8"/>
      <c r="E32" s="8"/>
      <c r="F32" s="8"/>
      <c r="G32" s="8"/>
      <c r="H32" s="8"/>
      <c r="I32" s="8"/>
      <c r="J32" s="8"/>
      <c r="K32" s="8"/>
    </row>
    <row r="33" customFormat="false" ht="180" hidden="false" customHeight="true" outlineLevel="0" collapsed="false">
      <c r="A33" s="9" t="s">
        <v>165</v>
      </c>
      <c r="B33" s="10" t="s">
        <v>166</v>
      </c>
      <c r="C33" s="11" t="s">
        <v>167</v>
      </c>
      <c r="D33" s="30" t="s">
        <v>91</v>
      </c>
      <c r="E33" s="35" t="s">
        <v>168</v>
      </c>
      <c r="F33" s="14" t="s">
        <v>42</v>
      </c>
      <c r="G33" s="10" t="s">
        <v>169</v>
      </c>
      <c r="H33" s="10" t="s">
        <v>170</v>
      </c>
      <c r="I33" s="15" t="s">
        <v>45</v>
      </c>
      <c r="J33" s="10" t="s">
        <v>171</v>
      </c>
      <c r="K33" s="16" t="n">
        <v>1.5</v>
      </c>
    </row>
    <row r="34" customFormat="false" ht="180" hidden="false" customHeight="true" outlineLevel="0" collapsed="false">
      <c r="A34" s="17" t="s">
        <v>172</v>
      </c>
      <c r="B34" s="18" t="s">
        <v>173</v>
      </c>
      <c r="C34" s="19" t="s">
        <v>167</v>
      </c>
      <c r="D34" s="30" t="s">
        <v>91</v>
      </c>
      <c r="E34" s="36" t="s">
        <v>168</v>
      </c>
      <c r="F34" s="31" t="s">
        <v>42</v>
      </c>
      <c r="G34" s="18" t="s">
        <v>174</v>
      </c>
      <c r="H34" s="18" t="s">
        <v>175</v>
      </c>
      <c r="I34" s="22" t="s">
        <v>45</v>
      </c>
      <c r="J34" s="18" t="s">
        <v>176</v>
      </c>
      <c r="K34" s="23" t="n">
        <v>0.75</v>
      </c>
    </row>
    <row r="35" customFormat="false" ht="180" hidden="false" customHeight="true" outlineLevel="0" collapsed="false">
      <c r="A35" s="9" t="s">
        <v>177</v>
      </c>
      <c r="B35" s="10" t="s">
        <v>178</v>
      </c>
      <c r="C35" s="11" t="s">
        <v>167</v>
      </c>
      <c r="D35" s="30" t="s">
        <v>91</v>
      </c>
      <c r="E35" s="35" t="s">
        <v>168</v>
      </c>
      <c r="F35" s="14" t="s">
        <v>42</v>
      </c>
      <c r="G35" s="10" t="s">
        <v>174</v>
      </c>
      <c r="H35" s="10" t="s">
        <v>179</v>
      </c>
      <c r="I35" s="15" t="s">
        <v>45</v>
      </c>
      <c r="J35" s="10" t="s">
        <v>180</v>
      </c>
      <c r="K35" s="16" t="n">
        <v>3</v>
      </c>
    </row>
    <row r="36" customFormat="false" ht="180" hidden="false" customHeight="true" outlineLevel="0" collapsed="false">
      <c r="A36" s="17" t="s">
        <v>181</v>
      </c>
      <c r="B36" s="18" t="s">
        <v>182</v>
      </c>
      <c r="C36" s="19" t="s">
        <v>167</v>
      </c>
      <c r="D36" s="30" t="s">
        <v>91</v>
      </c>
      <c r="E36" s="36" t="s">
        <v>168</v>
      </c>
      <c r="F36" s="31" t="s">
        <v>42</v>
      </c>
      <c r="G36" s="18" t="s">
        <v>174</v>
      </c>
      <c r="H36" s="18" t="s">
        <v>183</v>
      </c>
      <c r="I36" s="22" t="s">
        <v>45</v>
      </c>
      <c r="J36" s="18" t="s">
        <v>184</v>
      </c>
      <c r="K36" s="23" t="n">
        <v>2.5</v>
      </c>
    </row>
    <row r="37" customFormat="false" ht="180" hidden="false" customHeight="true" outlineLevel="0" collapsed="false">
      <c r="A37" s="9" t="s">
        <v>185</v>
      </c>
      <c r="B37" s="10" t="s">
        <v>186</v>
      </c>
      <c r="C37" s="11" t="s">
        <v>167</v>
      </c>
      <c r="D37" s="30" t="s">
        <v>91</v>
      </c>
      <c r="E37" s="35" t="s">
        <v>168</v>
      </c>
      <c r="F37" s="14" t="s">
        <v>42</v>
      </c>
      <c r="G37" s="10" t="s">
        <v>174</v>
      </c>
      <c r="H37" s="10" t="s">
        <v>187</v>
      </c>
      <c r="I37" s="15" t="s">
        <v>45</v>
      </c>
      <c r="J37" s="10" t="s">
        <v>188</v>
      </c>
      <c r="K37" s="16" t="n">
        <v>3</v>
      </c>
    </row>
    <row r="38" customFormat="false" ht="180" hidden="false" customHeight="true" outlineLevel="0" collapsed="false">
      <c r="A38" s="17" t="s">
        <v>189</v>
      </c>
      <c r="B38" s="18" t="s">
        <v>190</v>
      </c>
      <c r="C38" s="19" t="s">
        <v>167</v>
      </c>
      <c r="D38" s="30" t="s">
        <v>91</v>
      </c>
      <c r="E38" s="36" t="s">
        <v>168</v>
      </c>
      <c r="F38" s="31" t="s">
        <v>42</v>
      </c>
      <c r="G38" s="18" t="s">
        <v>191</v>
      </c>
      <c r="H38" s="18" t="s">
        <v>192</v>
      </c>
      <c r="I38" s="22" t="s">
        <v>45</v>
      </c>
      <c r="J38" s="18" t="s">
        <v>193</v>
      </c>
      <c r="K38" s="23" t="n">
        <v>4</v>
      </c>
    </row>
    <row r="39" customFormat="false" ht="180" hidden="false" customHeight="true" outlineLevel="0" collapsed="false">
      <c r="A39" s="9" t="s">
        <v>194</v>
      </c>
      <c r="B39" s="10" t="s">
        <v>195</v>
      </c>
      <c r="C39" s="11" t="s">
        <v>167</v>
      </c>
      <c r="D39" s="30" t="s">
        <v>91</v>
      </c>
      <c r="E39" s="35" t="s">
        <v>168</v>
      </c>
      <c r="F39" s="26" t="s">
        <v>66</v>
      </c>
      <c r="G39" s="10" t="s">
        <v>196</v>
      </c>
      <c r="H39" s="10" t="s">
        <v>197</v>
      </c>
      <c r="I39" s="15" t="s">
        <v>45</v>
      </c>
      <c r="J39" s="10" t="s">
        <v>198</v>
      </c>
      <c r="K39" s="16" t="n">
        <v>4</v>
      </c>
    </row>
    <row r="40" customFormat="false" ht="180" hidden="false" customHeight="true" outlineLevel="0" collapsed="false">
      <c r="A40" s="17" t="s">
        <v>199</v>
      </c>
      <c r="B40" s="18" t="s">
        <v>200</v>
      </c>
      <c r="C40" s="19" t="s">
        <v>167</v>
      </c>
      <c r="D40" s="30" t="s">
        <v>91</v>
      </c>
      <c r="E40" s="36" t="s">
        <v>168</v>
      </c>
      <c r="F40" s="31" t="s">
        <v>42</v>
      </c>
      <c r="G40" s="18" t="s">
        <v>201</v>
      </c>
      <c r="H40" s="18" t="s">
        <v>202</v>
      </c>
      <c r="I40" s="25" t="s">
        <v>62</v>
      </c>
      <c r="J40" s="18" t="s">
        <v>203</v>
      </c>
      <c r="K40" s="23" t="n">
        <v>2</v>
      </c>
    </row>
    <row r="41" customFormat="false" ht="25.5" hidden="false" customHeight="true" outlineLevel="0" collapsed="false">
      <c r="A41" s="8" t="s">
        <v>204</v>
      </c>
      <c r="B41" s="8"/>
      <c r="C41" s="8"/>
      <c r="D41" s="8"/>
      <c r="E41" s="8"/>
      <c r="F41" s="8"/>
      <c r="G41" s="8"/>
      <c r="H41" s="8"/>
      <c r="I41" s="8"/>
      <c r="J41" s="8"/>
      <c r="K41" s="8"/>
    </row>
    <row r="42" customFormat="false" ht="180" hidden="false" customHeight="true" outlineLevel="0" collapsed="false">
      <c r="A42" s="9" t="s">
        <v>205</v>
      </c>
      <c r="B42" s="10" t="s">
        <v>206</v>
      </c>
      <c r="C42" s="11" t="s">
        <v>207</v>
      </c>
      <c r="D42" s="30" t="s">
        <v>91</v>
      </c>
      <c r="E42" s="35" t="s">
        <v>168</v>
      </c>
      <c r="F42" s="14" t="s">
        <v>42</v>
      </c>
      <c r="G42" s="10" t="s">
        <v>208</v>
      </c>
      <c r="H42" s="10" t="s">
        <v>209</v>
      </c>
      <c r="I42" s="29" t="s">
        <v>62</v>
      </c>
      <c r="J42" s="10" t="s">
        <v>210</v>
      </c>
      <c r="K42" s="16" t="n">
        <v>5</v>
      </c>
    </row>
    <row r="43" customFormat="false" ht="180" hidden="false" customHeight="true" outlineLevel="0" collapsed="false">
      <c r="A43" s="17" t="s">
        <v>211</v>
      </c>
      <c r="B43" s="18" t="s">
        <v>212</v>
      </c>
      <c r="C43" s="19" t="s">
        <v>207</v>
      </c>
      <c r="D43" s="30" t="s">
        <v>91</v>
      </c>
      <c r="E43" s="36" t="s">
        <v>168</v>
      </c>
      <c r="F43" s="31" t="s">
        <v>42</v>
      </c>
      <c r="G43" s="18" t="s">
        <v>213</v>
      </c>
      <c r="H43" s="18" t="s">
        <v>214</v>
      </c>
      <c r="I43" s="25" t="s">
        <v>62</v>
      </c>
      <c r="J43" s="18" t="s">
        <v>215</v>
      </c>
      <c r="K43" s="23" t="n">
        <v>6</v>
      </c>
    </row>
    <row r="44" customFormat="false" ht="180" hidden="false" customHeight="true" outlineLevel="0" collapsed="false">
      <c r="A44" s="9" t="s">
        <v>216</v>
      </c>
      <c r="B44" s="10" t="s">
        <v>217</v>
      </c>
      <c r="C44" s="11" t="s">
        <v>207</v>
      </c>
      <c r="D44" s="30" t="s">
        <v>91</v>
      </c>
      <c r="E44" s="35" t="s">
        <v>168</v>
      </c>
      <c r="F44" s="14" t="s">
        <v>42</v>
      </c>
      <c r="G44" s="10" t="s">
        <v>218</v>
      </c>
      <c r="H44" s="10" t="s">
        <v>219</v>
      </c>
      <c r="I44" s="29" t="s">
        <v>62</v>
      </c>
      <c r="J44" s="10" t="s">
        <v>220</v>
      </c>
      <c r="K44" s="16" t="n">
        <v>4</v>
      </c>
    </row>
    <row r="45" customFormat="false" ht="180" hidden="false" customHeight="true" outlineLevel="0" collapsed="false">
      <c r="A45" s="17" t="s">
        <v>221</v>
      </c>
      <c r="B45" s="18" t="s">
        <v>222</v>
      </c>
      <c r="C45" s="19" t="s">
        <v>207</v>
      </c>
      <c r="D45" s="34" t="s">
        <v>147</v>
      </c>
      <c r="E45" s="36" t="s">
        <v>168</v>
      </c>
      <c r="F45" s="31" t="s">
        <v>42</v>
      </c>
      <c r="G45" s="18" t="s">
        <v>223</v>
      </c>
      <c r="H45" s="18" t="s">
        <v>224</v>
      </c>
      <c r="I45" s="25" t="s">
        <v>62</v>
      </c>
      <c r="J45" s="18" t="s">
        <v>225</v>
      </c>
      <c r="K45" s="23" t="n">
        <v>4</v>
      </c>
    </row>
    <row r="46" customFormat="false" ht="180" hidden="false" customHeight="true" outlineLevel="0" collapsed="false">
      <c r="A46" s="9" t="s">
        <v>226</v>
      </c>
      <c r="B46" s="10" t="s">
        <v>227</v>
      </c>
      <c r="C46" s="11" t="s">
        <v>207</v>
      </c>
      <c r="D46" s="34" t="s">
        <v>147</v>
      </c>
      <c r="E46" s="35" t="s">
        <v>168</v>
      </c>
      <c r="F46" s="14" t="s">
        <v>42</v>
      </c>
      <c r="G46" s="10" t="s">
        <v>228</v>
      </c>
      <c r="H46" s="10" t="s">
        <v>229</v>
      </c>
      <c r="I46" s="29" t="s">
        <v>62</v>
      </c>
      <c r="J46" s="10" t="s">
        <v>230</v>
      </c>
      <c r="K46" s="16" t="n">
        <v>4</v>
      </c>
    </row>
    <row r="47" customFormat="false" ht="180" hidden="false" customHeight="true" outlineLevel="0" collapsed="false">
      <c r="A47" s="17" t="s">
        <v>231</v>
      </c>
      <c r="B47" s="18" t="s">
        <v>232</v>
      </c>
      <c r="C47" s="19" t="s">
        <v>207</v>
      </c>
      <c r="D47" s="34" t="s">
        <v>147</v>
      </c>
      <c r="E47" s="20" t="s">
        <v>41</v>
      </c>
      <c r="F47" s="31" t="s">
        <v>42</v>
      </c>
      <c r="G47" s="18" t="s">
        <v>233</v>
      </c>
      <c r="H47" s="18" t="s">
        <v>234</v>
      </c>
      <c r="I47" s="32" t="s">
        <v>69</v>
      </c>
      <c r="J47" s="18" t="s">
        <v>235</v>
      </c>
      <c r="K47" s="23" t="n">
        <v>4</v>
      </c>
    </row>
    <row r="48" customFormat="false" ht="180" hidden="false" customHeight="true" outlineLevel="0" collapsed="false">
      <c r="A48" s="9" t="s">
        <v>236</v>
      </c>
      <c r="B48" s="10" t="s">
        <v>237</v>
      </c>
      <c r="C48" s="11" t="s">
        <v>207</v>
      </c>
      <c r="D48" s="34" t="s">
        <v>147</v>
      </c>
      <c r="E48" s="13" t="s">
        <v>41</v>
      </c>
      <c r="F48" s="14" t="s">
        <v>42</v>
      </c>
      <c r="G48" s="10" t="s">
        <v>238</v>
      </c>
      <c r="H48" s="10" t="s">
        <v>239</v>
      </c>
      <c r="I48" s="27" t="s">
        <v>69</v>
      </c>
      <c r="J48" s="10" t="s">
        <v>240</v>
      </c>
      <c r="K48" s="16" t="n">
        <v>5</v>
      </c>
    </row>
    <row r="49" customFormat="false" ht="25.5" hidden="false" customHeight="true" outlineLevel="0" collapsed="false">
      <c r="A49" s="8" t="s">
        <v>241</v>
      </c>
      <c r="B49" s="8"/>
      <c r="C49" s="8"/>
      <c r="D49" s="8"/>
      <c r="E49" s="8"/>
      <c r="F49" s="8"/>
      <c r="G49" s="8"/>
      <c r="H49" s="8"/>
      <c r="I49" s="8"/>
      <c r="J49" s="8"/>
      <c r="K49" s="8"/>
    </row>
    <row r="50" customFormat="false" ht="180" hidden="false" customHeight="true" outlineLevel="0" collapsed="false">
      <c r="A50" s="9" t="s">
        <v>242</v>
      </c>
      <c r="B50" s="10" t="s">
        <v>243</v>
      </c>
      <c r="C50" s="11" t="s">
        <v>244</v>
      </c>
      <c r="D50" s="34" t="s">
        <v>147</v>
      </c>
      <c r="E50" s="35" t="s">
        <v>168</v>
      </c>
      <c r="F50" s="14" t="s">
        <v>42</v>
      </c>
      <c r="G50" s="10" t="s">
        <v>245</v>
      </c>
      <c r="H50" s="10" t="s">
        <v>246</v>
      </c>
      <c r="I50" s="29" t="s">
        <v>62</v>
      </c>
      <c r="J50" s="10" t="s">
        <v>247</v>
      </c>
      <c r="K50" s="16" t="n">
        <v>4</v>
      </c>
    </row>
    <row r="51" customFormat="false" ht="180" hidden="false" customHeight="true" outlineLevel="0" collapsed="false">
      <c r="A51" s="17" t="s">
        <v>248</v>
      </c>
      <c r="B51" s="18" t="s">
        <v>249</v>
      </c>
      <c r="C51" s="19" t="s">
        <v>244</v>
      </c>
      <c r="D51" s="30" t="s">
        <v>91</v>
      </c>
      <c r="E51" s="37" t="s">
        <v>250</v>
      </c>
      <c r="F51" s="31" t="s">
        <v>42</v>
      </c>
      <c r="G51" s="18" t="s">
        <v>251</v>
      </c>
      <c r="H51" s="18" t="s">
        <v>252</v>
      </c>
      <c r="I51" s="25" t="s">
        <v>62</v>
      </c>
      <c r="J51" s="18" t="s">
        <v>253</v>
      </c>
      <c r="K51" s="23" t="n">
        <v>4</v>
      </c>
    </row>
    <row r="52" customFormat="false" ht="180" hidden="false" customHeight="true" outlineLevel="0" collapsed="false">
      <c r="A52" s="9" t="s">
        <v>254</v>
      </c>
      <c r="B52" s="10" t="s">
        <v>255</v>
      </c>
      <c r="C52" s="11" t="s">
        <v>244</v>
      </c>
      <c r="D52" s="34" t="s">
        <v>147</v>
      </c>
      <c r="E52" s="35" t="s">
        <v>168</v>
      </c>
      <c r="F52" s="14" t="s">
        <v>42</v>
      </c>
      <c r="G52" s="10" t="s">
        <v>256</v>
      </c>
      <c r="H52" s="10" t="s">
        <v>257</v>
      </c>
      <c r="I52" s="29" t="s">
        <v>62</v>
      </c>
      <c r="J52" s="10" t="s">
        <v>258</v>
      </c>
      <c r="K52" s="16" t="n">
        <v>4</v>
      </c>
    </row>
    <row r="53" customFormat="false" ht="180" hidden="false" customHeight="true" outlineLevel="0" collapsed="false">
      <c r="A53" s="17" t="s">
        <v>259</v>
      </c>
      <c r="B53" s="18" t="s">
        <v>260</v>
      </c>
      <c r="C53" s="19" t="s">
        <v>244</v>
      </c>
      <c r="D53" s="34" t="s">
        <v>147</v>
      </c>
      <c r="E53" s="36" t="s">
        <v>168</v>
      </c>
      <c r="F53" s="31" t="s">
        <v>42</v>
      </c>
      <c r="G53" s="18" t="s">
        <v>261</v>
      </c>
      <c r="H53" s="18" t="s">
        <v>262</v>
      </c>
      <c r="I53" s="25" t="s">
        <v>62</v>
      </c>
      <c r="J53" s="18" t="s">
        <v>263</v>
      </c>
      <c r="K53" s="23" t="n">
        <v>7</v>
      </c>
    </row>
    <row r="54" customFormat="false" ht="180" hidden="false" customHeight="true" outlineLevel="0" collapsed="false">
      <c r="A54" s="9" t="s">
        <v>264</v>
      </c>
      <c r="B54" s="10" t="s">
        <v>265</v>
      </c>
      <c r="C54" s="11" t="s">
        <v>244</v>
      </c>
      <c r="D54" s="38" t="s">
        <v>266</v>
      </c>
      <c r="E54" s="39" t="s">
        <v>267</v>
      </c>
      <c r="F54" s="14" t="s">
        <v>42</v>
      </c>
      <c r="G54" s="10" t="s">
        <v>268</v>
      </c>
      <c r="H54" s="10" t="s">
        <v>269</v>
      </c>
      <c r="I54" s="29" t="s">
        <v>62</v>
      </c>
      <c r="J54" s="10" t="s">
        <v>270</v>
      </c>
      <c r="K54" s="16" t="n">
        <v>2.5</v>
      </c>
    </row>
    <row r="55" customFormat="false" ht="180" hidden="false" customHeight="true" outlineLevel="0" collapsed="false">
      <c r="A55" s="17" t="s">
        <v>271</v>
      </c>
      <c r="B55" s="18" t="s">
        <v>272</v>
      </c>
      <c r="C55" s="19" t="s">
        <v>244</v>
      </c>
      <c r="D55" s="34" t="s">
        <v>147</v>
      </c>
      <c r="E55" s="36" t="s">
        <v>168</v>
      </c>
      <c r="F55" s="31" t="s">
        <v>42</v>
      </c>
      <c r="G55" s="18" t="s">
        <v>273</v>
      </c>
      <c r="H55" s="18" t="s">
        <v>274</v>
      </c>
      <c r="I55" s="25" t="s">
        <v>62</v>
      </c>
      <c r="J55" s="18" t="s">
        <v>275</v>
      </c>
      <c r="K55" s="23" t="n">
        <v>4</v>
      </c>
    </row>
    <row r="56" customFormat="false" ht="180" hidden="false" customHeight="true" outlineLevel="0" collapsed="false">
      <c r="A56" s="9" t="s">
        <v>276</v>
      </c>
      <c r="B56" s="10" t="s">
        <v>277</v>
      </c>
      <c r="C56" s="11" t="s">
        <v>244</v>
      </c>
      <c r="D56" s="34" t="s">
        <v>147</v>
      </c>
      <c r="E56" s="13" t="s">
        <v>41</v>
      </c>
      <c r="F56" s="14" t="s">
        <v>42</v>
      </c>
      <c r="G56" s="10" t="s">
        <v>233</v>
      </c>
      <c r="H56" s="10" t="s">
        <v>278</v>
      </c>
      <c r="I56" s="27" t="s">
        <v>69</v>
      </c>
      <c r="J56" s="10" t="s">
        <v>279</v>
      </c>
      <c r="K56" s="16" t="n">
        <v>2.5</v>
      </c>
    </row>
    <row r="57" customFormat="false" ht="180" hidden="false" customHeight="true" outlineLevel="0" collapsed="false">
      <c r="A57" s="17" t="s">
        <v>280</v>
      </c>
      <c r="B57" s="18" t="s">
        <v>281</v>
      </c>
      <c r="C57" s="19" t="s">
        <v>244</v>
      </c>
      <c r="D57" s="34" t="s">
        <v>147</v>
      </c>
      <c r="E57" s="20" t="s">
        <v>41</v>
      </c>
      <c r="F57" s="31" t="s">
        <v>42</v>
      </c>
      <c r="G57" s="18" t="s">
        <v>282</v>
      </c>
      <c r="H57" s="18" t="s">
        <v>283</v>
      </c>
      <c r="I57" s="25" t="s">
        <v>62</v>
      </c>
      <c r="J57" s="18" t="s">
        <v>284</v>
      </c>
      <c r="K57" s="23" t="n">
        <v>6</v>
      </c>
    </row>
    <row r="58" customFormat="false" ht="25.5" hidden="false" customHeight="true" outlineLevel="0" collapsed="false">
      <c r="A58" s="8" t="s">
        <v>285</v>
      </c>
      <c r="B58" s="8"/>
      <c r="C58" s="8"/>
      <c r="D58" s="8"/>
      <c r="E58" s="8"/>
      <c r="F58" s="8"/>
      <c r="G58" s="8"/>
      <c r="H58" s="8"/>
      <c r="I58" s="8"/>
      <c r="J58" s="8"/>
      <c r="K58" s="8"/>
    </row>
    <row r="59" customFormat="false" ht="180" hidden="false" customHeight="true" outlineLevel="0" collapsed="false">
      <c r="A59" s="9" t="s">
        <v>286</v>
      </c>
      <c r="B59" s="10" t="s">
        <v>287</v>
      </c>
      <c r="C59" s="11" t="s">
        <v>288</v>
      </c>
      <c r="D59" s="30" t="s">
        <v>91</v>
      </c>
      <c r="E59" s="35" t="s">
        <v>168</v>
      </c>
      <c r="F59" s="14" t="s">
        <v>42</v>
      </c>
      <c r="G59" s="10" t="s">
        <v>289</v>
      </c>
      <c r="H59" s="10" t="s">
        <v>290</v>
      </c>
      <c r="I59" s="29" t="s">
        <v>62</v>
      </c>
      <c r="J59" s="10" t="s">
        <v>291</v>
      </c>
      <c r="K59" s="16" t="n">
        <v>4</v>
      </c>
    </row>
    <row r="60" customFormat="false" ht="180" hidden="false" customHeight="true" outlineLevel="0" collapsed="false">
      <c r="A60" s="17" t="s">
        <v>292</v>
      </c>
      <c r="B60" s="18" t="s">
        <v>293</v>
      </c>
      <c r="C60" s="19" t="s">
        <v>288</v>
      </c>
      <c r="D60" s="30" t="s">
        <v>91</v>
      </c>
      <c r="E60" s="36" t="s">
        <v>168</v>
      </c>
      <c r="F60" s="31" t="s">
        <v>42</v>
      </c>
      <c r="G60" s="18" t="s">
        <v>289</v>
      </c>
      <c r="H60" s="18" t="s">
        <v>294</v>
      </c>
      <c r="I60" s="25" t="s">
        <v>62</v>
      </c>
      <c r="J60" s="18" t="s">
        <v>295</v>
      </c>
      <c r="K60" s="23" t="n">
        <v>4</v>
      </c>
    </row>
    <row r="61" customFormat="false" ht="180" hidden="false" customHeight="true" outlineLevel="0" collapsed="false">
      <c r="A61" s="9" t="s">
        <v>296</v>
      </c>
      <c r="B61" s="10" t="s">
        <v>297</v>
      </c>
      <c r="C61" s="11" t="s">
        <v>288</v>
      </c>
      <c r="D61" s="30" t="s">
        <v>91</v>
      </c>
      <c r="E61" s="40" t="s">
        <v>250</v>
      </c>
      <c r="F61" s="14" t="s">
        <v>42</v>
      </c>
      <c r="G61" s="10" t="s">
        <v>289</v>
      </c>
      <c r="H61" s="10" t="s">
        <v>298</v>
      </c>
      <c r="I61" s="29" t="s">
        <v>62</v>
      </c>
      <c r="J61" s="10" t="s">
        <v>299</v>
      </c>
      <c r="K61" s="16" t="n">
        <v>4</v>
      </c>
    </row>
    <row r="62" customFormat="false" ht="180" hidden="false" customHeight="true" outlineLevel="0" collapsed="false">
      <c r="A62" s="17" t="s">
        <v>300</v>
      </c>
      <c r="B62" s="18" t="s">
        <v>301</v>
      </c>
      <c r="C62" s="19" t="s">
        <v>288</v>
      </c>
      <c r="D62" s="30" t="s">
        <v>91</v>
      </c>
      <c r="E62" s="37" t="s">
        <v>250</v>
      </c>
      <c r="F62" s="41" t="s">
        <v>66</v>
      </c>
      <c r="G62" s="18" t="s">
        <v>302</v>
      </c>
      <c r="H62" s="18" t="s">
        <v>303</v>
      </c>
      <c r="I62" s="32" t="s">
        <v>69</v>
      </c>
      <c r="J62" s="18" t="s">
        <v>304</v>
      </c>
      <c r="K62" s="23" t="n">
        <v>6</v>
      </c>
    </row>
    <row r="63" customFormat="false" ht="180" hidden="false" customHeight="true" outlineLevel="0" collapsed="false">
      <c r="A63" s="9" t="s">
        <v>305</v>
      </c>
      <c r="B63" s="10" t="s">
        <v>306</v>
      </c>
      <c r="C63" s="11" t="s">
        <v>288</v>
      </c>
      <c r="D63" s="30" t="s">
        <v>91</v>
      </c>
      <c r="E63" s="40" t="s">
        <v>250</v>
      </c>
      <c r="F63" s="14" t="s">
        <v>42</v>
      </c>
      <c r="G63" s="10" t="s">
        <v>307</v>
      </c>
      <c r="H63" s="10" t="s">
        <v>308</v>
      </c>
      <c r="I63" s="27" t="s">
        <v>69</v>
      </c>
      <c r="J63" s="10" t="s">
        <v>309</v>
      </c>
      <c r="K63" s="16" t="n">
        <v>2</v>
      </c>
    </row>
    <row r="64" customFormat="false" ht="180" hidden="false" customHeight="true" outlineLevel="0" collapsed="false">
      <c r="A64" s="17" t="s">
        <v>310</v>
      </c>
      <c r="B64" s="18" t="s">
        <v>311</v>
      </c>
      <c r="C64" s="19" t="s">
        <v>288</v>
      </c>
      <c r="D64" s="34" t="s">
        <v>147</v>
      </c>
      <c r="E64" s="36" t="s">
        <v>168</v>
      </c>
      <c r="F64" s="41" t="s">
        <v>66</v>
      </c>
      <c r="G64" s="18" t="s">
        <v>312</v>
      </c>
      <c r="H64" s="18" t="s">
        <v>313</v>
      </c>
      <c r="I64" s="32" t="s">
        <v>69</v>
      </c>
      <c r="J64" s="18" t="s">
        <v>314</v>
      </c>
      <c r="K64" s="23" t="n">
        <v>4</v>
      </c>
    </row>
    <row r="65" customFormat="false" ht="180" hidden="false" customHeight="true" outlineLevel="0" collapsed="false">
      <c r="A65" s="9" t="s">
        <v>315</v>
      </c>
      <c r="B65" s="10" t="s">
        <v>316</v>
      </c>
      <c r="C65" s="11" t="s">
        <v>288</v>
      </c>
      <c r="D65" s="34" t="s">
        <v>147</v>
      </c>
      <c r="E65" s="35" t="s">
        <v>168</v>
      </c>
      <c r="F65" s="14" t="s">
        <v>42</v>
      </c>
      <c r="G65" s="10" t="s">
        <v>317</v>
      </c>
      <c r="H65" s="10" t="s">
        <v>318</v>
      </c>
      <c r="I65" s="27" t="s">
        <v>69</v>
      </c>
      <c r="J65" s="10" t="s">
        <v>319</v>
      </c>
      <c r="K65" s="16" t="n">
        <v>5</v>
      </c>
    </row>
    <row r="66" customFormat="false" ht="25.5" hidden="false" customHeight="true" outlineLevel="0" collapsed="false">
      <c r="A66" s="8" t="s">
        <v>320</v>
      </c>
      <c r="B66" s="8"/>
      <c r="C66" s="8"/>
      <c r="D66" s="8"/>
      <c r="E66" s="8"/>
      <c r="F66" s="8"/>
      <c r="G66" s="8"/>
      <c r="H66" s="8"/>
      <c r="I66" s="8"/>
      <c r="J66" s="8"/>
      <c r="K66" s="8"/>
    </row>
    <row r="67" customFormat="false" ht="180" hidden="false" customHeight="true" outlineLevel="0" collapsed="false">
      <c r="A67" s="9" t="s">
        <v>321</v>
      </c>
      <c r="B67" s="10" t="s">
        <v>322</v>
      </c>
      <c r="C67" s="11" t="s">
        <v>323</v>
      </c>
      <c r="D67" s="30" t="s">
        <v>91</v>
      </c>
      <c r="E67" s="35" t="s">
        <v>168</v>
      </c>
      <c r="F67" s="42" t="s">
        <v>73</v>
      </c>
      <c r="G67" s="10" t="s">
        <v>324</v>
      </c>
      <c r="H67" s="10" t="s">
        <v>325</v>
      </c>
      <c r="I67" s="29" t="s">
        <v>62</v>
      </c>
      <c r="J67" s="10" t="s">
        <v>326</v>
      </c>
      <c r="K67" s="16" t="n">
        <v>2</v>
      </c>
    </row>
    <row r="68" customFormat="false" ht="180" hidden="false" customHeight="true" outlineLevel="0" collapsed="false">
      <c r="A68" s="17" t="s">
        <v>327</v>
      </c>
      <c r="B68" s="18" t="s">
        <v>328</v>
      </c>
      <c r="C68" s="19" t="s">
        <v>323</v>
      </c>
      <c r="D68" s="30" t="s">
        <v>91</v>
      </c>
      <c r="E68" s="36" t="s">
        <v>168</v>
      </c>
      <c r="F68" s="28" t="s">
        <v>73</v>
      </c>
      <c r="G68" s="18" t="s">
        <v>329</v>
      </c>
      <c r="H68" s="18" t="s">
        <v>330</v>
      </c>
      <c r="I68" s="25" t="s">
        <v>62</v>
      </c>
      <c r="J68" s="18" t="s">
        <v>331</v>
      </c>
      <c r="K68" s="23" t="n">
        <v>2</v>
      </c>
    </row>
    <row r="69" customFormat="false" ht="180" hidden="false" customHeight="true" outlineLevel="0" collapsed="false">
      <c r="A69" s="9" t="s">
        <v>332</v>
      </c>
      <c r="B69" s="10" t="s">
        <v>333</v>
      </c>
      <c r="C69" s="11" t="s">
        <v>323</v>
      </c>
      <c r="D69" s="30" t="s">
        <v>91</v>
      </c>
      <c r="E69" s="35" t="s">
        <v>168</v>
      </c>
      <c r="F69" s="26" t="s">
        <v>66</v>
      </c>
      <c r="G69" s="10" t="s">
        <v>334</v>
      </c>
      <c r="H69" s="10" t="s">
        <v>335</v>
      </c>
      <c r="I69" s="27" t="s">
        <v>69</v>
      </c>
      <c r="J69" s="10" t="s">
        <v>336</v>
      </c>
      <c r="K69" s="16" t="n">
        <v>10</v>
      </c>
    </row>
    <row r="70" customFormat="false" ht="180" hidden="false" customHeight="true" outlineLevel="0" collapsed="false">
      <c r="A70" s="17" t="s">
        <v>337</v>
      </c>
      <c r="B70" s="18" t="s">
        <v>338</v>
      </c>
      <c r="C70" s="19" t="s">
        <v>323</v>
      </c>
      <c r="D70" s="30" t="s">
        <v>91</v>
      </c>
      <c r="E70" s="36" t="s">
        <v>168</v>
      </c>
      <c r="F70" s="41" t="s">
        <v>66</v>
      </c>
      <c r="G70" s="18" t="s">
        <v>339</v>
      </c>
      <c r="H70" s="18" t="s">
        <v>340</v>
      </c>
      <c r="I70" s="32" t="s">
        <v>69</v>
      </c>
      <c r="J70" s="18" t="s">
        <v>341</v>
      </c>
      <c r="K70" s="23" t="n">
        <v>4</v>
      </c>
    </row>
    <row r="71" customFormat="false" ht="180" hidden="false" customHeight="true" outlineLevel="0" collapsed="false">
      <c r="A71" s="9" t="s">
        <v>342</v>
      </c>
      <c r="B71" s="10" t="s">
        <v>343</v>
      </c>
      <c r="C71" s="11" t="s">
        <v>323</v>
      </c>
      <c r="D71" s="30" t="s">
        <v>91</v>
      </c>
      <c r="E71" s="13" t="s">
        <v>41</v>
      </c>
      <c r="F71" s="26" t="s">
        <v>66</v>
      </c>
      <c r="G71" s="10" t="s">
        <v>344</v>
      </c>
      <c r="H71" s="10" t="s">
        <v>345</v>
      </c>
      <c r="I71" s="29" t="s">
        <v>62</v>
      </c>
      <c r="J71" s="10" t="s">
        <v>346</v>
      </c>
      <c r="K71" s="16" t="n">
        <v>5</v>
      </c>
    </row>
    <row r="72" customFormat="false" ht="180" hidden="false" customHeight="true" outlineLevel="0" collapsed="false">
      <c r="A72" s="17" t="s">
        <v>347</v>
      </c>
      <c r="B72" s="18" t="s">
        <v>348</v>
      </c>
      <c r="C72" s="19" t="s">
        <v>323</v>
      </c>
      <c r="D72" s="30" t="s">
        <v>91</v>
      </c>
      <c r="E72" s="20" t="s">
        <v>41</v>
      </c>
      <c r="F72" s="41" t="s">
        <v>66</v>
      </c>
      <c r="G72" s="18" t="s">
        <v>349</v>
      </c>
      <c r="H72" s="18" t="s">
        <v>350</v>
      </c>
      <c r="I72" s="25" t="s">
        <v>62</v>
      </c>
      <c r="J72" s="18" t="s">
        <v>351</v>
      </c>
      <c r="K72" s="23" t="n">
        <v>3</v>
      </c>
    </row>
    <row r="73" customFormat="false" ht="180" hidden="false" customHeight="true" outlineLevel="0" collapsed="false">
      <c r="A73" s="9" t="s">
        <v>352</v>
      </c>
      <c r="B73" s="10" t="s">
        <v>353</v>
      </c>
      <c r="C73" s="11" t="s">
        <v>323</v>
      </c>
      <c r="D73" s="30" t="s">
        <v>91</v>
      </c>
      <c r="E73" s="35" t="s">
        <v>168</v>
      </c>
      <c r="F73" s="14" t="s">
        <v>42</v>
      </c>
      <c r="G73" s="10" t="s">
        <v>354</v>
      </c>
      <c r="H73" s="10" t="s">
        <v>355</v>
      </c>
      <c r="I73" s="27" t="s">
        <v>69</v>
      </c>
      <c r="J73" s="10" t="s">
        <v>356</v>
      </c>
      <c r="K73" s="16" t="n">
        <v>8</v>
      </c>
    </row>
    <row r="74" customFormat="false" ht="180" hidden="false" customHeight="true" outlineLevel="0" collapsed="false">
      <c r="A74" s="17" t="s">
        <v>357</v>
      </c>
      <c r="B74" s="18" t="s">
        <v>358</v>
      </c>
      <c r="C74" s="19" t="s">
        <v>323</v>
      </c>
      <c r="D74" s="30" t="s">
        <v>91</v>
      </c>
      <c r="E74" s="20" t="s">
        <v>41</v>
      </c>
      <c r="F74" s="41" t="s">
        <v>66</v>
      </c>
      <c r="G74" s="18" t="s">
        <v>359</v>
      </c>
      <c r="H74" s="18" t="s">
        <v>360</v>
      </c>
      <c r="I74" s="32" t="s">
        <v>69</v>
      </c>
      <c r="J74" s="18" t="s">
        <v>361</v>
      </c>
      <c r="K74" s="23" t="n">
        <v>4</v>
      </c>
    </row>
    <row r="75" customFormat="false" ht="25.5" hidden="false" customHeight="true" outlineLevel="0" collapsed="false">
      <c r="A75" s="8" t="s">
        <v>362</v>
      </c>
      <c r="B75" s="8"/>
      <c r="C75" s="8"/>
      <c r="D75" s="8"/>
      <c r="E75" s="8"/>
      <c r="F75" s="8"/>
      <c r="G75" s="8"/>
      <c r="H75" s="8"/>
      <c r="I75" s="8"/>
      <c r="J75" s="8"/>
      <c r="K75" s="8"/>
    </row>
    <row r="76" customFormat="false" ht="180" hidden="false" customHeight="true" outlineLevel="0" collapsed="false">
      <c r="A76" s="9" t="s">
        <v>363</v>
      </c>
      <c r="B76" s="10" t="s">
        <v>364</v>
      </c>
      <c r="C76" s="11" t="s">
        <v>365</v>
      </c>
      <c r="D76" s="30" t="s">
        <v>91</v>
      </c>
      <c r="E76" s="40" t="s">
        <v>250</v>
      </c>
      <c r="F76" s="24" t="s">
        <v>49</v>
      </c>
      <c r="G76" s="10" t="s">
        <v>366</v>
      </c>
      <c r="H76" s="10" t="s">
        <v>367</v>
      </c>
      <c r="I76" s="27" t="s">
        <v>69</v>
      </c>
      <c r="J76" s="10" t="s">
        <v>368</v>
      </c>
      <c r="K76" s="16" t="n">
        <v>6</v>
      </c>
    </row>
    <row r="77" customFormat="false" ht="180" hidden="false" customHeight="true" outlineLevel="0" collapsed="false">
      <c r="A77" s="17" t="s">
        <v>369</v>
      </c>
      <c r="B77" s="18" t="s">
        <v>370</v>
      </c>
      <c r="C77" s="19" t="s">
        <v>365</v>
      </c>
      <c r="D77" s="30" t="s">
        <v>91</v>
      </c>
      <c r="E77" s="37" t="s">
        <v>250</v>
      </c>
      <c r="F77" s="28" t="s">
        <v>73</v>
      </c>
      <c r="G77" s="18" t="s">
        <v>371</v>
      </c>
      <c r="H77" s="18" t="s">
        <v>372</v>
      </c>
      <c r="I77" s="32" t="s">
        <v>69</v>
      </c>
      <c r="J77" s="18" t="s">
        <v>373</v>
      </c>
      <c r="K77" s="23" t="n">
        <v>8</v>
      </c>
    </row>
    <row r="78" customFormat="false" ht="180" hidden="false" customHeight="true" outlineLevel="0" collapsed="false">
      <c r="A78" s="9" t="s">
        <v>374</v>
      </c>
      <c r="B78" s="10" t="s">
        <v>375</v>
      </c>
      <c r="C78" s="11" t="s">
        <v>365</v>
      </c>
      <c r="D78" s="30" t="s">
        <v>91</v>
      </c>
      <c r="E78" s="13" t="s">
        <v>41</v>
      </c>
      <c r="F78" s="26" t="s">
        <v>66</v>
      </c>
      <c r="G78" s="10" t="s">
        <v>376</v>
      </c>
      <c r="H78" s="10" t="s">
        <v>377</v>
      </c>
      <c r="I78" s="27" t="s">
        <v>69</v>
      </c>
      <c r="J78" s="10" t="s">
        <v>378</v>
      </c>
      <c r="K78" s="16" t="n">
        <v>2.5</v>
      </c>
    </row>
    <row r="79" customFormat="false" ht="174" hidden="false" customHeight="true" outlineLevel="0" collapsed="false">
      <c r="A79" s="17" t="s">
        <v>379</v>
      </c>
      <c r="B79" s="18" t="s">
        <v>380</v>
      </c>
      <c r="C79" s="19" t="s">
        <v>365</v>
      </c>
      <c r="D79" s="30" t="s">
        <v>91</v>
      </c>
      <c r="E79" s="20" t="s">
        <v>41</v>
      </c>
      <c r="F79" s="41" t="s">
        <v>66</v>
      </c>
      <c r="G79" s="18" t="s">
        <v>376</v>
      </c>
      <c r="H79" s="18" t="s">
        <v>381</v>
      </c>
      <c r="I79" s="32" t="s">
        <v>69</v>
      </c>
      <c r="J79" s="18" t="s">
        <v>382</v>
      </c>
      <c r="K79" s="23" t="n">
        <v>2.5</v>
      </c>
    </row>
    <row r="80" customFormat="false" ht="126" hidden="false" customHeight="true" outlineLevel="0" collapsed="false">
      <c r="A80" s="9" t="s">
        <v>383</v>
      </c>
      <c r="B80" s="10" t="s">
        <v>384</v>
      </c>
      <c r="C80" s="11" t="s">
        <v>365</v>
      </c>
      <c r="D80" s="30" t="s">
        <v>91</v>
      </c>
      <c r="E80" s="13" t="s">
        <v>41</v>
      </c>
      <c r="F80" s="26" t="s">
        <v>66</v>
      </c>
      <c r="G80" s="10" t="s">
        <v>376</v>
      </c>
      <c r="H80" s="10" t="s">
        <v>385</v>
      </c>
      <c r="I80" s="27" t="s">
        <v>69</v>
      </c>
      <c r="J80" s="10" t="s">
        <v>386</v>
      </c>
      <c r="K80" s="16" t="n">
        <v>2.5</v>
      </c>
    </row>
    <row r="81" customFormat="false" ht="180" hidden="false" customHeight="true" outlineLevel="0" collapsed="false">
      <c r="A81" s="17" t="s">
        <v>387</v>
      </c>
      <c r="B81" s="18" t="s">
        <v>388</v>
      </c>
      <c r="C81" s="19" t="s">
        <v>365</v>
      </c>
      <c r="D81" s="30" t="s">
        <v>91</v>
      </c>
      <c r="E81" s="20" t="s">
        <v>41</v>
      </c>
      <c r="F81" s="41" t="s">
        <v>66</v>
      </c>
      <c r="G81" s="18" t="s">
        <v>376</v>
      </c>
      <c r="H81" s="18" t="s">
        <v>389</v>
      </c>
      <c r="I81" s="32" t="s">
        <v>69</v>
      </c>
      <c r="J81" s="18" t="s">
        <v>390</v>
      </c>
      <c r="K81" s="23" t="n">
        <v>2.5</v>
      </c>
    </row>
    <row r="82" customFormat="false" ht="180" hidden="false" customHeight="true" outlineLevel="0" collapsed="false">
      <c r="A82" s="9" t="s">
        <v>391</v>
      </c>
      <c r="B82" s="10" t="s">
        <v>392</v>
      </c>
      <c r="C82" s="11" t="s">
        <v>365</v>
      </c>
      <c r="D82" s="30" t="s">
        <v>91</v>
      </c>
      <c r="E82" s="13" t="s">
        <v>41</v>
      </c>
      <c r="F82" s="26" t="s">
        <v>66</v>
      </c>
      <c r="G82" s="10" t="s">
        <v>376</v>
      </c>
      <c r="H82" s="10" t="s">
        <v>393</v>
      </c>
      <c r="I82" s="27" t="s">
        <v>69</v>
      </c>
      <c r="J82" s="10" t="s">
        <v>394</v>
      </c>
      <c r="K82" s="16" t="n">
        <v>3</v>
      </c>
    </row>
    <row r="83" customFormat="false" ht="25.5" hidden="false" customHeight="true" outlineLevel="0" collapsed="false">
      <c r="A83" s="8" t="s">
        <v>395</v>
      </c>
      <c r="B83" s="8"/>
      <c r="C83" s="8"/>
      <c r="D83" s="8"/>
      <c r="E83" s="8"/>
      <c r="F83" s="8"/>
      <c r="G83" s="8"/>
      <c r="H83" s="8"/>
      <c r="I83" s="8"/>
      <c r="J83" s="8"/>
      <c r="K83" s="8"/>
    </row>
    <row r="84" customFormat="false" ht="180" hidden="false" customHeight="true" outlineLevel="0" collapsed="false">
      <c r="A84" s="9" t="s">
        <v>396</v>
      </c>
      <c r="B84" s="10" t="s">
        <v>397</v>
      </c>
      <c r="C84" s="11" t="s">
        <v>398</v>
      </c>
      <c r="D84" s="30" t="s">
        <v>91</v>
      </c>
      <c r="E84" s="40" t="s">
        <v>250</v>
      </c>
      <c r="F84" s="43" t="s">
        <v>130</v>
      </c>
      <c r="G84" s="10" t="s">
        <v>399</v>
      </c>
      <c r="H84" s="10" t="s">
        <v>400</v>
      </c>
      <c r="I84" s="27" t="s">
        <v>69</v>
      </c>
      <c r="J84" s="10" t="s">
        <v>401</v>
      </c>
      <c r="K84" s="16" t="n">
        <v>4</v>
      </c>
    </row>
    <row r="85" customFormat="false" ht="180" hidden="false" customHeight="true" outlineLevel="0" collapsed="false">
      <c r="A85" s="17" t="s">
        <v>402</v>
      </c>
      <c r="B85" s="18" t="s">
        <v>403</v>
      </c>
      <c r="C85" s="19" t="s">
        <v>398</v>
      </c>
      <c r="D85" s="30" t="s">
        <v>91</v>
      </c>
      <c r="E85" s="37" t="s">
        <v>250</v>
      </c>
      <c r="F85" s="33" t="s">
        <v>130</v>
      </c>
      <c r="G85" s="18" t="s">
        <v>404</v>
      </c>
      <c r="H85" s="18" t="s">
        <v>405</v>
      </c>
      <c r="I85" s="32" t="s">
        <v>69</v>
      </c>
      <c r="J85" s="18" t="s">
        <v>406</v>
      </c>
      <c r="K85" s="23" t="n">
        <v>3</v>
      </c>
    </row>
    <row r="86" customFormat="false" ht="180" hidden="false" customHeight="true" outlineLevel="0" collapsed="false">
      <c r="A86" s="9" t="s">
        <v>407</v>
      </c>
      <c r="B86" s="10" t="s">
        <v>408</v>
      </c>
      <c r="C86" s="11" t="s">
        <v>398</v>
      </c>
      <c r="D86" s="30" t="s">
        <v>91</v>
      </c>
      <c r="E86" s="40" t="s">
        <v>250</v>
      </c>
      <c r="F86" s="43" t="s">
        <v>130</v>
      </c>
      <c r="G86" s="10" t="s">
        <v>409</v>
      </c>
      <c r="H86" s="10" t="s">
        <v>410</v>
      </c>
      <c r="I86" s="27" t="s">
        <v>69</v>
      </c>
      <c r="J86" s="10" t="s">
        <v>411</v>
      </c>
      <c r="K86" s="16" t="n">
        <v>2</v>
      </c>
    </row>
    <row r="87" customFormat="false" ht="180" hidden="false" customHeight="true" outlineLevel="0" collapsed="false">
      <c r="A87" s="17" t="s">
        <v>412</v>
      </c>
      <c r="B87" s="18" t="s">
        <v>413</v>
      </c>
      <c r="C87" s="19" t="s">
        <v>398</v>
      </c>
      <c r="D87" s="30" t="s">
        <v>91</v>
      </c>
      <c r="E87" s="37" t="s">
        <v>250</v>
      </c>
      <c r="F87" s="28" t="s">
        <v>73</v>
      </c>
      <c r="G87" s="18" t="s">
        <v>414</v>
      </c>
      <c r="H87" s="18" t="s">
        <v>415</v>
      </c>
      <c r="I87" s="32" t="s">
        <v>69</v>
      </c>
      <c r="J87" s="18" t="s">
        <v>416</v>
      </c>
      <c r="K87" s="23" t="n">
        <v>3</v>
      </c>
    </row>
    <row r="88" customFormat="false" ht="180" hidden="false" customHeight="true" outlineLevel="0" collapsed="false">
      <c r="A88" s="9" t="s">
        <v>417</v>
      </c>
      <c r="B88" s="10" t="s">
        <v>418</v>
      </c>
      <c r="C88" s="11" t="s">
        <v>398</v>
      </c>
      <c r="D88" s="30" t="s">
        <v>91</v>
      </c>
      <c r="E88" s="40" t="s">
        <v>250</v>
      </c>
      <c r="F88" s="42" t="s">
        <v>73</v>
      </c>
      <c r="G88" s="10" t="s">
        <v>419</v>
      </c>
      <c r="H88" s="10" t="s">
        <v>420</v>
      </c>
      <c r="I88" s="27" t="s">
        <v>69</v>
      </c>
      <c r="J88" s="10" t="s">
        <v>421</v>
      </c>
      <c r="K88" s="16" t="n">
        <v>4</v>
      </c>
    </row>
    <row r="89" customFormat="false" ht="180" hidden="false" customHeight="true" outlineLevel="0" collapsed="false">
      <c r="A89" s="17" t="s">
        <v>422</v>
      </c>
      <c r="B89" s="18" t="s">
        <v>423</v>
      </c>
      <c r="C89" s="19" t="s">
        <v>398</v>
      </c>
      <c r="D89" s="34" t="s">
        <v>147</v>
      </c>
      <c r="E89" s="44" t="s">
        <v>267</v>
      </c>
      <c r="F89" s="33" t="s">
        <v>130</v>
      </c>
      <c r="G89" s="18" t="s">
        <v>424</v>
      </c>
      <c r="H89" s="18" t="s">
        <v>425</v>
      </c>
      <c r="I89" s="32" t="s">
        <v>69</v>
      </c>
      <c r="J89" s="18" t="s">
        <v>426</v>
      </c>
      <c r="K89" s="23" t="n">
        <v>4</v>
      </c>
    </row>
    <row r="90" customFormat="false" ht="25.5" hidden="false" customHeight="true" outlineLevel="0" collapsed="false">
      <c r="A90" s="8" t="s">
        <v>427</v>
      </c>
      <c r="B90" s="8"/>
      <c r="C90" s="8"/>
      <c r="D90" s="8"/>
      <c r="E90" s="8"/>
      <c r="F90" s="8"/>
      <c r="G90" s="8"/>
      <c r="H90" s="8"/>
      <c r="I90" s="8"/>
      <c r="J90" s="8"/>
      <c r="K90" s="8"/>
    </row>
    <row r="91" customFormat="false" ht="180" hidden="false" customHeight="true" outlineLevel="0" collapsed="false">
      <c r="A91" s="9" t="s">
        <v>428</v>
      </c>
      <c r="B91" s="10" t="s">
        <v>429</v>
      </c>
      <c r="C91" s="11" t="s">
        <v>430</v>
      </c>
      <c r="D91" s="34" t="s">
        <v>147</v>
      </c>
      <c r="E91" s="13" t="s">
        <v>41</v>
      </c>
      <c r="F91" s="14" t="s">
        <v>42</v>
      </c>
      <c r="G91" s="10" t="s">
        <v>431</v>
      </c>
      <c r="H91" s="10" t="s">
        <v>432</v>
      </c>
      <c r="I91" s="27" t="s">
        <v>69</v>
      </c>
      <c r="J91" s="10" t="s">
        <v>433</v>
      </c>
      <c r="K91" s="16" t="n">
        <v>6</v>
      </c>
    </row>
    <row r="92" customFormat="false" ht="180" hidden="false" customHeight="true" outlineLevel="0" collapsed="false">
      <c r="A92" s="17" t="s">
        <v>434</v>
      </c>
      <c r="B92" s="18" t="s">
        <v>435</v>
      </c>
      <c r="C92" s="19" t="s">
        <v>430</v>
      </c>
      <c r="D92" s="34" t="s">
        <v>147</v>
      </c>
      <c r="E92" s="36" t="s">
        <v>168</v>
      </c>
      <c r="F92" s="31" t="s">
        <v>42</v>
      </c>
      <c r="G92" s="18" t="s">
        <v>436</v>
      </c>
      <c r="H92" s="18" t="s">
        <v>437</v>
      </c>
      <c r="I92" s="32" t="s">
        <v>69</v>
      </c>
      <c r="J92" s="18" t="s">
        <v>438</v>
      </c>
      <c r="K92" s="23" t="n">
        <v>4</v>
      </c>
    </row>
    <row r="93" customFormat="false" ht="180" hidden="false" customHeight="true" outlineLevel="0" collapsed="false">
      <c r="A93" s="9" t="s">
        <v>439</v>
      </c>
      <c r="B93" s="10" t="s">
        <v>440</v>
      </c>
      <c r="C93" s="11" t="s">
        <v>430</v>
      </c>
      <c r="D93" s="34" t="s">
        <v>147</v>
      </c>
      <c r="E93" s="13" t="s">
        <v>41</v>
      </c>
      <c r="F93" s="42" t="s">
        <v>73</v>
      </c>
      <c r="G93" s="10" t="s">
        <v>441</v>
      </c>
      <c r="H93" s="10" t="s">
        <v>442</v>
      </c>
      <c r="I93" s="15" t="s">
        <v>45</v>
      </c>
      <c r="J93" s="10" t="s">
        <v>443</v>
      </c>
      <c r="K93" s="16" t="n">
        <v>2</v>
      </c>
    </row>
    <row r="94" customFormat="false" ht="180" hidden="false" customHeight="true" outlineLevel="0" collapsed="false">
      <c r="A94" s="17" t="s">
        <v>444</v>
      </c>
      <c r="B94" s="18" t="s">
        <v>445</v>
      </c>
      <c r="C94" s="19" t="s">
        <v>430</v>
      </c>
      <c r="D94" s="30" t="s">
        <v>91</v>
      </c>
      <c r="E94" s="20" t="s">
        <v>41</v>
      </c>
      <c r="F94" s="21" t="s">
        <v>49</v>
      </c>
      <c r="G94" s="18" t="s">
        <v>446</v>
      </c>
      <c r="H94" s="18" t="s">
        <v>447</v>
      </c>
      <c r="I94" s="25" t="s">
        <v>62</v>
      </c>
      <c r="J94" s="18" t="s">
        <v>448</v>
      </c>
      <c r="K94" s="23" t="n">
        <v>1</v>
      </c>
    </row>
    <row r="95" customFormat="false" ht="180" hidden="false" customHeight="true" outlineLevel="0" collapsed="false">
      <c r="A95" s="9" t="s">
        <v>449</v>
      </c>
      <c r="B95" s="10" t="s">
        <v>450</v>
      </c>
      <c r="C95" s="11" t="s">
        <v>430</v>
      </c>
      <c r="D95" s="30" t="s">
        <v>91</v>
      </c>
      <c r="E95" s="13" t="s">
        <v>41</v>
      </c>
      <c r="F95" s="24" t="s">
        <v>49</v>
      </c>
      <c r="G95" s="10" t="s">
        <v>446</v>
      </c>
      <c r="H95" s="10" t="s">
        <v>451</v>
      </c>
      <c r="I95" s="29" t="s">
        <v>62</v>
      </c>
      <c r="J95" s="10" t="s">
        <v>452</v>
      </c>
      <c r="K95" s="16" t="n">
        <v>1.5</v>
      </c>
    </row>
    <row r="96" customFormat="false" ht="180" hidden="false" customHeight="true" outlineLevel="0" collapsed="false">
      <c r="A96" s="17" t="s">
        <v>453</v>
      </c>
      <c r="B96" s="18" t="s">
        <v>454</v>
      </c>
      <c r="C96" s="19" t="s">
        <v>430</v>
      </c>
      <c r="D96" s="34" t="s">
        <v>147</v>
      </c>
      <c r="E96" s="20" t="s">
        <v>41</v>
      </c>
      <c r="F96" s="31" t="s">
        <v>42</v>
      </c>
      <c r="G96" s="18" t="s">
        <v>455</v>
      </c>
      <c r="H96" s="18" t="s">
        <v>456</v>
      </c>
      <c r="I96" s="32" t="s">
        <v>69</v>
      </c>
      <c r="J96" s="18" t="s">
        <v>457</v>
      </c>
      <c r="K96" s="23" t="n">
        <v>3</v>
      </c>
    </row>
    <row r="97" customFormat="false" ht="25.5" hidden="false" customHeight="true" outlineLevel="0" collapsed="false">
      <c r="A97" s="8" t="s">
        <v>458</v>
      </c>
      <c r="B97" s="8"/>
      <c r="C97" s="8"/>
      <c r="D97" s="8"/>
      <c r="E97" s="8"/>
      <c r="F97" s="8"/>
      <c r="G97" s="8"/>
      <c r="H97" s="8"/>
      <c r="I97" s="8"/>
      <c r="J97" s="8"/>
      <c r="K97" s="8"/>
    </row>
    <row r="98" customFormat="false" ht="180" hidden="false" customHeight="true" outlineLevel="0" collapsed="false">
      <c r="A98" s="9" t="s">
        <v>459</v>
      </c>
      <c r="B98" s="10" t="s">
        <v>460</v>
      </c>
      <c r="C98" s="11" t="s">
        <v>461</v>
      </c>
      <c r="D98" s="34" t="s">
        <v>147</v>
      </c>
      <c r="E98" s="39" t="s">
        <v>267</v>
      </c>
      <c r="F98" s="43" t="s">
        <v>130</v>
      </c>
      <c r="G98" s="10" t="s">
        <v>462</v>
      </c>
      <c r="H98" s="10" t="s">
        <v>463</v>
      </c>
      <c r="I98" s="27" t="s">
        <v>69</v>
      </c>
      <c r="J98" s="10" t="s">
        <v>464</v>
      </c>
      <c r="K98" s="16" t="n">
        <v>2</v>
      </c>
    </row>
    <row r="99" customFormat="false" ht="180" hidden="false" customHeight="true" outlineLevel="0" collapsed="false">
      <c r="A99" s="17" t="s">
        <v>465</v>
      </c>
      <c r="B99" s="18" t="s">
        <v>466</v>
      </c>
      <c r="C99" s="19" t="s">
        <v>461</v>
      </c>
      <c r="D99" s="34" t="s">
        <v>147</v>
      </c>
      <c r="E99" s="44" t="s">
        <v>267</v>
      </c>
      <c r="F99" s="33" t="s">
        <v>130</v>
      </c>
      <c r="G99" s="18" t="s">
        <v>467</v>
      </c>
      <c r="H99" s="18" t="s">
        <v>468</v>
      </c>
      <c r="I99" s="32" t="s">
        <v>69</v>
      </c>
      <c r="J99" s="18" t="s">
        <v>469</v>
      </c>
      <c r="K99" s="23" t="n">
        <v>2.5</v>
      </c>
    </row>
    <row r="100" customFormat="false" ht="180" hidden="false" customHeight="true" outlineLevel="0" collapsed="false">
      <c r="A100" s="9" t="s">
        <v>470</v>
      </c>
      <c r="B100" s="10" t="s">
        <v>471</v>
      </c>
      <c r="C100" s="11" t="s">
        <v>461</v>
      </c>
      <c r="D100" s="34" t="s">
        <v>147</v>
      </c>
      <c r="E100" s="39" t="s">
        <v>267</v>
      </c>
      <c r="F100" s="43" t="s">
        <v>130</v>
      </c>
      <c r="G100" s="10" t="s">
        <v>472</v>
      </c>
      <c r="H100" s="10" t="s">
        <v>473</v>
      </c>
      <c r="I100" s="27" t="s">
        <v>69</v>
      </c>
      <c r="J100" s="10" t="s">
        <v>474</v>
      </c>
      <c r="K100" s="16" t="n">
        <v>2.5</v>
      </c>
    </row>
    <row r="101" customFormat="false" ht="180" hidden="false" customHeight="true" outlineLevel="0" collapsed="false">
      <c r="A101" s="17" t="s">
        <v>475</v>
      </c>
      <c r="B101" s="18" t="s">
        <v>476</v>
      </c>
      <c r="C101" s="19" t="s">
        <v>461</v>
      </c>
      <c r="D101" s="34" t="s">
        <v>147</v>
      </c>
      <c r="E101" s="44" t="s">
        <v>267</v>
      </c>
      <c r="F101" s="45" t="s">
        <v>477</v>
      </c>
      <c r="G101" s="18" t="s">
        <v>478</v>
      </c>
      <c r="H101" s="18" t="s">
        <v>479</v>
      </c>
      <c r="I101" s="25" t="s">
        <v>62</v>
      </c>
      <c r="J101" s="18" t="s">
        <v>480</v>
      </c>
      <c r="K101" s="23" t="n">
        <v>4</v>
      </c>
    </row>
    <row r="102" customFormat="false" ht="180" hidden="false" customHeight="true" outlineLevel="0" collapsed="false">
      <c r="A102" s="9" t="s">
        <v>481</v>
      </c>
      <c r="B102" s="10" t="s">
        <v>482</v>
      </c>
      <c r="C102" s="11" t="s">
        <v>461</v>
      </c>
      <c r="D102" s="34" t="s">
        <v>147</v>
      </c>
      <c r="E102" s="39" t="s">
        <v>267</v>
      </c>
      <c r="F102" s="46" t="s">
        <v>477</v>
      </c>
      <c r="G102" s="10" t="s">
        <v>483</v>
      </c>
      <c r="H102" s="10" t="s">
        <v>484</v>
      </c>
      <c r="I102" s="29" t="s">
        <v>62</v>
      </c>
      <c r="J102" s="10" t="s">
        <v>485</v>
      </c>
      <c r="K102" s="16" t="n">
        <v>3</v>
      </c>
    </row>
    <row r="103" customFormat="false" ht="25.5" hidden="false" customHeight="true" outlineLevel="0" collapsed="false">
      <c r="A103" s="8" t="s">
        <v>486</v>
      </c>
      <c r="B103" s="8"/>
      <c r="C103" s="8"/>
      <c r="D103" s="8"/>
      <c r="E103" s="8"/>
      <c r="F103" s="8"/>
      <c r="G103" s="8"/>
      <c r="H103" s="8"/>
      <c r="I103" s="8"/>
      <c r="J103" s="8"/>
      <c r="K103" s="8"/>
    </row>
    <row r="104" customFormat="false" ht="180" hidden="false" customHeight="true" outlineLevel="0" collapsed="false">
      <c r="A104" s="9" t="s">
        <v>487</v>
      </c>
      <c r="B104" s="10" t="s">
        <v>488</v>
      </c>
      <c r="C104" s="11" t="s">
        <v>489</v>
      </c>
      <c r="D104" s="34" t="s">
        <v>147</v>
      </c>
      <c r="E104" s="13" t="s">
        <v>41</v>
      </c>
      <c r="F104" s="43" t="s">
        <v>130</v>
      </c>
      <c r="G104" s="10" t="s">
        <v>490</v>
      </c>
      <c r="H104" s="10" t="s">
        <v>491</v>
      </c>
      <c r="I104" s="27" t="s">
        <v>69</v>
      </c>
      <c r="J104" s="10" t="s">
        <v>492</v>
      </c>
      <c r="K104" s="16" t="n">
        <v>4</v>
      </c>
    </row>
    <row r="105" customFormat="false" ht="180" hidden="false" customHeight="true" outlineLevel="0" collapsed="false">
      <c r="A105" s="17" t="s">
        <v>493</v>
      </c>
      <c r="B105" s="18" t="s">
        <v>494</v>
      </c>
      <c r="C105" s="19" t="s">
        <v>489</v>
      </c>
      <c r="D105" s="34" t="s">
        <v>147</v>
      </c>
      <c r="E105" s="20" t="s">
        <v>41</v>
      </c>
      <c r="F105" s="33" t="s">
        <v>130</v>
      </c>
      <c r="G105" s="18" t="s">
        <v>495</v>
      </c>
      <c r="H105" s="18" t="s">
        <v>496</v>
      </c>
      <c r="I105" s="32" t="s">
        <v>69</v>
      </c>
      <c r="J105" s="18" t="s">
        <v>497</v>
      </c>
      <c r="K105" s="23" t="n">
        <v>5</v>
      </c>
    </row>
    <row r="106" customFormat="false" ht="180" hidden="false" customHeight="true" outlineLevel="0" collapsed="false">
      <c r="A106" s="9" t="s">
        <v>498</v>
      </c>
      <c r="B106" s="10" t="s">
        <v>499</v>
      </c>
      <c r="C106" s="11" t="s">
        <v>489</v>
      </c>
      <c r="D106" s="34" t="s">
        <v>147</v>
      </c>
      <c r="E106" s="13" t="s">
        <v>41</v>
      </c>
      <c r="F106" s="43" t="s">
        <v>130</v>
      </c>
      <c r="G106" s="10" t="s">
        <v>500</v>
      </c>
      <c r="H106" s="10" t="s">
        <v>501</v>
      </c>
      <c r="I106" s="27" t="s">
        <v>69</v>
      </c>
      <c r="J106" s="10" t="s">
        <v>502</v>
      </c>
      <c r="K106" s="16" t="n">
        <v>2.5</v>
      </c>
    </row>
    <row r="107" customFormat="false" ht="180" hidden="false" customHeight="true" outlineLevel="0" collapsed="false">
      <c r="A107" s="17" t="s">
        <v>503</v>
      </c>
      <c r="B107" s="18" t="s">
        <v>504</v>
      </c>
      <c r="C107" s="19" t="s">
        <v>489</v>
      </c>
      <c r="D107" s="34" t="s">
        <v>147</v>
      </c>
      <c r="E107" s="36" t="s">
        <v>168</v>
      </c>
      <c r="F107" s="33" t="s">
        <v>130</v>
      </c>
      <c r="G107" s="18" t="s">
        <v>505</v>
      </c>
      <c r="H107" s="18" t="s">
        <v>506</v>
      </c>
      <c r="I107" s="32" t="s">
        <v>69</v>
      </c>
      <c r="J107" s="18" t="s">
        <v>507</v>
      </c>
      <c r="K107" s="23" t="n">
        <v>3</v>
      </c>
    </row>
    <row r="108" customFormat="false" ht="180" hidden="false" customHeight="true" outlineLevel="0" collapsed="false">
      <c r="A108" s="9" t="s">
        <v>508</v>
      </c>
      <c r="B108" s="10" t="s">
        <v>509</v>
      </c>
      <c r="C108" s="11" t="s">
        <v>489</v>
      </c>
      <c r="D108" s="34" t="s">
        <v>147</v>
      </c>
      <c r="E108" s="13" t="s">
        <v>41</v>
      </c>
      <c r="F108" s="43" t="s">
        <v>130</v>
      </c>
      <c r="G108" s="10" t="s">
        <v>510</v>
      </c>
      <c r="H108" s="10" t="s">
        <v>511</v>
      </c>
      <c r="I108" s="27" t="s">
        <v>69</v>
      </c>
      <c r="J108" s="10" t="s">
        <v>512</v>
      </c>
      <c r="K108" s="16" t="n">
        <v>4</v>
      </c>
    </row>
  </sheetData>
  <mergeCells count="15">
    <mergeCell ref="A1:K1"/>
    <mergeCell ref="A2:K2"/>
    <mergeCell ref="A5:K5"/>
    <mergeCell ref="A14:K14"/>
    <mergeCell ref="A25:K25"/>
    <mergeCell ref="A32:K32"/>
    <mergeCell ref="A41:K41"/>
    <mergeCell ref="A49:K49"/>
    <mergeCell ref="A58:K58"/>
    <mergeCell ref="A66:K66"/>
    <mergeCell ref="A75:K75"/>
    <mergeCell ref="A83:K83"/>
    <mergeCell ref="A90:K90"/>
    <mergeCell ref="A97:K97"/>
    <mergeCell ref="A103:K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8"/>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8" min="7" style="0" width="13"/>
  </cols>
  <sheetData>
    <row r="1" customFormat="false" ht="31.5" hidden="false" customHeight="true" outlineLevel="0" collapsed="false">
      <c r="A1" s="1" t="s">
        <v>513</v>
      </c>
      <c r="B1" s="1"/>
      <c r="C1" s="1"/>
      <c r="D1" s="1"/>
      <c r="E1" s="1"/>
      <c r="F1" s="1"/>
      <c r="G1" s="1"/>
      <c r="H1" s="1"/>
    </row>
    <row r="2" customFormat="false" ht="21.75" hidden="false" customHeight="true" outlineLevel="0" collapsed="false">
      <c r="A2" s="6" t="s">
        <v>514</v>
      </c>
      <c r="B2" s="6"/>
      <c r="C2" s="6"/>
      <c r="D2" s="6"/>
      <c r="E2" s="6"/>
      <c r="F2" s="6"/>
      <c r="G2" s="6"/>
      <c r="H2" s="6"/>
    </row>
    <row r="4" customFormat="false" ht="30" hidden="false" customHeight="true" outlineLevel="0" collapsed="false">
      <c r="A4" s="7" t="s">
        <v>27</v>
      </c>
      <c r="B4" s="7" t="s">
        <v>515</v>
      </c>
      <c r="C4" s="7" t="s">
        <v>516</v>
      </c>
      <c r="D4" s="7" t="s">
        <v>517</v>
      </c>
      <c r="E4" s="7" t="s">
        <v>518</v>
      </c>
      <c r="F4" s="7" t="s">
        <v>519</v>
      </c>
      <c r="G4" s="7" t="s">
        <v>35</v>
      </c>
      <c r="H4" s="7" t="s">
        <v>520</v>
      </c>
    </row>
    <row r="5" customFormat="false" ht="24" hidden="false" customHeight="true" outlineLevel="0" collapsed="false">
      <c r="A5" s="47" t="s">
        <v>39</v>
      </c>
      <c r="B5" s="48" t="s">
        <v>521</v>
      </c>
      <c r="C5" s="49" t="n">
        <v>8</v>
      </c>
      <c r="D5" s="50" t="n">
        <v>8</v>
      </c>
      <c r="E5" s="49" t="n">
        <v>0</v>
      </c>
      <c r="F5" s="49" t="n">
        <v>0</v>
      </c>
      <c r="G5" s="51" t="n">
        <v>17</v>
      </c>
      <c r="H5" s="51" t="n">
        <f aca="false">G5/6</f>
        <v>2.83333333333333</v>
      </c>
    </row>
    <row r="6" customFormat="false" ht="24" hidden="false" customHeight="true" outlineLevel="0" collapsed="false">
      <c r="A6" s="52" t="s">
        <v>90</v>
      </c>
      <c r="B6" s="53" t="s">
        <v>522</v>
      </c>
      <c r="C6" s="54" t="n">
        <v>10</v>
      </c>
      <c r="D6" s="54" t="n">
        <v>0</v>
      </c>
      <c r="E6" s="55" t="n">
        <v>10</v>
      </c>
      <c r="F6" s="54" t="n">
        <v>0</v>
      </c>
      <c r="G6" s="56" t="n">
        <v>46</v>
      </c>
      <c r="H6" s="56" t="n">
        <f aca="false">G6/6</f>
        <v>7.66666666666667</v>
      </c>
    </row>
    <row r="7" customFormat="false" ht="24" hidden="false" customHeight="true" outlineLevel="0" collapsed="false">
      <c r="A7" s="47" t="s">
        <v>137</v>
      </c>
      <c r="B7" s="48" t="s">
        <v>523</v>
      </c>
      <c r="C7" s="49" t="n">
        <v>6</v>
      </c>
      <c r="D7" s="49" t="n">
        <v>0</v>
      </c>
      <c r="E7" s="57" t="n">
        <v>3</v>
      </c>
      <c r="F7" s="49" t="n">
        <v>3</v>
      </c>
      <c r="G7" s="51" t="n">
        <v>13.5</v>
      </c>
      <c r="H7" s="51" t="n">
        <f aca="false">G7/6</f>
        <v>2.25</v>
      </c>
    </row>
    <row r="8" customFormat="false" ht="24" hidden="false" customHeight="true" outlineLevel="0" collapsed="false">
      <c r="A8" s="52" t="s">
        <v>167</v>
      </c>
      <c r="B8" s="53" t="s">
        <v>524</v>
      </c>
      <c r="C8" s="54" t="n">
        <v>8</v>
      </c>
      <c r="D8" s="54" t="n">
        <v>0</v>
      </c>
      <c r="E8" s="55" t="n">
        <v>8</v>
      </c>
      <c r="F8" s="54" t="n">
        <v>0</v>
      </c>
      <c r="G8" s="56" t="n">
        <v>20.75</v>
      </c>
      <c r="H8" s="56" t="n">
        <f aca="false">G8/6</f>
        <v>3.45833333333333</v>
      </c>
    </row>
    <row r="9" customFormat="false" ht="24" hidden="false" customHeight="true" outlineLevel="0" collapsed="false">
      <c r="A9" s="47" t="s">
        <v>207</v>
      </c>
      <c r="B9" s="48" t="s">
        <v>525</v>
      </c>
      <c r="C9" s="49" t="n">
        <v>7</v>
      </c>
      <c r="D9" s="49" t="n">
        <v>0</v>
      </c>
      <c r="E9" s="57" t="n">
        <v>3</v>
      </c>
      <c r="F9" s="49" t="n">
        <v>4</v>
      </c>
      <c r="G9" s="51" t="n">
        <v>32</v>
      </c>
      <c r="H9" s="51" t="n">
        <f aca="false">G9/6</f>
        <v>5.33333333333333</v>
      </c>
    </row>
    <row r="10" customFormat="false" ht="24" hidden="false" customHeight="true" outlineLevel="0" collapsed="false">
      <c r="A10" s="52" t="s">
        <v>244</v>
      </c>
      <c r="B10" s="53" t="s">
        <v>526</v>
      </c>
      <c r="C10" s="54" t="n">
        <v>8</v>
      </c>
      <c r="D10" s="54" t="n">
        <v>0</v>
      </c>
      <c r="E10" s="55" t="n">
        <v>1</v>
      </c>
      <c r="F10" s="54" t="n">
        <v>6</v>
      </c>
      <c r="G10" s="56" t="n">
        <v>34</v>
      </c>
      <c r="H10" s="56" t="n">
        <f aca="false">G10/6</f>
        <v>5.66666666666667</v>
      </c>
    </row>
    <row r="11" customFormat="false" ht="24" hidden="false" customHeight="true" outlineLevel="0" collapsed="false">
      <c r="A11" s="47" t="s">
        <v>288</v>
      </c>
      <c r="B11" s="48" t="s">
        <v>527</v>
      </c>
      <c r="C11" s="49" t="n">
        <v>7</v>
      </c>
      <c r="D11" s="49" t="n">
        <v>0</v>
      </c>
      <c r="E11" s="57" t="n">
        <v>5</v>
      </c>
      <c r="F11" s="49" t="n">
        <v>2</v>
      </c>
      <c r="G11" s="51" t="n">
        <v>29</v>
      </c>
      <c r="H11" s="51" t="n">
        <f aca="false">G11/6</f>
        <v>4.83333333333333</v>
      </c>
    </row>
    <row r="12" customFormat="false" ht="24" hidden="false" customHeight="true" outlineLevel="0" collapsed="false">
      <c r="A12" s="52" t="s">
        <v>323</v>
      </c>
      <c r="B12" s="53" t="s">
        <v>528</v>
      </c>
      <c r="C12" s="54" t="n">
        <v>8</v>
      </c>
      <c r="D12" s="54" t="n">
        <v>0</v>
      </c>
      <c r="E12" s="55" t="n">
        <v>8</v>
      </c>
      <c r="F12" s="54" t="n">
        <v>0</v>
      </c>
      <c r="G12" s="56" t="n">
        <v>38</v>
      </c>
      <c r="H12" s="56" t="n">
        <f aca="false">G12/6</f>
        <v>6.33333333333333</v>
      </c>
    </row>
    <row r="13" customFormat="false" ht="24" hidden="false" customHeight="true" outlineLevel="0" collapsed="false">
      <c r="A13" s="47" t="s">
        <v>365</v>
      </c>
      <c r="B13" s="48" t="s">
        <v>529</v>
      </c>
      <c r="C13" s="49" t="n">
        <v>7</v>
      </c>
      <c r="D13" s="49" t="n">
        <v>0</v>
      </c>
      <c r="E13" s="57" t="n">
        <v>7</v>
      </c>
      <c r="F13" s="49" t="n">
        <v>0</v>
      </c>
      <c r="G13" s="51" t="n">
        <v>27</v>
      </c>
      <c r="H13" s="51" t="n">
        <f aca="false">G13/6</f>
        <v>4.5</v>
      </c>
    </row>
    <row r="14" customFormat="false" ht="24" hidden="false" customHeight="true" outlineLevel="0" collapsed="false">
      <c r="A14" s="52" t="s">
        <v>398</v>
      </c>
      <c r="B14" s="53" t="s">
        <v>530</v>
      </c>
      <c r="C14" s="54" t="n">
        <v>6</v>
      </c>
      <c r="D14" s="54" t="n">
        <v>0</v>
      </c>
      <c r="E14" s="55" t="n">
        <v>5</v>
      </c>
      <c r="F14" s="54" t="n">
        <v>1</v>
      </c>
      <c r="G14" s="56" t="n">
        <v>20</v>
      </c>
      <c r="H14" s="56" t="n">
        <f aca="false">G14/6</f>
        <v>3.33333333333333</v>
      </c>
    </row>
    <row r="15" customFormat="false" ht="24" hidden="false" customHeight="true" outlineLevel="0" collapsed="false">
      <c r="A15" s="47" t="s">
        <v>430</v>
      </c>
      <c r="B15" s="48" t="s">
        <v>531</v>
      </c>
      <c r="C15" s="49" t="n">
        <v>6</v>
      </c>
      <c r="D15" s="49" t="n">
        <v>0</v>
      </c>
      <c r="E15" s="57" t="n">
        <v>2</v>
      </c>
      <c r="F15" s="49" t="n">
        <v>4</v>
      </c>
      <c r="G15" s="51" t="n">
        <v>17.5</v>
      </c>
      <c r="H15" s="51" t="n">
        <f aca="false">G15/6</f>
        <v>2.91666666666667</v>
      </c>
    </row>
    <row r="16" customFormat="false" ht="24" hidden="false" customHeight="true" outlineLevel="0" collapsed="false">
      <c r="A16" s="52" t="s">
        <v>461</v>
      </c>
      <c r="B16" s="53" t="s">
        <v>532</v>
      </c>
      <c r="C16" s="54" t="n">
        <v>5</v>
      </c>
      <c r="D16" s="54" t="n">
        <v>0</v>
      </c>
      <c r="E16" s="54" t="n">
        <v>0</v>
      </c>
      <c r="F16" s="54" t="n">
        <v>5</v>
      </c>
      <c r="G16" s="56" t="n">
        <v>14</v>
      </c>
      <c r="H16" s="56" t="n">
        <f aca="false">G16/6</f>
        <v>2.33333333333333</v>
      </c>
    </row>
    <row r="17" customFormat="false" ht="24" hidden="false" customHeight="true" outlineLevel="0" collapsed="false">
      <c r="A17" s="47" t="s">
        <v>489</v>
      </c>
      <c r="B17" s="48" t="s">
        <v>533</v>
      </c>
      <c r="C17" s="49" t="n">
        <v>5</v>
      </c>
      <c r="D17" s="49" t="n">
        <v>0</v>
      </c>
      <c r="E17" s="49" t="n">
        <v>0</v>
      </c>
      <c r="F17" s="49" t="n">
        <v>5</v>
      </c>
      <c r="G17" s="51" t="n">
        <v>18.5</v>
      </c>
      <c r="H17" s="51" t="n">
        <f aca="false">G17/6</f>
        <v>3.08333333333333</v>
      </c>
    </row>
    <row r="18" customFormat="false" ht="27.75" hidden="false" customHeight="true" outlineLevel="0" collapsed="false">
      <c r="A18" s="58" t="s">
        <v>534</v>
      </c>
      <c r="B18" s="59" t="s">
        <v>535</v>
      </c>
      <c r="C18" s="58" t="n">
        <f aca="false">SUM(C5:C17)</f>
        <v>91</v>
      </c>
      <c r="D18" s="58" t="n">
        <f aca="false">SUM(D5:D17)</f>
        <v>8</v>
      </c>
      <c r="E18" s="58" t="n">
        <f aca="false">SUM(E5:E17)</f>
        <v>52</v>
      </c>
      <c r="F18" s="58" t="n">
        <f aca="false">SUM(F5:F17)</f>
        <v>30</v>
      </c>
      <c r="G18" s="60" t="n">
        <f aca="false">SUM(G5:G17)</f>
        <v>327.25</v>
      </c>
      <c r="H18" s="60" t="n">
        <f aca="false">G18/6</f>
        <v>54.5416666666667</v>
      </c>
    </row>
    <row r="20" customFormat="false" ht="15" hidden="false" customHeight="true" outlineLevel="0" collapsed="false">
      <c r="A20" s="61" t="s">
        <v>536</v>
      </c>
      <c r="B20" s="61"/>
      <c r="C20" s="61"/>
      <c r="D20" s="61"/>
      <c r="E20" s="61"/>
      <c r="F20" s="61"/>
      <c r="G20" s="61"/>
      <c r="H20" s="61"/>
    </row>
  </sheetData>
  <mergeCells count="3">
    <mergeCell ref="A1:H1"/>
    <mergeCell ref="A2:H2"/>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2"/>
    <col collapsed="false" customWidth="true" hidden="false" outlineLevel="0" max="3" min="3" style="0" width="35"/>
    <col collapsed="false" customWidth="true" hidden="false" outlineLevel="0" max="5" min="4" style="0" width="40"/>
  </cols>
  <sheetData>
    <row r="1" customFormat="false" ht="31.5" hidden="false" customHeight="true" outlineLevel="0" collapsed="false">
      <c r="A1" s="1" t="s">
        <v>537</v>
      </c>
      <c r="B1" s="1"/>
      <c r="C1" s="1"/>
      <c r="D1" s="1"/>
      <c r="E1" s="1"/>
    </row>
    <row r="2" customFormat="false" ht="36" hidden="false" customHeight="true" outlineLevel="0" collapsed="false">
      <c r="A2" s="62" t="s">
        <v>538</v>
      </c>
      <c r="B2" s="62"/>
      <c r="C2" s="62"/>
      <c r="D2" s="62"/>
      <c r="E2" s="62"/>
    </row>
    <row r="4" customFormat="false" ht="30" hidden="false" customHeight="true" outlineLevel="0" collapsed="false">
      <c r="A4" s="7" t="s">
        <v>539</v>
      </c>
      <c r="B4" s="7" t="s">
        <v>540</v>
      </c>
      <c r="C4" s="7" t="s">
        <v>541</v>
      </c>
      <c r="D4" s="7" t="s">
        <v>542</v>
      </c>
      <c r="E4" s="7" t="s">
        <v>543</v>
      </c>
    </row>
    <row r="5" customFormat="false" ht="94.5" hidden="false" customHeight="true" outlineLevel="0" collapsed="false">
      <c r="A5" s="63" t="s">
        <v>544</v>
      </c>
      <c r="B5" s="64" t="s">
        <v>545</v>
      </c>
      <c r="C5" s="64" t="s">
        <v>546</v>
      </c>
      <c r="D5" s="64" t="s">
        <v>547</v>
      </c>
      <c r="E5" s="64" t="s">
        <v>548</v>
      </c>
    </row>
    <row r="6" customFormat="false" ht="94.5" hidden="false" customHeight="true" outlineLevel="0" collapsed="false">
      <c r="A6" s="65" t="s">
        <v>549</v>
      </c>
      <c r="B6" s="66" t="s">
        <v>550</v>
      </c>
      <c r="C6" s="66" t="s">
        <v>551</v>
      </c>
      <c r="D6" s="66" t="s">
        <v>552</v>
      </c>
      <c r="E6" s="66" t="s">
        <v>553</v>
      </c>
    </row>
    <row r="7" customFormat="false" ht="94.5" hidden="false" customHeight="true" outlineLevel="0" collapsed="false">
      <c r="A7" s="63" t="s">
        <v>554</v>
      </c>
      <c r="B7" s="64" t="s">
        <v>555</v>
      </c>
      <c r="C7" s="64" t="s">
        <v>556</v>
      </c>
      <c r="D7" s="64" t="s">
        <v>557</v>
      </c>
      <c r="E7" s="64" t="s">
        <v>558</v>
      </c>
    </row>
    <row r="8" customFormat="false" ht="94.5" hidden="false" customHeight="true" outlineLevel="0" collapsed="false">
      <c r="A8" s="65" t="s">
        <v>559</v>
      </c>
      <c r="B8" s="66" t="s">
        <v>560</v>
      </c>
      <c r="C8" s="66" t="s">
        <v>561</v>
      </c>
      <c r="D8" s="66" t="s">
        <v>562</v>
      </c>
      <c r="E8" s="66" t="s">
        <v>563</v>
      </c>
    </row>
    <row r="9" customFormat="false" ht="94.5" hidden="false" customHeight="true" outlineLevel="0" collapsed="false">
      <c r="A9" s="63" t="s">
        <v>564</v>
      </c>
      <c r="B9" s="64" t="s">
        <v>565</v>
      </c>
      <c r="C9" s="64" t="s">
        <v>566</v>
      </c>
      <c r="D9" s="64" t="s">
        <v>567</v>
      </c>
      <c r="E9" s="64" t="s">
        <v>568</v>
      </c>
    </row>
    <row r="10" customFormat="false" ht="94.5" hidden="false" customHeight="true" outlineLevel="0" collapsed="false">
      <c r="A10" s="65" t="s">
        <v>569</v>
      </c>
      <c r="B10" s="66" t="s">
        <v>570</v>
      </c>
      <c r="C10" s="66" t="s">
        <v>571</v>
      </c>
      <c r="D10" s="66" t="s">
        <v>572</v>
      </c>
      <c r="E10" s="66" t="s">
        <v>573</v>
      </c>
    </row>
    <row r="11" customFormat="false" ht="94.5" hidden="false" customHeight="true" outlineLevel="0" collapsed="false">
      <c r="A11" s="63" t="s">
        <v>574</v>
      </c>
      <c r="B11" s="64" t="s">
        <v>575</v>
      </c>
      <c r="C11" s="64" t="s">
        <v>576</v>
      </c>
      <c r="D11" s="64" t="s">
        <v>577</v>
      </c>
      <c r="E11" s="64" t="s">
        <v>578</v>
      </c>
    </row>
    <row r="12" customFormat="false" ht="94.5" hidden="false" customHeight="true" outlineLevel="0" collapsed="false">
      <c r="A12" s="65" t="s">
        <v>579</v>
      </c>
      <c r="B12" s="66" t="s">
        <v>580</v>
      </c>
      <c r="C12" s="66" t="s">
        <v>581</v>
      </c>
      <c r="D12" s="66" t="s">
        <v>582</v>
      </c>
      <c r="E12" s="66" t="s">
        <v>583</v>
      </c>
    </row>
    <row r="13" customFormat="false" ht="94.5" hidden="false" customHeight="true" outlineLevel="0" collapsed="false">
      <c r="A13" s="63" t="s">
        <v>584</v>
      </c>
      <c r="B13" s="64" t="s">
        <v>585</v>
      </c>
      <c r="C13" s="64" t="s">
        <v>586</v>
      </c>
      <c r="D13" s="64" t="s">
        <v>587</v>
      </c>
      <c r="E13" s="64" t="s">
        <v>588</v>
      </c>
    </row>
    <row r="14" customFormat="false" ht="94.5" hidden="false" customHeight="true" outlineLevel="0" collapsed="false">
      <c r="A14" s="65" t="s">
        <v>589</v>
      </c>
      <c r="B14" s="66" t="s">
        <v>590</v>
      </c>
      <c r="C14" s="66" t="s">
        <v>591</v>
      </c>
      <c r="D14" s="66" t="s">
        <v>592</v>
      </c>
      <c r="E14" s="66" t="s">
        <v>593</v>
      </c>
    </row>
    <row r="15" customFormat="false" ht="94.5" hidden="false" customHeight="true" outlineLevel="0" collapsed="false">
      <c r="A15" s="63" t="s">
        <v>594</v>
      </c>
      <c r="B15" s="64" t="s">
        <v>595</v>
      </c>
      <c r="C15" s="64" t="s">
        <v>596</v>
      </c>
      <c r="D15" s="64" t="s">
        <v>597</v>
      </c>
      <c r="E15" s="64" t="s">
        <v>598</v>
      </c>
    </row>
    <row r="17" customFormat="false" ht="25.5" hidden="false" customHeight="true" outlineLevel="0" collapsed="false">
      <c r="A17" s="67" t="s">
        <v>599</v>
      </c>
      <c r="B17" s="67"/>
      <c r="C17" s="67"/>
      <c r="D17" s="67"/>
      <c r="E17" s="67"/>
    </row>
    <row r="18" customFormat="false" ht="31.5" hidden="false" customHeight="true" outlineLevel="0" collapsed="false">
      <c r="A18" s="68" t="s">
        <v>600</v>
      </c>
      <c r="B18" s="10" t="s">
        <v>601</v>
      </c>
      <c r="C18" s="69" t="s">
        <v>602</v>
      </c>
      <c r="D18" s="69"/>
      <c r="E18" s="69"/>
    </row>
    <row r="19" customFormat="false" ht="31.5" hidden="false" customHeight="true" outlineLevel="0" collapsed="false">
      <c r="A19" s="70" t="s">
        <v>603</v>
      </c>
      <c r="B19" s="18" t="s">
        <v>604</v>
      </c>
      <c r="C19" s="71" t="s">
        <v>605</v>
      </c>
      <c r="D19" s="71"/>
      <c r="E19" s="71"/>
    </row>
    <row r="20" customFormat="false" ht="31.5" hidden="false" customHeight="true" outlineLevel="0" collapsed="false">
      <c r="A20" s="68" t="s">
        <v>606</v>
      </c>
      <c r="B20" s="10" t="s">
        <v>607</v>
      </c>
      <c r="C20" s="69" t="s">
        <v>608</v>
      </c>
      <c r="D20" s="69"/>
      <c r="E20" s="69"/>
    </row>
    <row r="21" customFormat="false" ht="31.5" hidden="false" customHeight="true" outlineLevel="0" collapsed="false">
      <c r="A21" s="70" t="s">
        <v>609</v>
      </c>
      <c r="B21" s="18" t="s">
        <v>610</v>
      </c>
      <c r="C21" s="71" t="s">
        <v>611</v>
      </c>
      <c r="D21" s="71"/>
      <c r="E21" s="71"/>
    </row>
  </sheetData>
  <mergeCells count="7">
    <mergeCell ref="A1:E1"/>
    <mergeCell ref="A2:E2"/>
    <mergeCell ref="A17:E17"/>
    <mergeCell ref="C18:E18"/>
    <mergeCell ref="C19:E19"/>
    <mergeCell ref="C20:E20"/>
    <mergeCell ref="C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6"/>
    <col collapsed="false" customWidth="true" hidden="false" outlineLevel="0" max="5" min="5" style="0" width="28"/>
    <col collapsed="false" customWidth="true" hidden="false" outlineLevel="0" max="6" min="6" style="0" width="12"/>
    <col collapsed="false" customWidth="true" hidden="false" outlineLevel="0" max="7" min="7" style="0" width="16"/>
    <col collapsed="false" customWidth="true" hidden="false" outlineLevel="0" max="9" min="9" style="0" width="22"/>
    <col collapsed="false" customWidth="true" hidden="false" outlineLevel="0" max="10" min="10" style="0" width="12"/>
    <col collapsed="false" customWidth="true" hidden="false" outlineLevel="0" max="11" min="11" style="0" width="16"/>
    <col collapsed="false" customWidth="true" hidden="false" outlineLevel="0" max="13" min="13" style="0" width="16"/>
    <col collapsed="false" customWidth="true" hidden="false" outlineLevel="0" max="14" min="14" style="0" width="12"/>
    <col collapsed="false" customWidth="true" hidden="false" outlineLevel="0" max="15" min="15" style="0" width="16"/>
  </cols>
  <sheetData>
    <row r="1" customFormat="false" ht="31.5" hidden="false" customHeight="true" outlineLevel="0" collapsed="false">
      <c r="A1" s="1" t="s">
        <v>612</v>
      </c>
      <c r="B1" s="1"/>
      <c r="C1" s="1"/>
      <c r="D1" s="1"/>
    </row>
    <row r="3" customFormat="false" ht="24" hidden="false" customHeight="true" outlineLevel="0" collapsed="false">
      <c r="A3" s="72" t="s">
        <v>613</v>
      </c>
      <c r="B3" s="72"/>
      <c r="C3" s="72"/>
      <c r="E3" s="72" t="s">
        <v>614</v>
      </c>
      <c r="F3" s="72"/>
      <c r="G3" s="72"/>
      <c r="I3" s="72" t="s">
        <v>615</v>
      </c>
      <c r="J3" s="72"/>
      <c r="K3" s="72"/>
      <c r="M3" s="72" t="s">
        <v>616</v>
      </c>
      <c r="N3" s="72"/>
      <c r="O3" s="72"/>
    </row>
    <row r="4" customFormat="false" ht="24" hidden="false" customHeight="true" outlineLevel="0" collapsed="false">
      <c r="A4" s="73" t="s">
        <v>28</v>
      </c>
      <c r="B4" s="73" t="s">
        <v>617</v>
      </c>
      <c r="C4" s="73" t="s">
        <v>35</v>
      </c>
      <c r="E4" s="73" t="s">
        <v>29</v>
      </c>
      <c r="F4" s="73" t="s">
        <v>617</v>
      </c>
      <c r="G4" s="73" t="s">
        <v>35</v>
      </c>
      <c r="I4" s="73" t="s">
        <v>30</v>
      </c>
      <c r="J4" s="73" t="s">
        <v>617</v>
      </c>
      <c r="K4" s="73" t="s">
        <v>35</v>
      </c>
      <c r="M4" s="73" t="s">
        <v>618</v>
      </c>
      <c r="N4" s="73" t="s">
        <v>617</v>
      </c>
      <c r="O4" s="73" t="s">
        <v>35</v>
      </c>
    </row>
    <row r="5" customFormat="false" ht="21.75" hidden="false" customHeight="true" outlineLevel="0" collapsed="false">
      <c r="A5" s="74" t="s">
        <v>40</v>
      </c>
      <c r="B5" s="49" t="n">
        <v>8</v>
      </c>
      <c r="C5" s="51" t="n">
        <v>17</v>
      </c>
      <c r="E5" s="74" t="s">
        <v>41</v>
      </c>
      <c r="F5" s="49" t="n">
        <v>45</v>
      </c>
      <c r="G5" s="51" t="n">
        <v>148</v>
      </c>
      <c r="I5" s="74" t="s">
        <v>42</v>
      </c>
      <c r="J5" s="49" t="n">
        <v>47</v>
      </c>
      <c r="K5" s="51" t="n">
        <v>180.25</v>
      </c>
      <c r="M5" s="74" t="s">
        <v>69</v>
      </c>
      <c r="N5" s="49" t="n">
        <v>47</v>
      </c>
      <c r="O5" s="51" t="n">
        <v>193</v>
      </c>
    </row>
    <row r="6" customFormat="false" ht="21.75" hidden="false" customHeight="true" outlineLevel="0" collapsed="false">
      <c r="A6" s="75" t="s">
        <v>91</v>
      </c>
      <c r="B6" s="54" t="n">
        <v>52</v>
      </c>
      <c r="C6" s="56" t="n">
        <v>195.75</v>
      </c>
      <c r="E6" s="75" t="s">
        <v>168</v>
      </c>
      <c r="F6" s="54" t="n">
        <v>28</v>
      </c>
      <c r="G6" s="56" t="n">
        <v>112.75</v>
      </c>
      <c r="I6" s="75" t="s">
        <v>66</v>
      </c>
      <c r="J6" s="54" t="n">
        <v>15</v>
      </c>
      <c r="K6" s="56" t="n">
        <v>61</v>
      </c>
      <c r="M6" s="75" t="s">
        <v>62</v>
      </c>
      <c r="N6" s="54" t="n">
        <v>28</v>
      </c>
      <c r="O6" s="56" t="n">
        <v>100</v>
      </c>
    </row>
    <row r="7" customFormat="false" ht="21.75" hidden="false" customHeight="true" outlineLevel="0" collapsed="false">
      <c r="A7" s="74" t="s">
        <v>147</v>
      </c>
      <c r="B7" s="49" t="n">
        <v>30</v>
      </c>
      <c r="C7" s="51" t="n">
        <v>112</v>
      </c>
      <c r="E7" s="74" t="s">
        <v>250</v>
      </c>
      <c r="F7" s="49" t="n">
        <v>11</v>
      </c>
      <c r="G7" s="51" t="n">
        <v>46</v>
      </c>
      <c r="I7" s="74" t="s">
        <v>130</v>
      </c>
      <c r="J7" s="49" t="n">
        <v>13</v>
      </c>
      <c r="K7" s="51" t="n">
        <v>42.5</v>
      </c>
      <c r="M7" s="74" t="s">
        <v>45</v>
      </c>
      <c r="N7" s="49" t="n">
        <v>16</v>
      </c>
      <c r="O7" s="51" t="n">
        <v>34.25</v>
      </c>
    </row>
    <row r="8" customFormat="false" ht="24" hidden="false" customHeight="true" outlineLevel="0" collapsed="false">
      <c r="A8" s="75" t="s">
        <v>266</v>
      </c>
      <c r="B8" s="54" t="n">
        <v>1</v>
      </c>
      <c r="C8" s="56" t="n">
        <v>2.5</v>
      </c>
      <c r="E8" s="75" t="s">
        <v>267</v>
      </c>
      <c r="F8" s="54" t="n">
        <v>7</v>
      </c>
      <c r="G8" s="56" t="n">
        <v>20.5</v>
      </c>
      <c r="I8" s="75" t="s">
        <v>49</v>
      </c>
      <c r="J8" s="54" t="n">
        <v>7</v>
      </c>
      <c r="K8" s="56" t="n">
        <v>13.5</v>
      </c>
      <c r="M8" s="73" t="s">
        <v>534</v>
      </c>
      <c r="N8" s="73" t="n">
        <f aca="false">SUM(N5:N7)</f>
        <v>91</v>
      </c>
      <c r="O8" s="76" t="n">
        <f aca="false">SUM(O5:O7)</f>
        <v>327.25</v>
      </c>
    </row>
    <row r="9" customFormat="false" ht="21.75" hidden="false" customHeight="true" outlineLevel="0" collapsed="false">
      <c r="A9" s="73" t="s">
        <v>534</v>
      </c>
      <c r="B9" s="73" t="n">
        <f aca="false">SUM(B5:B8)</f>
        <v>91</v>
      </c>
      <c r="C9" s="76" t="n">
        <f aca="false">SUM(C5:C8)</f>
        <v>327.25</v>
      </c>
      <c r="E9" s="73" t="s">
        <v>534</v>
      </c>
      <c r="F9" s="73" t="n">
        <f aca="false">SUM(F5:F8)</f>
        <v>91</v>
      </c>
      <c r="G9" s="76" t="n">
        <f aca="false">SUM(G5:G8)</f>
        <v>327.25</v>
      </c>
      <c r="I9" s="74" t="s">
        <v>73</v>
      </c>
      <c r="J9" s="49" t="n">
        <v>7</v>
      </c>
      <c r="K9" s="51" t="n">
        <v>23</v>
      </c>
    </row>
    <row r="10" customFormat="false" ht="21.75" hidden="false" customHeight="true" outlineLevel="0" collapsed="false">
      <c r="I10" s="75" t="s">
        <v>477</v>
      </c>
      <c r="J10" s="54" t="n">
        <v>2</v>
      </c>
      <c r="K10" s="56" t="n">
        <v>7</v>
      </c>
    </row>
    <row r="11" customFormat="false" ht="24" hidden="false" customHeight="true" outlineLevel="0" collapsed="false">
      <c r="I11" s="73" t="s">
        <v>534</v>
      </c>
      <c r="J11" s="73" t="n">
        <f aca="false">SUM(J5:J10)</f>
        <v>91</v>
      </c>
      <c r="K11" s="76" t="n">
        <f aca="false">SUM(K5:K10)</f>
        <v>327.25</v>
      </c>
    </row>
  </sheetData>
  <mergeCells count="5">
    <mergeCell ref="A1:D1"/>
    <mergeCell ref="A3:C3"/>
    <mergeCell ref="E3:G3"/>
    <mergeCell ref="I3:K3"/>
    <mergeCell ref="M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2026-05-29T19:13:50Z</dcterms:created>
  <dc:creator>openpyxl</dc:creator>
  <dc:description/>
  <dc:language>en-US</dc:language>
  <cp:lastModifiedBy/>
  <dcterms:modified xsi:type="dcterms:W3CDTF">2026-05-29T19:13:50Z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