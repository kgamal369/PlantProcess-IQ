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Overview" sheetId="1" state="visible" r:id="rId1"/>
    <sheet xmlns:r="http://schemas.openxmlformats.org/officeDocument/2006/relationships" name="Master Task List" sheetId="2" state="visible" r:id="rId2"/>
    <sheet xmlns:r="http://schemas.openxmlformats.org/officeDocument/2006/relationships" name="By Priority" sheetId="3" state="visible" r:id="rId3"/>
    <sheet xmlns:r="http://schemas.openxmlformats.org/officeDocument/2006/relationships" name="By Module" sheetId="4" state="visible" r:id="rId4"/>
    <sheet xmlns:r="http://schemas.openxmlformats.org/officeDocument/2006/relationships" name="By Category" sheetId="5" state="visible" r:id="rId5"/>
    <sheet xmlns:r="http://schemas.openxmlformats.org/officeDocument/2006/relationships" name="Effort Summary" sheetId="6" state="visible" r:id="rId6"/>
    <sheet xmlns:r="http://schemas.openxmlformats.org/officeDocument/2006/relationships" name="How to Use" sheetId="7" state="visible" r:id="rId7"/>
  </sheets>
  <definedNames>
    <definedName name="_xlnm._FilterDatabase" localSheetId="1" hidden="1">'Master Task List'!$A$1:$M$56</definedName>
    <definedName name="_xlnm.Print_Titles" localSheetId="1">'Master Task List'!$1:$1</definedName>
  </definedNames>
  <calcPr calcId="124519" fullCalcOnLoad="1" refMode="A1" iterate="0" iterateCount="100" iterateDelta="0.0001"/>
</workbook>
</file>

<file path=xl/styles.xml><?xml version="1.0" encoding="utf-8"?>
<styleSheet xmlns="http://schemas.openxmlformats.org/spreadsheetml/2006/main">
  <numFmts count="2">
    <numFmt numFmtId="164" formatCode="0.0\h"/>
    <numFmt numFmtId="165" formatCode="0.0%"/>
  </numFmts>
  <fonts count="27">
    <font>
      <name val="Calibri"/>
      <charset val="1"/>
      <family val="2"/>
      <color theme="1"/>
      <sz val="11"/>
    </font>
    <font>
      <name val="Arial"/>
      <family val="0"/>
      <sz val="10"/>
    </font>
    <font>
      <name val="Arial"/>
      <family val="0"/>
      <sz val="10"/>
    </font>
    <font>
      <name val="Arial"/>
      <family val="0"/>
      <sz val="10"/>
    </font>
    <font>
      <name val="Calibri"/>
      <charset val="1"/>
      <family val="0"/>
      <b val="1"/>
      <color rgb="FF0F172A"/>
      <sz val="22"/>
    </font>
    <font>
      <name val="Calibri"/>
      <charset val="1"/>
      <family val="0"/>
      <i val="1"/>
      <color rgb="FF475569"/>
      <sz val="11"/>
    </font>
    <font>
      <name val="Calibri"/>
      <charset val="1"/>
      <family val="0"/>
      <i val="1"/>
      <color rgb="FF475569"/>
      <sz val="10"/>
    </font>
    <font>
      <name val="Calibri"/>
      <charset val="1"/>
      <family val="0"/>
      <b val="1"/>
      <color rgb="FF0F172A"/>
      <sz val="14"/>
    </font>
    <font>
      <name val="Calibri"/>
      <charset val="1"/>
      <family val="0"/>
      <b val="1"/>
      <color rgb="FFFFFFFF"/>
      <sz val="11"/>
    </font>
    <font>
      <name val="Calibri"/>
      <charset val="1"/>
      <family val="0"/>
      <b val="1"/>
      <color rgb="FF0F172A"/>
      <sz val="10"/>
    </font>
    <font>
      <name val="Calibri"/>
      <charset val="1"/>
      <family val="0"/>
      <color rgb="FF111827"/>
      <sz val="10"/>
    </font>
    <font>
      <name val="Calibri"/>
      <charset val="1"/>
      <family val="0"/>
      <b val="1"/>
      <color rgb="FF111827"/>
      <sz val="11"/>
    </font>
    <font>
      <name val="Calibri"/>
      <charset val="1"/>
      <family val="0"/>
      <b val="1"/>
      <color rgb="FF0F172A"/>
      <sz val="11"/>
    </font>
    <font>
      <name val="Calibri"/>
      <charset val="1"/>
      <family val="0"/>
      <b val="1"/>
      <color rgb="FF111827"/>
      <sz val="10"/>
    </font>
    <font>
      <name val="Calibri"/>
      <charset val="1"/>
      <family val="0"/>
      <b val="1"/>
      <color rgb="FF7F1D1D"/>
      <sz val="10"/>
    </font>
    <font>
      <name val="Calibri"/>
      <charset val="1"/>
      <family val="0"/>
      <b val="1"/>
      <color rgb="FF991B1B"/>
      <sz val="10"/>
    </font>
    <font>
      <name val="Calibri"/>
      <charset val="1"/>
      <family val="0"/>
      <b val="1"/>
      <color rgb="FF92400E"/>
      <sz val="10"/>
    </font>
    <font>
      <name val="Calibri"/>
      <charset val="1"/>
      <family val="0"/>
      <b val="1"/>
      <color rgb="FF1E3A8A"/>
      <sz val="10"/>
    </font>
    <font>
      <name val="Calibri"/>
      <charset val="1"/>
      <family val="0"/>
      <b val="1"/>
      <color rgb="FF374151"/>
      <sz val="10"/>
    </font>
    <font>
      <name val="Calibri"/>
      <charset val="1"/>
      <family val="0"/>
      <b val="1"/>
      <color rgb="FF0F172A"/>
      <sz val="18"/>
    </font>
    <font>
      <name val="Calibri"/>
      <charset val="1"/>
      <family val="0"/>
      <b val="1"/>
      <color rgb="FF7F1D1D"/>
      <sz val="13"/>
    </font>
    <font>
      <name val="Calibri"/>
      <charset val="1"/>
      <family val="0"/>
      <b val="1"/>
      <color rgb="FF991B1B"/>
      <sz val="13"/>
    </font>
    <font>
      <name val="Calibri"/>
      <charset val="1"/>
      <family val="0"/>
      <b val="1"/>
      <color rgb="FF92400E"/>
      <sz val="13"/>
    </font>
    <font>
      <name val="Calibri"/>
      <charset val="1"/>
      <family val="0"/>
      <b val="1"/>
      <color rgb="FF1E3A8A"/>
      <sz val="13"/>
    </font>
    <font>
      <name val="Calibri"/>
      <charset val="1"/>
      <family val="0"/>
      <b val="1"/>
      <color rgb="FF374151"/>
      <sz val="13"/>
    </font>
    <font>
      <name val="Calibri"/>
      <charset val="1"/>
      <family val="0"/>
      <b val="1"/>
      <color rgb="FF0F172A"/>
      <sz val="13"/>
    </font>
    <font>
      <name val="Calibri"/>
      <charset val="1"/>
      <family val="0"/>
      <b val="1"/>
      <color rgb="FF0891B2"/>
      <sz val="12"/>
    </font>
  </fonts>
  <fills count="17">
    <fill>
      <patternFill/>
    </fill>
    <fill>
      <patternFill patternType="gray125"/>
    </fill>
    <fill>
      <patternFill patternType="solid">
        <fgColor rgb="FF0F172A"/>
        <bgColor rgb="FF111827"/>
      </patternFill>
    </fill>
    <fill>
      <patternFill patternType="solid">
        <fgColor rgb="FFF8FAFC"/>
        <bgColor rgb="FFFFFFFF"/>
      </patternFill>
    </fill>
    <fill>
      <patternFill patternType="solid">
        <fgColor rgb="FFFFE4E6"/>
        <bgColor rgb="FFFEE2E2"/>
      </patternFill>
    </fill>
    <fill>
      <patternFill patternType="solid">
        <fgColor rgb="FFFECACA"/>
        <bgColor rgb="FFFEE2E2"/>
      </patternFill>
    </fill>
    <fill>
      <patternFill patternType="solid">
        <fgColor rgb="FFFCE7F3"/>
        <bgColor rgb="FFFFE4E6"/>
      </patternFill>
    </fill>
    <fill>
      <patternFill patternType="solid">
        <fgColor rgb="FFDCFCE7"/>
        <bgColor rgb="FFECFDF5"/>
      </patternFill>
    </fill>
    <fill>
      <patternFill patternType="solid">
        <fgColor rgb="FFE0F2FE"/>
        <bgColor rgb="FFDBEAFE"/>
      </patternFill>
    </fill>
    <fill>
      <patternFill patternType="solid">
        <fgColor rgb="FFFEE2E2"/>
        <bgColor rgb="FFFFE4E6"/>
      </patternFill>
    </fill>
    <fill>
      <patternFill patternType="solid">
        <fgColor rgb="FFFEF3C7"/>
        <bgColor rgb="FFFFE4E6"/>
      </patternFill>
    </fill>
    <fill>
      <patternFill patternType="solid">
        <fgColor rgb="FFEDE9FE"/>
        <bgColor rgb="FFF3E8FF"/>
      </patternFill>
    </fill>
    <fill>
      <patternFill patternType="solid">
        <fgColor rgb="FFDBEAFE"/>
        <bgColor rgb="FFE0F2FE"/>
      </patternFill>
    </fill>
    <fill>
      <patternFill patternType="solid">
        <fgColor rgb="FFECFDF5"/>
        <bgColor rgb="FFF1F5F9"/>
      </patternFill>
    </fill>
    <fill>
      <patternFill patternType="solid">
        <fgColor rgb="FFE5E7EB"/>
        <bgColor rgb="FFEDE9FE"/>
      </patternFill>
    </fill>
    <fill>
      <patternFill patternType="solid">
        <fgColor rgb="FFF3E8FF"/>
        <bgColor rgb="FFEDE9FE"/>
      </patternFill>
    </fill>
    <fill>
      <patternFill patternType="solid">
        <fgColor rgb="FFF1F5F9"/>
        <bgColor rgb="FFF8FAFC"/>
      </patternFill>
    </fill>
  </fills>
  <borders count="7">
    <border>
      <left/>
      <right/>
      <top/>
      <bottom/>
      <diagonal/>
    </border>
    <border>
      <left style="thin">
        <color rgb="FFCBD5E1"/>
      </left>
      <right style="thin">
        <color rgb="FFCBD5E1"/>
      </right>
      <top style="thin">
        <color rgb="FFCBD5E1"/>
      </top>
      <bottom style="thin">
        <color rgb="FFCBD5E1"/>
      </bottom>
      <diagonal/>
    </border>
    <border>
      <left style="thin">
        <color rgb="FFCBD5E1"/>
      </left>
      <right style="thin">
        <color rgb="FFCBD5E1"/>
      </right>
      <top style="medium">
        <color rgb="FF64748B"/>
      </top>
      <bottom style="medium">
        <color rgb="FF64748B"/>
      </bottom>
      <diagonal/>
    </border>
    <border>
      <left/>
      <right/>
      <top style="thin">
        <color rgb="FFCBD5E1"/>
      </top>
      <bottom/>
      <diagonal/>
    </border>
    <border>
      <left/>
      <right style="thin">
        <color rgb="FFCBD5E1"/>
      </right>
      <top style="thin">
        <color rgb="FFCBD5E1"/>
      </top>
      <bottom/>
      <diagonal/>
    </border>
    <border>
      <left/>
      <right/>
      <top style="thin">
        <color rgb="FFCBD5E1"/>
      </top>
      <bottom style="thin">
        <color rgb="FFCBD5E1"/>
      </bottom>
      <diagonal/>
    </border>
    <border>
      <left/>
      <right style="thin">
        <color rgb="FFCBD5E1"/>
      </right>
      <top style="thin">
        <color rgb="FFCBD5E1"/>
      </top>
      <bottom style="thin">
        <color rgb="FFCBD5E1"/>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71">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2" borderId="1" applyAlignment="1" pivotButton="0" quotePrefix="0" xfId="0">
      <alignment horizontal="left" vertical="center"/>
    </xf>
    <xf numFmtId="0" fontId="9" fillId="3" borderId="1" applyAlignment="1" pivotButton="0" quotePrefix="0" xfId="0">
      <alignment horizontal="general" vertical="center"/>
    </xf>
    <xf numFmtId="0" fontId="10" fillId="3" borderId="1" applyAlignment="1" pivotButton="0" quotePrefix="0" xfId="0">
      <alignment horizontal="general" vertical="center" wrapText="1"/>
    </xf>
    <xf numFmtId="0" fontId="9" fillId="0" borderId="1" applyAlignment="1" pivotButton="0" quotePrefix="0" xfId="0">
      <alignment horizontal="general" vertical="center"/>
    </xf>
    <xf numFmtId="0" fontId="10" fillId="0" borderId="1" applyAlignment="1" pivotButton="0" quotePrefix="0" xfId="0">
      <alignment horizontal="general" vertical="center" wrapText="1"/>
    </xf>
    <xf numFmtId="0" fontId="11" fillId="0" borderId="1" applyAlignment="1" pivotButton="0" quotePrefix="0" xfId="0">
      <alignment horizontal="general" vertical="center"/>
    </xf>
    <xf numFmtId="0" fontId="12" fillId="0" borderId="1" applyAlignment="1" pivotButton="0" quotePrefix="0" xfId="0">
      <alignment horizontal="right" vertical="center"/>
    </xf>
    <xf numFmtId="0" fontId="8" fillId="2" borderId="2" applyAlignment="1" pivotButton="0" quotePrefix="0" xfId="0">
      <alignment horizontal="left" vertical="center" wrapText="1"/>
    </xf>
    <xf numFmtId="0" fontId="9" fillId="3" borderId="1" applyAlignment="1" pivotButton="0" quotePrefix="0" xfId="0">
      <alignment horizontal="center" vertical="top"/>
    </xf>
    <xf numFmtId="0" fontId="13" fillId="3" borderId="1" applyAlignment="1" pivotButton="0" quotePrefix="0" xfId="0">
      <alignment horizontal="left" vertical="top" wrapText="1"/>
    </xf>
    <xf numFmtId="0" fontId="13" fillId="4" borderId="1" applyAlignment="1" pivotButton="0" quotePrefix="0" xfId="0">
      <alignment horizontal="center" vertical="center"/>
    </xf>
    <xf numFmtId="0" fontId="14" fillId="5" borderId="1" applyAlignment="1" pivotButton="0" quotePrefix="0" xfId="0">
      <alignment horizontal="center" vertical="center"/>
    </xf>
    <xf numFmtId="0" fontId="13" fillId="6" borderId="1" applyAlignment="1" pivotButton="0" quotePrefix="0" xfId="0">
      <alignment horizontal="center" vertical="center"/>
    </xf>
    <xf numFmtId="0" fontId="6" fillId="3" borderId="1" applyAlignment="1" pivotButton="0" quotePrefix="0" xfId="0">
      <alignment horizontal="center" vertical="center" wrapText="1"/>
    </xf>
    <xf numFmtId="0" fontId="10" fillId="3" borderId="1" applyAlignment="1" pivotButton="0" quotePrefix="0" xfId="0">
      <alignment horizontal="left" vertical="top" wrapText="1"/>
    </xf>
    <xf numFmtId="164" fontId="9" fillId="3" borderId="1" applyAlignment="1" pivotButton="0" quotePrefix="0" xfId="0">
      <alignment horizontal="center" vertical="center"/>
    </xf>
    <xf numFmtId="0" fontId="10" fillId="3" borderId="1" applyAlignment="1" pivotButton="0" quotePrefix="0" xfId="0">
      <alignment horizontal="center" vertical="center"/>
    </xf>
    <xf numFmtId="0" fontId="9" fillId="0" borderId="1" applyAlignment="1" pivotButton="0" quotePrefix="0" xfId="0">
      <alignment horizontal="center" vertical="top"/>
    </xf>
    <xf numFmtId="0" fontId="13" fillId="0" borderId="1" applyAlignment="1" pivotButton="0" quotePrefix="0" xfId="0">
      <alignment horizontal="left" vertical="top" wrapText="1"/>
    </xf>
    <xf numFmtId="0" fontId="13" fillId="7" borderId="1" applyAlignment="1" pivotButton="0" quotePrefix="0" xfId="0">
      <alignment horizontal="center" vertical="center"/>
    </xf>
    <xf numFmtId="0" fontId="13" fillId="8" borderId="1" applyAlignment="1" pivotButton="0" quotePrefix="0" xfId="0">
      <alignment horizontal="center" vertical="center"/>
    </xf>
    <xf numFmtId="0" fontId="6" fillId="0" borderId="1" applyAlignment="1" pivotButton="0" quotePrefix="0" xfId="0">
      <alignment horizontal="center" vertical="center" wrapText="1"/>
    </xf>
    <xf numFmtId="0" fontId="10" fillId="0" borderId="1" applyAlignment="1" pivotButton="0" quotePrefix="0" xfId="0">
      <alignment horizontal="left" vertical="top" wrapText="1"/>
    </xf>
    <xf numFmtId="164" fontId="9" fillId="0" borderId="1" applyAlignment="1" pivotButton="0" quotePrefix="0" xfId="0">
      <alignment horizontal="center" vertical="center"/>
    </xf>
    <xf numFmtId="0" fontId="10" fillId="0" borderId="1" applyAlignment="1" pivotButton="0" quotePrefix="0" xfId="0">
      <alignment horizontal="center" vertical="center"/>
    </xf>
    <xf numFmtId="0" fontId="15" fillId="9" borderId="1" applyAlignment="1" pivotButton="0" quotePrefix="0" xfId="0">
      <alignment horizontal="center" vertical="center"/>
    </xf>
    <xf numFmtId="0" fontId="13" fillId="10" borderId="1" applyAlignment="1" pivotButton="0" quotePrefix="0" xfId="0">
      <alignment horizontal="center" vertical="center"/>
    </xf>
    <xf numFmtId="0" fontId="13" fillId="11" borderId="1" applyAlignment="1" pivotButton="0" quotePrefix="0" xfId="0">
      <alignment horizontal="center" vertical="center"/>
    </xf>
    <xf numFmtId="0" fontId="16" fillId="10" borderId="1" applyAlignment="1" pivotButton="0" quotePrefix="0" xfId="0">
      <alignment horizontal="center" vertical="center"/>
    </xf>
    <xf numFmtId="0" fontId="17" fillId="12" borderId="1" applyAlignment="1" pivotButton="0" quotePrefix="0" xfId="0">
      <alignment horizontal="center" vertical="center"/>
    </xf>
    <xf numFmtId="0" fontId="13" fillId="13" borderId="1" applyAlignment="1" pivotButton="0" quotePrefix="0" xfId="0">
      <alignment horizontal="center" vertical="center"/>
    </xf>
    <xf numFmtId="0" fontId="18" fillId="14" borderId="1" applyAlignment="1" pivotButton="0" quotePrefix="0" xfId="0">
      <alignment horizontal="center" vertical="center"/>
    </xf>
    <xf numFmtId="0" fontId="13" fillId="15" borderId="1" applyAlignment="1" pivotButton="0" quotePrefix="0" xfId="0">
      <alignment horizontal="center" vertical="center"/>
    </xf>
    <xf numFmtId="0" fontId="13" fillId="16" borderId="1" applyAlignment="1" pivotButton="0" quotePrefix="0" xfId="0">
      <alignment horizontal="center" vertical="center"/>
    </xf>
    <xf numFmtId="0" fontId="19" fillId="0" borderId="0" applyAlignment="1" pivotButton="0" quotePrefix="0" xfId="0">
      <alignment horizontal="general" vertical="bottom"/>
    </xf>
    <xf numFmtId="0" fontId="6" fillId="0" borderId="0" applyAlignment="1" pivotButton="0" quotePrefix="0" xfId="0">
      <alignment horizontal="general" vertical="top" wrapText="1"/>
    </xf>
    <xf numFmtId="0" fontId="20" fillId="5" borderId="1" applyAlignment="1" pivotButton="0" quotePrefix="0" xfId="0">
      <alignment horizontal="left" vertical="center" indent="1"/>
    </xf>
    <xf numFmtId="0" fontId="8" fillId="2" borderId="2" applyAlignment="1" pivotButton="0" quotePrefix="0" xfId="0">
      <alignment horizontal="left" vertical="center"/>
    </xf>
    <xf numFmtId="0" fontId="9" fillId="0" borderId="1" applyAlignment="1" pivotButton="0" quotePrefix="0" xfId="0">
      <alignment horizontal="center" vertical="center" wrapText="1"/>
    </xf>
    <xf numFmtId="0" fontId="13" fillId="0" borderId="1" applyAlignment="1" pivotButton="0" quotePrefix="0" xfId="0">
      <alignment horizontal="left" vertical="center" wrapText="1"/>
    </xf>
    <xf numFmtId="0" fontId="10" fillId="4" borderId="1" applyAlignment="1" pivotButton="0" quotePrefix="0" xfId="0">
      <alignment horizontal="center" vertical="center" wrapText="1"/>
    </xf>
    <xf numFmtId="0" fontId="10" fillId="6" borderId="1" applyAlignment="1" pivotButton="0" quotePrefix="0" xfId="0">
      <alignment horizontal="center" vertical="center" wrapText="1"/>
    </xf>
    <xf numFmtId="164" fontId="9"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10" fillId="7" borderId="1" applyAlignment="1" pivotButton="0" quotePrefix="0" xfId="0">
      <alignment horizontal="center" vertical="center" wrapText="1"/>
    </xf>
    <xf numFmtId="0" fontId="10" fillId="8" borderId="1" applyAlignment="1" pivotButton="0" quotePrefix="0" xfId="0">
      <alignment horizontal="center" vertical="center" wrapText="1"/>
    </xf>
    <xf numFmtId="0" fontId="10" fillId="10" borderId="1" applyAlignment="1" pivotButton="0" quotePrefix="0" xfId="0">
      <alignment horizontal="center" vertical="center" wrapText="1"/>
    </xf>
    <xf numFmtId="0" fontId="21" fillId="9" borderId="1" applyAlignment="1" pivotButton="0" quotePrefix="0" xfId="0">
      <alignment horizontal="left" vertical="center" indent="1"/>
    </xf>
    <xf numFmtId="0" fontId="10" fillId="11" borderId="1" applyAlignment="1" pivotButton="0" quotePrefix="0" xfId="0">
      <alignment horizontal="center" vertical="center" wrapText="1"/>
    </xf>
    <xf numFmtId="0" fontId="10" fillId="13" borderId="1" applyAlignment="1" pivotButton="0" quotePrefix="0" xfId="0">
      <alignment horizontal="center" vertical="center" wrapText="1"/>
    </xf>
    <xf numFmtId="0" fontId="10" fillId="16" borderId="1" applyAlignment="1" pivotButton="0" quotePrefix="0" xfId="0">
      <alignment horizontal="center" vertical="center" wrapText="1"/>
    </xf>
    <xf numFmtId="0" fontId="22" fillId="10" borderId="1" applyAlignment="1" pivotButton="0" quotePrefix="0" xfId="0">
      <alignment horizontal="left" vertical="center" indent="1"/>
    </xf>
    <xf numFmtId="0" fontId="23" fillId="12" borderId="1" applyAlignment="1" pivotButton="0" quotePrefix="0" xfId="0">
      <alignment horizontal="left" vertical="center" indent="1"/>
    </xf>
    <xf numFmtId="0" fontId="10" fillId="15" borderId="1" applyAlignment="1" pivotButton="0" quotePrefix="0" xfId="0">
      <alignment horizontal="center" vertical="center" wrapText="1"/>
    </xf>
    <xf numFmtId="0" fontId="24" fillId="14" borderId="1" applyAlignment="1" pivotButton="0" quotePrefix="0" xfId="0">
      <alignment horizontal="left" vertical="center" indent="1"/>
    </xf>
    <xf numFmtId="0" fontId="25" fillId="8" borderId="1" applyAlignment="1" pivotButton="0" quotePrefix="0" xfId="0">
      <alignment horizontal="left" vertical="center" indent="1"/>
    </xf>
    <xf numFmtId="0" fontId="14" fillId="5" borderId="1" applyAlignment="1" pivotButton="0" quotePrefix="0" xfId="0">
      <alignment horizontal="center" vertical="center" wrapText="1"/>
    </xf>
    <xf numFmtId="0" fontId="15" fillId="9" borderId="1" applyAlignment="1" pivotButton="0" quotePrefix="0" xfId="0">
      <alignment horizontal="center" vertical="center" wrapText="1"/>
    </xf>
    <xf numFmtId="0" fontId="16" fillId="10" borderId="1" applyAlignment="1" pivotButton="0" quotePrefix="0" xfId="0">
      <alignment horizontal="center" vertical="center" wrapText="1"/>
    </xf>
    <xf numFmtId="0" fontId="17" fillId="12" borderId="1" applyAlignment="1" pivotButton="0" quotePrefix="0" xfId="0">
      <alignment horizontal="center" vertical="center" wrapText="1"/>
    </xf>
    <xf numFmtId="0" fontId="25" fillId="6" borderId="1" applyAlignment="1" pivotButton="0" quotePrefix="0" xfId="0">
      <alignment horizontal="left" vertical="center" indent="1"/>
    </xf>
    <xf numFmtId="0" fontId="18" fillId="14" borderId="1" applyAlignment="1" pivotButton="0" quotePrefix="0" xfId="0">
      <alignment horizontal="center" vertical="center" wrapText="1"/>
    </xf>
    <xf numFmtId="0" fontId="25" fillId="11" borderId="1" applyAlignment="1" pivotButton="0" quotePrefix="0" xfId="0">
      <alignment horizontal="left" vertical="center" indent="1"/>
    </xf>
    <xf numFmtId="0" fontId="25" fillId="10" borderId="1" applyAlignment="1" pivotButton="0" quotePrefix="0" xfId="0">
      <alignment horizontal="left" vertical="center" indent="1"/>
    </xf>
    <xf numFmtId="0" fontId="25" fillId="13" borderId="1" applyAlignment="1" pivotButton="0" quotePrefix="0" xfId="0">
      <alignment horizontal="left" vertical="center" indent="1"/>
    </xf>
    <xf numFmtId="0" fontId="25" fillId="15" borderId="1" applyAlignment="1" pivotButton="0" quotePrefix="0" xfId="0">
      <alignment horizontal="left" vertical="center" indent="1"/>
    </xf>
    <xf numFmtId="0" fontId="25" fillId="16" borderId="1" applyAlignment="1" pivotButton="0" quotePrefix="0" xfId="0">
      <alignment horizontal="left" vertical="center" indent="1"/>
    </xf>
    <xf numFmtId="0" fontId="25" fillId="4" borderId="1" applyAlignment="1" pivotButton="0" quotePrefix="0" xfId="0">
      <alignment horizontal="left" vertical="center" indent="1"/>
    </xf>
    <xf numFmtId="0" fontId="25" fillId="7" borderId="1" applyAlignment="1" pivotButton="0" quotePrefix="0" xfId="0">
      <alignment horizontal="left" vertical="center" indent="1"/>
    </xf>
    <xf numFmtId="0" fontId="25" fillId="0" borderId="0" applyAlignment="1" pivotButton="0" quotePrefix="0" xfId="0">
      <alignment horizontal="general" vertical="bottom"/>
    </xf>
    <xf numFmtId="0" fontId="8" fillId="2" borderId="2" applyAlignment="1" pivotButton="0" quotePrefix="0" xfId="0">
      <alignment horizontal="center" vertical="center"/>
    </xf>
    <xf numFmtId="0" fontId="13" fillId="0" borderId="1" applyAlignment="1" pivotButton="0" quotePrefix="0" xfId="0">
      <alignment horizontal="center" vertical="center"/>
    </xf>
    <xf numFmtId="165" fontId="10" fillId="0" borderId="1" applyAlignment="1" pivotButton="0" quotePrefix="0" xfId="0">
      <alignment horizontal="center" vertical="center"/>
    </xf>
    <xf numFmtId="0" fontId="12" fillId="0" borderId="2" applyAlignment="1" pivotButton="0" quotePrefix="0" xfId="0">
      <alignment horizontal="center" vertical="center"/>
    </xf>
    <xf numFmtId="164" fontId="12" fillId="0" borderId="2" applyAlignment="1" pivotButton="0" quotePrefix="0" xfId="0">
      <alignment horizontal="center" vertical="center"/>
    </xf>
    <xf numFmtId="165" fontId="12" fillId="0" borderId="2" applyAlignment="1" pivotButton="0" quotePrefix="0" xfId="0">
      <alignment horizontal="center" vertical="center"/>
    </xf>
    <xf numFmtId="165" fontId="0" fillId="0" borderId="1" applyAlignment="1" pivotButton="0" quotePrefix="0" xfId="0">
      <alignment horizontal="center" vertical="center"/>
    </xf>
    <xf numFmtId="0" fontId="26" fillId="0" borderId="1" applyAlignment="1" pivotButton="0" quotePrefix="0" xfId="0">
      <alignment horizontal="general" vertical="top"/>
    </xf>
    <xf numFmtId="0" fontId="10" fillId="0"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2" borderId="1" applyAlignment="1" pivotButton="0" quotePrefix="0" xfId="0">
      <alignment horizontal="left" vertical="center"/>
    </xf>
    <xf numFmtId="0" fontId="9" fillId="3" borderId="1" applyAlignment="1" pivotButton="0" quotePrefix="0" xfId="0">
      <alignment horizontal="general" vertical="center"/>
    </xf>
    <xf numFmtId="0" fontId="10" fillId="3" borderId="1" applyAlignment="1" pivotButton="0" quotePrefix="0" xfId="0">
      <alignment horizontal="general" vertical="center" wrapText="1"/>
    </xf>
    <xf numFmtId="0" fontId="9" fillId="0" borderId="1" applyAlignment="1" pivotButton="0" quotePrefix="0" xfId="0">
      <alignment horizontal="general" vertical="center"/>
    </xf>
    <xf numFmtId="0" fontId="10" fillId="0" borderId="1" applyAlignment="1" pivotButton="0" quotePrefix="0" xfId="0">
      <alignment horizontal="general" vertical="center" wrapText="1"/>
    </xf>
    <xf numFmtId="0" fontId="11" fillId="0" borderId="1" applyAlignment="1" pivotButton="0" quotePrefix="0" xfId="0">
      <alignment horizontal="general" vertical="center"/>
    </xf>
    <xf numFmtId="0" fontId="12" fillId="0" borderId="1" applyAlignment="1" pivotButton="0" quotePrefix="0" xfId="0">
      <alignment horizontal="right" vertical="center"/>
    </xf>
    <xf numFmtId="0" fontId="8" fillId="2" borderId="2" applyAlignment="1" pivotButton="0" quotePrefix="0" xfId="0">
      <alignment horizontal="left" vertical="center" wrapText="1"/>
    </xf>
    <xf numFmtId="0" fontId="9" fillId="3" borderId="1" applyAlignment="1" pivotButton="0" quotePrefix="0" xfId="0">
      <alignment horizontal="center" vertical="top"/>
    </xf>
    <xf numFmtId="0" fontId="13" fillId="3" borderId="1" applyAlignment="1" pivotButton="0" quotePrefix="0" xfId="0">
      <alignment horizontal="left" vertical="top" wrapText="1"/>
    </xf>
    <xf numFmtId="0" fontId="13" fillId="4" borderId="1" applyAlignment="1" pivotButton="0" quotePrefix="0" xfId="0">
      <alignment horizontal="center" vertical="center"/>
    </xf>
    <xf numFmtId="0" fontId="14" fillId="5" borderId="1" applyAlignment="1" pivotButton="0" quotePrefix="0" xfId="0">
      <alignment horizontal="center" vertical="center"/>
    </xf>
    <xf numFmtId="0" fontId="13" fillId="6" borderId="1" applyAlignment="1" pivotButton="0" quotePrefix="0" xfId="0">
      <alignment horizontal="center" vertical="center"/>
    </xf>
    <xf numFmtId="0" fontId="6" fillId="3" borderId="1" applyAlignment="1" pivotButton="0" quotePrefix="0" xfId="0">
      <alignment horizontal="center" vertical="center" wrapText="1"/>
    </xf>
    <xf numFmtId="0" fontId="10" fillId="3" borderId="1" applyAlignment="1" pivotButton="0" quotePrefix="0" xfId="0">
      <alignment horizontal="left" vertical="top" wrapText="1"/>
    </xf>
    <xf numFmtId="164" fontId="9" fillId="3" borderId="1" applyAlignment="1" pivotButton="0" quotePrefix="0" xfId="0">
      <alignment horizontal="center" vertical="center"/>
    </xf>
    <xf numFmtId="0" fontId="10" fillId="3" borderId="1" applyAlignment="1" pivotButton="0" quotePrefix="0" xfId="0">
      <alignment horizontal="center" vertical="center"/>
    </xf>
    <xf numFmtId="0" fontId="9" fillId="0" borderId="1" applyAlignment="1" pivotButton="0" quotePrefix="0" xfId="0">
      <alignment horizontal="center" vertical="top"/>
    </xf>
    <xf numFmtId="0" fontId="13" fillId="0" borderId="1" applyAlignment="1" pivotButton="0" quotePrefix="0" xfId="0">
      <alignment horizontal="left" vertical="top" wrapText="1"/>
    </xf>
    <xf numFmtId="0" fontId="13" fillId="7" borderId="1" applyAlignment="1" pivotButton="0" quotePrefix="0" xfId="0">
      <alignment horizontal="center" vertical="center"/>
    </xf>
    <xf numFmtId="0" fontId="13" fillId="8" borderId="1" applyAlignment="1" pivotButton="0" quotePrefix="0" xfId="0">
      <alignment horizontal="center" vertical="center"/>
    </xf>
    <xf numFmtId="0" fontId="6" fillId="0" borderId="1" applyAlignment="1" pivotButton="0" quotePrefix="0" xfId="0">
      <alignment horizontal="center" vertical="center" wrapText="1"/>
    </xf>
    <xf numFmtId="0" fontId="10" fillId="0" borderId="1" applyAlignment="1" pivotButton="0" quotePrefix="0" xfId="0">
      <alignment horizontal="left" vertical="top" wrapText="1"/>
    </xf>
    <xf numFmtId="164" fontId="9" fillId="0" borderId="1" applyAlignment="1" pivotButton="0" quotePrefix="0" xfId="0">
      <alignment horizontal="center" vertical="center"/>
    </xf>
    <xf numFmtId="0" fontId="10" fillId="0" borderId="1" applyAlignment="1" pivotButton="0" quotePrefix="0" xfId="0">
      <alignment horizontal="center" vertical="center"/>
    </xf>
    <xf numFmtId="0" fontId="15" fillId="9" borderId="1" applyAlignment="1" pivotButton="0" quotePrefix="0" xfId="0">
      <alignment horizontal="center" vertical="center"/>
    </xf>
    <xf numFmtId="0" fontId="13" fillId="10" borderId="1" applyAlignment="1" pivotButton="0" quotePrefix="0" xfId="0">
      <alignment horizontal="center" vertical="center"/>
    </xf>
    <xf numFmtId="0" fontId="13" fillId="11" borderId="1" applyAlignment="1" pivotButton="0" quotePrefix="0" xfId="0">
      <alignment horizontal="center" vertical="center"/>
    </xf>
    <xf numFmtId="0" fontId="16" fillId="10" borderId="1" applyAlignment="1" pivotButton="0" quotePrefix="0" xfId="0">
      <alignment horizontal="center" vertical="center"/>
    </xf>
    <xf numFmtId="0" fontId="17" fillId="12" borderId="1" applyAlignment="1" pivotButton="0" quotePrefix="0" xfId="0">
      <alignment horizontal="center" vertical="center"/>
    </xf>
    <xf numFmtId="0" fontId="13" fillId="13" borderId="1" applyAlignment="1" pivotButton="0" quotePrefix="0" xfId="0">
      <alignment horizontal="center" vertical="center"/>
    </xf>
    <xf numFmtId="0" fontId="18" fillId="14" borderId="1" applyAlignment="1" pivotButton="0" quotePrefix="0" xfId="0">
      <alignment horizontal="center" vertical="center"/>
    </xf>
    <xf numFmtId="0" fontId="13" fillId="15" borderId="1" applyAlignment="1" pivotButton="0" quotePrefix="0" xfId="0">
      <alignment horizontal="center" vertical="center"/>
    </xf>
    <xf numFmtId="0" fontId="13" fillId="16" borderId="1" applyAlignment="1" pivotButton="0" quotePrefix="0" xfId="0">
      <alignment horizontal="center" vertical="center"/>
    </xf>
    <xf numFmtId="0" fontId="19" fillId="0" borderId="0" applyAlignment="1" pivotButton="0" quotePrefix="0" xfId="0">
      <alignment horizontal="general" vertical="bottom"/>
    </xf>
    <xf numFmtId="0" fontId="6" fillId="0" borderId="0" applyAlignment="1" pivotButton="0" quotePrefix="0" xfId="0">
      <alignment horizontal="general" vertical="top" wrapText="1"/>
    </xf>
    <xf numFmtId="0" fontId="20" fillId="5" borderId="1" applyAlignment="1" pivotButton="0" quotePrefix="0" xfId="0">
      <alignment horizontal="left" vertical="center" indent="1"/>
    </xf>
    <xf numFmtId="0" fontId="0" fillId="0" borderId="5" pivotButton="0" quotePrefix="0" xfId="0"/>
    <xf numFmtId="0" fontId="0" fillId="0" borderId="6" pivotButton="0" quotePrefix="0" xfId="0"/>
    <xf numFmtId="0" fontId="8" fillId="2" borderId="2" applyAlignment="1" pivotButton="0" quotePrefix="0" xfId="0">
      <alignment horizontal="left" vertical="center"/>
    </xf>
    <xf numFmtId="0" fontId="9" fillId="0" borderId="1" applyAlignment="1" pivotButton="0" quotePrefix="0" xfId="0">
      <alignment horizontal="center" vertical="center" wrapText="1"/>
    </xf>
    <xf numFmtId="0" fontId="13" fillId="0" borderId="1" applyAlignment="1" pivotButton="0" quotePrefix="0" xfId="0">
      <alignment horizontal="left" vertical="center" wrapText="1"/>
    </xf>
    <xf numFmtId="0" fontId="10" fillId="4" borderId="1" applyAlignment="1" pivotButton="0" quotePrefix="0" xfId="0">
      <alignment horizontal="center" vertical="center" wrapText="1"/>
    </xf>
    <xf numFmtId="0" fontId="10" fillId="6" borderId="1" applyAlignment="1" pivotButton="0" quotePrefix="0" xfId="0">
      <alignment horizontal="center" vertical="center" wrapText="1"/>
    </xf>
    <xf numFmtId="164" fontId="9"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10" fillId="7" borderId="1" applyAlignment="1" pivotButton="0" quotePrefix="0" xfId="0">
      <alignment horizontal="center" vertical="center" wrapText="1"/>
    </xf>
    <xf numFmtId="0" fontId="10" fillId="8" borderId="1" applyAlignment="1" pivotButton="0" quotePrefix="0" xfId="0">
      <alignment horizontal="center" vertical="center" wrapText="1"/>
    </xf>
    <xf numFmtId="0" fontId="10" fillId="10" borderId="1" applyAlignment="1" pivotButton="0" quotePrefix="0" xfId="0">
      <alignment horizontal="center" vertical="center" wrapText="1"/>
    </xf>
    <xf numFmtId="0" fontId="21" fillId="9" borderId="1" applyAlignment="1" pivotButton="0" quotePrefix="0" xfId="0">
      <alignment horizontal="left" vertical="center" indent="1"/>
    </xf>
    <xf numFmtId="0" fontId="10" fillId="11" borderId="1" applyAlignment="1" pivotButton="0" quotePrefix="0" xfId="0">
      <alignment horizontal="center" vertical="center" wrapText="1"/>
    </xf>
    <xf numFmtId="0" fontId="10" fillId="13" borderId="1" applyAlignment="1" pivotButton="0" quotePrefix="0" xfId="0">
      <alignment horizontal="center" vertical="center" wrapText="1"/>
    </xf>
    <xf numFmtId="0" fontId="10" fillId="16" borderId="1" applyAlignment="1" pivotButton="0" quotePrefix="0" xfId="0">
      <alignment horizontal="center" vertical="center" wrapText="1"/>
    </xf>
    <xf numFmtId="0" fontId="22" fillId="10" borderId="1" applyAlignment="1" pivotButton="0" quotePrefix="0" xfId="0">
      <alignment horizontal="left" vertical="center" indent="1"/>
    </xf>
    <xf numFmtId="0" fontId="23" fillId="12" borderId="1" applyAlignment="1" pivotButton="0" quotePrefix="0" xfId="0">
      <alignment horizontal="left" vertical="center" indent="1"/>
    </xf>
    <xf numFmtId="0" fontId="10" fillId="15" borderId="1" applyAlignment="1" pivotButton="0" quotePrefix="0" xfId="0">
      <alignment horizontal="center" vertical="center" wrapText="1"/>
    </xf>
    <xf numFmtId="0" fontId="24" fillId="14" borderId="1" applyAlignment="1" pivotButton="0" quotePrefix="0" xfId="0">
      <alignment horizontal="left" vertical="center" indent="1"/>
    </xf>
    <xf numFmtId="0" fontId="25" fillId="8" borderId="1" applyAlignment="1" pivotButton="0" quotePrefix="0" xfId="0">
      <alignment horizontal="left" vertical="center" indent="1"/>
    </xf>
    <xf numFmtId="0" fontId="14" fillId="5" borderId="1" applyAlignment="1" pivotButton="0" quotePrefix="0" xfId="0">
      <alignment horizontal="center" vertical="center" wrapText="1"/>
    </xf>
    <xf numFmtId="0" fontId="15" fillId="9" borderId="1" applyAlignment="1" pivotButton="0" quotePrefix="0" xfId="0">
      <alignment horizontal="center" vertical="center" wrapText="1"/>
    </xf>
    <xf numFmtId="0" fontId="16" fillId="10" borderId="1" applyAlignment="1" pivotButton="0" quotePrefix="0" xfId="0">
      <alignment horizontal="center" vertical="center" wrapText="1"/>
    </xf>
    <xf numFmtId="0" fontId="17" fillId="12" borderId="1" applyAlignment="1" pivotButton="0" quotePrefix="0" xfId="0">
      <alignment horizontal="center" vertical="center" wrapText="1"/>
    </xf>
    <xf numFmtId="0" fontId="25" fillId="6" borderId="1" applyAlignment="1" pivotButton="0" quotePrefix="0" xfId="0">
      <alignment horizontal="left" vertical="center" indent="1"/>
    </xf>
    <xf numFmtId="0" fontId="18" fillId="14" borderId="1" applyAlignment="1" pivotButton="0" quotePrefix="0" xfId="0">
      <alignment horizontal="center" vertical="center" wrapText="1"/>
    </xf>
    <xf numFmtId="0" fontId="25" fillId="11" borderId="1" applyAlignment="1" pivotButton="0" quotePrefix="0" xfId="0">
      <alignment horizontal="left" vertical="center" indent="1"/>
    </xf>
    <xf numFmtId="0" fontId="25" fillId="10" borderId="1" applyAlignment="1" pivotButton="0" quotePrefix="0" xfId="0">
      <alignment horizontal="left" vertical="center" indent="1"/>
    </xf>
    <xf numFmtId="0" fontId="25" fillId="13" borderId="1" applyAlignment="1" pivotButton="0" quotePrefix="0" xfId="0">
      <alignment horizontal="left" vertical="center" indent="1"/>
    </xf>
    <xf numFmtId="0" fontId="25" fillId="15" borderId="1" applyAlignment="1" pivotButton="0" quotePrefix="0" xfId="0">
      <alignment horizontal="left" vertical="center" indent="1"/>
    </xf>
    <xf numFmtId="0" fontId="25" fillId="16" borderId="1" applyAlignment="1" pivotButton="0" quotePrefix="0" xfId="0">
      <alignment horizontal="left" vertical="center" indent="1"/>
    </xf>
    <xf numFmtId="0" fontId="25" fillId="4" borderId="1" applyAlignment="1" pivotButton="0" quotePrefix="0" xfId="0">
      <alignment horizontal="left" vertical="center" indent="1"/>
    </xf>
    <xf numFmtId="0" fontId="25" fillId="7" borderId="1" applyAlignment="1" pivotButton="0" quotePrefix="0" xfId="0">
      <alignment horizontal="left" vertical="center" indent="1"/>
    </xf>
    <xf numFmtId="0" fontId="25" fillId="0" borderId="0" applyAlignment="1" pivotButton="0" quotePrefix="0" xfId="0">
      <alignment horizontal="general" vertical="bottom"/>
    </xf>
    <xf numFmtId="0" fontId="8" fillId="2" borderId="2" applyAlignment="1" pivotButton="0" quotePrefix="0" xfId="0">
      <alignment horizontal="center" vertical="center"/>
    </xf>
    <xf numFmtId="0" fontId="13" fillId="0" borderId="1" applyAlignment="1" pivotButton="0" quotePrefix="0" xfId="0">
      <alignment horizontal="center" vertical="center"/>
    </xf>
    <xf numFmtId="165" fontId="10" fillId="0" borderId="1" applyAlignment="1" pivotButton="0" quotePrefix="0" xfId="0">
      <alignment horizontal="center" vertical="center"/>
    </xf>
    <xf numFmtId="0" fontId="12" fillId="0" borderId="2" applyAlignment="1" pivotButton="0" quotePrefix="0" xfId="0">
      <alignment horizontal="center" vertical="center"/>
    </xf>
    <xf numFmtId="164" fontId="12" fillId="0" borderId="2" applyAlignment="1" pivotButton="0" quotePrefix="0" xfId="0">
      <alignment horizontal="center" vertical="center"/>
    </xf>
    <xf numFmtId="165" fontId="12" fillId="0" borderId="2" applyAlignment="1" pivotButton="0" quotePrefix="0" xfId="0">
      <alignment horizontal="center" vertical="center"/>
    </xf>
    <xf numFmtId="165" fontId="0" fillId="0" borderId="1" applyAlignment="1" pivotButton="0" quotePrefix="0" xfId="0">
      <alignment horizontal="center" vertical="center"/>
    </xf>
    <xf numFmtId="0" fontId="26" fillId="0" borderId="1" applyAlignment="1" pivotButton="0" quotePrefix="0" xfId="0">
      <alignment horizontal="general" vertical="top"/>
    </xf>
    <xf numFmtId="0" fontId="10" fillId="0" borderId="1"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27">
    <dxf>
      <fill>
        <patternFill patternType="solid">
          <fgColor rgb="FF0F172A"/>
          <bgColor rgb="FF000000"/>
        </patternFill>
      </fill>
    </dxf>
    <dxf>
      <fill>
        <patternFill patternType="solid">
          <fgColor rgb="FFF8FAFC"/>
          <bgColor rgb="FF000000"/>
        </patternFill>
      </fill>
    </dxf>
    <dxf>
      <fill>
        <patternFill patternType="solid">
          <bgColor rgb="FF000000"/>
        </patternFill>
      </fill>
    </dxf>
    <dxf>
      <fill>
        <patternFill patternType="solid">
          <fgColor rgb="FFFFFFFF"/>
          <bgColor rgb="FF000000"/>
        </patternFill>
      </fill>
    </dxf>
    <dxf>
      <fill>
        <patternFill patternType="solid">
          <fgColor rgb="FF111827"/>
          <bgColor rgb="FF000000"/>
        </patternFill>
      </fill>
    </dxf>
    <dxf>
      <fill>
        <patternFill patternType="solid">
          <fgColor rgb="FFDCFCE7"/>
          <bgColor rgb="FF000000"/>
        </patternFill>
      </fill>
    </dxf>
    <dxf>
      <fill>
        <patternFill patternType="solid">
          <fgColor rgb="FFFEF3C7"/>
          <bgColor rgb="FF000000"/>
        </patternFill>
      </fill>
    </dxf>
    <dxf>
      <fill>
        <patternFill patternType="solid">
          <fgColor rgb="FFFFE4E6"/>
          <bgColor rgb="FF000000"/>
        </patternFill>
      </fill>
    </dxf>
    <dxf>
      <fill>
        <patternFill patternType="solid">
          <fgColor rgb="FFDBEAFE"/>
          <bgColor rgb="FF000000"/>
        </patternFill>
      </fill>
    </dxf>
    <dxf>
      <fill>
        <patternFill patternType="solid">
          <fgColor rgb="FFE5E7EB"/>
          <bgColor rgb="FF000000"/>
        </patternFill>
      </fill>
    </dxf>
    <dxf>
      <fill>
        <patternFill patternType="solid">
          <fgColor rgb="FFFECACA"/>
          <bgColor rgb="FF000000"/>
        </patternFill>
      </fill>
    </dxf>
    <dxf>
      <fill>
        <patternFill patternType="solid">
          <fgColor rgb="FFFEE2E2"/>
          <bgColor rgb="FF000000"/>
        </patternFill>
      </fill>
    </dxf>
    <dxf>
      <fill>
        <patternFill patternType="solid">
          <fgColor rgb="FF1E3A8A"/>
          <bgColor rgb="FF000000"/>
        </patternFill>
      </fill>
    </dxf>
    <dxf>
      <fill>
        <patternFill patternType="solid">
          <fgColor rgb="FF374151"/>
          <bgColor rgb="FF000000"/>
        </patternFill>
      </fill>
    </dxf>
    <dxf>
      <fill>
        <patternFill patternType="solid">
          <fgColor rgb="FF7F1D1D"/>
          <bgColor rgb="FF000000"/>
        </patternFill>
      </fill>
    </dxf>
    <dxf>
      <fill>
        <patternFill patternType="solid">
          <fgColor rgb="FF92400E"/>
          <bgColor rgb="FF000000"/>
        </patternFill>
      </fill>
    </dxf>
    <dxf>
      <fill>
        <patternFill patternType="solid">
          <fgColor rgb="FF991B1B"/>
          <bgColor rgb="FF000000"/>
        </patternFill>
      </fill>
    </dxf>
    <dxf>
      <fill>
        <patternFill patternType="solid">
          <fgColor rgb="FFE0F2FE"/>
          <bgColor rgb="FF000000"/>
        </patternFill>
      </fill>
    </dxf>
    <dxf>
      <fill>
        <patternFill patternType="solid">
          <fgColor rgb="FFECFDF5"/>
          <bgColor rgb="FF000000"/>
        </patternFill>
      </fill>
    </dxf>
    <dxf>
      <fill>
        <patternFill patternType="solid">
          <fgColor rgb="FFEDE9FE"/>
          <bgColor rgb="FF000000"/>
        </patternFill>
      </fill>
    </dxf>
    <dxf>
      <fill>
        <patternFill patternType="solid">
          <fgColor rgb="FFF1F5F9"/>
          <bgColor rgb="FF000000"/>
        </patternFill>
      </fill>
    </dxf>
    <dxf>
      <fill>
        <patternFill patternType="solid">
          <fgColor rgb="FFF3E8FF"/>
          <bgColor rgb="FF000000"/>
        </patternFill>
      </fill>
    </dxf>
    <dxf>
      <fill>
        <patternFill patternType="solid">
          <fgColor rgb="FFFCE7F3"/>
          <bgColor rgb="FF000000"/>
        </patternFill>
      </fill>
    </dxf>
    <dxf>
      <fill>
        <patternFill patternType="solid">
          <fgColor rgb="FF475569"/>
          <bgColor rgb="FF000000"/>
        </patternFill>
      </fill>
    </dxf>
    <dxf>
      <font>
        <name val="Calibri"/>
        <charset val="1"/>
        <family val="0"/>
        <b val="1"/>
        <color rgb="FF166534"/>
        <sz val="10"/>
      </font>
      <fill>
        <patternFill>
          <bgColor rgb="FFDCFCE7"/>
        </patternFill>
      </fill>
    </dxf>
    <dxf>
      <font>
        <name val="Calibri"/>
        <charset val="1"/>
        <family val="0"/>
        <b val="1"/>
        <color rgb="FF92400E"/>
        <sz val="10"/>
      </font>
      <fill>
        <patternFill>
          <bgColor rgb="FFFEF3C7"/>
        </patternFill>
      </fill>
    </dxf>
    <dxf>
      <font>
        <name val="Calibri"/>
        <charset val="1"/>
        <family val="0"/>
        <b val="1"/>
        <color rgb="FF7F1D1D"/>
        <sz val="10"/>
      </font>
      <fill>
        <patternFill>
          <bgColor rgb="FFFECACA"/>
        </patternFill>
      </fill>
    </dxf>
  </dxfs>
  <colors>
    <indexedColors>
      <rgbColor rgb="FF000000"/>
      <rgbColor rgb="FFFFFFFF"/>
      <rgbColor rgb="FFFF0000"/>
      <rgbColor rgb="FF00FF00"/>
      <rgbColor rgb="FF0000FF"/>
      <rgbColor rgb="FFFCE7F3"/>
      <rgbColor rgb="FFFF00FF"/>
      <rgbColor rgb="FF00FFFF"/>
      <rgbColor rgb="FF7F1D1D"/>
      <rgbColor rgb="FF166534"/>
      <rgbColor rgb="FF000080"/>
      <rgbColor rgb="FF808000"/>
      <rgbColor rgb="FF800080"/>
      <rgbColor rgb="FF0891B2"/>
      <rgbColor rgb="FFE5E7EB"/>
      <rgbColor rgb="FF808080"/>
      <rgbColor rgb="FFF3E8FF"/>
      <rgbColor rgb="FF993366"/>
      <rgbColor rgb="FFFEF3C7"/>
      <rgbColor rgb="FFDCFCE7"/>
      <rgbColor rgb="FF660066"/>
      <rgbColor rgb="FFFF8080"/>
      <rgbColor rgb="FF0066CC"/>
      <rgbColor rgb="FFCBD5E1"/>
      <rgbColor rgb="FF000080"/>
      <rgbColor rgb="FFFF00FF"/>
      <rgbColor rgb="FFF1F5F9"/>
      <rgbColor rgb="FF00FFFF"/>
      <rgbColor rgb="FF800080"/>
      <rgbColor rgb="FF991B1B"/>
      <rgbColor rgb="FF008080"/>
      <rgbColor rgb="FF0000FF"/>
      <rgbColor rgb="FF00CCFF"/>
      <rgbColor rgb="FFE0F2FE"/>
      <rgbColor rgb="FFECFDF5"/>
      <rgbColor rgb="FFFFE4E6"/>
      <rgbColor rgb="FFDBEAFE"/>
      <rgbColor rgb="FFFEE2E2"/>
      <rgbColor rgb="FFEDE9FE"/>
      <rgbColor rgb="FFFECACA"/>
      <rgbColor rgb="FF3366FF"/>
      <rgbColor rgb="FF33CCCC"/>
      <rgbColor rgb="FF99CC00"/>
      <rgbColor rgb="FFF8FAFC"/>
      <rgbColor rgb="FFFF9900"/>
      <rgbColor rgb="FFFF6600"/>
      <rgbColor rgb="FF64748B"/>
      <rgbColor rgb="FF969696"/>
      <rgbColor rgb="FF0F172A"/>
      <rgbColor rgb="FF339966"/>
      <rgbColor rgb="FF111827"/>
      <rgbColor rgb="FF475569"/>
      <rgbColor rgb="FF92400E"/>
      <rgbColor rgb="FF993366"/>
      <rgbColor rgb="FF1E3A8A"/>
      <rgbColor rgb="FF374151"/>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1"/>
  </sheetPr>
  <dimension ref="A1:E26"/>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50" customWidth="1" style="84" min="1" max="1"/>
    <col width="75" customWidth="1" style="84" min="2" max="2"/>
  </cols>
  <sheetData>
    <row r="1" ht="26.8" customHeight="1" s="85">
      <c r="A1" s="86" t="inlineStr">
        <is>
          <t>PlantProcess IQ — Master Task List</t>
        </is>
      </c>
    </row>
    <row r="2" ht="15" customHeight="1" s="85">
      <c r="A2" s="87" t="inlineStr">
        <is>
          <t>Consolidates: Strategic Code Validation Report, Demo Workflow Preparation Plan, Demo Hardening Plan</t>
        </is>
      </c>
    </row>
    <row r="3" ht="15" customHeight="1" s="85">
      <c r="A3" s="88" t="inlineStr">
        <is>
          <t>Version 1.0 · 22 May 2026 · Confidential — SOU Industrial Software</t>
        </is>
      </c>
    </row>
    <row r="5" ht="17.35" customHeight="1" s="85">
      <c r="A5" s="89" t="inlineStr">
        <is>
          <t>Workbook Sheets</t>
        </is>
      </c>
    </row>
    <row r="7" ht="15" customHeight="1" s="85">
      <c r="A7" s="90" t="inlineStr">
        <is>
          <t>Sheet</t>
        </is>
      </c>
      <c r="B7" s="90" t="inlineStr">
        <is>
          <t>Purpose</t>
        </is>
      </c>
    </row>
    <row r="8" ht="15" customHeight="1" s="85">
      <c r="A8" s="91" t="inlineStr">
        <is>
          <t>Master Task List</t>
        </is>
      </c>
      <c r="B8" s="92" t="inlineStr">
        <is>
          <t>Every task. Filter and sort by any column. Track status here.</t>
        </is>
      </c>
    </row>
    <row r="9" ht="15" customHeight="1" s="85">
      <c r="A9" s="93" t="inlineStr">
        <is>
          <t>By Priority</t>
        </is>
      </c>
      <c r="B9" s="94" t="inlineStr">
        <is>
          <t>Tasks grouped by Critical → Very Important → Important → Normal → Optional.</t>
        </is>
      </c>
    </row>
    <row r="10" ht="23.85" customHeight="1" s="85">
      <c r="A10" s="91" t="inlineStr">
        <is>
          <t>By Module</t>
        </is>
      </c>
      <c r="B10" s="92" t="inlineStr">
        <is>
          <t>Tasks grouped by Backend / Frontend / Infrastructure / Database / Fullstack / Website / Documentation.</t>
        </is>
      </c>
    </row>
    <row r="11" ht="15" customHeight="1" s="85">
      <c r="A11" s="93" t="inlineStr">
        <is>
          <t>By Category</t>
        </is>
      </c>
      <c r="B11" s="94" t="inlineStr">
        <is>
          <t>Tasks grouped by Hardening / Fixing Feature / Adding Feature.</t>
        </is>
      </c>
    </row>
    <row r="12" ht="15" customHeight="1" s="85">
      <c r="A12" s="91" t="inlineStr">
        <is>
          <t>Effort Summary</t>
        </is>
      </c>
      <c r="B12" s="92" t="inlineStr">
        <is>
          <t>Effort totals by priority, module, and category. Sprint planning input.</t>
        </is>
      </c>
    </row>
    <row r="13" ht="15" customHeight="1" s="85">
      <c r="A13" s="93" t="inlineStr">
        <is>
          <t>How to Use</t>
        </is>
      </c>
      <c r="B13" s="94" t="inlineStr">
        <is>
          <t>Workflow for executing this task list as a team.</t>
        </is>
      </c>
    </row>
    <row r="16" ht="17.35" customHeight="1" s="85">
      <c r="A16" s="89" t="inlineStr">
        <is>
          <t>Headline Numbers</t>
        </is>
      </c>
    </row>
    <row r="18" ht="15" customHeight="1" s="85">
      <c r="A18" s="95" t="inlineStr">
        <is>
          <t>Total tasks</t>
        </is>
      </c>
      <c r="B18" s="96">
        <f>COUNTA('Master Task List'!A2:A56)</f>
        <v/>
      </c>
    </row>
    <row r="19" ht="15" customHeight="1" s="85">
      <c r="A19" s="95" t="inlineStr">
        <is>
          <t>Critical tasks (must clear before demo)</t>
        </is>
      </c>
      <c r="B19" s="96">
        <f>COUNTIF('Master Task List'!D2:D56,"Critical")</f>
        <v/>
      </c>
    </row>
    <row r="20" ht="15" customHeight="1" s="85">
      <c r="A20" s="95" t="inlineStr">
        <is>
          <t>Very Important tasks</t>
        </is>
      </c>
      <c r="B20" s="96">
        <f>COUNTIF('Master Task List'!D2:D56,"Very Important")</f>
        <v/>
      </c>
    </row>
    <row r="21" ht="15" customHeight="1" s="85">
      <c r="A21" s="95" t="inlineStr">
        <is>
          <t>Important tasks</t>
        </is>
      </c>
      <c r="B21" s="96">
        <f>COUNTIF('Master Task List'!D2:D56,"Important")</f>
        <v/>
      </c>
    </row>
    <row r="22" ht="15" customHeight="1" s="85">
      <c r="A22" s="95" t="inlineStr">
        <is>
          <t>Normal tasks</t>
        </is>
      </c>
      <c r="B22" s="96">
        <f>COUNTIF('Master Task List'!D2:D56,"Normal")</f>
        <v/>
      </c>
    </row>
    <row r="23" ht="15" customHeight="1" s="85">
      <c r="A23" s="95" t="inlineStr">
        <is>
          <t>Optional tasks</t>
        </is>
      </c>
      <c r="B23" s="96">
        <f>COUNTIF('Master Task List'!D2:D56,"Optional")</f>
        <v/>
      </c>
    </row>
    <row r="24" ht="15" customHeight="1" s="85">
      <c r="A24" s="95" t="n"/>
      <c r="B24" s="96" t="n"/>
    </row>
    <row r="25" ht="15" customHeight="1" s="85">
      <c r="A25" s="95" t="inlineStr">
        <is>
          <t>Total estimated effort (hours)</t>
        </is>
      </c>
      <c r="B25" s="96">
        <f>SUM('Master Task List'!I2:I56)</f>
        <v/>
      </c>
    </row>
    <row r="26" ht="15" customHeight="1" s="85">
      <c r="A26" s="95" t="inlineStr">
        <is>
          <t>Effort for Critical + Very Important only</t>
        </is>
      </c>
      <c r="B26" s="96">
        <f>SUMIFS('Master Task List'!I2:I56,'Master Task List'!D2:D56,"Critical")+SUMIFS('Master Task List'!I2:I56,'Master Task List'!D2:D56,"Very Important")</f>
        <v/>
      </c>
    </row>
  </sheetData>
  <mergeCells count="3">
    <mergeCell ref="A2:E2"/>
    <mergeCell ref="A1:E1"/>
    <mergeCell ref="A3:E3"/>
  </mergeCells>
  <printOptions horizontalCentered="0" verticalCentered="0" headings="0" gridLines="0" gridLinesSet="1"/>
  <pageMargins left="0.4" right="0.4" top="0.5" bottom="0.5" header="0.3" footer="0.3"/>
  <pageSetup orientation="landscape" paperSize="9" scale="100" fitToHeight="0"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1"/>
  </sheetPr>
  <dimension ref="A1:M56"/>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14" customWidth="1" style="84" min="1" max="1"/>
    <col width="38" customWidth="1" style="84" min="2" max="2"/>
    <col width="16" customWidth="1" style="84" min="3" max="5"/>
    <col width="18" customWidth="1" style="84" min="6" max="6"/>
    <col width="70" customWidth="1" style="84" min="7" max="7"/>
    <col width="55" customWidth="1" style="84" min="8" max="8"/>
    <col width="11" customWidth="1" style="84" min="9" max="9"/>
    <col width="14" customWidth="1" style="84" min="10" max="11"/>
    <col width="10" customWidth="1" style="84" min="12" max="12"/>
    <col width="28" customWidth="1" style="84" min="13" max="13"/>
  </cols>
  <sheetData>
    <row r="1" ht="30" customHeight="1" s="85">
      <c r="A1" s="97" t="inlineStr">
        <is>
          <t>Task ID</t>
        </is>
      </c>
      <c r="B1" s="97" t="inlineStr">
        <is>
          <t>Task Name</t>
        </is>
      </c>
      <c r="C1" s="97" t="inlineStr">
        <is>
          <t>Category</t>
        </is>
      </c>
      <c r="D1" s="97" t="inlineStr">
        <is>
          <t>Priority Level</t>
        </is>
      </c>
      <c r="E1" s="97" t="inlineStr">
        <is>
          <t>Module</t>
        </is>
      </c>
      <c r="F1" s="97" t="inlineStr">
        <is>
          <t>Submodule</t>
        </is>
      </c>
      <c r="G1" s="97" t="inlineStr">
        <is>
          <t>Description</t>
        </is>
      </c>
      <c r="H1" s="97" t="inlineStr">
        <is>
          <t>Validation</t>
        </is>
      </c>
      <c r="I1" s="97" t="inlineStr">
        <is>
          <t>Effort (hrs)</t>
        </is>
      </c>
      <c r="J1" s="97" t="inlineStr">
        <is>
          <t>Status</t>
        </is>
      </c>
      <c r="K1" s="97" t="inlineStr">
        <is>
          <t>Owner</t>
        </is>
      </c>
      <c r="L1" s="97" t="inlineStr">
        <is>
          <t>Sprint</t>
        </is>
      </c>
      <c r="M1" s="97" t="inlineStr">
        <is>
          <t>Notes</t>
        </is>
      </c>
    </row>
    <row r="2" ht="135.75" customHeight="1" s="85">
      <c r="A2" s="98" t="inlineStr">
        <is>
          <t>FE-HARD-001</t>
        </is>
      </c>
      <c r="B2" s="99" t="inlineStr">
        <is>
          <t>Global ErrorBoundary component</t>
        </is>
      </c>
      <c r="C2" s="100" t="inlineStr">
        <is>
          <t>Hardening</t>
        </is>
      </c>
      <c r="D2" s="101" t="inlineStr">
        <is>
          <t>Critical</t>
        </is>
      </c>
      <c r="E2" s="102" t="inlineStr">
        <is>
          <t>Frontend</t>
        </is>
      </c>
      <c r="F2" s="103" t="inlineStr">
        <is>
          <t>Common</t>
        </is>
      </c>
      <c r="G2" s="104" t="inlineStr">
        <is>
          <t>Verified by code search: zero ErrorBoundary components in the codebase. Any uncaught React render error today crashes the entire app to a white screen. Create src/components/ErrorBoundary.tsx with getDerivedStateFromError + componentDidCatch. The fallback UI must show a branded error panel with the error correlation id and a 'Try again' button. componentDidCatch should fire-and-forget a POST to /diagnostics/client-error with the error message, stack trace, component stack, route, and userAgent.</t>
        </is>
      </c>
      <c r="H2" s="104" t="inlineStr">
        <is>
          <t>Wrap every &lt;Route element=...&gt; in App.tsx with ErrorBoundary. Manually throw an Error inside a route component — confirm the fallback panel renders, the app shell (nav rail, header, footer) stays intact, the 'Try again' button resets state, and the beacon hits the backend (visible in Serilog). Run: grep -r 'ErrorBoundary' src/ — should return ≥15 occurrences.</t>
        </is>
      </c>
      <c r="I2" s="105" t="n">
        <v>2</v>
      </c>
      <c r="J2" s="106" t="inlineStr">
        <is>
          <t>Not Started</t>
        </is>
      </c>
      <c r="K2" s="104" t="n"/>
      <c r="L2" s="104" t="n"/>
      <c r="M2" s="104" t="n"/>
    </row>
    <row r="3" ht="102" customHeight="1" s="85">
      <c r="A3" s="107" t="inlineStr">
        <is>
          <t>BE-HARD-001</t>
        </is>
      </c>
      <c r="B3" s="108" t="inlineStr">
        <is>
          <t>Client error diagnostics endpoint</t>
        </is>
      </c>
      <c r="C3" s="109" t="inlineStr">
        <is>
          <t>Adding Feature</t>
        </is>
      </c>
      <c r="D3" s="101" t="inlineStr">
        <is>
          <t>Critical</t>
        </is>
      </c>
      <c r="E3" s="110" t="inlineStr">
        <is>
          <t>Backend</t>
        </is>
      </c>
      <c r="F3" s="111" t="inlineStr">
        <is>
          <t>Api / Diagnostics</t>
        </is>
      </c>
      <c r="G3" s="112" t="inlineStr">
        <is>
          <t>Backend companion to FE-HARD-001. Add POST /diagnostics/client-error that accepts {errorId, message, stack, componentStack, route, userAgent}, logs to Serilog at Error level with category 'ClientError', and returns 204 No Content. No authentication required — these errors come from the FE before auth state may be available. Apply rate-limiting (10 req/sec per IP) to prevent abuse.</t>
        </is>
      </c>
      <c r="H3" s="112" t="inlineStr">
        <is>
          <t>curl -X POST .../diagnostics/client-error with a sample payload returns 204. Check Serilog file shows the log entry with all fields. Burst 50 requests confirms rate limiter kicks in at 10/sec.</t>
        </is>
      </c>
      <c r="I3" s="113" t="n">
        <v>1.5</v>
      </c>
      <c r="J3" s="114" t="inlineStr">
        <is>
          <t>Not Started</t>
        </is>
      </c>
      <c r="K3" s="112" t="n"/>
      <c r="L3" s="112" t="n"/>
      <c r="M3" s="112" t="n"/>
    </row>
    <row r="4" ht="153" customHeight="1" s="85">
      <c r="A4" s="98" t="inlineStr">
        <is>
          <t>FE-HARD-002</t>
        </is>
      </c>
      <c r="B4" s="99" t="inlineStr">
        <is>
          <t>Toast notification system (sonner)</t>
        </is>
      </c>
      <c r="C4" s="100" t="inlineStr">
        <is>
          <t>Hardening</t>
        </is>
      </c>
      <c r="D4" s="101" t="inlineStr">
        <is>
          <t>Critical</t>
        </is>
      </c>
      <c r="E4" s="102" t="inlineStr">
        <is>
          <t>Frontend</t>
        </is>
      </c>
      <c r="F4" s="103" t="inlineStr">
        <is>
          <t>Common / ApiClient</t>
        </is>
      </c>
      <c r="G4" s="104" t="inlineStr">
        <is>
          <t>Verified: zero toast/notification references in the codebase today. Errors are either silent or render as raw inline text. Install sonner. Add &lt;Toaster /&gt; at AppLayout level with branded styling (navy background, cyan border, top-right position). Modify apiClient.requestJson to automatically show toast.error() on non-2xx responses (unless caller passes suppressToast=true). Create humanFriendlyMessage(status, text) that maps 400/401/403/404/409/422/500/network to clear user-facing strings. Use the endpoint path as the toast id so repeated failures dedupe instead of stacking.</t>
        </is>
      </c>
      <c r="H4" s="104" t="inlineStr">
        <is>
          <t>Stop the backend; click any data-fetching action — confirm one and only one toast appears with 'Network problem — check your connection'. Restart backend; trigger a 403 (try a Pro-Plus-gated feature as a Light user) — confirm toast shows 'This feature requires Pro Plus'. Trigger five 500s on the same endpoint in quick succession — confirm only one toast on screen.</t>
        </is>
      </c>
      <c r="I4" s="105" t="n">
        <v>3</v>
      </c>
      <c r="J4" s="106" t="inlineStr">
        <is>
          <t>Not Started</t>
        </is>
      </c>
      <c r="K4" s="104" t="n"/>
      <c r="L4" s="104" t="n"/>
      <c r="M4" s="104" t="n"/>
    </row>
    <row r="5" ht="118.5" customHeight="1" s="85">
      <c r="A5" s="107" t="inlineStr">
        <is>
          <t>FE-HARD-003</t>
        </is>
      </c>
      <c r="B5" s="108" t="inlineStr">
        <is>
          <t>API timeout reduction + idempotent retry</t>
        </is>
      </c>
      <c r="C5" s="100" t="inlineStr">
        <is>
          <t>Hardening</t>
        </is>
      </c>
      <c r="D5" s="101" t="inlineStr">
        <is>
          <t>Critical</t>
        </is>
      </c>
      <c r="E5" s="102" t="inlineStr">
        <is>
          <t>Frontend</t>
        </is>
      </c>
      <c r="F5" s="111" t="inlineStr">
        <is>
          <t>ApiClient</t>
        </is>
      </c>
      <c r="G5" s="112" t="inlineStr">
        <is>
          <t>Verified in src/api/http/apiClient.ts: timeout is 30 seconds with no retry. Thirty seconds is an eternity in front of a customer. Refactor requestJson with per-method DEFAULT_TIMEOUTS (GET 6s, POST/PUT/PATCH 12s, DELETE 8s). Add automatic retry-once for idempotent methods (GET/HEAD/OPTIONS) only on AbortError or network failure — NEVER on 4xx/5xx (would worsen the problem by double-submitting). Add timeoutMs parameter to override per call where needed.</t>
        </is>
      </c>
      <c r="H5" s="112" t="inlineStr">
        <is>
          <t>Unit test: GET that times out is retried once then throws. POST that 500s is NOT retried. POST that times out is NOT retried (might have already committed). Manual: load dashboard with backend throttled to 'Slow 3G' — confirm UI shows skeleton state instantly and never hangs for more than ~7s before either succeeding or showing toast.</t>
        </is>
      </c>
      <c r="I5" s="113" t="n">
        <v>1.5</v>
      </c>
      <c r="J5" s="114" t="inlineStr">
        <is>
          <t>Not Started</t>
        </is>
      </c>
      <c r="K5" s="112" t="n"/>
      <c r="L5" s="112" t="n"/>
      <c r="M5" s="112" t="n"/>
    </row>
    <row r="6" ht="135.75" customHeight="1" s="85">
      <c r="A6" s="98" t="inlineStr">
        <is>
          <t>FE-HARD-004</t>
        </is>
      </c>
      <c r="B6" s="99" t="inlineStr">
        <is>
          <t>Loading skeleton components (replace LoadingPanel inside pages)</t>
        </is>
      </c>
      <c r="C6" s="100" t="inlineStr">
        <is>
          <t>Hardening</t>
        </is>
      </c>
      <c r="D6" s="115" t="inlineStr">
        <is>
          <t>Very Important</t>
        </is>
      </c>
      <c r="E6" s="102" t="inlineStr">
        <is>
          <t>Frontend</t>
        </is>
      </c>
      <c r="F6" s="103" t="inlineStr">
        <is>
          <t>Common</t>
        </is>
      </c>
      <c r="G6" s="104" t="inlineStr">
        <is>
          <t>Verified: AsyncState.tsx (27 lines) has only LoadingPanel and ErrorPanel. The Suspense fallback uses LoadingPanel — that's fine for route loads. But individual widgets/tables inside loaded pages also use LoadingPanel, which is jarring because the layout shifts when data arrives. Create src/components/skeletons/Skeleton.tsx with SkeletonLine, SkeletonCard, SkeletonTable, SkeletonChart components. CSS-only shimmer animation (no JS cost). Audit every &lt;LoadingPanel /&gt; usage inside a page (not at route level) and replace with the matching skeleton.</t>
        </is>
      </c>
      <c r="H6" s="104" t="inlineStr">
        <is>
          <t>Open every page with throttled network — confirm the page structure (header, filters, widget positions) appears immediately, with shimmering placeholders where data will land. No jarring layout shift when data arrives. grep finds zero LoadingPanel usage inside dashboard widgets and admin tables.</t>
        </is>
      </c>
      <c r="I6" s="105" t="n">
        <v>6</v>
      </c>
      <c r="J6" s="106" t="inlineStr">
        <is>
          <t>Not Started</t>
        </is>
      </c>
      <c r="K6" s="104" t="n"/>
      <c r="L6" s="104" t="n"/>
      <c r="M6" s="104" t="n"/>
    </row>
    <row r="7" ht="153" customHeight="1" s="85">
      <c r="A7" s="107" t="inlineStr">
        <is>
          <t>FE-HARD-005</t>
        </is>
      </c>
      <c r="B7" s="108" t="inlineStr">
        <is>
          <t>Optimistic save UI on all admin and dashboard forms</t>
        </is>
      </c>
      <c r="C7" s="100" t="inlineStr">
        <is>
          <t>Hardening</t>
        </is>
      </c>
      <c r="D7" s="115" t="inlineStr">
        <is>
          <t>Very Important</t>
        </is>
      </c>
      <c r="E7" s="102" t="inlineStr">
        <is>
          <t>Frontend</t>
        </is>
      </c>
      <c r="F7" s="111" t="inlineStr">
        <is>
          <t>Admin / Dashboard</t>
        </is>
      </c>
      <c r="G7" s="112" t="inlineStr">
        <is>
          <t>Audit every save action. The pattern today: setLoading(true) → await api → setLoading(false), with the button disabled but no clear visual confirmation the click registered. Required pattern: (1) on click, the Save button label changes to 'Saving…' with inline spinner within 50ms; (2) on success, toast.success('Saved') auto-dismisses in 2s; (3) on failure, the form state restores and an error toast shows the validation message inline next to the offending field. Cover at minimum: ConnectionProfile create/edit, SourceDataset config, SchemaView authoring, KPI authoring, Dashboard create/save-layout, Widget wizard.</t>
        </is>
      </c>
      <c r="H7" s="112" t="inlineStr">
        <is>
          <t>Manually verify each save path: click Save, immediately see button-state change. Network throttle to confirm spinner shows for the full duration. Trigger validation error to confirm the form does not show a half-saved state. Component test: click Save while disabled — second click does not submit twice.</t>
        </is>
      </c>
      <c r="I7" s="113" t="n">
        <v>4</v>
      </c>
      <c r="J7" s="114" t="inlineStr">
        <is>
          <t>Not Started</t>
        </is>
      </c>
      <c r="K7" s="112" t="n"/>
      <c r="L7" s="112" t="n"/>
      <c r="M7" s="112" t="n"/>
    </row>
    <row r="8" ht="169.5" customHeight="1" s="85">
      <c r="A8" s="98" t="inlineStr">
        <is>
          <t>BE-FIX-001</t>
        </is>
      </c>
      <c r="B8" s="99" t="inlineStr">
        <is>
          <t>Per-source scheduling fix (DeltaImportExecutionService)</t>
        </is>
      </c>
      <c r="C8" s="116" t="inlineStr">
        <is>
          <t>Fixing Feature</t>
        </is>
      </c>
      <c r="D8" s="101" t="inlineStr">
        <is>
          <t>Critical</t>
        </is>
      </c>
      <c r="E8" s="110" t="inlineStr">
        <is>
          <t>Backend</t>
        </is>
      </c>
      <c r="F8" s="103" t="inlineStr">
        <is>
          <t>Workers / Integration</t>
        </is>
      </c>
      <c r="G8" s="104" t="inlineStr">
        <is>
          <t>Vision-critical fix from validation report HIGH-1. Currently Worker.cs dispatches DeltaImportJob every 300s globally, and DeltaImportExecutionService.ExecuteAllAsync loads every dataset with IncrementalCursorField regardless of when it's due. Add NextRunAtUtc column to SourceDatasetDefinition entity with ScheduleNextRun() method. Add EF Core configuration with index on (IsActive, IsDeleted, NextRunAtUtc). Generate migration. Modify ExecuteAllAsync to filter where NextRunAtUtc IS NULL OR &lt;= now, order by NextRunAtUtc, then on success advance by RefreshIntervalSeconds, on failure advance by 2× (back-off). Keep Worker tick at 60 seconds (smallest possible refresh granularity).</t>
        </is>
      </c>
      <c r="H8" s="104" t="inlineStr">
        <is>
          <t>Unit tests: dataset with NextRunAtUtc in future is skipped; dataset due runs and advances by RefreshIntervalSeconds; failure doubles the interval; license-tier-floor still respected at config time. Manual: set dataset to 2-min refresh and another to 1-hr refresh; observe job runs in Jobs Monitor showing the 2-min one runs every 2 min and the 1-hr one runs every 1 hr (not both every 5 min).</t>
        </is>
      </c>
      <c r="I8" s="105" t="n">
        <v>3</v>
      </c>
      <c r="J8" s="106" t="inlineStr">
        <is>
          <t>Not Started</t>
        </is>
      </c>
      <c r="K8" s="104" t="n"/>
      <c r="L8" s="104" t="n"/>
      <c r="M8" s="104" t="n"/>
    </row>
    <row r="9" ht="204" customHeight="1" s="85">
      <c r="A9" s="107" t="inlineStr">
        <is>
          <t>BE-FIX-002</t>
        </is>
      </c>
      <c r="B9" s="108" t="inlineStr">
        <is>
          <t>SafeSqlValidator hardening (functions, joins, schemas, timeout)</t>
        </is>
      </c>
      <c r="C9" s="116" t="inlineStr">
        <is>
          <t>Fixing Feature</t>
        </is>
      </c>
      <c r="D9" s="115" t="inlineStr">
        <is>
          <t>Very Important</t>
        </is>
      </c>
      <c r="E9" s="110" t="inlineStr">
        <is>
          <t>Backend</t>
        </is>
      </c>
      <c r="F9" s="111" t="inlineStr">
        <is>
          <t>Api / Admin / Security</t>
        </is>
      </c>
      <c r="G9" s="112" t="inlineStr">
        <is>
          <t>From validation report HIGH-2. Current ForbiddenTokens at SchemaConfigurationEndpoints.cs:2926 catches DML/DDL but not dangerous functions callable from a SELECT. Extend ForbiddenTokens with: pg_read_file, pg_read_binary_file, pg_ls_dir, pg_stat_file, lo_import, lo_export, lo_create, lo_unlink, dblink, dblink_exec, dblink_send_query, pg_sleep variants, pg_catalog, information_schema. Add MSSQL equivalents (xp_cmdshell, openrowset, opendatasource, openquery, bulk insert, waitfor) for forward compat. Replace table-reference regex with two-pass approach catching quoted identifiers ("name"), backtick identifiers (`name`), all JOIN types (CROSS/NATURAL/INNER/LEFT/RIGHT/FULL OUTER), and ANSI comma-joins. Add WITH RECURSIVE requires explicit LIMIT check. At execution: SET LOCAL statement_timeout = '5s' before running the query.</t>
        </is>
      </c>
      <c r="H9" s="112" t="inlineStr">
        <is>
          <t>Adversarial unit tests in SafeSqlPolicyTests.cs: blocks pg_read_file, pg_ls_dir, dblink, lo_export, pg_sleep, pg_catalog.pg_authid, information_schema.tables. Catches all join styles (quoted, CROSS JOIN, NATURAL JOIN, comma-join). Requires LIMIT on WITH RECURSIVE. Manual: try SELECT pg_read_file('/etc/passwd', 0, 1000) in the schema editor → blocked with clear error.</t>
        </is>
      </c>
      <c r="I9" s="113" t="n">
        <v>3</v>
      </c>
      <c r="J9" s="114" t="inlineStr">
        <is>
          <t>Not Started</t>
        </is>
      </c>
      <c r="K9" s="112" t="n"/>
      <c r="L9" s="112" t="n"/>
      <c r="M9" s="112" t="n"/>
    </row>
    <row r="10" ht="220.5" customHeight="1" s="85">
      <c r="A10" s="98" t="inlineStr">
        <is>
          <t>BE-ADD-001</t>
        </is>
      </c>
      <c r="B10" s="99" t="inlineStr">
        <is>
          <t>AuditLogEntry — full implementation (Pilot Blocker 2)</t>
        </is>
      </c>
      <c r="C10" s="109" t="inlineStr">
        <is>
          <t>Adding Feature</t>
        </is>
      </c>
      <c r="D10" s="115" t="inlineStr">
        <is>
          <t>Very Important</t>
        </is>
      </c>
      <c r="E10" s="117" t="inlineStr">
        <is>
          <t>Fullstack</t>
        </is>
      </c>
      <c r="F10" s="103" t="inlineStr">
        <is>
          <t>Domain / Api / Database</t>
        </is>
      </c>
      <c r="G10" s="104" t="inlineStr">
        <is>
          <t>From validation report HIGH-3. The pilot blocker security requires immutable audit logging. Domain: AuditLogEntry entity in Domain/Entities/Audit (Id, OccurredAtUtc, UserId, UserName, HttpMethod, Endpoint, ResourceType, ResourceId, ActionCategory, OutcomeStatus, ClientIp, UserAgent, CorrelationId, HttpStatusCode, MetadataJson). EF: configuration with indexes on (OccurredAtUtc), (UserId, OccurredAtUtc), (ResourceType, ResourceId). Migration: CreateTable + REVOKE UPDATE, DELETE, TRUNCATE on audit_log_entries FROM CURRENT_USER — enforces immutability at the DB level. Application: IAuditLogService + AuditLogService (insert-only). Api: AuditLogMiddleware that wraps every endpoint matched against allow-list of resource-bearing prefixes (/admin, /integration, /workflow, /license, /auth). Audit-log failures never propagate (best-effort).</t>
        </is>
      </c>
      <c r="H10" s="104" t="inlineStr">
        <is>
          <t>Integration test: app role attempts UPDATE on audit_log_entries via raw SQL — gets PostgresException with SqlState 42501 (insufficient_privilege). Same for DELETE. Manual: hit /admin/license/tier as admin → row appears in audit_log_entries. Without auth → also appears with UserId=null and OutcomeStatus='Unauthenticated'. Counter: count rows before and after a typical demo session — non-zero, makes sense.</t>
        </is>
      </c>
      <c r="I10" s="105" t="n">
        <v>6</v>
      </c>
      <c r="J10" s="106" t="inlineStr">
        <is>
          <t>Not Started</t>
        </is>
      </c>
      <c r="K10" s="104" t="n"/>
      <c r="L10" s="104" t="n"/>
      <c r="M10" s="104" t="n"/>
    </row>
    <row r="11" ht="153" customHeight="1" s="85">
      <c r="A11" s="107" t="inlineStr">
        <is>
          <t>BE-FIX-003</t>
        </is>
      </c>
      <c r="B11" s="108" t="inlineStr">
        <is>
          <t>Stale PlannedProviderDto array fix</t>
        </is>
      </c>
      <c r="C11" s="116" t="inlineStr">
        <is>
          <t>Fixing Feature</t>
        </is>
      </c>
      <c r="D11" s="118" t="inlineStr">
        <is>
          <t>Important</t>
        </is>
      </c>
      <c r="E11" s="110" t="inlineStr">
        <is>
          <t>Backend</t>
        </is>
      </c>
      <c r="F11" s="111" t="inlineStr">
        <is>
          <t>Api / Admin</t>
        </is>
      </c>
      <c r="G11" s="112" t="inlineStr">
        <is>
          <t>From validation report MEDIUM-1. In AdminEndpoints.cs around line 1376, GetDbConfigurationSummaryAsync returns a hardcoded PlannedProviderDto array that shows Excel as IsAvailableNow=true and PostgreSQL as IsAvailableNow=false — both wrong, both contradict the authoritative connector-truth source in DemoLifecycleEndpoints. Delete the static array. Inject IDemoConnectorTruthBuilder (or extract one if it doesn't exist yet) and project from it. Add a contract test that asserts the legacy endpoint and the modern /demo-lifecycle/connector-truth endpoint always agree on IsAvailableNow per provider type.</t>
        </is>
      </c>
      <c r="H11" s="112" t="inlineStr">
        <is>
          <t>Contract test passes. Manual: hit /admin/db-configuration and /demo-lifecycle/connector-truth, compare JSON — every ProviderType has the same IsAvailableNow flag. No regression on existing UI consumers.</t>
        </is>
      </c>
      <c r="I11" s="113" t="n">
        <v>0.5</v>
      </c>
      <c r="J11" s="114" t="inlineStr">
        <is>
          <t>Not Started</t>
        </is>
      </c>
      <c r="K11" s="112" t="n"/>
      <c r="L11" s="112" t="n"/>
      <c r="M11" s="112" t="n"/>
    </row>
    <row r="12" ht="67.5" customHeight="1" s="85">
      <c r="A12" s="98" t="inlineStr">
        <is>
          <t>DB-FIX-001</t>
        </is>
      </c>
      <c r="B12" s="99" t="inlineStr">
        <is>
          <t>Empty 080 SQL migration file cleanup</t>
        </is>
      </c>
      <c r="C12" s="116" t="inlineStr">
        <is>
          <t>Fixing Feature</t>
        </is>
      </c>
      <c r="D12" s="119" t="inlineStr">
        <is>
          <t>Normal</t>
        </is>
      </c>
      <c r="E12" s="120" t="inlineStr">
        <is>
          <t>Database</t>
        </is>
      </c>
      <c r="F12" s="103" t="inlineStr">
        <is>
          <t>Scripts</t>
        </is>
      </c>
      <c r="G12" s="104" t="inlineStr">
        <is>
          <t>Backend/database/scripts/080_phase_3_4_connector_schema_foundation.sql is 0 bytes. Either delete via git rm, or replace with a documenting comment block explaining that Phase 3/4 schema is now created via EF Core migrations under PlantProcess.Infrastructure/Migrations.</t>
        </is>
      </c>
      <c r="H12" s="104" t="inlineStr">
        <is>
          <t>ls -la confirms file is either gone or contains a comment block. Any deployment script that iterates scripts no longer hits a 0-byte file.</t>
        </is>
      </c>
      <c r="I12" s="105" t="n">
        <v>0.1</v>
      </c>
      <c r="J12" s="106" t="inlineStr">
        <is>
          <t>Not Started</t>
        </is>
      </c>
      <c r="K12" s="104" t="n"/>
      <c r="L12" s="104" t="n"/>
      <c r="M12" s="104" t="n"/>
    </row>
    <row r="13" ht="118.5" customHeight="1" s="85">
      <c r="A13" s="107" t="inlineStr">
        <is>
          <t>INF-FIX-001</t>
        </is>
      </c>
      <c r="B13" s="108" t="inlineStr">
        <is>
          <t>Production .env + Caddyfile (domain-based)</t>
        </is>
      </c>
      <c r="C13" s="116" t="inlineStr">
        <is>
          <t>Fixing Feature</t>
        </is>
      </c>
      <c r="D13" s="115" t="inlineStr">
        <is>
          <t>Very Important</t>
        </is>
      </c>
      <c r="E13" s="116" t="inlineStr">
        <is>
          <t>Infrastructure</t>
        </is>
      </c>
      <c r="F13" s="111" t="inlineStr">
        <is>
          <t>Deploy / Caddy</t>
        </is>
      </c>
      <c r="G13" s="112" t="inlineStr">
        <is>
          <t>From validation report MEDIUM-3. Current .env is localhost-shaped with Windows paths. Caddyfile uses port-based reverse-proxy. Rewrite Caddyfile with domain blocks for plantprocessiq.com, app.plantprocessiq.com, api.plantprocessiq.com, jenkins.plantprocessiq.com. Remove auto_https disable_redirects so Caddy can provision Let's Encrypt certs. Create production .env on Hetzner host with real domain values, Linux /data/plantprocess-iq paths, real notification email.</t>
        </is>
      </c>
      <c r="H13" s="112" t="inlineStr">
        <is>
          <t>DNS A records pointing to Hetzner IP. curl https://plantprocessiq.com returns the marketing site over HTTPS with valid Let's Encrypt cert. curl https://api.plantprocessiq.com/health returns 200. curl https://app.plantprocessiq.com loads the React app shell.</t>
        </is>
      </c>
      <c r="I13" s="113" t="n">
        <v>1.5</v>
      </c>
      <c r="J13" s="114" t="inlineStr">
        <is>
          <t>Not Started</t>
        </is>
      </c>
      <c r="K13" s="112" t="n"/>
      <c r="L13" s="112" t="n"/>
      <c r="M13" s="112" t="n"/>
    </row>
    <row r="14" ht="102" customHeight="1" s="85">
      <c r="A14" s="98" t="inlineStr">
        <is>
          <t>INF-FIX-002</t>
        </is>
      </c>
      <c r="B14" s="99" t="inlineStr">
        <is>
          <t>CORS allowed origins for production</t>
        </is>
      </c>
      <c r="C14" s="116" t="inlineStr">
        <is>
          <t>Fixing Feature</t>
        </is>
      </c>
      <c r="D14" s="115" t="inlineStr">
        <is>
          <t>Very Important</t>
        </is>
      </c>
      <c r="E14" s="116" t="inlineStr">
        <is>
          <t>Infrastructure</t>
        </is>
      </c>
      <c r="F14" s="103" t="inlineStr">
        <is>
          <t>Deploy</t>
        </is>
      </c>
      <c r="G14" s="104" t="inlineStr">
        <is>
          <t>Current PLANTPROCESS_ALLOWED_ORIGINS in .env contains only localhost. Update to include https://app.plantprocessiq.com and https://plantprocessiq.com. Verify Program.cs CORS config uses .WithOrigins(allowedOrigins) — exact match, never .AllowAnyOrigin() — and that .AllowCredentials() remains compatible. Rebuild frontend image with VITE_API_BASE_URL=https://api.plantprocessiq.com (Vite hardcodes at build time).</t>
        </is>
      </c>
      <c r="H14" s="104" t="inlineStr">
        <is>
          <t>From app.plantprocessiq.com, network tab shows API requests to api.plantprocessiq.com without CORS errors. Login + role-protected endpoint works (Authorization header propagates with credentials).</t>
        </is>
      </c>
      <c r="I14" s="105" t="n">
        <v>0.5</v>
      </c>
      <c r="J14" s="106" t="inlineStr">
        <is>
          <t>Not Started</t>
        </is>
      </c>
      <c r="K14" s="104" t="n"/>
      <c r="L14" s="104" t="n"/>
      <c r="M14" s="104" t="n"/>
    </row>
    <row r="15" ht="84.75" customHeight="1" s="85">
      <c r="A15" s="107" t="inlineStr">
        <is>
          <t>BE-ADD-002</t>
        </is>
      </c>
      <c r="B15" s="108" t="inlineStr">
        <is>
          <t>Bootstrap admin lock-after-first-real-admin</t>
        </is>
      </c>
      <c r="C15" s="109" t="inlineStr">
        <is>
          <t>Adding Feature</t>
        </is>
      </c>
      <c r="D15" s="118" t="inlineStr">
        <is>
          <t>Important</t>
        </is>
      </c>
      <c r="E15" s="110" t="inlineStr">
        <is>
          <t>Backend</t>
        </is>
      </c>
      <c r="F15" s="111" t="inlineStr">
        <is>
          <t>Auth</t>
        </is>
      </c>
      <c r="G15" s="112" t="inlineStr">
        <is>
          <t>From validation report MEDIUM-5. The bootstrap admin credential lives in .env indefinitely. Add a force_password_change_on_first_login flag on the bootstrap account. Add a login-time check: if any non-bootstrap user with Admin role exists in the database, the bootstrap admin login path is locked (returns Forbid).</t>
        </is>
      </c>
      <c r="H15" s="112" t="inlineStr">
        <is>
          <t>Unit test: create a normal Admin user, then attempt bootstrap-admin login → Forbid. Without any normal Admin → bootstrap login succeeds but force_password_change=true. After changing the password successfully → flag cleared.</t>
        </is>
      </c>
      <c r="I15" s="113" t="n">
        <v>0.5</v>
      </c>
      <c r="J15" s="114" t="inlineStr">
        <is>
          <t>Not Started</t>
        </is>
      </c>
      <c r="K15" s="112" t="n"/>
      <c r="L15" s="112" t="n"/>
      <c r="M15" s="112" t="n"/>
    </row>
    <row r="16" ht="135.75" customHeight="1" s="85">
      <c r="A16" s="98" t="inlineStr">
        <is>
          <t>BE-HARD-002</t>
        </is>
      </c>
      <c r="B16" s="99" t="inlineStr">
        <is>
          <t>InvestigateMaterial pagination</t>
        </is>
      </c>
      <c r="C16" s="100" t="inlineStr">
        <is>
          <t>Hardening</t>
        </is>
      </c>
      <c r="D16" s="115" t="inlineStr">
        <is>
          <t>Very Important</t>
        </is>
      </c>
      <c r="E16" s="110" t="inlineStr">
        <is>
          <t>Backend</t>
        </is>
      </c>
      <c r="F16" s="103" t="inlineStr">
        <is>
          <t>Api / Workflow</t>
        </is>
      </c>
      <c r="G16" s="104" t="inlineStr">
        <is>
          <t>WorkflowEndpoints.cs:10036 InvestigateMaterialAsync makes 7+ sequential DB queries to one material. On the demo dataset this is fine; for a heat with thousands of parameter observations this will OOM the API or stall the UI. Add take/skip query params to the parameter_observations query (default 500, max 5000 ordered by ObservedAtUtc DESC). Add a totalCount field to the response so the UI can show 'Showing 500 of 12,847'. Block on first 3 queries (material, aliases, parent/child edges); the rest can resolve into the response within ms.</t>
        </is>
      </c>
      <c r="H16" s="104" t="inlineStr">
        <is>
          <t>Unit test: investigation with take=100 returns at most 100 parameter observations. totalCount matches DB count. Manual: hit a heat with 10k+ parameter observations — response &lt; 600ms, UI shows the count cleanly.</t>
        </is>
      </c>
      <c r="I16" s="105" t="n">
        <v>1.5</v>
      </c>
      <c r="J16" s="106" t="inlineStr">
        <is>
          <t>Not Started</t>
        </is>
      </c>
      <c r="K16" s="104" t="n"/>
      <c r="L16" s="104" t="n"/>
      <c r="M16" s="104" t="n"/>
    </row>
    <row r="17" ht="135.75" customHeight="1" s="85">
      <c r="A17" s="107" t="inlineStr">
        <is>
          <t>FE-HARD-006</t>
        </is>
      </c>
      <c r="B17" s="108" t="inlineStr">
        <is>
          <t>Dashboard widget memoization audit</t>
        </is>
      </c>
      <c r="C17" s="100" t="inlineStr">
        <is>
          <t>Hardening</t>
        </is>
      </c>
      <c r="D17" s="115" t="inlineStr">
        <is>
          <t>Very Important</t>
        </is>
      </c>
      <c r="E17" s="102" t="inlineStr">
        <is>
          <t>Frontend</t>
        </is>
      </c>
      <c r="F17" s="111" t="inlineStr">
        <is>
          <t>Dashboard</t>
        </is>
      </c>
      <c r="G17" s="112" t="inlineStr">
        <is>
          <t>DashboardPageContent.tsx (777 lines) renders many widgets. Without memoization, every filter change re-renders every widget — visible lag during date-range adjustment with 10+ widgets. Audit DashboardWidgetCard.tsx and SavedDashboardWidget.tsx for: React.memo with custom equality; useMemo for derived chart data (recharts re-renders are expensive on new array refs); useCallback for handlers passed to drag-drop library. Split DashboardFilterContext if needed: stable filters (rarely change) vs active filters (change with every interaction).</t>
        </is>
      </c>
      <c r="H17" s="112" t="inlineStr">
        <is>
          <t>React DevTools Profiler: change a single filter on a 10-widget dashboard. Confirm at most the affected widgets re-render, not the entire grid. Total reflow time &lt; 300ms (per performance budget).</t>
        </is>
      </c>
      <c r="I17" s="113" t="n">
        <v>4</v>
      </c>
      <c r="J17" s="114" t="inlineStr">
        <is>
          <t>Not Started</t>
        </is>
      </c>
      <c r="K17" s="112" t="n"/>
      <c r="L17" s="112" t="n"/>
      <c r="M17" s="112" t="n"/>
    </row>
    <row r="18" ht="84.75" customHeight="1" s="85">
      <c r="A18" s="98" t="inlineStr">
        <is>
          <t>FE-HARD-007</t>
        </is>
      </c>
      <c r="B18" s="99" t="inlineStr">
        <is>
          <t>SortableDataTable virtualization for &gt;200 rows</t>
        </is>
      </c>
      <c r="C18" s="100" t="inlineStr">
        <is>
          <t>Hardening</t>
        </is>
      </c>
      <c r="D18" s="118" t="inlineStr">
        <is>
          <t>Important</t>
        </is>
      </c>
      <c r="E18" s="102" t="inlineStr">
        <is>
          <t>Frontend</t>
        </is>
      </c>
      <c r="F18" s="103" t="inlineStr">
        <is>
          <t>Common</t>
        </is>
      </c>
      <c r="G18" s="104" t="inlineStr">
        <is>
          <t>SortableDataTable.tsx (82 lines) is used by Jobs Monitor, admin tables, risk dashboard. For demo datasets fine; Jobs Monitor accumulates JobRunHistory continuously — after a week, thousands of rows = janky scroll. Add react-window or @tanstack/react-virtual when rowCount &gt; 200, transparent at call site. Preserve sort/filter behavior.</t>
        </is>
      </c>
      <c r="H18" s="104" t="inlineStr">
        <is>
          <t>Render the same table with 50, 200, 1000, 5000 rows. Scrolling at 5000 rows still hits 60fps. Sort/filter still works at all sizes.</t>
        </is>
      </c>
      <c r="I18" s="105" t="n">
        <v>3</v>
      </c>
      <c r="J18" s="106" t="inlineStr">
        <is>
          <t>Not Started</t>
        </is>
      </c>
      <c r="K18" s="104" t="n"/>
      <c r="L18" s="104" t="n"/>
      <c r="M18" s="104" t="n"/>
    </row>
    <row r="19" ht="118.5" customHeight="1" s="85">
      <c r="A19" s="107" t="inlineStr">
        <is>
          <t>FE-HARD-008</t>
        </is>
      </c>
      <c r="B19" s="108" t="inlineStr">
        <is>
          <t>Bundle size CI check</t>
        </is>
      </c>
      <c r="C19" s="100" t="inlineStr">
        <is>
          <t>Hardening</t>
        </is>
      </c>
      <c r="D19" s="118" t="inlineStr">
        <is>
          <t>Important</t>
        </is>
      </c>
      <c r="E19" s="117" t="inlineStr">
        <is>
          <t>Fullstack</t>
        </is>
      </c>
      <c r="F19" s="111" t="inlineStr">
        <is>
          <t>Frontend / CICD</t>
        </is>
      </c>
      <c r="G19" s="112" t="inlineStr">
        <is>
          <t>Verified 14 lazy() calls in App.tsx — code splitting is good. What's not verified is chunk size. Add tools/check-bundle-size.mjs that walks dist/assets, matches each JS file against per-chunk budgets (index 250KB, DashboardPage 180KB, AdminPage 250KB, CorrelationPage 150KB, vendor 800KB), exits 1 if any over-budget. Add to package.json scripts as 'size-check' and to Jenkinsfile as a new stage between Frontend Build and Docker Compose Build.</t>
        </is>
      </c>
      <c r="H19" s="112" t="inlineStr">
        <is>
          <t>npm run build &amp;&amp; npm run size-check passes locally. Add a 500KB dummy lodash import to test failure case — CI build fails with clear message. Remove dummy. CI build passes.</t>
        </is>
      </c>
      <c r="I19" s="113" t="n">
        <v>3</v>
      </c>
      <c r="J19" s="114" t="inlineStr">
        <is>
          <t>Not Started</t>
        </is>
      </c>
      <c r="K19" s="112" t="n"/>
      <c r="L19" s="112" t="n"/>
      <c r="M19" s="112" t="n"/>
    </row>
    <row r="20" ht="118.5" customHeight="1" s="85">
      <c r="A20" s="98" t="inlineStr">
        <is>
          <t>FE-HARD-009</t>
        </is>
      </c>
      <c r="B20" s="99" t="inlineStr">
        <is>
          <t>Drag-drop smoothness profiling and optimization</t>
        </is>
      </c>
      <c r="C20" s="100" t="inlineStr">
        <is>
          <t>Hardening</t>
        </is>
      </c>
      <c r="D20" s="118" t="inlineStr">
        <is>
          <t>Important</t>
        </is>
      </c>
      <c r="E20" s="102" t="inlineStr">
        <is>
          <t>Frontend</t>
        </is>
      </c>
      <c r="F20" s="103" t="inlineStr">
        <is>
          <t>Dashboard / WidgetBuilder</t>
        </is>
      </c>
      <c r="G20" s="104" t="inlineStr">
        <is>
          <t>WidgetBuilderWizardContent (1,501 lines) is the largest single component. Drag interactions in such components can drop frames if non-trivial work happens on onMouseMove. React DevTools Profiler pass during a drag interaction. Identify components rendering &gt; 2× per drag span. Move inline arrow functions to useCallback. If heavy charts inside drag target, render a low-fidelity ghost (colored rectangle) during drag and swap to real chart on drop.</t>
        </is>
      </c>
      <c r="H20" s="104" t="inlineStr">
        <is>
          <t>Chrome DevTools Performance recording during a drag-and-drop of a chart widget across the dashboard: zero frame drops below 50fps, no main thread blocks &gt; 16ms.</t>
        </is>
      </c>
      <c r="I20" s="105" t="n">
        <v>4</v>
      </c>
      <c r="J20" s="106" t="inlineStr">
        <is>
          <t>Not Started</t>
        </is>
      </c>
      <c r="K20" s="104" t="n"/>
      <c r="L20" s="104" t="n"/>
      <c r="M20" s="104" t="n"/>
    </row>
    <row r="21" ht="102" customHeight="1" s="85">
      <c r="A21" s="107" t="inlineStr">
        <is>
          <t>FE-HARD-010</t>
        </is>
      </c>
      <c r="B21" s="108" t="inlineStr">
        <is>
          <t>Six failure modes — consistency audit</t>
        </is>
      </c>
      <c r="C21" s="100" t="inlineStr">
        <is>
          <t>Hardening</t>
        </is>
      </c>
      <c r="D21" s="115" t="inlineStr">
        <is>
          <t>Very Important</t>
        </is>
      </c>
      <c r="E21" s="102" t="inlineStr">
        <is>
          <t>Frontend</t>
        </is>
      </c>
      <c r="F21" s="111" t="inlineStr">
        <is>
          <t>Common</t>
        </is>
      </c>
      <c r="G21" s="112" t="inlineStr">
        <is>
          <t>Standardize every API caller for the six failure modes: 4xx validation, 403 permission, 404 not-found, 409 conflict, 5xx server, network/timeout. Per mode: defined UI treatment (inline field error vs LockedFeatureOverlay vs empty state with back button vs refresh modal vs toast vs auto-retry toast), toast yes/no/deduped, console log level. Walk every API call site and confirm conformance.</t>
        </is>
      </c>
      <c r="H21" s="112" t="inlineStr">
        <is>
          <t>QA test plan: deliberately trigger each of the 6 failure modes on representative endpoints (validation: bad form input; 403: gated feature as wrong tier; 404: deleted resource URL; 409: simulate concurrent edit; 500: kill backend mid-call; network: throttle to offline). Verify expected UI treatment for each.</t>
        </is>
      </c>
      <c r="I21" s="113" t="n">
        <v>6</v>
      </c>
      <c r="J21" s="114" t="inlineStr">
        <is>
          <t>Not Started</t>
        </is>
      </c>
      <c r="K21" s="112" t="n"/>
      <c r="L21" s="112" t="n"/>
      <c r="M21" s="112" t="n"/>
    </row>
    <row r="22" ht="102" customHeight="1" s="85">
      <c r="A22" s="98" t="inlineStr">
        <is>
          <t>FE-HARD-011</t>
        </is>
      </c>
      <c r="B22" s="99" t="inlineStr">
        <is>
          <t>License gate UX verification (LockedFeatureOverlay)</t>
        </is>
      </c>
      <c r="C22" s="100" t="inlineStr">
        <is>
          <t>Hardening</t>
        </is>
      </c>
      <c r="D22" s="118" t="inlineStr">
        <is>
          <t>Important</t>
        </is>
      </c>
      <c r="E22" s="102" t="inlineStr">
        <is>
          <t>Frontend</t>
        </is>
      </c>
      <c r="F22" s="103" t="inlineStr">
        <is>
          <t>License</t>
        </is>
      </c>
      <c r="G22" s="104" t="inlineStr">
        <is>
          <t>LicenseGate.tsx (45 lines) and LockedFeatureOverlay.tsx (37 lines) exist. Verify every feature gated by LicenseFeature.* renders LockedFeatureOverlay, not a blank page or silent failure. Specific gates to verify visually: SchemaSqlViewBuilder, KpiViewBuilder, WidgetScriptLayer (future), CorrelationScheduledRun, MlLearningJobs, SuggestionRecommendation (future).</t>
        </is>
      </c>
      <c r="H22" s="104" t="inlineStr">
        <is>
          <t>Set deployment tier to Light. Navigate to each gated feature. Confirm LockedFeatureOverlay appears with 'This feature requires Pro' or 'Pro Plus' messaging and a 'Learn more' link. Set tier to ProPlus. Confirm all features are accessible.</t>
        </is>
      </c>
      <c r="I22" s="105" t="n">
        <v>1</v>
      </c>
      <c r="J22" s="106" t="inlineStr">
        <is>
          <t>Not Started</t>
        </is>
      </c>
      <c r="K22" s="104" t="n"/>
      <c r="L22" s="104" t="n"/>
      <c r="M22" s="104" t="n"/>
    </row>
    <row r="23" ht="84.75" customHeight="1" s="85">
      <c r="A23" s="107" t="inlineStr">
        <is>
          <t>FE-HARD-012</t>
        </is>
      </c>
      <c r="B23" s="108" t="inlineStr">
        <is>
          <t>Empty/Loading/Error state separation audit</t>
        </is>
      </c>
      <c r="C23" s="100" t="inlineStr">
        <is>
          <t>Hardening</t>
        </is>
      </c>
      <c r="D23" s="115" t="inlineStr">
        <is>
          <t>Very Important</t>
        </is>
      </c>
      <c r="E23" s="102" t="inlineStr">
        <is>
          <t>Frontend</t>
        </is>
      </c>
      <c r="F23" s="111" t="inlineStr">
        <is>
          <t>Common</t>
        </is>
      </c>
      <c r="G23" s="112" t="inlineStr">
        <is>
          <t>EmptyInsightState.tsx (17 lines) exists. Audit every list/table/widget for distinct treatment of Loading (skeleton), Empty (EmptyInsightState with clear CTA), Error (ErrorPanel + retry + toast). Most common defect: Empty state rendered as Loading (customer thinks app hung), or Loading rendered as Empty (customer thinks there's no data).</t>
        </is>
      </c>
      <c r="H23" s="112" t="inlineStr">
        <is>
          <t>For each list/table/widget: trigger each state independently (loading by throttling network, empty by filter producing zero rows, error by killing backend). Verify visually distinct, brand-consistent UX for each.</t>
        </is>
      </c>
      <c r="I23" s="113" t="n">
        <v>4</v>
      </c>
      <c r="J23" s="114" t="inlineStr">
        <is>
          <t>Not Started</t>
        </is>
      </c>
      <c r="K23" s="112" t="n"/>
      <c r="L23" s="112" t="n"/>
      <c r="M23" s="112" t="n"/>
    </row>
    <row r="24" ht="135.75" customHeight="1" s="85">
      <c r="A24" s="98" t="inlineStr">
        <is>
          <t>FE-HARD-013</t>
        </is>
      </c>
      <c r="B24" s="99" t="inlineStr">
        <is>
          <t>Inline form validation on all admin forms</t>
        </is>
      </c>
      <c r="C24" s="100" t="inlineStr">
        <is>
          <t>Hardening</t>
        </is>
      </c>
      <c r="D24" s="118" t="inlineStr">
        <is>
          <t>Important</t>
        </is>
      </c>
      <c r="E24" s="102" t="inlineStr">
        <is>
          <t>Frontend</t>
        </is>
      </c>
      <c r="F24" s="103" t="inlineStr">
        <is>
          <t>Admin</t>
        </is>
      </c>
      <c r="G24" s="104" t="inlineStr">
        <is>
          <t>Required fields: red asterisk + inline error if submit empty. Format fields (port 1-65535, integer interval ≥ license minimum, URL/host pattern): inline error as user types. Uniqueness checks (profile code, dataset code, view code): async validation against a /validate-code endpoint on blur with 300ms debounce. License-tier limit fields: inline help showing current tier min/max. Verify the LicenseService refresh-interval Forbidden message is rendered inline next to the interval input, not as a generic top-of-page toast.</t>
        </is>
      </c>
      <c r="H24" s="104" t="inlineStr">
        <is>
          <t>Test every form: submit empty → red highlights. Type invalid format → inline error. Type duplicate code → debounced error after 300ms. Try refresh-interval below tier floor → inline 'Pro tier minimum: 15 minutes' next to the field.</t>
        </is>
      </c>
      <c r="I24" s="105" t="n">
        <v>4</v>
      </c>
      <c r="J24" s="106" t="inlineStr">
        <is>
          <t>Not Started</t>
        </is>
      </c>
      <c r="K24" s="104" t="n"/>
      <c r="L24" s="104" t="n"/>
      <c r="M24" s="104" t="n"/>
    </row>
    <row r="25" ht="102" customHeight="1" s="85">
      <c r="A25" s="107" t="inlineStr">
        <is>
          <t>FE-HARD-014</t>
        </is>
      </c>
      <c r="B25" s="108" t="inlineStr">
        <is>
          <t>Stale-state protection on Jobs Monitor polling</t>
        </is>
      </c>
      <c r="C25" s="100" t="inlineStr">
        <is>
          <t>Hardening</t>
        </is>
      </c>
      <c r="D25" s="118" t="inlineStr">
        <is>
          <t>Important</t>
        </is>
      </c>
      <c r="E25" s="102" t="inlineStr">
        <is>
          <t>Frontend</t>
        </is>
      </c>
      <c r="F25" s="111" t="inlineStr">
        <is>
          <t>Admin / JobsMonitor</t>
        </is>
      </c>
      <c r="G25" s="112" t="inlineStr">
        <is>
          <t>Jobs Monitor polls every N seconds. If user is mid-edit on a row that the poll has just refreshed underneath them, their edit is silently discarded. When poll detects the row being edited has changed remotely: show non-blocking banner 'This row was updated by the system. See changes / Keep mine'. If user has not been editing for &gt;5s, accept the update silently with a brief row-flash animation.</t>
        </is>
      </c>
      <c r="H25" s="112" t="inlineStr">
        <is>
          <t>Open Jobs Monitor. Click edit on a row. From another browser/session change the same row's status. Wait for poll. Confirm banner appears, neither version is silently lost.</t>
        </is>
      </c>
      <c r="I25" s="113" t="n">
        <v>2</v>
      </c>
      <c r="J25" s="114" t="inlineStr">
        <is>
          <t>Not Started</t>
        </is>
      </c>
      <c r="K25" s="112" t="n"/>
      <c r="L25" s="112" t="n"/>
      <c r="M25" s="112" t="n"/>
    </row>
    <row r="26" ht="186.75" customHeight="1" s="85">
      <c r="A26" s="98" t="inlineStr">
        <is>
          <t>FE-HARD-015</t>
        </is>
      </c>
      <c r="B26" s="99" t="inlineStr">
        <is>
          <t>WidgetBuilderWizardContent — focused QA pass</t>
        </is>
      </c>
      <c r="C26" s="100" t="inlineStr">
        <is>
          <t>Hardening</t>
        </is>
      </c>
      <c r="D26" s="115" t="inlineStr">
        <is>
          <t>Very Important</t>
        </is>
      </c>
      <c r="E26" s="102" t="inlineStr">
        <is>
          <t>Frontend</t>
        </is>
      </c>
      <c r="F26" s="103" t="inlineStr">
        <is>
          <t>Widget</t>
        </is>
      </c>
      <c r="G26" s="104" t="inlineStr">
        <is>
          <t>1,501 lines. Highest-risk single file. Test scenarios: (1) Cancel mid-wizard then re-open — clean state? (2) Save with all optional fields empty — accepted or validated? (3) Edit existing vs create new — same wizard, different defaults? (4) Step-state desync: navigate to step 4 → back to step 1 → change purpose → does step 3 data link invalidate correctly? (5) Pre-fill on edit: opening for existing widget pre-fills all 5 steps; any missed field = data loss. (6) Preview reliability: step 5 calls dashboard data with in-progress config; failure must show inline error, never empty. (7) Cancel handling: must restore original (edit) or remove placeholder (create), never leave half-saved widget in DB.</t>
        </is>
      </c>
      <c r="H26" s="104" t="inlineStr">
        <is>
          <t>QA checklist with 7 scenarios above. Each must pass on screen. Add component tests covering the cancel-mid-wizard and step-state-desync scenarios.</t>
        </is>
      </c>
      <c r="I26" s="105" t="n">
        <v>6</v>
      </c>
      <c r="J26" s="106" t="inlineStr">
        <is>
          <t>Not Started</t>
        </is>
      </c>
      <c r="K26" s="104" t="n"/>
      <c r="L26" s="104" t="n"/>
      <c r="M26" s="104" t="n"/>
    </row>
    <row r="27" ht="118.5" customHeight="1" s="85">
      <c r="A27" s="107" t="inlineStr">
        <is>
          <t>FE-HARD-016</t>
        </is>
      </c>
      <c r="B27" s="108" t="inlineStr">
        <is>
          <t>AdminDbConfigurationTab — focused QA pass</t>
        </is>
      </c>
      <c r="C27" s="100" t="inlineStr">
        <is>
          <t>Hardening</t>
        </is>
      </c>
      <c r="D27" s="115" t="inlineStr">
        <is>
          <t>Very Important</t>
        </is>
      </c>
      <c r="E27" s="102" t="inlineStr">
        <is>
          <t>Frontend</t>
        </is>
      </c>
      <c r="F27" s="111" t="inlineStr">
        <is>
          <t>Admin</t>
        </is>
      </c>
      <c r="G27" s="112" t="inlineStr">
        <is>
          <t>1,046 lines. Test connection lifecycle: (1) Test-connection succeeds + discover-schema returns zero tables → UI must say 'connection working but no readable tables — check permissions', not contradiction. (2) Delete profile with attached datasets → confirm dialog enumerates affected datasets, or cancel option. (3) Edit credentials on existing profile without re-testing → 'last tested' badge invalidates. (4) Rapid activate/deactivate clicks → UI state consistent.</t>
        </is>
      </c>
      <c r="H27" s="112" t="inlineStr">
        <is>
          <t>QA checklist with 4 scenarios above. Component tests for the credential-invalidation behavior.</t>
        </is>
      </c>
      <c r="I27" s="113" t="n">
        <v>4</v>
      </c>
      <c r="J27" s="114" t="inlineStr">
        <is>
          <t>Not Started</t>
        </is>
      </c>
      <c r="K27" s="112" t="n"/>
      <c r="L27" s="112" t="n"/>
      <c r="M27" s="112" t="n"/>
    </row>
    <row r="28" ht="153" customHeight="1" s="85">
      <c r="A28" s="98" t="inlineStr">
        <is>
          <t>FE-HARD-017</t>
        </is>
      </c>
      <c r="B28" s="99" t="inlineStr">
        <is>
          <t>AdminSchemaConfigurationTab — focused QA pass</t>
        </is>
      </c>
      <c r="C28" s="100" t="inlineStr">
        <is>
          <t>Hardening</t>
        </is>
      </c>
      <c r="D28" s="115" t="inlineStr">
        <is>
          <t>Very Important</t>
        </is>
      </c>
      <c r="E28" s="102" t="inlineStr">
        <is>
          <t>Frontend</t>
        </is>
      </c>
      <c r="F28" s="103" t="inlineStr">
        <is>
          <t>Admin</t>
        </is>
      </c>
      <c r="G28" s="104" t="inlineStr">
        <is>
          <t>916 lines. SQL editor most likely to be 'show me what happens if I do something wrong'. (1) SELECT against non-allow-listed table → error names the table specifically, not generic 'invalid query'. (2) SQL syntax error → editor highlights position if possible, otherwise shows full DB error message. (3) Query exceeds 5s statement_timeout → 'Query exceeded timeout — try adding a WHERE filter', not 'Internal server error'. (4) Successful query with 1 row → preview renders that row, not appears empty. (5) Successful query with 5000 rows → virtualize OR cap at 100 with 'Showing first 100 of 5000' notice.</t>
        </is>
      </c>
      <c r="H28" s="104" t="inlineStr">
        <is>
          <t>QA checklist with 5 scenarios above. Add adversarial unit tests to SafeSqlPolicyTests covering the table-name error message.</t>
        </is>
      </c>
      <c r="I28" s="105" t="n">
        <v>4</v>
      </c>
      <c r="J28" s="106" t="inlineStr">
        <is>
          <t>Not Started</t>
        </is>
      </c>
      <c r="K28" s="104" t="n"/>
      <c r="L28" s="104" t="n"/>
      <c r="M28" s="104" t="n"/>
    </row>
    <row r="29" ht="102" customHeight="1" s="85">
      <c r="A29" s="107" t="inlineStr">
        <is>
          <t>FE-HARD-018</t>
        </is>
      </c>
      <c r="B29" s="108" t="inlineStr">
        <is>
          <t>DashboardPageContent — refresh and filter scenarios</t>
        </is>
      </c>
      <c r="C29" s="100" t="inlineStr">
        <is>
          <t>Hardening</t>
        </is>
      </c>
      <c r="D29" s="118" t="inlineStr">
        <is>
          <t>Important</t>
        </is>
      </c>
      <c r="E29" s="102" t="inlineStr">
        <is>
          <t>Frontend</t>
        </is>
      </c>
      <c r="F29" s="111" t="inlineStr">
        <is>
          <t>Dashboard</t>
        </is>
      </c>
      <c r="G29" s="112" t="inlineStr">
        <is>
          <t>777 lines. Test: (1) Delete the dashboard you're currently viewing → redirect to dashboard list, not 404/blank. (2) Rapid filter changes (5 changes in 2 seconds) → final state correct, no flicker, no extra API calls vs the last one. (3) Browser refresh mid-load → filters and layout restored from URL params. (4) Direct URL with bad filter values → falls back to defaults, doesn't crash.</t>
        </is>
      </c>
      <c r="H29" s="112" t="inlineStr">
        <is>
          <t>QA checklist with 4 scenarios above. Network tab confirms debouncing/batching on rapid filter changes (final API call only, or at most 2).</t>
        </is>
      </c>
      <c r="I29" s="113" t="n">
        <v>3</v>
      </c>
      <c r="J29" s="114" t="inlineStr">
        <is>
          <t>Not Started</t>
        </is>
      </c>
      <c r="K29" s="112" t="n"/>
      <c r="L29" s="112" t="n"/>
      <c r="M29" s="112" t="n"/>
    </row>
    <row r="30" ht="102" customHeight="1" s="85">
      <c r="A30" s="98" t="inlineStr">
        <is>
          <t>FE-HARD-019</t>
        </is>
      </c>
      <c r="B30" s="99" t="inlineStr">
        <is>
          <t>Legacy plantProcessApi.ts contract probe</t>
        </is>
      </c>
      <c r="C30" s="100" t="inlineStr">
        <is>
          <t>Hardening</t>
        </is>
      </c>
      <c r="D30" s="118" t="inlineStr">
        <is>
          <t>Important</t>
        </is>
      </c>
      <c r="E30" s="117" t="inlineStr">
        <is>
          <t>Fullstack</t>
        </is>
      </c>
      <c r="F30" s="103" t="inlineStr">
        <is>
          <t>ApiClient</t>
        </is>
      </c>
      <c r="G30" s="104" t="inlineStr">
        <is>
          <t>1,301 lines. Strangler-fig migration in flight. Risk: stale function signatures vs backend reality. Build a contract-probe test that for every endpoint mentioned by name in the legacy file: hits the endpoint (or mock), confirms 200 / expected error code, confirms response shape matches TypeScript types. Add to CI so backend changes that break FE types are caught at build time.</t>
        </is>
      </c>
      <c r="H30" s="104" t="inlineStr">
        <is>
          <t>Contract probe test in CI is green. Deliberately rename a backend endpoint without updating legacy file → CI fails with clear message naming the stale endpoint.</t>
        </is>
      </c>
      <c r="I30" s="105" t="n">
        <v>4</v>
      </c>
      <c r="J30" s="106" t="inlineStr">
        <is>
          <t>Not Started</t>
        </is>
      </c>
      <c r="K30" s="104" t="n"/>
      <c r="L30" s="104" t="n"/>
      <c r="M30" s="104" t="n"/>
    </row>
    <row r="31" ht="135.75" customHeight="1" s="85">
      <c r="A31" s="107" t="inlineStr">
        <is>
          <t>INF-ADD-001</t>
        </is>
      </c>
      <c r="B31" s="108" t="inlineStr">
        <is>
          <t>Three simulation databases (HSM PostgreSQL, Inspection MySQL, QMS SQL Server)</t>
        </is>
      </c>
      <c r="C31" s="109" t="inlineStr">
        <is>
          <t>Adding Feature</t>
        </is>
      </c>
      <c r="D31" s="115" t="inlineStr">
        <is>
          <t>Very Important</t>
        </is>
      </c>
      <c r="E31" s="116" t="inlineStr">
        <is>
          <t>Infrastructure</t>
        </is>
      </c>
      <c r="F31" s="111" t="inlineStr">
        <is>
          <t>Demo Environment</t>
        </is>
      </c>
      <c r="G31" s="112" t="inlineStr">
        <is>
          <t>From Demo Workflow Preparation Plan §3.2. The single largest demo prep item. Create Infrastructure/deploy/docker-compose.demo-sources.yml with 3 services: (1) demo-hsm-db: postgres:17 on port 55432, db=hsm_production, schema in /demo-sources/hsm/init (2) demo-inspection-db: mysql:8.4 on port 53306, db=surface_inspection, schema in /demo-sources/inspection/init (3) demo-qms-db: mssql/server:2022-latest on port 51433, db=qms_main, schema in /demo-sources/qms/init Each service has its own volume + lives on ppiq-net network so the app container can connect.</t>
        </is>
      </c>
      <c r="H31" s="112" t="inlineStr">
        <is>
          <t>docker-compose -f docker-compose.demo-sources.yml up -d → all 3 containers healthy. From the app container: psql to demo-hsm-db:5432 succeeds; mysql to demo-inspection-db:3306 succeeds; sqlcmd to demo-qms-db:1433 succeeds. From within the PlantProcess IQ UI: create 3 connection profiles, test connections all succeed.</t>
        </is>
      </c>
      <c r="I31" s="113" t="n">
        <v>6</v>
      </c>
      <c r="J31" s="114" t="inlineStr">
        <is>
          <t>Not Started</t>
        </is>
      </c>
      <c r="K31" s="112" t="n"/>
      <c r="L31" s="112" t="n"/>
      <c r="M31" s="112" t="n"/>
    </row>
    <row r="32" ht="135.75" customHeight="1" s="85">
      <c r="A32" s="98" t="inlineStr">
        <is>
          <t>DB-ADD-001</t>
        </is>
      </c>
      <c r="B32" s="99" t="inlineStr">
        <is>
          <t>Simulation database schemas (HSM)</t>
        </is>
      </c>
      <c r="C32" s="109" t="inlineStr">
        <is>
          <t>Adding Feature</t>
        </is>
      </c>
      <c r="D32" s="115" t="inlineStr">
        <is>
          <t>Very Important</t>
        </is>
      </c>
      <c r="E32" s="120" t="inlineStr">
        <is>
          <t>Database</t>
        </is>
      </c>
      <c r="F32" s="103" t="inlineStr">
        <is>
          <t>Demo / HSM</t>
        </is>
      </c>
      <c r="G32" s="104" t="inlineStr">
        <is>
          <t>PostgreSQL Hot Strip Mill schema. Tables: heats(heat_id PK, grade, equipment_code, start_utc, end_utc, casting_speed_avg, superheat_avg); slabs(slab_id PK, heat_id FK, length_mm, width_mm, thickness_mm, cast_at_utc); coils(coil_id PK, slab_id FK, hot_rolling_force, finish_temp, produced_at); casting_parameters(id BIGSERIAL, heat_id, sampled_at_utc, casting_speed, superheat, mold_level) with index on (heat_id, sampled_at_utc). SQL file at demo-sources/hsm/init/01_schema.sql, executed at container start via docker-entrypoint-initdb.d.</t>
        </is>
      </c>
      <c r="H32" s="104" t="inlineStr">
        <is>
          <t>Container starts cleanly. \dt in psql shows all 4 tables. Schema discovery from the PlantProcess IQ admin UI returns all 4 tables with correct column types.</t>
        </is>
      </c>
      <c r="I32" s="105" t="n">
        <v>1</v>
      </c>
      <c r="J32" s="106" t="inlineStr">
        <is>
          <t>Not Started</t>
        </is>
      </c>
      <c r="K32" s="104" t="n"/>
      <c r="L32" s="104" t="n"/>
      <c r="M32" s="104" t="n"/>
    </row>
    <row r="33" ht="118.5" customHeight="1" s="85">
      <c r="A33" s="107" t="inlineStr">
        <is>
          <t>DB-ADD-002</t>
        </is>
      </c>
      <c r="B33" s="108" t="inlineStr">
        <is>
          <t>Simulation database schemas (Inspection)</t>
        </is>
      </c>
      <c r="C33" s="109" t="inlineStr">
        <is>
          <t>Adding Feature</t>
        </is>
      </c>
      <c r="D33" s="115" t="inlineStr">
        <is>
          <t>Very Important</t>
        </is>
      </c>
      <c r="E33" s="120" t="inlineStr">
        <is>
          <t>Database</t>
        </is>
      </c>
      <c r="F33" s="111" t="inlineStr">
        <is>
          <t>Demo / Inspection</t>
        </is>
      </c>
      <c r="G33" s="112" t="inlineStr">
        <is>
          <t>MySQL Surface Inspection schema. Tables: defect_catalog(defect_code PK, description, severity_category); inspection_runs(run_id PK, material_id, equipment_code, inspected_at, status) with index on material_id; defects(defect_id AI PK, run_id, defect_code, severity, x_position_mm, y_position_mm) with indexes on (run_id) and (defect_code). Critical: material_id corresponds to slab_id from HSM database — this is the demo's join key. SQL file at demo-sources/inspection/init/01_schema.sql.</t>
        </is>
      </c>
      <c r="H33" s="112" t="inlineStr">
        <is>
          <t>Container starts. SHOW TABLES lists all 3 tables. Schema discovery from PlantProcess IQ UI returns them with correct column types.</t>
        </is>
      </c>
      <c r="I33" s="113" t="n">
        <v>1</v>
      </c>
      <c r="J33" s="114" t="inlineStr">
        <is>
          <t>Not Started</t>
        </is>
      </c>
      <c r="K33" s="112" t="n"/>
      <c r="L33" s="112" t="n"/>
      <c r="M33" s="112" t="n"/>
    </row>
    <row r="34" ht="102" customHeight="1" s="85">
      <c r="A34" s="98" t="inlineStr">
        <is>
          <t>DB-ADD-003</t>
        </is>
      </c>
      <c r="B34" s="99" t="inlineStr">
        <is>
          <t>Simulation database schemas (QMS)</t>
        </is>
      </c>
      <c r="C34" s="109" t="inlineStr">
        <is>
          <t>Adding Feature</t>
        </is>
      </c>
      <c r="D34" s="115" t="inlineStr">
        <is>
          <t>Very Important</t>
        </is>
      </c>
      <c r="E34" s="120" t="inlineStr">
        <is>
          <t>Database</t>
        </is>
      </c>
      <c r="F34" s="103" t="inlineStr">
        <is>
          <t>Demo / QMS</t>
        </is>
      </c>
      <c r="G34" s="104" t="inlineStr">
        <is>
          <t>SQL Server QMS schema. Tables: material_aliases(qms_id PK NVARCHAR(40), plant_id, alias_type, registered_utc); quality_events(event_id UNIQUEIDENTIFIER PK, material_id NVARCHAR(20), event_type, decision, decided_at_utc, decided_by) with index on (material_id). SQL file at demo-sources/qms/init/01_create_qms.sql. Invoked via sqlcmd after sqlservr starts.</t>
        </is>
      </c>
      <c r="H34" s="104" t="inlineStr">
        <is>
          <t>Container starts and stays up. SELECT name FROM sys.tables shows both tables. Schema discovery from PlantProcess IQ UI returns them with correct types.</t>
        </is>
      </c>
      <c r="I34" s="105" t="n">
        <v>1.5</v>
      </c>
      <c r="J34" s="106" t="inlineStr">
        <is>
          <t>Not Started</t>
        </is>
      </c>
      <c r="K34" s="104" t="n"/>
      <c r="L34" s="104" t="n"/>
      <c r="M34" s="104" t="n"/>
    </row>
    <row r="35" ht="135.75" customHeight="1" s="85">
      <c r="A35" s="107" t="inlineStr">
        <is>
          <t>BE-ADD-003</t>
        </is>
      </c>
      <c r="B35" s="108" t="inlineStr">
        <is>
          <t>Synthetic data generator extension (3 DB INSERT writers)</t>
        </is>
      </c>
      <c r="C35" s="109" t="inlineStr">
        <is>
          <t>Adding Feature</t>
        </is>
      </c>
      <c r="D35" s="118" t="inlineStr">
        <is>
          <t>Important</t>
        </is>
      </c>
      <c r="E35" s="110" t="inlineStr">
        <is>
          <t>Backend</t>
        </is>
      </c>
      <c r="F35" s="111" t="inlineStr">
        <is>
          <t>Tools</t>
        </is>
      </c>
      <c r="G35" s="112" t="inlineStr">
        <is>
          <t>Backend/tools/generate_synthetic_plantprocessiq.py (146 lines) already produces realistic data with hidden defect patterns (high casting speed → SurfaceCrack risk, high superheat → Inclusion risk, CASTER_B elevated baseline). Add 3 new output writers: postgres_hsm.sql (INSERT into heats/slabs/coils/casting_parameters), mysql_inspection.sql (defect_catalog/inspection_runs/defects), mssql_qms.sql (material_aliases/quality_events). Critical invariant: same slab_id appears in all 3 databases. ~100-200 heats is enough for the demo.</t>
        </is>
      </c>
      <c r="H35" s="112" t="inlineStr">
        <is>
          <t>python tools/generate_synthetic_plantprocessiq.py --rows 5000 --out data/demo produces all 3 SQL files. Run each against its container. SELECT COUNT(*) per table is non-zero. SELECT * WHERE slab_id='S000001' returns rows in all 3 databases — the join key works. Run the correlation analysis on synthetic data → finds the hidden pattern (CASTER_B + casting_speed &gt; 1.55 correlates with SurfaceCrack).</t>
        </is>
      </c>
      <c r="I35" s="113" t="n">
        <v>4</v>
      </c>
      <c r="J35" s="114" t="inlineStr">
        <is>
          <t>Not Started</t>
        </is>
      </c>
      <c r="K35" s="112" t="n"/>
      <c r="L35" s="112" t="n"/>
      <c r="M35" s="112" t="n"/>
    </row>
    <row r="36" ht="67.5" customHeight="1" s="85">
      <c r="A36" s="98" t="inlineStr">
        <is>
          <t>FE-ADD-001</t>
        </is>
      </c>
      <c r="B36" s="99" t="inlineStr">
        <is>
          <t>Demo environment banner — global activation</t>
        </is>
      </c>
      <c r="C36" s="109" t="inlineStr">
        <is>
          <t>Adding Feature</t>
        </is>
      </c>
      <c r="D36" s="115" t="inlineStr">
        <is>
          <t>Very Important</t>
        </is>
      </c>
      <c r="E36" s="102" t="inlineStr">
        <is>
          <t>Frontend</t>
        </is>
      </c>
      <c r="F36" s="103" t="inlineStr">
        <is>
          <t>Common</t>
        </is>
      </c>
      <c r="G36" s="104" t="inlineStr">
        <is>
          <t>DemoEnvironmentBanner.tsx already exists. Verify it renders globally in AppLayout on every page (not just the homepage). Set label to 'Demo environment — Synthetic steel plant dataset'. Confirm it's visible but not intrusive (top bar, ~32px height, brand styling).</t>
        </is>
      </c>
      <c r="H36" s="104" t="inlineStr">
        <is>
          <t>Open every route. Banner visible on each. Banner doesn't shift main content layout. Banner visible in screenshots taken from any page.</t>
        </is>
      </c>
      <c r="I36" s="105" t="n">
        <v>0.5</v>
      </c>
      <c r="J36" s="106" t="inlineStr">
        <is>
          <t>Not Started</t>
        </is>
      </c>
      <c r="K36" s="104" t="n"/>
      <c r="L36" s="104" t="n"/>
      <c r="M36" s="104" t="n"/>
    </row>
    <row r="37" ht="102" customHeight="1" s="85">
      <c r="A37" s="107" t="inlineStr">
        <is>
          <t>BE-HARD-003</t>
        </is>
      </c>
      <c r="B37" s="108" t="inlineStr">
        <is>
          <t>Excel connector smoke test → IsAvailableNow flag verification</t>
        </is>
      </c>
      <c r="C37" s="100" t="inlineStr">
        <is>
          <t>Hardening</t>
        </is>
      </c>
      <c r="D37" s="118" t="inlineStr">
        <is>
          <t>Important</t>
        </is>
      </c>
      <c r="E37" s="110" t="inlineStr">
        <is>
          <t>Backend</t>
        </is>
      </c>
      <c r="F37" s="111" t="inlineStr">
        <is>
          <t>Connectors / Excel</t>
        </is>
      </c>
      <c r="G37" s="112" t="inlineStr">
        <is>
          <t>ExcelConnector.cs is 407 lines (ClosedXML) but the connector-truth flag is conservatively IsAvailableNow=false pending E2E proof. Run an end-to-end smoke test: upload a sample .xlsx, discover sheets, discover columns, full-read 100 rows. If passes: flip IsAvailableNow to true in ConnectorAdminEndpoints and DemoLifecycleEndpoints. If fails: file specific bug, keep flag false, skip Excel in demo walkthrough.</t>
        </is>
      </c>
      <c r="H37" s="112" t="inlineStr">
        <is>
          <t>Smoke test green. /demo-lifecycle/connector-truth shows Excel.IsAvailableNow=true. Manual: create Excel source in admin UI, full workflow completes.</t>
        </is>
      </c>
      <c r="I37" s="113" t="n">
        <v>1.5</v>
      </c>
      <c r="J37" s="114" t="inlineStr">
        <is>
          <t>Not Started</t>
        </is>
      </c>
      <c r="K37" s="112" t="n"/>
      <c r="L37" s="112" t="n"/>
      <c r="M37" s="112" t="n"/>
    </row>
    <row r="38" ht="102" customHeight="1" s="85">
      <c r="A38" s="98" t="inlineStr">
        <is>
          <t>BE-ADD-004</t>
        </is>
      </c>
      <c r="B38" s="99" t="inlineStr">
        <is>
          <t>Demo-lifecycle reset endpoint</t>
        </is>
      </c>
      <c r="C38" s="109" t="inlineStr">
        <is>
          <t>Adding Feature</t>
        </is>
      </c>
      <c r="D38" s="115" t="inlineStr">
        <is>
          <t>Very Important</t>
        </is>
      </c>
      <c r="E38" s="110" t="inlineStr">
        <is>
          <t>Backend</t>
        </is>
      </c>
      <c r="F38" s="103" t="inlineStr">
        <is>
          <t>Api / DemoLifecycle</t>
        </is>
      </c>
      <c r="G38" s="104" t="inlineStr">
        <is>
          <t>Add POST /demo-lifecycle/reset (admin-only) that drops all customer-side ConnectionProfile, SourceDatasetDefinition, MappingDefinition, SchemaViewDefinition, KpiDefinition, JobDefinition (non-system), DashboardDefinition (where IsSystemTemplate=false), JobRunHistory rows. Preserves: ApplicationUser, RoleAssignment, all system-defined rows, audit log. Returns count of rows deleted per table for confirmation.</t>
        </is>
      </c>
      <c r="H38" s="104" t="inlineStr">
        <is>
          <t>Call endpoint after a full demo run. Confirm response shows expected row counts. Re-open the app — admin tabs are clean baseline. System users + roles + audit log intact. Endpoint completes in &lt; 30 seconds even on a populated demo state.</t>
        </is>
      </c>
      <c r="I38" s="105" t="n">
        <v>3</v>
      </c>
      <c r="J38" s="106" t="inlineStr">
        <is>
          <t>Not Started</t>
        </is>
      </c>
      <c r="K38" s="104" t="n"/>
      <c r="L38" s="104" t="n"/>
      <c r="M38" s="104" t="n"/>
    </row>
    <row r="39" ht="135.75" customHeight="1" s="85">
      <c r="A39" s="107" t="inlineStr">
        <is>
          <t>FS-ADD-001</t>
        </is>
      </c>
      <c r="B39" s="108" t="inlineStr">
        <is>
          <t>Save-as-Inspection-Job button on Correlation page</t>
        </is>
      </c>
      <c r="C39" s="109" t="inlineStr">
        <is>
          <t>Adding Feature</t>
        </is>
      </c>
      <c r="D39" s="115" t="inlineStr">
        <is>
          <t>Very Important</t>
        </is>
      </c>
      <c r="E39" s="117" t="inlineStr">
        <is>
          <t>Fullstack</t>
        </is>
      </c>
      <c r="F39" s="111" t="inlineStr">
        <is>
          <t>Correlation / Api</t>
        </is>
      </c>
      <c r="G39" s="112" t="inlineStr">
        <is>
          <t>From Demo Workflow plan DEMO-4. Vision §3.2.3. After user runs correlation analysis, current flow trails off — no way to save the analysis as a recurring job. Backend: POST /correlations/save-as-job (accepts correlation analysis params + schedule expression) → creates JobDefinition with type=MlParamsVsDefects, target=this analysis, isEnabled=true. Frontend: 'Save as Inspection Job' button on CorrelationPage. Opens modal: job name, schedule (Daily/Weekly/Custom cron), enable now. Submit → toast 'Saved. Next run: &lt;time&gt;.' Job appears in Jobs Monitor.</t>
        </is>
      </c>
      <c r="H39" s="112" t="inlineStr">
        <is>
          <t>Run a correlation. Click Save as Job. Set Weekly Monday 06:00. Submit. Navigate to Jobs Monitor → new job appears with correct schedule and Next Run At = next Monday 06:00. Edit/disable from there works.</t>
        </is>
      </c>
      <c r="I39" s="113" t="n">
        <v>4</v>
      </c>
      <c r="J39" s="114" t="inlineStr">
        <is>
          <t>Not Started</t>
        </is>
      </c>
      <c r="K39" s="112" t="n"/>
      <c r="L39" s="112" t="n"/>
      <c r="M39" s="112" t="n"/>
    </row>
    <row r="40" ht="169.5" customHeight="1" s="85">
      <c r="A40" s="98" t="inlineStr">
        <is>
          <t>FS-ADD-002</t>
        </is>
      </c>
      <c r="B40" s="99" t="inlineStr">
        <is>
          <t>WidgetQueryExpression DSL + /widgets/execute endpoint (Vision §2.2.2)</t>
        </is>
      </c>
      <c r="C40" s="109" t="inlineStr">
        <is>
          <t>Adding Feature</t>
        </is>
      </c>
      <c r="D40" s="118" t="inlineStr">
        <is>
          <t>Important</t>
        </is>
      </c>
      <c r="E40" s="117" t="inlineStr">
        <is>
          <t>Fullstack</t>
        </is>
      </c>
      <c r="F40" s="103" t="inlineStr">
        <is>
          <t>Widget / Api</t>
        </is>
      </c>
      <c r="G40" s="104" t="inlineStr">
        <is>
          <t>Highest-leverage architectural feature. Avoids the 100k-endpoints anti-pattern. Domain: add QueryExpressionJson (jsonb) to DashboardWidgetDefinition. Application: WidgetQueryExpression record (Source, GroupBy, Measures, Filters, Having, OrderBy, Limit). WidgetDsl with AllowedFunctions/Operators/Directions allow-lists. Variable resolvers ($last_7d etc). Service: WidgetQueryExecutionService — validates DSL, resolves source schema_view:VIEWCODE, compiles to safe SQL with parameter-bound filters and identifier whitelist, re-validates compiled SQL through SafeSqlValidator, sets statement_timeout, executes. Api: POST /widgets/{id}/execute and POST /widgets/execute-adhoc (Engineer+ role).</t>
        </is>
      </c>
      <c r="H40" s="104" t="inlineStr">
        <is>
          <t>Unit tests covering: bad function rejected, bad operator rejected, schema-view resolution, identifier whitelist, parameter binding. Integration test: create widget with QueryExpression, execute → returns expected data shape. Adversarial test: attempt SQL injection through filter values — rejected.</t>
        </is>
      </c>
      <c r="I40" s="105" t="n">
        <v>12</v>
      </c>
      <c r="J40" s="106" t="inlineStr">
        <is>
          <t>Not Started</t>
        </is>
      </c>
      <c r="K40" s="104" t="n"/>
      <c r="L40" s="104" t="n"/>
      <c r="M40" s="104" t="n"/>
    </row>
    <row r="41" ht="102" customHeight="1" s="85">
      <c r="A41" s="107" t="inlineStr">
        <is>
          <t>FS-ADD-003</t>
        </is>
      </c>
      <c r="B41" s="108" t="inlineStr">
        <is>
          <t>PageDefinition distinct from DashboardDefinition (Vision §2.1)</t>
        </is>
      </c>
      <c r="C41" s="109" t="inlineStr">
        <is>
          <t>Adding Feature</t>
        </is>
      </c>
      <c r="D41" s="119" t="inlineStr">
        <is>
          <t>Normal</t>
        </is>
      </c>
      <c r="E41" s="117" t="inlineStr">
        <is>
          <t>Fullstack</t>
        </is>
      </c>
      <c r="F41" s="111" t="inlineStr">
        <is>
          <t>Domain / Dashboard</t>
        </is>
      </c>
      <c r="G41" s="112" t="inlineStr">
        <is>
          <t>Vision §2.1 specifies a 'Page' as user-creatable top-level container that can hold multiple linked dashboards, free-form text, and investigation workflows. Implementation has 'Dashboard' as the equivalent object. For demo: use narration workaround. For Phase 6: build out. Defer; for current demos use the 'narrate Dashboard as Page' workaround from Demo Workflow plan §5.1.</t>
        </is>
      </c>
      <c r="H41" s="112" t="inlineStr">
        <is>
          <t>Deferred. Not required before first paid pilot.</t>
        </is>
      </c>
      <c r="I41" s="113" t="n">
        <v>16</v>
      </c>
      <c r="J41" s="114" t="inlineStr">
        <is>
          <t>Not Started</t>
        </is>
      </c>
      <c r="K41" s="112" t="n"/>
      <c r="L41" s="112" t="n"/>
      <c r="M41" s="112" t="n"/>
    </row>
    <row r="42" ht="84.75" customHeight="1" s="85">
      <c r="A42" s="98" t="inlineStr">
        <is>
          <t>BE-ADD-005</t>
        </is>
      </c>
      <c r="B42" s="99" t="inlineStr">
        <is>
          <t>Oracle connector</t>
        </is>
      </c>
      <c r="C42" s="109" t="inlineStr">
        <is>
          <t>Adding Feature</t>
        </is>
      </c>
      <c r="D42" s="119" t="inlineStr">
        <is>
          <t>Normal</t>
        </is>
      </c>
      <c r="E42" s="110" t="inlineStr">
        <is>
          <t>Backend</t>
        </is>
      </c>
      <c r="F42" s="103" t="inlineStr">
        <is>
          <t>Connectors / Oracle</t>
        </is>
      </c>
      <c r="G42" s="104" t="inlineStr">
        <is>
          <t>Vision §1.1 lists 6 DB types; 5 are done (CSV, Excel, PostgreSQL, MSSQL, MySQL). Oracle remains. Implement OracleConnector using Oracle.ManagedDataAccess.Core. Same 3 interfaces (IDataSourceConnector, ISchemaReader, IDataSourceReader). Identifier quoting: double-quotes (Oracle convention). Register in DataSourceConnectorFactory.</t>
        </is>
      </c>
      <c r="H42" s="104" t="inlineStr">
        <is>
          <t>ConnectorTruthContractTests passes for Oracle. Smoke test against an Oracle XE container. Discovery + full-read + delta-read all working.</t>
        </is>
      </c>
      <c r="I42" s="105" t="n">
        <v>8</v>
      </c>
      <c r="J42" s="106" t="inlineStr">
        <is>
          <t>Not Started</t>
        </is>
      </c>
      <c r="K42" s="104" t="n"/>
      <c r="L42" s="104" t="n"/>
      <c r="M42" s="104" t="n"/>
    </row>
    <row r="43" ht="102" customHeight="1" s="85">
      <c r="A43" s="107" t="inlineStr">
        <is>
          <t>QA-HARD-001</t>
        </is>
      </c>
      <c r="B43" s="108" t="inlineStr">
        <is>
          <t>Per-page QA matrix execution</t>
        </is>
      </c>
      <c r="C43" s="100" t="inlineStr">
        <is>
          <t>Hardening</t>
        </is>
      </c>
      <c r="D43" s="101" t="inlineStr">
        <is>
          <t>Critical</t>
        </is>
      </c>
      <c r="E43" s="102" t="inlineStr">
        <is>
          <t>Frontend</t>
        </is>
      </c>
      <c r="F43" s="111" t="inlineStr">
        <is>
          <t>QA</t>
        </is>
      </c>
      <c r="G43" s="112" t="inlineStr">
        <is>
          <t>16 pages × 5 states = 80 cells. Each cell must be ticked before recording. States: cold load, with data, empty data, API error, direct URL. Pages: Dashboard, Material Investigation (list + detail), Risk, Data Quality, Correlation, ML Readiness, Demo Lifecycle, Admin (DB / Schema / Importing / Jobs), Admin Preview, Brand Identity, Commercial License, catch-all redirect.</t>
        </is>
      </c>
      <c r="H43" s="112" t="inlineStr">
        <is>
          <t>QA matrix doc with every cell ticked, signed off by an engineer. Findings tracked in a defect log. All CRITICAL and HIGH defects resolved before demo.</t>
        </is>
      </c>
      <c r="I43" s="113" t="n">
        <v>16</v>
      </c>
      <c r="J43" s="114" t="inlineStr">
        <is>
          <t>Not Started</t>
        </is>
      </c>
      <c r="K43" s="112" t="n"/>
      <c r="L43" s="112" t="n"/>
      <c r="M43" s="112" t="n"/>
    </row>
    <row r="44" ht="102" customHeight="1" s="85">
      <c r="A44" s="98" t="inlineStr">
        <is>
          <t>QA-HARD-002</t>
        </is>
      </c>
      <c r="B44" s="99" t="inlineStr">
        <is>
          <t>12-scenario stress test with external tester</t>
        </is>
      </c>
      <c r="C44" s="100" t="inlineStr">
        <is>
          <t>Hardening</t>
        </is>
      </c>
      <c r="D44" s="115" t="inlineStr">
        <is>
          <t>Very Important</t>
        </is>
      </c>
      <c r="E44" s="102" t="inlineStr">
        <is>
          <t>Frontend</t>
        </is>
      </c>
      <c r="F44" s="103" t="inlineStr">
        <is>
          <t>QA</t>
        </is>
      </c>
      <c r="G44" s="104" t="inlineStr">
        <is>
          <t>Run with a colleague who has not seen the app before. They drive, you take notes. Scenarios: random clicker, the skeptic, refresh-button-presser, back-button-presser, deep-linker, form-fumbler, double-clicker, mid-load interrupter, window resizer, zoom-key-presser, slow-network simulator, data-question asker. Capture findings in STRESS TEST FINDINGS log with severity triage (Critical/High/Medium/Low).</t>
        </is>
      </c>
      <c r="H44" s="104" t="inlineStr">
        <is>
          <t>Stress test findings document complete. All CRITICAL and HIGH defects resolved and re-tested. Medium/Low documented as backlog.</t>
        </is>
      </c>
      <c r="I44" s="105" t="n">
        <v>8</v>
      </c>
      <c r="J44" s="106" t="inlineStr">
        <is>
          <t>Not Started</t>
        </is>
      </c>
      <c r="K44" s="104" t="n"/>
      <c r="L44" s="104" t="n"/>
      <c r="M44" s="104" t="n"/>
    </row>
    <row r="45" ht="84.75" customHeight="1" s="85">
      <c r="A45" s="107" t="inlineStr">
        <is>
          <t>FE-HARD-020</t>
        </is>
      </c>
      <c r="B45" s="108" t="inlineStr">
        <is>
          <t>Playwright nav-graph + refresh-survival E2E spec</t>
        </is>
      </c>
      <c r="C45" s="100" t="inlineStr">
        <is>
          <t>Hardening</t>
        </is>
      </c>
      <c r="D45" s="118" t="inlineStr">
        <is>
          <t>Important</t>
        </is>
      </c>
      <c r="E45" s="102" t="inlineStr">
        <is>
          <t>Frontend</t>
        </is>
      </c>
      <c r="F45" s="111" t="inlineStr">
        <is>
          <t>E2E Tests</t>
        </is>
      </c>
      <c r="G45" s="112" t="inlineStr">
        <is>
          <t>Codify the QA matrix as Playwright tests. For every route in ROUTES array: (1) cold load test — goto, expect &lt; 3s, expect no pageerror events, expect no 'Cannot read prop' or 'Internal Server Error' text in DOM. (2) refresh survival test — goto, reload, expect URL matches original. Add to Jenkinsfile e2e stage so this runs on every deploy.</t>
        </is>
      </c>
      <c r="H45" s="112" t="inlineStr">
        <is>
          <t>npx playwright test e2e/nav-graph.spec.ts → all routes pass. CI run shows green. Deliberately break one route → CI fails with clear message.</t>
        </is>
      </c>
      <c r="I45" s="113" t="n">
        <v>4</v>
      </c>
      <c r="J45" s="114" t="inlineStr">
        <is>
          <t>Not Started</t>
        </is>
      </c>
      <c r="K45" s="112" t="n"/>
      <c r="L45" s="112" t="n"/>
      <c r="M45" s="112" t="n"/>
    </row>
    <row r="46" ht="118.5" customHeight="1" s="85">
      <c r="A46" s="98" t="inlineStr">
        <is>
          <t>FE-HARD-021</t>
        </is>
      </c>
      <c r="B46" s="99" t="inlineStr">
        <is>
          <t>Component-level smoke tests for high-risk files</t>
        </is>
      </c>
      <c r="C46" s="100" t="inlineStr">
        <is>
          <t>Hardening</t>
        </is>
      </c>
      <c r="D46" s="118" t="inlineStr">
        <is>
          <t>Important</t>
        </is>
      </c>
      <c r="E46" s="102" t="inlineStr">
        <is>
          <t>Frontend</t>
        </is>
      </c>
      <c r="F46" s="103" t="inlineStr">
        <is>
          <t>Component Tests</t>
        </is>
      </c>
      <c r="G46" s="104" t="inlineStr">
        <is>
          <t>Vitest component tests covering the failure scenarios from FE-HARD-015 through FE-HARD-019. WidgetBuilderWizardContent: open → step 3 → Back → step 1 state preserved. AdminDbConfigurationTab: create profile, mock test-connection failure, error rendered next to test button. AdminSchemaConfigurationTab: paste invalid SQL, click Validate, error names the offending token. DashboardPageContent: rapid filter changes don't trigger N API calls.</t>
        </is>
      </c>
      <c r="H46" s="104" t="inlineStr">
        <is>
          <t>npx vitest run → all pass. Tests fail loudly if regressions introduced in those scenarios.</t>
        </is>
      </c>
      <c r="I46" s="105" t="n">
        <v>6</v>
      </c>
      <c r="J46" s="106" t="inlineStr">
        <is>
          <t>Not Started</t>
        </is>
      </c>
      <c r="K46" s="104" t="n"/>
      <c r="L46" s="104" t="n"/>
      <c r="M46" s="104" t="n"/>
    </row>
    <row r="47" ht="102" customHeight="1" s="85">
      <c r="A47" s="107" t="inlineStr">
        <is>
          <t>FE-HARD-022</t>
        </is>
      </c>
      <c r="B47" s="108" t="inlineStr">
        <is>
          <t>Visual regression baseline (optional but high-leverage)</t>
        </is>
      </c>
      <c r="C47" s="100" t="inlineStr">
        <is>
          <t>Hardening</t>
        </is>
      </c>
      <c r="D47" s="121" t="inlineStr">
        <is>
          <t>Optional</t>
        </is>
      </c>
      <c r="E47" s="102" t="inlineStr">
        <is>
          <t>Frontend</t>
        </is>
      </c>
      <c r="F47" s="111" t="inlineStr">
        <is>
          <t>CI</t>
        </is>
      </c>
      <c r="G47" s="112" t="inlineStr">
        <is>
          <t>For high-stakes demos: set up Percy / Chromatic / playwright-visual-comparison. Tag baseline screenshots for the 7 most-demoed pages before each demo cycle. Catches the class of bug where the app 'looks weird' but doesn't throw an error: bordered tables losing borders, badges changing color, charts shifting 3 pixels. Visual diffs &gt;0.1% trigger manual review.</t>
        </is>
      </c>
      <c r="H47" s="112" t="inlineStr">
        <is>
          <t>Baseline tagged. CI re-runs visual diff on every PR. Manually shift a CSS variable → CI flags the affected screens.</t>
        </is>
      </c>
      <c r="I47" s="113" t="n">
        <v>4</v>
      </c>
      <c r="J47" s="114" t="inlineStr">
        <is>
          <t>Not Started</t>
        </is>
      </c>
      <c r="K47" s="112" t="n"/>
      <c r="L47" s="112" t="n"/>
      <c r="M47" s="112" t="n"/>
    </row>
    <row r="48" ht="60" customHeight="1" s="85">
      <c r="A48" s="98" t="inlineStr">
        <is>
          <t>INF-FIX-003</t>
        </is>
      </c>
      <c r="B48" s="99" t="inlineStr">
        <is>
          <t>Jenkinsfile email placeholder</t>
        </is>
      </c>
      <c r="C48" s="116" t="inlineStr">
        <is>
          <t>Fixing Feature</t>
        </is>
      </c>
      <c r="D48" s="119" t="inlineStr">
        <is>
          <t>Normal</t>
        </is>
      </c>
      <c r="E48" s="116" t="inlineStr">
        <is>
          <t>Infrastructure</t>
        </is>
      </c>
      <c r="F48" s="103" t="inlineStr">
        <is>
          <t>CICD</t>
        </is>
      </c>
      <c r="G48" s="104" t="inlineStr">
        <is>
          <t>PPIQ_CI_NOTIFY_EMAIL=your-email@example.com in .env. Replace with real notification address (ops@plantprocessiq.com or similar).</t>
        </is>
      </c>
      <c r="H48" s="104" t="inlineStr">
        <is>
          <t>Force a CI build failure on a feature branch → email notification arrives at the configured address.</t>
        </is>
      </c>
      <c r="I48" s="105" t="n">
        <v>0.1</v>
      </c>
      <c r="J48" s="106" t="inlineStr">
        <is>
          <t>Not Started</t>
        </is>
      </c>
      <c r="K48" s="104" t="n"/>
      <c r="L48" s="104" t="n"/>
      <c r="M48" s="104" t="n"/>
    </row>
    <row r="49" ht="67.5" customHeight="1" s="85">
      <c r="A49" s="107" t="inlineStr">
        <is>
          <t>WEB-ADD-001</t>
        </is>
      </c>
      <c r="B49" s="108" t="inlineStr">
        <is>
          <t>Hero homepage screenshot replacement</t>
        </is>
      </c>
      <c r="C49" s="109" t="inlineStr">
        <is>
          <t>Adding Feature</t>
        </is>
      </c>
      <c r="D49" s="119" t="inlineStr">
        <is>
          <t>Normal</t>
        </is>
      </c>
      <c r="E49" s="122" t="inlineStr">
        <is>
          <t>Website</t>
        </is>
      </c>
      <c r="F49" s="111" t="inlineStr">
        <is>
          <t>Homepage</t>
        </is>
      </c>
      <c r="G49" s="112" t="inlineStr">
        <is>
          <t>Current hero uses a BarChart3 lucide icon as a placeholder. Replace with a real dashboard screenshot (1920×1080, anti-aliased, demo-banner visible) of the app's correlation result page or material investigation page.</t>
        </is>
      </c>
      <c r="H49" s="112" t="inlineStr">
        <is>
          <t>Hero panel shows the real dashboard image. Loads fast (image optimized &lt; 200KB, WebP).</t>
        </is>
      </c>
      <c r="I49" s="113" t="n">
        <v>1</v>
      </c>
      <c r="J49" s="114" t="inlineStr">
        <is>
          <t>Not Started</t>
        </is>
      </c>
      <c r="K49" s="112" t="n"/>
      <c r="L49" s="112" t="n"/>
      <c r="M49" s="112" t="n"/>
    </row>
    <row r="50" ht="60" customHeight="1" s="85">
      <c r="A50" s="98" t="inlineStr">
        <is>
          <t>WEB-ADD-002</t>
        </is>
      </c>
      <c r="B50" s="99" t="inlineStr">
        <is>
          <t>Demo-request mailto/calendar CTA</t>
        </is>
      </c>
      <c r="C50" s="109" t="inlineStr">
        <is>
          <t>Adding Feature</t>
        </is>
      </c>
      <c r="D50" s="119" t="inlineStr">
        <is>
          <t>Normal</t>
        </is>
      </c>
      <c r="E50" s="122" t="inlineStr">
        <is>
          <t>Website</t>
        </is>
      </c>
      <c r="F50" s="103" t="inlineStr">
        <is>
          <t>Contact</t>
        </is>
      </c>
      <c r="G50" s="104" t="inlineStr">
        <is>
          <t>Contact page Request Demo CTA is a static mailto today. Either: pre-fill subject and body (mailto:karim@...?subject=Demo+request&amp;body=...) or embed Calendly / SavvyCal.</t>
        </is>
      </c>
      <c r="H50" s="104" t="inlineStr">
        <is>
          <t>Clicking CTA opens email client with subject and body pre-filled, OR a Calendly inline widget loads cleanly.</t>
        </is>
      </c>
      <c r="I50" s="105" t="n">
        <v>0.5</v>
      </c>
      <c r="J50" s="106" t="inlineStr">
        <is>
          <t>Not Started</t>
        </is>
      </c>
      <c r="K50" s="104" t="n"/>
      <c r="L50" s="104" t="n"/>
      <c r="M50" s="104" t="n"/>
    </row>
    <row r="51" ht="84.75" customHeight="1" s="85">
      <c r="A51" s="107" t="inlineStr">
        <is>
          <t>DOC-001</t>
        </is>
      </c>
      <c r="B51" s="108" t="inlineStr">
        <is>
          <t>Rewrite Status Audit Report (retire outdated version)</t>
        </is>
      </c>
      <c r="C51" s="100" t="inlineStr">
        <is>
          <t>Hardening</t>
        </is>
      </c>
      <c r="D51" s="115" t="inlineStr">
        <is>
          <t>Very Important</t>
        </is>
      </c>
      <c r="E51" s="123" t="inlineStr">
        <is>
          <t>Documentation</t>
        </is>
      </c>
      <c r="F51" s="111" t="inlineStr">
        <is>
          <t>Brand / Sales</t>
        </is>
      </c>
      <c r="G51" s="112" t="inlineStr">
        <is>
          <t>The most important non-code action. Existing Status Audit Report describes a substantially weaker product than what now exists. Any prospect or investor reading it will form a falsely pessimistic view. Replace with the Strategic Code Validation &amp; Vision-Alignment Report (already delivered). Archive the old one with a 'SUPERSEDED' watermark.</t>
        </is>
      </c>
      <c r="H51" s="112" t="inlineStr">
        <is>
          <t>Old audit report removed from any shared folder. New report indexed and linked from internal docs / sales materials. Any prospect-facing copy that referenced the old findings updated.</t>
        </is>
      </c>
      <c r="I51" s="113" t="n">
        <v>2</v>
      </c>
      <c r="J51" s="114" t="inlineStr">
        <is>
          <t>Not Started</t>
        </is>
      </c>
      <c r="K51" s="112" t="n"/>
      <c r="L51" s="112" t="n"/>
      <c r="M51" s="112" t="n"/>
    </row>
    <row r="52" ht="60" customHeight="1" s="85">
      <c r="A52" s="98" t="inlineStr">
        <is>
          <t>DOC-002</t>
        </is>
      </c>
      <c r="B52" s="99" t="inlineStr">
        <is>
          <t>15-step demo script with narration</t>
        </is>
      </c>
      <c r="C52" s="109" t="inlineStr">
        <is>
          <t>Adding Feature</t>
        </is>
      </c>
      <c r="D52" s="115" t="inlineStr">
        <is>
          <t>Very Important</t>
        </is>
      </c>
      <c r="E52" s="123" t="inlineStr">
        <is>
          <t>Documentation</t>
        </is>
      </c>
      <c r="F52" s="103" t="inlineStr">
        <is>
          <t>Sales / Demo</t>
        </is>
      </c>
      <c r="G52" s="104" t="inlineStr">
        <is>
          <t>Already drafted in Demo Workflow Preparation Plan §4. Print on cards or second monitor. Rehearse each section aloud at least twice before any live demo. Time-box: total demo ≤22 minutes.</t>
        </is>
      </c>
      <c r="H52" s="104" t="inlineStr">
        <is>
          <t>Demo script printed and accessible. Rehearsal logged. Internal mock customer walks through end-to-end in &lt;22 min without referring to script mid-flow.</t>
        </is>
      </c>
      <c r="I52" s="105" t="n">
        <v>2</v>
      </c>
      <c r="J52" s="106" t="inlineStr">
        <is>
          <t>Not Started</t>
        </is>
      </c>
      <c r="K52" s="104" t="n"/>
      <c r="L52" s="104" t="n"/>
      <c r="M52" s="104" t="n"/>
    </row>
    <row r="53" ht="60" customHeight="1" s="85">
      <c r="A53" s="107" t="inlineStr">
        <is>
          <t>DOC-003</t>
        </is>
      </c>
      <c r="B53" s="108" t="inlineStr">
        <is>
          <t>NDA + Data Processing Statement template</t>
        </is>
      </c>
      <c r="C53" s="109" t="inlineStr">
        <is>
          <t>Adding Feature</t>
        </is>
      </c>
      <c r="D53" s="115" t="inlineStr">
        <is>
          <t>Very Important</t>
        </is>
      </c>
      <c r="E53" s="123" t="inlineStr">
        <is>
          <t>Documentation</t>
        </is>
      </c>
      <c r="F53" s="111" t="inlineStr">
        <is>
          <t>Legal</t>
        </is>
      </c>
      <c r="G53" s="112" t="inlineStr">
        <is>
          <t>Legal prerequisite for receiving any customer data file in the Data Diagnostic phase. Standard mutual NDA + GDPR-compliant DPA referencing the hosting region (Hetzner DE / Germany).</t>
        </is>
      </c>
      <c r="H53" s="112" t="inlineStr">
        <is>
          <t>Templates reviewed by a lawyer in Düsseldorf. Sent as PDF on customer request. No data exchanged without signed NDA.</t>
        </is>
      </c>
      <c r="I53" s="113" t="n">
        <v>3</v>
      </c>
      <c r="J53" s="114" t="inlineStr">
        <is>
          <t>Not Started</t>
        </is>
      </c>
      <c r="K53" s="112" t="n"/>
      <c r="L53" s="112" t="n"/>
      <c r="M53" s="112" t="n"/>
    </row>
    <row r="54" ht="67.5" customHeight="1" s="85">
      <c r="A54" s="98" t="inlineStr">
        <is>
          <t>DOC-004</t>
        </is>
      </c>
      <c r="B54" s="99" t="inlineStr">
        <is>
          <t>Diagnostic SOW template</t>
        </is>
      </c>
      <c r="C54" s="109" t="inlineStr">
        <is>
          <t>Adding Feature</t>
        </is>
      </c>
      <c r="D54" s="115" t="inlineStr">
        <is>
          <t>Very Important</t>
        </is>
      </c>
      <c r="E54" s="123" t="inlineStr">
        <is>
          <t>Documentation</t>
        </is>
      </c>
      <c r="F54" s="103" t="inlineStr">
        <is>
          <t>Sales</t>
        </is>
      </c>
      <c r="G54" s="104" t="inlineStr">
        <is>
          <t>Statement-of-Work template for the EUR 3,500-6,500 Data Diagnostic offering. Scope (one CSV + 1 analysis cycle + 7-dimension readiness PDF report + 60-min review call), deliverables, timeline (2 weeks), payment terms, data return policy at end.</t>
        </is>
      </c>
      <c r="H54" s="104" t="inlineStr">
        <is>
          <t>Template reviewed by founder. Sent to one trusted advisor for feedback. Ready to issue to first customer.</t>
        </is>
      </c>
      <c r="I54" s="105" t="n">
        <v>3</v>
      </c>
      <c r="J54" s="106" t="inlineStr">
        <is>
          <t>Not Started</t>
        </is>
      </c>
      <c r="K54" s="104" t="n"/>
      <c r="L54" s="104" t="n"/>
      <c r="M54" s="104" t="n"/>
    </row>
    <row r="55" ht="67.5" customHeight="1" s="85">
      <c r="A55" s="107" t="inlineStr">
        <is>
          <t>DOC-005</t>
        </is>
      </c>
      <c r="B55" s="108" t="inlineStr">
        <is>
          <t>Live-demo recovery lines rehearsal</t>
        </is>
      </c>
      <c r="C55" s="100" t="inlineStr">
        <is>
          <t>Hardening</t>
        </is>
      </c>
      <c r="D55" s="115" t="inlineStr">
        <is>
          <t>Very Important</t>
        </is>
      </c>
      <c r="E55" s="123" t="inlineStr">
        <is>
          <t>Documentation</t>
        </is>
      </c>
      <c r="F55" s="111" t="inlineStr">
        <is>
          <t>Demo</t>
        </is>
      </c>
      <c r="G55" s="112" t="inlineStr">
        <is>
          <t>From Demo Hardening Plan §7.1. Memorize the prepared sentences for each common failure mode: API toast error, empty widget, slow page, unresponsive button, error boundary triggered, modal stuck, network offline. Read aloud at least twice before any live demo.</t>
        </is>
      </c>
      <c r="H55" s="112" t="inlineStr">
        <is>
          <t>Founder can deliver each recovery line without hesitation. Co-pilot also has the list.</t>
        </is>
      </c>
      <c r="I55" s="113" t="n">
        <v>1</v>
      </c>
      <c r="J55" s="114" t="inlineStr">
        <is>
          <t>Not Started</t>
        </is>
      </c>
      <c r="K55" s="112" t="n"/>
      <c r="L55" s="112" t="n"/>
      <c r="M55" s="112" t="n"/>
    </row>
    <row r="56" ht="67.5" customHeight="1" s="85">
      <c r="A56" s="98" t="inlineStr">
        <is>
          <t>DOC-006</t>
        </is>
      </c>
      <c r="B56" s="99" t="inlineStr">
        <is>
          <t>Backup demo video recording</t>
        </is>
      </c>
      <c r="C56" s="109" t="inlineStr">
        <is>
          <t>Adding Feature</t>
        </is>
      </c>
      <c r="D56" s="115" t="inlineStr">
        <is>
          <t>Very Important</t>
        </is>
      </c>
      <c r="E56" s="123" t="inlineStr">
        <is>
          <t>Documentation</t>
        </is>
      </c>
      <c r="F56" s="103" t="inlineStr">
        <is>
          <t>Demo</t>
        </is>
      </c>
      <c r="G56" s="104" t="inlineStr">
        <is>
          <t>Record a perfect end-to-end run of the 7-step workflow (20 minutes). Store locally on the demo machine — not in cloud storage that requires network. If anything during the live session falls apart unrecoverable, pivot to the recording.</t>
        </is>
      </c>
      <c r="H56" s="104" t="inlineStr">
        <is>
          <t>MP4 file present on demo laptop, plays through cleanly, audio quality good, screen capture 1080p.</t>
        </is>
      </c>
      <c r="I56" s="105" t="n">
        <v>3</v>
      </c>
      <c r="J56" s="106" t="inlineStr">
        <is>
          <t>Not Started</t>
        </is>
      </c>
      <c r="K56" s="104" t="n"/>
      <c r="L56" s="104" t="n"/>
      <c r="M56" s="104" t="n"/>
    </row>
  </sheetData>
  <autoFilter ref="A1:M56"/>
  <conditionalFormatting sqref="J2:J56">
    <cfRule type="cellIs" rank="0" priority="2" equalAverage="0" operator="equal" aboveAverage="0" dxfId="24" text="" percent="0" bottom="0">
      <formula>"Done"</formula>
    </cfRule>
    <cfRule type="cellIs" rank="0" priority="3" equalAverage="0" operator="equal" aboveAverage="0" dxfId="25" text="" percent="0" bottom="0">
      <formula>"In Progress"</formula>
    </cfRule>
    <cfRule type="cellIs" rank="0" priority="4" equalAverage="0" operator="equal" aboveAverage="0" dxfId="26" text="" percent="0" bottom="0">
      <formula>"Blocked"</formula>
    </cfRule>
  </conditionalFormatting>
  <printOptions horizontalCentered="0" verticalCentered="0" headings="0" gridLines="0" gridLinesSet="1"/>
  <pageMargins left="0.4" right="0.4" top="0.5" bottom="0.5" header="0.3" footer="0.3"/>
  <pageSetup orientation="landscape" paperSize="9" scale="100" fitToHeight="0"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1"/>
  </sheetPr>
  <dimension ref="A1:G7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4" customWidth="1" style="84" min="1" max="1"/>
    <col width="50" customWidth="1" style="84" min="2" max="2"/>
    <col width="18" customWidth="1" style="84" min="3" max="4"/>
    <col width="22" customWidth="1" style="84" min="5" max="5"/>
    <col width="10" customWidth="1" style="84" min="6" max="6"/>
    <col width="14" customWidth="1" style="84" min="7" max="7"/>
  </cols>
  <sheetData>
    <row r="1" ht="22.05" customHeight="1" s="85">
      <c r="A1" s="124" t="inlineStr">
        <is>
          <t>Tasks Grouped By Priority</t>
        </is>
      </c>
    </row>
    <row r="2" ht="27.75" customHeight="1" s="85">
      <c r="A2" s="125" t="inlineStr">
        <is>
          <t>Critical tasks block the demo. Very Important tasks should be cleared before any prospect-facing live session. Important = next sprint. Normal/Optional = backlog.</t>
        </is>
      </c>
    </row>
    <row r="4" ht="25.5" customHeight="1" s="85">
      <c r="A4" s="126" t="inlineStr">
        <is>
          <t>Critical (6 tasks, 27.0h)</t>
        </is>
      </c>
      <c r="B4" s="127" t="n"/>
      <c r="C4" s="127" t="n"/>
      <c r="D4" s="127" t="n"/>
      <c r="E4" s="127" t="n"/>
      <c r="F4" s="127" t="n"/>
      <c r="G4" s="128" t="n"/>
    </row>
    <row r="5" ht="24" customHeight="1" s="85">
      <c r="A5" s="129" t="inlineStr">
        <is>
          <t>Task ID</t>
        </is>
      </c>
      <c r="B5" s="129" t="inlineStr">
        <is>
          <t>Task Name</t>
        </is>
      </c>
      <c r="C5" s="129" t="inlineStr">
        <is>
          <t>Category</t>
        </is>
      </c>
      <c r="D5" s="129" t="inlineStr">
        <is>
          <t>Module</t>
        </is>
      </c>
      <c r="E5" s="129" t="inlineStr">
        <is>
          <t>Submodule</t>
        </is>
      </c>
      <c r="F5" s="129" t="inlineStr">
        <is>
          <t>Effort</t>
        </is>
      </c>
      <c r="G5" s="129" t="inlineStr">
        <is>
          <t>Status</t>
        </is>
      </c>
    </row>
    <row r="6" ht="21.75" customHeight="1" s="85">
      <c r="A6" s="130" t="inlineStr">
        <is>
          <t>FE-HARD-001</t>
        </is>
      </c>
      <c r="B6" s="131" t="inlineStr">
        <is>
          <t>Global ErrorBoundary component</t>
        </is>
      </c>
      <c r="C6" s="132" t="inlineStr">
        <is>
          <t>Hardening</t>
        </is>
      </c>
      <c r="D6" s="133" t="inlineStr">
        <is>
          <t>Frontend</t>
        </is>
      </c>
      <c r="E6" s="111" t="inlineStr">
        <is>
          <t>Common</t>
        </is>
      </c>
      <c r="F6" s="134" t="n">
        <v>2</v>
      </c>
      <c r="G6" s="135" t="inlineStr">
        <is>
          <t>Not Started</t>
        </is>
      </c>
    </row>
    <row r="7" ht="21.75" customHeight="1" s="85">
      <c r="A7" s="130" t="inlineStr">
        <is>
          <t>BE-HARD-001</t>
        </is>
      </c>
      <c r="B7" s="131" t="inlineStr">
        <is>
          <t>Client error diagnostics endpoint</t>
        </is>
      </c>
      <c r="C7" s="136" t="inlineStr">
        <is>
          <t>Adding Feature</t>
        </is>
      </c>
      <c r="D7" s="137" t="inlineStr">
        <is>
          <t>Backend</t>
        </is>
      </c>
      <c r="E7" s="111" t="inlineStr">
        <is>
          <t>Api / Diagnostics</t>
        </is>
      </c>
      <c r="F7" s="134" t="n">
        <v>1.5</v>
      </c>
      <c r="G7" s="135" t="inlineStr">
        <is>
          <t>Not Started</t>
        </is>
      </c>
    </row>
    <row r="8" ht="21.75" customHeight="1" s="85">
      <c r="A8" s="130" t="inlineStr">
        <is>
          <t>FE-HARD-002</t>
        </is>
      </c>
      <c r="B8" s="131" t="inlineStr">
        <is>
          <t>Toast notification system (sonner)</t>
        </is>
      </c>
      <c r="C8" s="132" t="inlineStr">
        <is>
          <t>Hardening</t>
        </is>
      </c>
      <c r="D8" s="133" t="inlineStr">
        <is>
          <t>Frontend</t>
        </is>
      </c>
      <c r="E8" s="111" t="inlineStr">
        <is>
          <t>Common / ApiClient</t>
        </is>
      </c>
      <c r="F8" s="134" t="n">
        <v>3</v>
      </c>
      <c r="G8" s="135" t="inlineStr">
        <is>
          <t>Not Started</t>
        </is>
      </c>
    </row>
    <row r="9" ht="21.75" customHeight="1" s="85">
      <c r="A9" s="130" t="inlineStr">
        <is>
          <t>FE-HARD-003</t>
        </is>
      </c>
      <c r="B9" s="131" t="inlineStr">
        <is>
          <t>API timeout reduction + idempotent retry</t>
        </is>
      </c>
      <c r="C9" s="132" t="inlineStr">
        <is>
          <t>Hardening</t>
        </is>
      </c>
      <c r="D9" s="133" t="inlineStr">
        <is>
          <t>Frontend</t>
        </is>
      </c>
      <c r="E9" s="111" t="inlineStr">
        <is>
          <t>ApiClient</t>
        </is>
      </c>
      <c r="F9" s="134" t="n">
        <v>1.5</v>
      </c>
      <c r="G9" s="135" t="inlineStr">
        <is>
          <t>Not Started</t>
        </is>
      </c>
    </row>
    <row r="10" ht="21.75" customHeight="1" s="85">
      <c r="A10" s="130" t="inlineStr">
        <is>
          <t>BE-FIX-001</t>
        </is>
      </c>
      <c r="B10" s="131" t="inlineStr">
        <is>
          <t>Per-source scheduling fix (DeltaImportExecutionService)</t>
        </is>
      </c>
      <c r="C10" s="138" t="inlineStr">
        <is>
          <t>Fixing Feature</t>
        </is>
      </c>
      <c r="D10" s="137" t="inlineStr">
        <is>
          <t>Backend</t>
        </is>
      </c>
      <c r="E10" s="111" t="inlineStr">
        <is>
          <t>Workers / Integration</t>
        </is>
      </c>
      <c r="F10" s="134" t="n">
        <v>3</v>
      </c>
      <c r="G10" s="135" t="inlineStr">
        <is>
          <t>Not Started</t>
        </is>
      </c>
    </row>
    <row r="11" ht="21.75" customHeight="1" s="85">
      <c r="A11" s="130" t="inlineStr">
        <is>
          <t>QA-HARD-001</t>
        </is>
      </c>
      <c r="B11" s="131" t="inlineStr">
        <is>
          <t>Per-page QA matrix execution</t>
        </is>
      </c>
      <c r="C11" s="132" t="inlineStr">
        <is>
          <t>Hardening</t>
        </is>
      </c>
      <c r="D11" s="133" t="inlineStr">
        <is>
          <t>Frontend</t>
        </is>
      </c>
      <c r="E11" s="111" t="inlineStr">
        <is>
          <t>QA</t>
        </is>
      </c>
      <c r="F11" s="134" t="n">
        <v>16</v>
      </c>
      <c r="G11" s="135" t="inlineStr">
        <is>
          <t>Not Started</t>
        </is>
      </c>
    </row>
    <row r="13" ht="25.5" customHeight="1" s="85">
      <c r="A13" s="139" t="inlineStr">
        <is>
          <t>Very Important (27 tasks, 89.5h)</t>
        </is>
      </c>
      <c r="B13" s="127" t="n"/>
      <c r="C13" s="127" t="n"/>
      <c r="D13" s="127" t="n"/>
      <c r="E13" s="127" t="n"/>
      <c r="F13" s="127" t="n"/>
      <c r="G13" s="128" t="n"/>
    </row>
    <row r="14" ht="24" customHeight="1" s="85">
      <c r="A14" s="129" t="inlineStr">
        <is>
          <t>Task ID</t>
        </is>
      </c>
      <c r="B14" s="129" t="inlineStr">
        <is>
          <t>Task Name</t>
        </is>
      </c>
      <c r="C14" s="129" t="inlineStr">
        <is>
          <t>Category</t>
        </is>
      </c>
      <c r="D14" s="129" t="inlineStr">
        <is>
          <t>Module</t>
        </is>
      </c>
      <c r="E14" s="129" t="inlineStr">
        <is>
          <t>Submodule</t>
        </is>
      </c>
      <c r="F14" s="129" t="inlineStr">
        <is>
          <t>Effort</t>
        </is>
      </c>
      <c r="G14" s="129" t="inlineStr">
        <is>
          <t>Status</t>
        </is>
      </c>
    </row>
    <row r="15" ht="21.75" customHeight="1" s="85">
      <c r="A15" s="130" t="inlineStr">
        <is>
          <t>FE-HARD-004</t>
        </is>
      </c>
      <c r="B15" s="131" t="inlineStr">
        <is>
          <t>Loading skeleton components (replace LoadingPanel inside pages)</t>
        </is>
      </c>
      <c r="C15" s="132" t="inlineStr">
        <is>
          <t>Hardening</t>
        </is>
      </c>
      <c r="D15" s="133" t="inlineStr">
        <is>
          <t>Frontend</t>
        </is>
      </c>
      <c r="E15" s="111" t="inlineStr">
        <is>
          <t>Common</t>
        </is>
      </c>
      <c r="F15" s="134" t="n">
        <v>6</v>
      </c>
      <c r="G15" s="135" t="inlineStr">
        <is>
          <t>Not Started</t>
        </is>
      </c>
    </row>
    <row r="16" ht="21.75" customHeight="1" s="85">
      <c r="A16" s="130" t="inlineStr">
        <is>
          <t>FE-HARD-005</t>
        </is>
      </c>
      <c r="B16" s="131" t="inlineStr">
        <is>
          <t>Optimistic save UI on all admin and dashboard forms</t>
        </is>
      </c>
      <c r="C16" s="132" t="inlineStr">
        <is>
          <t>Hardening</t>
        </is>
      </c>
      <c r="D16" s="133" t="inlineStr">
        <is>
          <t>Frontend</t>
        </is>
      </c>
      <c r="E16" s="111" t="inlineStr">
        <is>
          <t>Admin / Dashboard</t>
        </is>
      </c>
      <c r="F16" s="134" t="n">
        <v>4</v>
      </c>
      <c r="G16" s="135" t="inlineStr">
        <is>
          <t>Not Started</t>
        </is>
      </c>
    </row>
    <row r="17" ht="21.75" customHeight="1" s="85">
      <c r="A17" s="130" t="inlineStr">
        <is>
          <t>BE-FIX-002</t>
        </is>
      </c>
      <c r="B17" s="131" t="inlineStr">
        <is>
          <t>SafeSqlValidator hardening (functions, joins, schemas, timeout)</t>
        </is>
      </c>
      <c r="C17" s="138" t="inlineStr">
        <is>
          <t>Fixing Feature</t>
        </is>
      </c>
      <c r="D17" s="137" t="inlineStr">
        <is>
          <t>Backend</t>
        </is>
      </c>
      <c r="E17" s="111" t="inlineStr">
        <is>
          <t>Api / Admin / Security</t>
        </is>
      </c>
      <c r="F17" s="134" t="n">
        <v>3</v>
      </c>
      <c r="G17" s="135" t="inlineStr">
        <is>
          <t>Not Started</t>
        </is>
      </c>
    </row>
    <row r="18" ht="21.75" customHeight="1" s="85">
      <c r="A18" s="130" t="inlineStr">
        <is>
          <t>BE-ADD-001</t>
        </is>
      </c>
      <c r="B18" s="131" t="inlineStr">
        <is>
          <t>AuditLogEntry — full implementation (Pilot Blocker 2)</t>
        </is>
      </c>
      <c r="C18" s="136" t="inlineStr">
        <is>
          <t>Adding Feature</t>
        </is>
      </c>
      <c r="D18" s="140" t="inlineStr">
        <is>
          <t>Fullstack</t>
        </is>
      </c>
      <c r="E18" s="111" t="inlineStr">
        <is>
          <t>Domain / Api / Database</t>
        </is>
      </c>
      <c r="F18" s="134" t="n">
        <v>6</v>
      </c>
      <c r="G18" s="135" t="inlineStr">
        <is>
          <t>Not Started</t>
        </is>
      </c>
    </row>
    <row r="19" ht="21.75" customHeight="1" s="85">
      <c r="A19" s="130" t="inlineStr">
        <is>
          <t>INF-FIX-001</t>
        </is>
      </c>
      <c r="B19" s="131" t="inlineStr">
        <is>
          <t>Production .env + Caddyfile (domain-based)</t>
        </is>
      </c>
      <c r="C19" s="138" t="inlineStr">
        <is>
          <t>Fixing Feature</t>
        </is>
      </c>
      <c r="D19" s="138" t="inlineStr">
        <is>
          <t>Infrastructure</t>
        </is>
      </c>
      <c r="E19" s="111" t="inlineStr">
        <is>
          <t>Deploy / Caddy</t>
        </is>
      </c>
      <c r="F19" s="134" t="n">
        <v>1.5</v>
      </c>
      <c r="G19" s="135" t="inlineStr">
        <is>
          <t>Not Started</t>
        </is>
      </c>
    </row>
    <row r="20" ht="21.75" customHeight="1" s="85">
      <c r="A20" s="130" t="inlineStr">
        <is>
          <t>INF-FIX-002</t>
        </is>
      </c>
      <c r="B20" s="131" t="inlineStr">
        <is>
          <t>CORS allowed origins for production</t>
        </is>
      </c>
      <c r="C20" s="138" t="inlineStr">
        <is>
          <t>Fixing Feature</t>
        </is>
      </c>
      <c r="D20" s="138" t="inlineStr">
        <is>
          <t>Infrastructure</t>
        </is>
      </c>
      <c r="E20" s="111" t="inlineStr">
        <is>
          <t>Deploy</t>
        </is>
      </c>
      <c r="F20" s="134" t="n">
        <v>0.5</v>
      </c>
      <c r="G20" s="135" t="inlineStr">
        <is>
          <t>Not Started</t>
        </is>
      </c>
    </row>
    <row r="21" ht="21.75" customHeight="1" s="85">
      <c r="A21" s="130" t="inlineStr">
        <is>
          <t>BE-HARD-002</t>
        </is>
      </c>
      <c r="B21" s="131" t="inlineStr">
        <is>
          <t>InvestigateMaterial pagination</t>
        </is>
      </c>
      <c r="C21" s="132" t="inlineStr">
        <is>
          <t>Hardening</t>
        </is>
      </c>
      <c r="D21" s="137" t="inlineStr">
        <is>
          <t>Backend</t>
        </is>
      </c>
      <c r="E21" s="111" t="inlineStr">
        <is>
          <t>Api / Workflow</t>
        </is>
      </c>
      <c r="F21" s="134" t="n">
        <v>1.5</v>
      </c>
      <c r="G21" s="135" t="inlineStr">
        <is>
          <t>Not Started</t>
        </is>
      </c>
    </row>
    <row r="22" ht="21.75" customHeight="1" s="85">
      <c r="A22" s="130" t="inlineStr">
        <is>
          <t>FE-HARD-006</t>
        </is>
      </c>
      <c r="B22" s="131" t="inlineStr">
        <is>
          <t>Dashboard widget memoization audit</t>
        </is>
      </c>
      <c r="C22" s="132" t="inlineStr">
        <is>
          <t>Hardening</t>
        </is>
      </c>
      <c r="D22" s="133" t="inlineStr">
        <is>
          <t>Frontend</t>
        </is>
      </c>
      <c r="E22" s="111" t="inlineStr">
        <is>
          <t>Dashboard</t>
        </is>
      </c>
      <c r="F22" s="134" t="n">
        <v>4</v>
      </c>
      <c r="G22" s="135" t="inlineStr">
        <is>
          <t>Not Started</t>
        </is>
      </c>
    </row>
    <row r="23" ht="21.75" customHeight="1" s="85">
      <c r="A23" s="130" t="inlineStr">
        <is>
          <t>FE-HARD-010</t>
        </is>
      </c>
      <c r="B23" s="131" t="inlineStr">
        <is>
          <t>Six failure modes — consistency audit</t>
        </is>
      </c>
      <c r="C23" s="132" t="inlineStr">
        <is>
          <t>Hardening</t>
        </is>
      </c>
      <c r="D23" s="133" t="inlineStr">
        <is>
          <t>Frontend</t>
        </is>
      </c>
      <c r="E23" s="111" t="inlineStr">
        <is>
          <t>Common</t>
        </is>
      </c>
      <c r="F23" s="134" t="n">
        <v>6</v>
      </c>
      <c r="G23" s="135" t="inlineStr">
        <is>
          <t>Not Started</t>
        </is>
      </c>
    </row>
    <row r="24" ht="21.75" customHeight="1" s="85">
      <c r="A24" s="130" t="inlineStr">
        <is>
          <t>FE-HARD-012</t>
        </is>
      </c>
      <c r="B24" s="131" t="inlineStr">
        <is>
          <t>Empty/Loading/Error state separation audit</t>
        </is>
      </c>
      <c r="C24" s="132" t="inlineStr">
        <is>
          <t>Hardening</t>
        </is>
      </c>
      <c r="D24" s="133" t="inlineStr">
        <is>
          <t>Frontend</t>
        </is>
      </c>
      <c r="E24" s="111" t="inlineStr">
        <is>
          <t>Common</t>
        </is>
      </c>
      <c r="F24" s="134" t="n">
        <v>4</v>
      </c>
      <c r="G24" s="135" t="inlineStr">
        <is>
          <t>Not Started</t>
        </is>
      </c>
    </row>
    <row r="25" ht="21.75" customHeight="1" s="85">
      <c r="A25" s="130" t="inlineStr">
        <is>
          <t>FE-HARD-015</t>
        </is>
      </c>
      <c r="B25" s="131" t="inlineStr">
        <is>
          <t>WidgetBuilderWizardContent — focused QA pass</t>
        </is>
      </c>
      <c r="C25" s="132" t="inlineStr">
        <is>
          <t>Hardening</t>
        </is>
      </c>
      <c r="D25" s="133" t="inlineStr">
        <is>
          <t>Frontend</t>
        </is>
      </c>
      <c r="E25" s="111" t="inlineStr">
        <is>
          <t>Widget</t>
        </is>
      </c>
      <c r="F25" s="134" t="n">
        <v>6</v>
      </c>
      <c r="G25" s="135" t="inlineStr">
        <is>
          <t>Not Started</t>
        </is>
      </c>
    </row>
    <row r="26" ht="21.75" customHeight="1" s="85">
      <c r="A26" s="130" t="inlineStr">
        <is>
          <t>FE-HARD-016</t>
        </is>
      </c>
      <c r="B26" s="131" t="inlineStr">
        <is>
          <t>AdminDbConfigurationTab — focused QA pass</t>
        </is>
      </c>
      <c r="C26" s="132" t="inlineStr">
        <is>
          <t>Hardening</t>
        </is>
      </c>
      <c r="D26" s="133" t="inlineStr">
        <is>
          <t>Frontend</t>
        </is>
      </c>
      <c r="E26" s="111" t="inlineStr">
        <is>
          <t>Admin</t>
        </is>
      </c>
      <c r="F26" s="134" t="n">
        <v>4</v>
      </c>
      <c r="G26" s="135" t="inlineStr">
        <is>
          <t>Not Started</t>
        </is>
      </c>
    </row>
    <row r="27" ht="21.75" customHeight="1" s="85">
      <c r="A27" s="130" t="inlineStr">
        <is>
          <t>FE-HARD-017</t>
        </is>
      </c>
      <c r="B27" s="131" t="inlineStr">
        <is>
          <t>AdminSchemaConfigurationTab — focused QA pass</t>
        </is>
      </c>
      <c r="C27" s="132" t="inlineStr">
        <is>
          <t>Hardening</t>
        </is>
      </c>
      <c r="D27" s="133" t="inlineStr">
        <is>
          <t>Frontend</t>
        </is>
      </c>
      <c r="E27" s="111" t="inlineStr">
        <is>
          <t>Admin</t>
        </is>
      </c>
      <c r="F27" s="134" t="n">
        <v>4</v>
      </c>
      <c r="G27" s="135" t="inlineStr">
        <is>
          <t>Not Started</t>
        </is>
      </c>
    </row>
    <row r="28" ht="21.75" customHeight="1" s="85">
      <c r="A28" s="130" t="inlineStr">
        <is>
          <t>INF-ADD-001</t>
        </is>
      </c>
      <c r="B28" s="131" t="inlineStr">
        <is>
          <t>Three simulation databases (HSM PostgreSQL, Inspection MySQL, QMS SQL Server)</t>
        </is>
      </c>
      <c r="C28" s="136" t="inlineStr">
        <is>
          <t>Adding Feature</t>
        </is>
      </c>
      <c r="D28" s="138" t="inlineStr">
        <is>
          <t>Infrastructure</t>
        </is>
      </c>
      <c r="E28" s="111" t="inlineStr">
        <is>
          <t>Demo Environment</t>
        </is>
      </c>
      <c r="F28" s="134" t="n">
        <v>6</v>
      </c>
      <c r="G28" s="135" t="inlineStr">
        <is>
          <t>Not Started</t>
        </is>
      </c>
    </row>
    <row r="29" ht="21.75" customHeight="1" s="85">
      <c r="A29" s="130" t="inlineStr">
        <is>
          <t>DB-ADD-001</t>
        </is>
      </c>
      <c r="B29" s="131" t="inlineStr">
        <is>
          <t>Simulation database schemas (HSM)</t>
        </is>
      </c>
      <c r="C29" s="136" t="inlineStr">
        <is>
          <t>Adding Feature</t>
        </is>
      </c>
      <c r="D29" s="141" t="inlineStr">
        <is>
          <t>Database</t>
        </is>
      </c>
      <c r="E29" s="111" t="inlineStr">
        <is>
          <t>Demo / HSM</t>
        </is>
      </c>
      <c r="F29" s="134" t="n">
        <v>1</v>
      </c>
      <c r="G29" s="135" t="inlineStr">
        <is>
          <t>Not Started</t>
        </is>
      </c>
    </row>
    <row r="30" ht="21.75" customHeight="1" s="85">
      <c r="A30" s="130" t="inlineStr">
        <is>
          <t>DB-ADD-002</t>
        </is>
      </c>
      <c r="B30" s="131" t="inlineStr">
        <is>
          <t>Simulation database schemas (Inspection)</t>
        </is>
      </c>
      <c r="C30" s="136" t="inlineStr">
        <is>
          <t>Adding Feature</t>
        </is>
      </c>
      <c r="D30" s="141" t="inlineStr">
        <is>
          <t>Database</t>
        </is>
      </c>
      <c r="E30" s="111" t="inlineStr">
        <is>
          <t>Demo / Inspection</t>
        </is>
      </c>
      <c r="F30" s="134" t="n">
        <v>1</v>
      </c>
      <c r="G30" s="135" t="inlineStr">
        <is>
          <t>Not Started</t>
        </is>
      </c>
    </row>
    <row r="31" ht="21.75" customHeight="1" s="85">
      <c r="A31" s="130" t="inlineStr">
        <is>
          <t>DB-ADD-003</t>
        </is>
      </c>
      <c r="B31" s="131" t="inlineStr">
        <is>
          <t>Simulation database schemas (QMS)</t>
        </is>
      </c>
      <c r="C31" s="136" t="inlineStr">
        <is>
          <t>Adding Feature</t>
        </is>
      </c>
      <c r="D31" s="141" t="inlineStr">
        <is>
          <t>Database</t>
        </is>
      </c>
      <c r="E31" s="111" t="inlineStr">
        <is>
          <t>Demo / QMS</t>
        </is>
      </c>
      <c r="F31" s="134" t="n">
        <v>1.5</v>
      </c>
      <c r="G31" s="135" t="inlineStr">
        <is>
          <t>Not Started</t>
        </is>
      </c>
    </row>
    <row r="32" ht="21.75" customHeight="1" s="85">
      <c r="A32" s="130" t="inlineStr">
        <is>
          <t>FE-ADD-001</t>
        </is>
      </c>
      <c r="B32" s="131" t="inlineStr">
        <is>
          <t>Demo environment banner — global activation</t>
        </is>
      </c>
      <c r="C32" s="136" t="inlineStr">
        <is>
          <t>Adding Feature</t>
        </is>
      </c>
      <c r="D32" s="133" t="inlineStr">
        <is>
          <t>Frontend</t>
        </is>
      </c>
      <c r="E32" s="111" t="inlineStr">
        <is>
          <t>Common</t>
        </is>
      </c>
      <c r="F32" s="134" t="n">
        <v>0.5</v>
      </c>
      <c r="G32" s="135" t="inlineStr">
        <is>
          <t>Not Started</t>
        </is>
      </c>
    </row>
    <row r="33" ht="21.75" customHeight="1" s="85">
      <c r="A33" s="130" t="inlineStr">
        <is>
          <t>BE-ADD-004</t>
        </is>
      </c>
      <c r="B33" s="131" t="inlineStr">
        <is>
          <t>Demo-lifecycle reset endpoint</t>
        </is>
      </c>
      <c r="C33" s="136" t="inlineStr">
        <is>
          <t>Adding Feature</t>
        </is>
      </c>
      <c r="D33" s="137" t="inlineStr">
        <is>
          <t>Backend</t>
        </is>
      </c>
      <c r="E33" s="111" t="inlineStr">
        <is>
          <t>Api / DemoLifecycle</t>
        </is>
      </c>
      <c r="F33" s="134" t="n">
        <v>3</v>
      </c>
      <c r="G33" s="135" t="inlineStr">
        <is>
          <t>Not Started</t>
        </is>
      </c>
    </row>
    <row r="34" ht="21.75" customHeight="1" s="85">
      <c r="A34" s="130" t="inlineStr">
        <is>
          <t>FS-ADD-001</t>
        </is>
      </c>
      <c r="B34" s="131" t="inlineStr">
        <is>
          <t>Save-as-Inspection-Job button on Correlation page</t>
        </is>
      </c>
      <c r="C34" s="136" t="inlineStr">
        <is>
          <t>Adding Feature</t>
        </is>
      </c>
      <c r="D34" s="140" t="inlineStr">
        <is>
          <t>Fullstack</t>
        </is>
      </c>
      <c r="E34" s="111" t="inlineStr">
        <is>
          <t>Correlation / Api</t>
        </is>
      </c>
      <c r="F34" s="134" t="n">
        <v>4</v>
      </c>
      <c r="G34" s="135" t="inlineStr">
        <is>
          <t>Not Started</t>
        </is>
      </c>
    </row>
    <row r="35" ht="21.75" customHeight="1" s="85">
      <c r="A35" s="130" t="inlineStr">
        <is>
          <t>QA-HARD-002</t>
        </is>
      </c>
      <c r="B35" s="131" t="inlineStr">
        <is>
          <t>12-scenario stress test with external tester</t>
        </is>
      </c>
      <c r="C35" s="132" t="inlineStr">
        <is>
          <t>Hardening</t>
        </is>
      </c>
      <c r="D35" s="133" t="inlineStr">
        <is>
          <t>Frontend</t>
        </is>
      </c>
      <c r="E35" s="111" t="inlineStr">
        <is>
          <t>QA</t>
        </is>
      </c>
      <c r="F35" s="134" t="n">
        <v>8</v>
      </c>
      <c r="G35" s="135" t="inlineStr">
        <is>
          <t>Not Started</t>
        </is>
      </c>
    </row>
    <row r="36" ht="21.75" customHeight="1" s="85">
      <c r="A36" s="130" t="inlineStr">
        <is>
          <t>DOC-001</t>
        </is>
      </c>
      <c r="B36" s="131" t="inlineStr">
        <is>
          <t>Rewrite Status Audit Report (retire outdated version)</t>
        </is>
      </c>
      <c r="C36" s="132" t="inlineStr">
        <is>
          <t>Hardening</t>
        </is>
      </c>
      <c r="D36" s="142" t="inlineStr">
        <is>
          <t>Documentation</t>
        </is>
      </c>
      <c r="E36" s="111" t="inlineStr">
        <is>
          <t>Brand / Sales</t>
        </is>
      </c>
      <c r="F36" s="134" t="n">
        <v>2</v>
      </c>
      <c r="G36" s="135" t="inlineStr">
        <is>
          <t>Not Started</t>
        </is>
      </c>
    </row>
    <row r="37" ht="21.75" customHeight="1" s="85">
      <c r="A37" s="130" t="inlineStr">
        <is>
          <t>DOC-002</t>
        </is>
      </c>
      <c r="B37" s="131" t="inlineStr">
        <is>
          <t>15-step demo script with narration</t>
        </is>
      </c>
      <c r="C37" s="136" t="inlineStr">
        <is>
          <t>Adding Feature</t>
        </is>
      </c>
      <c r="D37" s="142" t="inlineStr">
        <is>
          <t>Documentation</t>
        </is>
      </c>
      <c r="E37" s="111" t="inlineStr">
        <is>
          <t>Sales / Demo</t>
        </is>
      </c>
      <c r="F37" s="134" t="n">
        <v>2</v>
      </c>
      <c r="G37" s="135" t="inlineStr">
        <is>
          <t>Not Started</t>
        </is>
      </c>
    </row>
    <row r="38" ht="21.75" customHeight="1" s="85">
      <c r="A38" s="130" t="inlineStr">
        <is>
          <t>DOC-003</t>
        </is>
      </c>
      <c r="B38" s="131" t="inlineStr">
        <is>
          <t>NDA + Data Processing Statement template</t>
        </is>
      </c>
      <c r="C38" s="136" t="inlineStr">
        <is>
          <t>Adding Feature</t>
        </is>
      </c>
      <c r="D38" s="142" t="inlineStr">
        <is>
          <t>Documentation</t>
        </is>
      </c>
      <c r="E38" s="111" t="inlineStr">
        <is>
          <t>Legal</t>
        </is>
      </c>
      <c r="F38" s="134" t="n">
        <v>3</v>
      </c>
      <c r="G38" s="135" t="inlineStr">
        <is>
          <t>Not Started</t>
        </is>
      </c>
    </row>
    <row r="39" ht="21.75" customHeight="1" s="85">
      <c r="A39" s="130" t="inlineStr">
        <is>
          <t>DOC-004</t>
        </is>
      </c>
      <c r="B39" s="131" t="inlineStr">
        <is>
          <t>Diagnostic SOW template</t>
        </is>
      </c>
      <c r="C39" s="136" t="inlineStr">
        <is>
          <t>Adding Feature</t>
        </is>
      </c>
      <c r="D39" s="142" t="inlineStr">
        <is>
          <t>Documentation</t>
        </is>
      </c>
      <c r="E39" s="111" t="inlineStr">
        <is>
          <t>Sales</t>
        </is>
      </c>
      <c r="F39" s="134" t="n">
        <v>3</v>
      </c>
      <c r="G39" s="135" t="inlineStr">
        <is>
          <t>Not Started</t>
        </is>
      </c>
    </row>
    <row r="40" ht="21.75" customHeight="1" s="85">
      <c r="A40" s="130" t="inlineStr">
        <is>
          <t>DOC-005</t>
        </is>
      </c>
      <c r="B40" s="131" t="inlineStr">
        <is>
          <t>Live-demo recovery lines rehearsal</t>
        </is>
      </c>
      <c r="C40" s="132" t="inlineStr">
        <is>
          <t>Hardening</t>
        </is>
      </c>
      <c r="D40" s="142" t="inlineStr">
        <is>
          <t>Documentation</t>
        </is>
      </c>
      <c r="E40" s="111" t="inlineStr">
        <is>
          <t>Demo</t>
        </is>
      </c>
      <c r="F40" s="134" t="n">
        <v>1</v>
      </c>
      <c r="G40" s="135" t="inlineStr">
        <is>
          <t>Not Started</t>
        </is>
      </c>
    </row>
    <row r="41" ht="21.75" customHeight="1" s="85">
      <c r="A41" s="130" t="inlineStr">
        <is>
          <t>DOC-006</t>
        </is>
      </c>
      <c r="B41" s="131" t="inlineStr">
        <is>
          <t>Backup demo video recording</t>
        </is>
      </c>
      <c r="C41" s="136" t="inlineStr">
        <is>
          <t>Adding Feature</t>
        </is>
      </c>
      <c r="D41" s="142" t="inlineStr">
        <is>
          <t>Documentation</t>
        </is>
      </c>
      <c r="E41" s="111" t="inlineStr">
        <is>
          <t>Demo</t>
        </is>
      </c>
      <c r="F41" s="134" t="n">
        <v>3</v>
      </c>
      <c r="G41" s="135" t="inlineStr">
        <is>
          <t>Not Started</t>
        </is>
      </c>
    </row>
    <row r="43" ht="25.5" customHeight="1" s="85">
      <c r="A43" s="143" t="inlineStr">
        <is>
          <t>Important (15 tasks, 52.5h)</t>
        </is>
      </c>
      <c r="B43" s="127" t="n"/>
      <c r="C43" s="127" t="n"/>
      <c r="D43" s="127" t="n"/>
      <c r="E43" s="127" t="n"/>
      <c r="F43" s="127" t="n"/>
      <c r="G43" s="128" t="n"/>
    </row>
    <row r="44" ht="24" customHeight="1" s="85">
      <c r="A44" s="129" t="inlineStr">
        <is>
          <t>Task ID</t>
        </is>
      </c>
      <c r="B44" s="129" t="inlineStr">
        <is>
          <t>Task Name</t>
        </is>
      </c>
      <c r="C44" s="129" t="inlineStr">
        <is>
          <t>Category</t>
        </is>
      </c>
      <c r="D44" s="129" t="inlineStr">
        <is>
          <t>Module</t>
        </is>
      </c>
      <c r="E44" s="129" t="inlineStr">
        <is>
          <t>Submodule</t>
        </is>
      </c>
      <c r="F44" s="129" t="inlineStr">
        <is>
          <t>Effort</t>
        </is>
      </c>
      <c r="G44" s="129" t="inlineStr">
        <is>
          <t>Status</t>
        </is>
      </c>
    </row>
    <row r="45" ht="21.75" customHeight="1" s="85">
      <c r="A45" s="130" t="inlineStr">
        <is>
          <t>BE-FIX-003</t>
        </is>
      </c>
      <c r="B45" s="131" t="inlineStr">
        <is>
          <t>Stale PlannedProviderDto array fix</t>
        </is>
      </c>
      <c r="C45" s="138" t="inlineStr">
        <is>
          <t>Fixing Feature</t>
        </is>
      </c>
      <c r="D45" s="137" t="inlineStr">
        <is>
          <t>Backend</t>
        </is>
      </c>
      <c r="E45" s="111" t="inlineStr">
        <is>
          <t>Api / Admin</t>
        </is>
      </c>
      <c r="F45" s="134" t="n">
        <v>0.5</v>
      </c>
      <c r="G45" s="135" t="inlineStr">
        <is>
          <t>Not Started</t>
        </is>
      </c>
    </row>
    <row r="46" ht="21.75" customHeight="1" s="85">
      <c r="A46" s="130" t="inlineStr">
        <is>
          <t>BE-ADD-002</t>
        </is>
      </c>
      <c r="B46" s="131" t="inlineStr">
        <is>
          <t>Bootstrap admin lock-after-first-real-admin</t>
        </is>
      </c>
      <c r="C46" s="136" t="inlineStr">
        <is>
          <t>Adding Feature</t>
        </is>
      </c>
      <c r="D46" s="137" t="inlineStr">
        <is>
          <t>Backend</t>
        </is>
      </c>
      <c r="E46" s="111" t="inlineStr">
        <is>
          <t>Auth</t>
        </is>
      </c>
      <c r="F46" s="134" t="n">
        <v>0.5</v>
      </c>
      <c r="G46" s="135" t="inlineStr">
        <is>
          <t>Not Started</t>
        </is>
      </c>
    </row>
    <row r="47" ht="21.75" customHeight="1" s="85">
      <c r="A47" s="130" t="inlineStr">
        <is>
          <t>FE-HARD-007</t>
        </is>
      </c>
      <c r="B47" s="131" t="inlineStr">
        <is>
          <t>SortableDataTable virtualization for &gt;200 rows</t>
        </is>
      </c>
      <c r="C47" s="132" t="inlineStr">
        <is>
          <t>Hardening</t>
        </is>
      </c>
      <c r="D47" s="133" t="inlineStr">
        <is>
          <t>Frontend</t>
        </is>
      </c>
      <c r="E47" s="111" t="inlineStr">
        <is>
          <t>Common</t>
        </is>
      </c>
      <c r="F47" s="134" t="n">
        <v>3</v>
      </c>
      <c r="G47" s="135" t="inlineStr">
        <is>
          <t>Not Started</t>
        </is>
      </c>
    </row>
    <row r="48" ht="21.75" customHeight="1" s="85">
      <c r="A48" s="130" t="inlineStr">
        <is>
          <t>FE-HARD-008</t>
        </is>
      </c>
      <c r="B48" s="131" t="inlineStr">
        <is>
          <t>Bundle size CI check</t>
        </is>
      </c>
      <c r="C48" s="132" t="inlineStr">
        <is>
          <t>Hardening</t>
        </is>
      </c>
      <c r="D48" s="140" t="inlineStr">
        <is>
          <t>Fullstack</t>
        </is>
      </c>
      <c r="E48" s="111" t="inlineStr">
        <is>
          <t>Frontend / CICD</t>
        </is>
      </c>
      <c r="F48" s="134" t="n">
        <v>3</v>
      </c>
      <c r="G48" s="135" t="inlineStr">
        <is>
          <t>Not Started</t>
        </is>
      </c>
    </row>
    <row r="49" ht="21.75" customHeight="1" s="85">
      <c r="A49" s="130" t="inlineStr">
        <is>
          <t>FE-HARD-009</t>
        </is>
      </c>
      <c r="B49" s="131" t="inlineStr">
        <is>
          <t>Drag-drop smoothness profiling and optimization</t>
        </is>
      </c>
      <c r="C49" s="132" t="inlineStr">
        <is>
          <t>Hardening</t>
        </is>
      </c>
      <c r="D49" s="133" t="inlineStr">
        <is>
          <t>Frontend</t>
        </is>
      </c>
      <c r="E49" s="111" t="inlineStr">
        <is>
          <t>Dashboard / WidgetBuilder</t>
        </is>
      </c>
      <c r="F49" s="134" t="n">
        <v>4</v>
      </c>
      <c r="G49" s="135" t="inlineStr">
        <is>
          <t>Not Started</t>
        </is>
      </c>
    </row>
    <row r="50" ht="21.75" customHeight="1" s="85">
      <c r="A50" s="130" t="inlineStr">
        <is>
          <t>FE-HARD-011</t>
        </is>
      </c>
      <c r="B50" s="131" t="inlineStr">
        <is>
          <t>License gate UX verification (LockedFeatureOverlay)</t>
        </is>
      </c>
      <c r="C50" s="132" t="inlineStr">
        <is>
          <t>Hardening</t>
        </is>
      </c>
      <c r="D50" s="133" t="inlineStr">
        <is>
          <t>Frontend</t>
        </is>
      </c>
      <c r="E50" s="111" t="inlineStr">
        <is>
          <t>License</t>
        </is>
      </c>
      <c r="F50" s="134" t="n">
        <v>1</v>
      </c>
      <c r="G50" s="135" t="inlineStr">
        <is>
          <t>Not Started</t>
        </is>
      </c>
    </row>
    <row r="51" ht="21.75" customHeight="1" s="85">
      <c r="A51" s="130" t="inlineStr">
        <is>
          <t>FE-HARD-013</t>
        </is>
      </c>
      <c r="B51" s="131" t="inlineStr">
        <is>
          <t>Inline form validation on all admin forms</t>
        </is>
      </c>
      <c r="C51" s="132" t="inlineStr">
        <is>
          <t>Hardening</t>
        </is>
      </c>
      <c r="D51" s="133" t="inlineStr">
        <is>
          <t>Frontend</t>
        </is>
      </c>
      <c r="E51" s="111" t="inlineStr">
        <is>
          <t>Admin</t>
        </is>
      </c>
      <c r="F51" s="134" t="n">
        <v>4</v>
      </c>
      <c r="G51" s="135" t="inlineStr">
        <is>
          <t>Not Started</t>
        </is>
      </c>
    </row>
    <row r="52" ht="21.75" customHeight="1" s="85">
      <c r="A52" s="130" t="inlineStr">
        <is>
          <t>FE-HARD-014</t>
        </is>
      </c>
      <c r="B52" s="131" t="inlineStr">
        <is>
          <t>Stale-state protection on Jobs Monitor polling</t>
        </is>
      </c>
      <c r="C52" s="132" t="inlineStr">
        <is>
          <t>Hardening</t>
        </is>
      </c>
      <c r="D52" s="133" t="inlineStr">
        <is>
          <t>Frontend</t>
        </is>
      </c>
      <c r="E52" s="111" t="inlineStr">
        <is>
          <t>Admin / JobsMonitor</t>
        </is>
      </c>
      <c r="F52" s="134" t="n">
        <v>2</v>
      </c>
      <c r="G52" s="135" t="inlineStr">
        <is>
          <t>Not Started</t>
        </is>
      </c>
    </row>
    <row r="53" ht="21.75" customHeight="1" s="85">
      <c r="A53" s="130" t="inlineStr">
        <is>
          <t>FE-HARD-018</t>
        </is>
      </c>
      <c r="B53" s="131" t="inlineStr">
        <is>
          <t>DashboardPageContent — refresh and filter scenarios</t>
        </is>
      </c>
      <c r="C53" s="132" t="inlineStr">
        <is>
          <t>Hardening</t>
        </is>
      </c>
      <c r="D53" s="133" t="inlineStr">
        <is>
          <t>Frontend</t>
        </is>
      </c>
      <c r="E53" s="111" t="inlineStr">
        <is>
          <t>Dashboard</t>
        </is>
      </c>
      <c r="F53" s="134" t="n">
        <v>3</v>
      </c>
      <c r="G53" s="135" t="inlineStr">
        <is>
          <t>Not Started</t>
        </is>
      </c>
    </row>
    <row r="54" ht="21.75" customHeight="1" s="85">
      <c r="A54" s="130" t="inlineStr">
        <is>
          <t>FE-HARD-019</t>
        </is>
      </c>
      <c r="B54" s="131" t="inlineStr">
        <is>
          <t>Legacy plantProcessApi.ts contract probe</t>
        </is>
      </c>
      <c r="C54" s="132" t="inlineStr">
        <is>
          <t>Hardening</t>
        </is>
      </c>
      <c r="D54" s="140" t="inlineStr">
        <is>
          <t>Fullstack</t>
        </is>
      </c>
      <c r="E54" s="111" t="inlineStr">
        <is>
          <t>ApiClient</t>
        </is>
      </c>
      <c r="F54" s="134" t="n">
        <v>4</v>
      </c>
      <c r="G54" s="135" t="inlineStr">
        <is>
          <t>Not Started</t>
        </is>
      </c>
    </row>
    <row r="55" ht="21.75" customHeight="1" s="85">
      <c r="A55" s="130" t="inlineStr">
        <is>
          <t>BE-ADD-003</t>
        </is>
      </c>
      <c r="B55" s="131" t="inlineStr">
        <is>
          <t>Synthetic data generator extension (3 DB INSERT writers)</t>
        </is>
      </c>
      <c r="C55" s="136" t="inlineStr">
        <is>
          <t>Adding Feature</t>
        </is>
      </c>
      <c r="D55" s="137" t="inlineStr">
        <is>
          <t>Backend</t>
        </is>
      </c>
      <c r="E55" s="111" t="inlineStr">
        <is>
          <t>Tools</t>
        </is>
      </c>
      <c r="F55" s="134" t="n">
        <v>4</v>
      </c>
      <c r="G55" s="135" t="inlineStr">
        <is>
          <t>Not Started</t>
        </is>
      </c>
    </row>
    <row r="56" ht="21.75" customHeight="1" s="85">
      <c r="A56" s="130" t="inlineStr">
        <is>
          <t>BE-HARD-003</t>
        </is>
      </c>
      <c r="B56" s="131" t="inlineStr">
        <is>
          <t>Excel connector smoke test → IsAvailableNow flag verification</t>
        </is>
      </c>
      <c r="C56" s="132" t="inlineStr">
        <is>
          <t>Hardening</t>
        </is>
      </c>
      <c r="D56" s="137" t="inlineStr">
        <is>
          <t>Backend</t>
        </is>
      </c>
      <c r="E56" s="111" t="inlineStr">
        <is>
          <t>Connectors / Excel</t>
        </is>
      </c>
      <c r="F56" s="134" t="n">
        <v>1.5</v>
      </c>
      <c r="G56" s="135" t="inlineStr">
        <is>
          <t>Not Started</t>
        </is>
      </c>
    </row>
    <row r="57" ht="21.75" customHeight="1" s="85">
      <c r="A57" s="130" t="inlineStr">
        <is>
          <t>FS-ADD-002</t>
        </is>
      </c>
      <c r="B57" s="131" t="inlineStr">
        <is>
          <t>WidgetQueryExpression DSL + /widgets/execute endpoint (Vision §2.2.2)</t>
        </is>
      </c>
      <c r="C57" s="136" t="inlineStr">
        <is>
          <t>Adding Feature</t>
        </is>
      </c>
      <c r="D57" s="140" t="inlineStr">
        <is>
          <t>Fullstack</t>
        </is>
      </c>
      <c r="E57" s="111" t="inlineStr">
        <is>
          <t>Widget / Api</t>
        </is>
      </c>
      <c r="F57" s="134" t="n">
        <v>12</v>
      </c>
      <c r="G57" s="135" t="inlineStr">
        <is>
          <t>Not Started</t>
        </is>
      </c>
    </row>
    <row r="58" ht="21.75" customHeight="1" s="85">
      <c r="A58" s="130" t="inlineStr">
        <is>
          <t>FE-HARD-020</t>
        </is>
      </c>
      <c r="B58" s="131" t="inlineStr">
        <is>
          <t>Playwright nav-graph + refresh-survival E2E spec</t>
        </is>
      </c>
      <c r="C58" s="132" t="inlineStr">
        <is>
          <t>Hardening</t>
        </is>
      </c>
      <c r="D58" s="133" t="inlineStr">
        <is>
          <t>Frontend</t>
        </is>
      </c>
      <c r="E58" s="111" t="inlineStr">
        <is>
          <t>E2E Tests</t>
        </is>
      </c>
      <c r="F58" s="134" t="n">
        <v>4</v>
      </c>
      <c r="G58" s="135" t="inlineStr">
        <is>
          <t>Not Started</t>
        </is>
      </c>
    </row>
    <row r="59" ht="21.75" customHeight="1" s="85">
      <c r="A59" s="130" t="inlineStr">
        <is>
          <t>FE-HARD-021</t>
        </is>
      </c>
      <c r="B59" s="131" t="inlineStr">
        <is>
          <t>Component-level smoke tests for high-risk files</t>
        </is>
      </c>
      <c r="C59" s="132" t="inlineStr">
        <is>
          <t>Hardening</t>
        </is>
      </c>
      <c r="D59" s="133" t="inlineStr">
        <is>
          <t>Frontend</t>
        </is>
      </c>
      <c r="E59" s="111" t="inlineStr">
        <is>
          <t>Component Tests</t>
        </is>
      </c>
      <c r="F59" s="134" t="n">
        <v>6</v>
      </c>
      <c r="G59" s="135" t="inlineStr">
        <is>
          <t>Not Started</t>
        </is>
      </c>
    </row>
    <row r="61" ht="25.5" customHeight="1" s="85">
      <c r="A61" s="144" t="inlineStr">
        <is>
          <t>Normal (6 tasks, 25.7h)</t>
        </is>
      </c>
      <c r="B61" s="127" t="n"/>
      <c r="C61" s="127" t="n"/>
      <c r="D61" s="127" t="n"/>
      <c r="E61" s="127" t="n"/>
      <c r="F61" s="127" t="n"/>
      <c r="G61" s="128" t="n"/>
    </row>
    <row r="62" ht="24" customHeight="1" s="85">
      <c r="A62" s="129" t="inlineStr">
        <is>
          <t>Task ID</t>
        </is>
      </c>
      <c r="B62" s="129" t="inlineStr">
        <is>
          <t>Task Name</t>
        </is>
      </c>
      <c r="C62" s="129" t="inlineStr">
        <is>
          <t>Category</t>
        </is>
      </c>
      <c r="D62" s="129" t="inlineStr">
        <is>
          <t>Module</t>
        </is>
      </c>
      <c r="E62" s="129" t="inlineStr">
        <is>
          <t>Submodule</t>
        </is>
      </c>
      <c r="F62" s="129" t="inlineStr">
        <is>
          <t>Effort</t>
        </is>
      </c>
      <c r="G62" s="129" t="inlineStr">
        <is>
          <t>Status</t>
        </is>
      </c>
    </row>
    <row r="63" ht="21.75" customHeight="1" s="85">
      <c r="A63" s="130" t="inlineStr">
        <is>
          <t>DB-FIX-001</t>
        </is>
      </c>
      <c r="B63" s="131" t="inlineStr">
        <is>
          <t>Empty 080 SQL migration file cleanup</t>
        </is>
      </c>
      <c r="C63" s="138" t="inlineStr">
        <is>
          <t>Fixing Feature</t>
        </is>
      </c>
      <c r="D63" s="141" t="inlineStr">
        <is>
          <t>Database</t>
        </is>
      </c>
      <c r="E63" s="111" t="inlineStr">
        <is>
          <t>Scripts</t>
        </is>
      </c>
      <c r="F63" s="134" t="n">
        <v>0.1</v>
      </c>
      <c r="G63" s="135" t="inlineStr">
        <is>
          <t>Not Started</t>
        </is>
      </c>
    </row>
    <row r="64" ht="21.75" customHeight="1" s="85">
      <c r="A64" s="130" t="inlineStr">
        <is>
          <t>FS-ADD-003</t>
        </is>
      </c>
      <c r="B64" s="131" t="inlineStr">
        <is>
          <t>PageDefinition distinct from DashboardDefinition (Vision §2.1)</t>
        </is>
      </c>
      <c r="C64" s="136" t="inlineStr">
        <is>
          <t>Adding Feature</t>
        </is>
      </c>
      <c r="D64" s="140" t="inlineStr">
        <is>
          <t>Fullstack</t>
        </is>
      </c>
      <c r="E64" s="111" t="inlineStr">
        <is>
          <t>Domain / Dashboard</t>
        </is>
      </c>
      <c r="F64" s="134" t="n">
        <v>16</v>
      </c>
      <c r="G64" s="135" t="inlineStr">
        <is>
          <t>Not Started</t>
        </is>
      </c>
    </row>
    <row r="65" ht="21.75" customHeight="1" s="85">
      <c r="A65" s="130" t="inlineStr">
        <is>
          <t>BE-ADD-005</t>
        </is>
      </c>
      <c r="B65" s="131" t="inlineStr">
        <is>
          <t>Oracle connector</t>
        </is>
      </c>
      <c r="C65" s="136" t="inlineStr">
        <is>
          <t>Adding Feature</t>
        </is>
      </c>
      <c r="D65" s="137" t="inlineStr">
        <is>
          <t>Backend</t>
        </is>
      </c>
      <c r="E65" s="111" t="inlineStr">
        <is>
          <t>Connectors / Oracle</t>
        </is>
      </c>
      <c r="F65" s="134" t="n">
        <v>8</v>
      </c>
      <c r="G65" s="135" t="inlineStr">
        <is>
          <t>Not Started</t>
        </is>
      </c>
    </row>
    <row r="66" ht="21.75" customHeight="1" s="85">
      <c r="A66" s="130" t="inlineStr">
        <is>
          <t>INF-FIX-003</t>
        </is>
      </c>
      <c r="B66" s="131" t="inlineStr">
        <is>
          <t>Jenkinsfile email placeholder</t>
        </is>
      </c>
      <c r="C66" s="138" t="inlineStr">
        <is>
          <t>Fixing Feature</t>
        </is>
      </c>
      <c r="D66" s="138" t="inlineStr">
        <is>
          <t>Infrastructure</t>
        </is>
      </c>
      <c r="E66" s="111" t="inlineStr">
        <is>
          <t>CICD</t>
        </is>
      </c>
      <c r="F66" s="134" t="n">
        <v>0.1</v>
      </c>
      <c r="G66" s="135" t="inlineStr">
        <is>
          <t>Not Started</t>
        </is>
      </c>
    </row>
    <row r="67" ht="21.75" customHeight="1" s="85">
      <c r="A67" s="130" t="inlineStr">
        <is>
          <t>WEB-ADD-001</t>
        </is>
      </c>
      <c r="B67" s="131" t="inlineStr">
        <is>
          <t>Hero homepage screenshot replacement</t>
        </is>
      </c>
      <c r="C67" s="136" t="inlineStr">
        <is>
          <t>Adding Feature</t>
        </is>
      </c>
      <c r="D67" s="145" t="inlineStr">
        <is>
          <t>Website</t>
        </is>
      </c>
      <c r="E67" s="111" t="inlineStr">
        <is>
          <t>Homepage</t>
        </is>
      </c>
      <c r="F67" s="134" t="n">
        <v>1</v>
      </c>
      <c r="G67" s="135" t="inlineStr">
        <is>
          <t>Not Started</t>
        </is>
      </c>
    </row>
    <row r="68" ht="21.75" customHeight="1" s="85">
      <c r="A68" s="130" t="inlineStr">
        <is>
          <t>WEB-ADD-002</t>
        </is>
      </c>
      <c r="B68" s="131" t="inlineStr">
        <is>
          <t>Demo-request mailto/calendar CTA</t>
        </is>
      </c>
      <c r="C68" s="136" t="inlineStr">
        <is>
          <t>Adding Feature</t>
        </is>
      </c>
      <c r="D68" s="145" t="inlineStr">
        <is>
          <t>Website</t>
        </is>
      </c>
      <c r="E68" s="111" t="inlineStr">
        <is>
          <t>Contact</t>
        </is>
      </c>
      <c r="F68" s="134" t="n">
        <v>0.5</v>
      </c>
      <c r="G68" s="135" t="inlineStr">
        <is>
          <t>Not Started</t>
        </is>
      </c>
    </row>
    <row r="70" ht="25.5" customHeight="1" s="85">
      <c r="A70" s="146" t="inlineStr">
        <is>
          <t>Optional (1 tasks, 4.0h)</t>
        </is>
      </c>
      <c r="B70" s="127" t="n"/>
      <c r="C70" s="127" t="n"/>
      <c r="D70" s="127" t="n"/>
      <c r="E70" s="127" t="n"/>
      <c r="F70" s="127" t="n"/>
      <c r="G70" s="128" t="n"/>
    </row>
    <row r="71" ht="24" customHeight="1" s="85">
      <c r="A71" s="129" t="inlineStr">
        <is>
          <t>Task ID</t>
        </is>
      </c>
      <c r="B71" s="129" t="inlineStr">
        <is>
          <t>Task Name</t>
        </is>
      </c>
      <c r="C71" s="129" t="inlineStr">
        <is>
          <t>Category</t>
        </is>
      </c>
      <c r="D71" s="129" t="inlineStr">
        <is>
          <t>Module</t>
        </is>
      </c>
      <c r="E71" s="129" t="inlineStr">
        <is>
          <t>Submodule</t>
        </is>
      </c>
      <c r="F71" s="129" t="inlineStr">
        <is>
          <t>Effort</t>
        </is>
      </c>
      <c r="G71" s="129" t="inlineStr">
        <is>
          <t>Status</t>
        </is>
      </c>
    </row>
    <row r="72" ht="21.75" customHeight="1" s="85">
      <c r="A72" s="130" t="inlineStr">
        <is>
          <t>FE-HARD-022</t>
        </is>
      </c>
      <c r="B72" s="131" t="inlineStr">
        <is>
          <t>Visual regression baseline (optional but high-leverage)</t>
        </is>
      </c>
      <c r="C72" s="132" t="inlineStr">
        <is>
          <t>Hardening</t>
        </is>
      </c>
      <c r="D72" s="133" t="inlineStr">
        <is>
          <t>Frontend</t>
        </is>
      </c>
      <c r="E72" s="111" t="inlineStr">
        <is>
          <t>CI</t>
        </is>
      </c>
      <c r="F72" s="134" t="n">
        <v>4</v>
      </c>
      <c r="G72" s="135" t="inlineStr">
        <is>
          <t>Not Started</t>
        </is>
      </c>
    </row>
  </sheetData>
  <mergeCells count="7">
    <mergeCell ref="A13:G13"/>
    <mergeCell ref="A61:G61"/>
    <mergeCell ref="A1:G1"/>
    <mergeCell ref="A70:G70"/>
    <mergeCell ref="A4:G4"/>
    <mergeCell ref="A2:G2"/>
    <mergeCell ref="A43:G43"/>
  </mergeCells>
  <printOptions horizontalCentered="0" verticalCentered="0" headings="0" gridLines="0" gridLinesSet="1"/>
  <pageMargins left="0.4" right="0.4" top="0.5" bottom="0.5" header="0.3" footer="0.3"/>
  <pageSetup orientation="landscape" paperSize="9" scale="100" fitToHeight="0"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1"/>
  </sheetPr>
  <dimension ref="A1:G78"/>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4" customWidth="1" style="84" min="1" max="1"/>
    <col width="50" customWidth="1" style="84" min="2" max="2"/>
    <col width="18" customWidth="1" style="84" min="3" max="4"/>
    <col width="22" customWidth="1" style="84" min="5" max="5"/>
    <col width="10" customWidth="1" style="84" min="6" max="6"/>
    <col width="14" customWidth="1" style="84" min="7" max="7"/>
  </cols>
  <sheetData>
    <row r="1" ht="22.05" customHeight="1" s="85">
      <c r="A1" s="124" t="inlineStr">
        <is>
          <t>Tasks Grouped By Module</t>
        </is>
      </c>
    </row>
    <row r="2" ht="24" customHeight="1" s="85">
      <c r="A2" s="125" t="inlineStr">
        <is>
          <t>Useful for team assignment: each module group can be owned by a different developer.</t>
        </is>
      </c>
    </row>
    <row r="4" ht="25.5" customHeight="1" s="85">
      <c r="A4" s="147" t="inlineStr">
        <is>
          <t>Backend (10 tasks, 26.5h)</t>
        </is>
      </c>
      <c r="B4" s="127" t="n"/>
      <c r="C4" s="127" t="n"/>
      <c r="D4" s="127" t="n"/>
      <c r="E4" s="127" t="n"/>
      <c r="F4" s="127" t="n"/>
      <c r="G4" s="128" t="n"/>
    </row>
    <row r="5" ht="24" customHeight="1" s="85">
      <c r="A5" s="129" t="inlineStr">
        <is>
          <t>Task ID</t>
        </is>
      </c>
      <c r="B5" s="129" t="inlineStr">
        <is>
          <t>Task Name</t>
        </is>
      </c>
      <c r="C5" s="129" t="inlineStr">
        <is>
          <t>Category</t>
        </is>
      </c>
      <c r="D5" s="129" t="inlineStr">
        <is>
          <t>Priority</t>
        </is>
      </c>
      <c r="E5" s="129" t="inlineStr">
        <is>
          <t>Submodule</t>
        </is>
      </c>
      <c r="F5" s="129" t="inlineStr">
        <is>
          <t>Effort</t>
        </is>
      </c>
      <c r="G5" s="129" t="inlineStr">
        <is>
          <t>Status</t>
        </is>
      </c>
    </row>
    <row r="6" ht="21.75" customHeight="1" s="85">
      <c r="A6" s="130" t="inlineStr">
        <is>
          <t>BE-HARD-001</t>
        </is>
      </c>
      <c r="B6" s="131" t="inlineStr">
        <is>
          <t>Client error diagnostics endpoint</t>
        </is>
      </c>
      <c r="C6" s="136" t="inlineStr">
        <is>
          <t>Adding Feature</t>
        </is>
      </c>
      <c r="D6" s="148" t="inlineStr">
        <is>
          <t>Critical</t>
        </is>
      </c>
      <c r="E6" s="111" t="inlineStr">
        <is>
          <t>Api / Diagnostics</t>
        </is>
      </c>
      <c r="F6" s="134" t="n">
        <v>1.5</v>
      </c>
      <c r="G6" s="135" t="inlineStr">
        <is>
          <t>Not Started</t>
        </is>
      </c>
    </row>
    <row r="7" ht="21.75" customHeight="1" s="85">
      <c r="A7" s="130" t="inlineStr">
        <is>
          <t>BE-FIX-001</t>
        </is>
      </c>
      <c r="B7" s="131" t="inlineStr">
        <is>
          <t>Per-source scheduling fix (DeltaImportExecutionService)</t>
        </is>
      </c>
      <c r="C7" s="138" t="inlineStr">
        <is>
          <t>Fixing Feature</t>
        </is>
      </c>
      <c r="D7" s="148" t="inlineStr">
        <is>
          <t>Critical</t>
        </is>
      </c>
      <c r="E7" s="111" t="inlineStr">
        <is>
          <t>Workers / Integration</t>
        </is>
      </c>
      <c r="F7" s="134" t="n">
        <v>3</v>
      </c>
      <c r="G7" s="135" t="inlineStr">
        <is>
          <t>Not Started</t>
        </is>
      </c>
    </row>
    <row r="8" ht="21.75" customHeight="1" s="85">
      <c r="A8" s="130" t="inlineStr">
        <is>
          <t>BE-FIX-002</t>
        </is>
      </c>
      <c r="B8" s="131" t="inlineStr">
        <is>
          <t>SafeSqlValidator hardening (functions, joins, schemas, timeout)</t>
        </is>
      </c>
      <c r="C8" s="138" t="inlineStr">
        <is>
          <t>Fixing Feature</t>
        </is>
      </c>
      <c r="D8" s="149" t="inlineStr">
        <is>
          <t>Very Important</t>
        </is>
      </c>
      <c r="E8" s="111" t="inlineStr">
        <is>
          <t>Api / Admin / Security</t>
        </is>
      </c>
      <c r="F8" s="134" t="n">
        <v>3</v>
      </c>
      <c r="G8" s="135" t="inlineStr">
        <is>
          <t>Not Started</t>
        </is>
      </c>
    </row>
    <row r="9" ht="21.75" customHeight="1" s="85">
      <c r="A9" s="130" t="inlineStr">
        <is>
          <t>BE-FIX-003</t>
        </is>
      </c>
      <c r="B9" s="131" t="inlineStr">
        <is>
          <t>Stale PlannedProviderDto array fix</t>
        </is>
      </c>
      <c r="C9" s="138" t="inlineStr">
        <is>
          <t>Fixing Feature</t>
        </is>
      </c>
      <c r="D9" s="150" t="inlineStr">
        <is>
          <t>Important</t>
        </is>
      </c>
      <c r="E9" s="111" t="inlineStr">
        <is>
          <t>Api / Admin</t>
        </is>
      </c>
      <c r="F9" s="134" t="n">
        <v>0.5</v>
      </c>
      <c r="G9" s="135" t="inlineStr">
        <is>
          <t>Not Started</t>
        </is>
      </c>
    </row>
    <row r="10" ht="21.75" customHeight="1" s="85">
      <c r="A10" s="130" t="inlineStr">
        <is>
          <t>BE-ADD-002</t>
        </is>
      </c>
      <c r="B10" s="131" t="inlineStr">
        <is>
          <t>Bootstrap admin lock-after-first-real-admin</t>
        </is>
      </c>
      <c r="C10" s="136" t="inlineStr">
        <is>
          <t>Adding Feature</t>
        </is>
      </c>
      <c r="D10" s="150" t="inlineStr">
        <is>
          <t>Important</t>
        </is>
      </c>
      <c r="E10" s="111" t="inlineStr">
        <is>
          <t>Auth</t>
        </is>
      </c>
      <c r="F10" s="134" t="n">
        <v>0.5</v>
      </c>
      <c r="G10" s="135" t="inlineStr">
        <is>
          <t>Not Started</t>
        </is>
      </c>
    </row>
    <row r="11" ht="21.75" customHeight="1" s="85">
      <c r="A11" s="130" t="inlineStr">
        <is>
          <t>BE-HARD-002</t>
        </is>
      </c>
      <c r="B11" s="131" t="inlineStr">
        <is>
          <t>InvestigateMaterial pagination</t>
        </is>
      </c>
      <c r="C11" s="132" t="inlineStr">
        <is>
          <t>Hardening</t>
        </is>
      </c>
      <c r="D11" s="149" t="inlineStr">
        <is>
          <t>Very Important</t>
        </is>
      </c>
      <c r="E11" s="111" t="inlineStr">
        <is>
          <t>Api / Workflow</t>
        </is>
      </c>
      <c r="F11" s="134" t="n">
        <v>1.5</v>
      </c>
      <c r="G11" s="135" t="inlineStr">
        <is>
          <t>Not Started</t>
        </is>
      </c>
    </row>
    <row r="12" ht="21.75" customHeight="1" s="85">
      <c r="A12" s="130" t="inlineStr">
        <is>
          <t>BE-ADD-003</t>
        </is>
      </c>
      <c r="B12" s="131" t="inlineStr">
        <is>
          <t>Synthetic data generator extension (3 DB INSERT writers)</t>
        </is>
      </c>
      <c r="C12" s="136" t="inlineStr">
        <is>
          <t>Adding Feature</t>
        </is>
      </c>
      <c r="D12" s="150" t="inlineStr">
        <is>
          <t>Important</t>
        </is>
      </c>
      <c r="E12" s="111" t="inlineStr">
        <is>
          <t>Tools</t>
        </is>
      </c>
      <c r="F12" s="134" t="n">
        <v>4</v>
      </c>
      <c r="G12" s="135" t="inlineStr">
        <is>
          <t>Not Started</t>
        </is>
      </c>
    </row>
    <row r="13" ht="21.75" customHeight="1" s="85">
      <c r="A13" s="130" t="inlineStr">
        <is>
          <t>BE-HARD-003</t>
        </is>
      </c>
      <c r="B13" s="131" t="inlineStr">
        <is>
          <t>Excel connector smoke test → IsAvailableNow flag verification</t>
        </is>
      </c>
      <c r="C13" s="132" t="inlineStr">
        <is>
          <t>Hardening</t>
        </is>
      </c>
      <c r="D13" s="150" t="inlineStr">
        <is>
          <t>Important</t>
        </is>
      </c>
      <c r="E13" s="111" t="inlineStr">
        <is>
          <t>Connectors / Excel</t>
        </is>
      </c>
      <c r="F13" s="134" t="n">
        <v>1.5</v>
      </c>
      <c r="G13" s="135" t="inlineStr">
        <is>
          <t>Not Started</t>
        </is>
      </c>
    </row>
    <row r="14" ht="21.75" customHeight="1" s="85">
      <c r="A14" s="130" t="inlineStr">
        <is>
          <t>BE-ADD-004</t>
        </is>
      </c>
      <c r="B14" s="131" t="inlineStr">
        <is>
          <t>Demo-lifecycle reset endpoint</t>
        </is>
      </c>
      <c r="C14" s="136" t="inlineStr">
        <is>
          <t>Adding Feature</t>
        </is>
      </c>
      <c r="D14" s="149" t="inlineStr">
        <is>
          <t>Very Important</t>
        </is>
      </c>
      <c r="E14" s="111" t="inlineStr">
        <is>
          <t>Api / DemoLifecycle</t>
        </is>
      </c>
      <c r="F14" s="134" t="n">
        <v>3</v>
      </c>
      <c r="G14" s="135" t="inlineStr">
        <is>
          <t>Not Started</t>
        </is>
      </c>
    </row>
    <row r="15" ht="21.75" customHeight="1" s="85">
      <c r="A15" s="130" t="inlineStr">
        <is>
          <t>BE-ADD-005</t>
        </is>
      </c>
      <c r="B15" s="131" t="inlineStr">
        <is>
          <t>Oracle connector</t>
        </is>
      </c>
      <c r="C15" s="136" t="inlineStr">
        <is>
          <t>Adding Feature</t>
        </is>
      </c>
      <c r="D15" s="151" t="inlineStr">
        <is>
          <t>Normal</t>
        </is>
      </c>
      <c r="E15" s="111" t="inlineStr">
        <is>
          <t>Connectors / Oracle</t>
        </is>
      </c>
      <c r="F15" s="134" t="n">
        <v>8</v>
      </c>
      <c r="G15" s="135" t="inlineStr">
        <is>
          <t>Not Started</t>
        </is>
      </c>
    </row>
    <row r="17" ht="25.5" customHeight="1" s="85">
      <c r="A17" s="152" t="inlineStr">
        <is>
          <t>Frontend (23 tasks, 100.0h)</t>
        </is>
      </c>
      <c r="B17" s="127" t="n"/>
      <c r="C17" s="127" t="n"/>
      <c r="D17" s="127" t="n"/>
      <c r="E17" s="127" t="n"/>
      <c r="F17" s="127" t="n"/>
      <c r="G17" s="128" t="n"/>
    </row>
    <row r="18" ht="24" customHeight="1" s="85">
      <c r="A18" s="129" t="inlineStr">
        <is>
          <t>Task ID</t>
        </is>
      </c>
      <c r="B18" s="129" t="inlineStr">
        <is>
          <t>Task Name</t>
        </is>
      </c>
      <c r="C18" s="129" t="inlineStr">
        <is>
          <t>Category</t>
        </is>
      </c>
      <c r="D18" s="129" t="inlineStr">
        <is>
          <t>Priority</t>
        </is>
      </c>
      <c r="E18" s="129" t="inlineStr">
        <is>
          <t>Submodule</t>
        </is>
      </c>
      <c r="F18" s="129" t="inlineStr">
        <is>
          <t>Effort</t>
        </is>
      </c>
      <c r="G18" s="129" t="inlineStr">
        <is>
          <t>Status</t>
        </is>
      </c>
    </row>
    <row r="19" ht="21.75" customHeight="1" s="85">
      <c r="A19" s="130" t="inlineStr">
        <is>
          <t>FE-HARD-001</t>
        </is>
      </c>
      <c r="B19" s="131" t="inlineStr">
        <is>
          <t>Global ErrorBoundary component</t>
        </is>
      </c>
      <c r="C19" s="132" t="inlineStr">
        <is>
          <t>Hardening</t>
        </is>
      </c>
      <c r="D19" s="148" t="inlineStr">
        <is>
          <t>Critical</t>
        </is>
      </c>
      <c r="E19" s="111" t="inlineStr">
        <is>
          <t>Common</t>
        </is>
      </c>
      <c r="F19" s="134" t="n">
        <v>2</v>
      </c>
      <c r="G19" s="135" t="inlineStr">
        <is>
          <t>Not Started</t>
        </is>
      </c>
    </row>
    <row r="20" ht="21.75" customHeight="1" s="85">
      <c r="A20" s="130" t="inlineStr">
        <is>
          <t>FE-HARD-002</t>
        </is>
      </c>
      <c r="B20" s="131" t="inlineStr">
        <is>
          <t>Toast notification system (sonner)</t>
        </is>
      </c>
      <c r="C20" s="132" t="inlineStr">
        <is>
          <t>Hardening</t>
        </is>
      </c>
      <c r="D20" s="148" t="inlineStr">
        <is>
          <t>Critical</t>
        </is>
      </c>
      <c r="E20" s="111" t="inlineStr">
        <is>
          <t>Common / ApiClient</t>
        </is>
      </c>
      <c r="F20" s="134" t="n">
        <v>3</v>
      </c>
      <c r="G20" s="135" t="inlineStr">
        <is>
          <t>Not Started</t>
        </is>
      </c>
    </row>
    <row r="21" ht="21.75" customHeight="1" s="85">
      <c r="A21" s="130" t="inlineStr">
        <is>
          <t>FE-HARD-003</t>
        </is>
      </c>
      <c r="B21" s="131" t="inlineStr">
        <is>
          <t>API timeout reduction + idempotent retry</t>
        </is>
      </c>
      <c r="C21" s="132" t="inlineStr">
        <is>
          <t>Hardening</t>
        </is>
      </c>
      <c r="D21" s="148" t="inlineStr">
        <is>
          <t>Critical</t>
        </is>
      </c>
      <c r="E21" s="111" t="inlineStr">
        <is>
          <t>ApiClient</t>
        </is>
      </c>
      <c r="F21" s="134" t="n">
        <v>1.5</v>
      </c>
      <c r="G21" s="135" t="inlineStr">
        <is>
          <t>Not Started</t>
        </is>
      </c>
    </row>
    <row r="22" ht="21.75" customHeight="1" s="85">
      <c r="A22" s="130" t="inlineStr">
        <is>
          <t>FE-HARD-004</t>
        </is>
      </c>
      <c r="B22" s="131" t="inlineStr">
        <is>
          <t>Loading skeleton components (replace LoadingPanel inside pages)</t>
        </is>
      </c>
      <c r="C22" s="132" t="inlineStr">
        <is>
          <t>Hardening</t>
        </is>
      </c>
      <c r="D22" s="149" t="inlineStr">
        <is>
          <t>Very Important</t>
        </is>
      </c>
      <c r="E22" s="111" t="inlineStr">
        <is>
          <t>Common</t>
        </is>
      </c>
      <c r="F22" s="134" t="n">
        <v>6</v>
      </c>
      <c r="G22" s="135" t="inlineStr">
        <is>
          <t>Not Started</t>
        </is>
      </c>
    </row>
    <row r="23" ht="21.75" customHeight="1" s="85">
      <c r="A23" s="130" t="inlineStr">
        <is>
          <t>FE-HARD-005</t>
        </is>
      </c>
      <c r="B23" s="131" t="inlineStr">
        <is>
          <t>Optimistic save UI on all admin and dashboard forms</t>
        </is>
      </c>
      <c r="C23" s="132" t="inlineStr">
        <is>
          <t>Hardening</t>
        </is>
      </c>
      <c r="D23" s="149" t="inlineStr">
        <is>
          <t>Very Important</t>
        </is>
      </c>
      <c r="E23" s="111" t="inlineStr">
        <is>
          <t>Admin / Dashboard</t>
        </is>
      </c>
      <c r="F23" s="134" t="n">
        <v>4</v>
      </c>
      <c r="G23" s="135" t="inlineStr">
        <is>
          <t>Not Started</t>
        </is>
      </c>
    </row>
    <row r="24" ht="21.75" customHeight="1" s="85">
      <c r="A24" s="130" t="inlineStr">
        <is>
          <t>FE-HARD-006</t>
        </is>
      </c>
      <c r="B24" s="131" t="inlineStr">
        <is>
          <t>Dashboard widget memoization audit</t>
        </is>
      </c>
      <c r="C24" s="132" t="inlineStr">
        <is>
          <t>Hardening</t>
        </is>
      </c>
      <c r="D24" s="149" t="inlineStr">
        <is>
          <t>Very Important</t>
        </is>
      </c>
      <c r="E24" s="111" t="inlineStr">
        <is>
          <t>Dashboard</t>
        </is>
      </c>
      <c r="F24" s="134" t="n">
        <v>4</v>
      </c>
      <c r="G24" s="135" t="inlineStr">
        <is>
          <t>Not Started</t>
        </is>
      </c>
    </row>
    <row r="25" ht="21.75" customHeight="1" s="85">
      <c r="A25" s="130" t="inlineStr">
        <is>
          <t>FE-HARD-007</t>
        </is>
      </c>
      <c r="B25" s="131" t="inlineStr">
        <is>
          <t>SortableDataTable virtualization for &gt;200 rows</t>
        </is>
      </c>
      <c r="C25" s="132" t="inlineStr">
        <is>
          <t>Hardening</t>
        </is>
      </c>
      <c r="D25" s="150" t="inlineStr">
        <is>
          <t>Important</t>
        </is>
      </c>
      <c r="E25" s="111" t="inlineStr">
        <is>
          <t>Common</t>
        </is>
      </c>
      <c r="F25" s="134" t="n">
        <v>3</v>
      </c>
      <c r="G25" s="135" t="inlineStr">
        <is>
          <t>Not Started</t>
        </is>
      </c>
    </row>
    <row r="26" ht="21.75" customHeight="1" s="85">
      <c r="A26" s="130" t="inlineStr">
        <is>
          <t>FE-HARD-009</t>
        </is>
      </c>
      <c r="B26" s="131" t="inlineStr">
        <is>
          <t>Drag-drop smoothness profiling and optimization</t>
        </is>
      </c>
      <c r="C26" s="132" t="inlineStr">
        <is>
          <t>Hardening</t>
        </is>
      </c>
      <c r="D26" s="150" t="inlineStr">
        <is>
          <t>Important</t>
        </is>
      </c>
      <c r="E26" s="111" t="inlineStr">
        <is>
          <t>Dashboard / WidgetBuilder</t>
        </is>
      </c>
      <c r="F26" s="134" t="n">
        <v>4</v>
      </c>
      <c r="G26" s="135" t="inlineStr">
        <is>
          <t>Not Started</t>
        </is>
      </c>
    </row>
    <row r="27" ht="21.75" customHeight="1" s="85">
      <c r="A27" s="130" t="inlineStr">
        <is>
          <t>FE-HARD-010</t>
        </is>
      </c>
      <c r="B27" s="131" t="inlineStr">
        <is>
          <t>Six failure modes — consistency audit</t>
        </is>
      </c>
      <c r="C27" s="132" t="inlineStr">
        <is>
          <t>Hardening</t>
        </is>
      </c>
      <c r="D27" s="149" t="inlineStr">
        <is>
          <t>Very Important</t>
        </is>
      </c>
      <c r="E27" s="111" t="inlineStr">
        <is>
          <t>Common</t>
        </is>
      </c>
      <c r="F27" s="134" t="n">
        <v>6</v>
      </c>
      <c r="G27" s="135" t="inlineStr">
        <is>
          <t>Not Started</t>
        </is>
      </c>
    </row>
    <row r="28" ht="21.75" customHeight="1" s="85">
      <c r="A28" s="130" t="inlineStr">
        <is>
          <t>FE-HARD-011</t>
        </is>
      </c>
      <c r="B28" s="131" t="inlineStr">
        <is>
          <t>License gate UX verification (LockedFeatureOverlay)</t>
        </is>
      </c>
      <c r="C28" s="132" t="inlineStr">
        <is>
          <t>Hardening</t>
        </is>
      </c>
      <c r="D28" s="150" t="inlineStr">
        <is>
          <t>Important</t>
        </is>
      </c>
      <c r="E28" s="111" t="inlineStr">
        <is>
          <t>License</t>
        </is>
      </c>
      <c r="F28" s="134" t="n">
        <v>1</v>
      </c>
      <c r="G28" s="135" t="inlineStr">
        <is>
          <t>Not Started</t>
        </is>
      </c>
    </row>
    <row r="29" ht="21.75" customHeight="1" s="85">
      <c r="A29" s="130" t="inlineStr">
        <is>
          <t>FE-HARD-012</t>
        </is>
      </c>
      <c r="B29" s="131" t="inlineStr">
        <is>
          <t>Empty/Loading/Error state separation audit</t>
        </is>
      </c>
      <c r="C29" s="132" t="inlineStr">
        <is>
          <t>Hardening</t>
        </is>
      </c>
      <c r="D29" s="149" t="inlineStr">
        <is>
          <t>Very Important</t>
        </is>
      </c>
      <c r="E29" s="111" t="inlineStr">
        <is>
          <t>Common</t>
        </is>
      </c>
      <c r="F29" s="134" t="n">
        <v>4</v>
      </c>
      <c r="G29" s="135" t="inlineStr">
        <is>
          <t>Not Started</t>
        </is>
      </c>
    </row>
    <row r="30" ht="21.75" customHeight="1" s="85">
      <c r="A30" s="130" t="inlineStr">
        <is>
          <t>FE-HARD-013</t>
        </is>
      </c>
      <c r="B30" s="131" t="inlineStr">
        <is>
          <t>Inline form validation on all admin forms</t>
        </is>
      </c>
      <c r="C30" s="132" t="inlineStr">
        <is>
          <t>Hardening</t>
        </is>
      </c>
      <c r="D30" s="150" t="inlineStr">
        <is>
          <t>Important</t>
        </is>
      </c>
      <c r="E30" s="111" t="inlineStr">
        <is>
          <t>Admin</t>
        </is>
      </c>
      <c r="F30" s="134" t="n">
        <v>4</v>
      </c>
      <c r="G30" s="135" t="inlineStr">
        <is>
          <t>Not Started</t>
        </is>
      </c>
    </row>
    <row r="31" ht="21.75" customHeight="1" s="85">
      <c r="A31" s="130" t="inlineStr">
        <is>
          <t>FE-HARD-014</t>
        </is>
      </c>
      <c r="B31" s="131" t="inlineStr">
        <is>
          <t>Stale-state protection on Jobs Monitor polling</t>
        </is>
      </c>
      <c r="C31" s="132" t="inlineStr">
        <is>
          <t>Hardening</t>
        </is>
      </c>
      <c r="D31" s="150" t="inlineStr">
        <is>
          <t>Important</t>
        </is>
      </c>
      <c r="E31" s="111" t="inlineStr">
        <is>
          <t>Admin / JobsMonitor</t>
        </is>
      </c>
      <c r="F31" s="134" t="n">
        <v>2</v>
      </c>
      <c r="G31" s="135" t="inlineStr">
        <is>
          <t>Not Started</t>
        </is>
      </c>
    </row>
    <row r="32" ht="21.75" customHeight="1" s="85">
      <c r="A32" s="130" t="inlineStr">
        <is>
          <t>FE-HARD-015</t>
        </is>
      </c>
      <c r="B32" s="131" t="inlineStr">
        <is>
          <t>WidgetBuilderWizardContent — focused QA pass</t>
        </is>
      </c>
      <c r="C32" s="132" t="inlineStr">
        <is>
          <t>Hardening</t>
        </is>
      </c>
      <c r="D32" s="149" t="inlineStr">
        <is>
          <t>Very Important</t>
        </is>
      </c>
      <c r="E32" s="111" t="inlineStr">
        <is>
          <t>Widget</t>
        </is>
      </c>
      <c r="F32" s="134" t="n">
        <v>6</v>
      </c>
      <c r="G32" s="135" t="inlineStr">
        <is>
          <t>Not Started</t>
        </is>
      </c>
    </row>
    <row r="33" ht="21.75" customHeight="1" s="85">
      <c r="A33" s="130" t="inlineStr">
        <is>
          <t>FE-HARD-016</t>
        </is>
      </c>
      <c r="B33" s="131" t="inlineStr">
        <is>
          <t>AdminDbConfigurationTab — focused QA pass</t>
        </is>
      </c>
      <c r="C33" s="132" t="inlineStr">
        <is>
          <t>Hardening</t>
        </is>
      </c>
      <c r="D33" s="149" t="inlineStr">
        <is>
          <t>Very Important</t>
        </is>
      </c>
      <c r="E33" s="111" t="inlineStr">
        <is>
          <t>Admin</t>
        </is>
      </c>
      <c r="F33" s="134" t="n">
        <v>4</v>
      </c>
      <c r="G33" s="135" t="inlineStr">
        <is>
          <t>Not Started</t>
        </is>
      </c>
    </row>
    <row r="34" ht="21.75" customHeight="1" s="85">
      <c r="A34" s="130" t="inlineStr">
        <is>
          <t>FE-HARD-017</t>
        </is>
      </c>
      <c r="B34" s="131" t="inlineStr">
        <is>
          <t>AdminSchemaConfigurationTab — focused QA pass</t>
        </is>
      </c>
      <c r="C34" s="132" t="inlineStr">
        <is>
          <t>Hardening</t>
        </is>
      </c>
      <c r="D34" s="149" t="inlineStr">
        <is>
          <t>Very Important</t>
        </is>
      </c>
      <c r="E34" s="111" t="inlineStr">
        <is>
          <t>Admin</t>
        </is>
      </c>
      <c r="F34" s="134" t="n">
        <v>4</v>
      </c>
      <c r="G34" s="135" t="inlineStr">
        <is>
          <t>Not Started</t>
        </is>
      </c>
    </row>
    <row r="35" ht="21.75" customHeight="1" s="85">
      <c r="A35" s="130" t="inlineStr">
        <is>
          <t>FE-HARD-018</t>
        </is>
      </c>
      <c r="B35" s="131" t="inlineStr">
        <is>
          <t>DashboardPageContent — refresh and filter scenarios</t>
        </is>
      </c>
      <c r="C35" s="132" t="inlineStr">
        <is>
          <t>Hardening</t>
        </is>
      </c>
      <c r="D35" s="150" t="inlineStr">
        <is>
          <t>Important</t>
        </is>
      </c>
      <c r="E35" s="111" t="inlineStr">
        <is>
          <t>Dashboard</t>
        </is>
      </c>
      <c r="F35" s="134" t="n">
        <v>3</v>
      </c>
      <c r="G35" s="135" t="inlineStr">
        <is>
          <t>Not Started</t>
        </is>
      </c>
    </row>
    <row r="36" ht="21.75" customHeight="1" s="85">
      <c r="A36" s="130" t="inlineStr">
        <is>
          <t>FE-ADD-001</t>
        </is>
      </c>
      <c r="B36" s="131" t="inlineStr">
        <is>
          <t>Demo environment banner — global activation</t>
        </is>
      </c>
      <c r="C36" s="136" t="inlineStr">
        <is>
          <t>Adding Feature</t>
        </is>
      </c>
      <c r="D36" s="149" t="inlineStr">
        <is>
          <t>Very Important</t>
        </is>
      </c>
      <c r="E36" s="111" t="inlineStr">
        <is>
          <t>Common</t>
        </is>
      </c>
      <c r="F36" s="134" t="n">
        <v>0.5</v>
      </c>
      <c r="G36" s="135" t="inlineStr">
        <is>
          <t>Not Started</t>
        </is>
      </c>
    </row>
    <row r="37" ht="21.75" customHeight="1" s="85">
      <c r="A37" s="130" t="inlineStr">
        <is>
          <t>QA-HARD-001</t>
        </is>
      </c>
      <c r="B37" s="131" t="inlineStr">
        <is>
          <t>Per-page QA matrix execution</t>
        </is>
      </c>
      <c r="C37" s="132" t="inlineStr">
        <is>
          <t>Hardening</t>
        </is>
      </c>
      <c r="D37" s="148" t="inlineStr">
        <is>
          <t>Critical</t>
        </is>
      </c>
      <c r="E37" s="111" t="inlineStr">
        <is>
          <t>QA</t>
        </is>
      </c>
      <c r="F37" s="134" t="n">
        <v>16</v>
      </c>
      <c r="G37" s="135" t="inlineStr">
        <is>
          <t>Not Started</t>
        </is>
      </c>
    </row>
    <row r="38" ht="21.75" customHeight="1" s="85">
      <c r="A38" s="130" t="inlineStr">
        <is>
          <t>QA-HARD-002</t>
        </is>
      </c>
      <c r="B38" s="131" t="inlineStr">
        <is>
          <t>12-scenario stress test with external tester</t>
        </is>
      </c>
      <c r="C38" s="132" t="inlineStr">
        <is>
          <t>Hardening</t>
        </is>
      </c>
      <c r="D38" s="149" t="inlineStr">
        <is>
          <t>Very Important</t>
        </is>
      </c>
      <c r="E38" s="111" t="inlineStr">
        <is>
          <t>QA</t>
        </is>
      </c>
      <c r="F38" s="134" t="n">
        <v>8</v>
      </c>
      <c r="G38" s="135" t="inlineStr">
        <is>
          <t>Not Started</t>
        </is>
      </c>
    </row>
    <row r="39" ht="21.75" customHeight="1" s="85">
      <c r="A39" s="130" t="inlineStr">
        <is>
          <t>FE-HARD-020</t>
        </is>
      </c>
      <c r="B39" s="131" t="inlineStr">
        <is>
          <t>Playwright nav-graph + refresh-survival E2E spec</t>
        </is>
      </c>
      <c r="C39" s="132" t="inlineStr">
        <is>
          <t>Hardening</t>
        </is>
      </c>
      <c r="D39" s="150" t="inlineStr">
        <is>
          <t>Important</t>
        </is>
      </c>
      <c r="E39" s="111" t="inlineStr">
        <is>
          <t>E2E Tests</t>
        </is>
      </c>
      <c r="F39" s="134" t="n">
        <v>4</v>
      </c>
      <c r="G39" s="135" t="inlineStr">
        <is>
          <t>Not Started</t>
        </is>
      </c>
    </row>
    <row r="40" ht="21.75" customHeight="1" s="85">
      <c r="A40" s="130" t="inlineStr">
        <is>
          <t>FE-HARD-021</t>
        </is>
      </c>
      <c r="B40" s="131" t="inlineStr">
        <is>
          <t>Component-level smoke tests for high-risk files</t>
        </is>
      </c>
      <c r="C40" s="132" t="inlineStr">
        <is>
          <t>Hardening</t>
        </is>
      </c>
      <c r="D40" s="150" t="inlineStr">
        <is>
          <t>Important</t>
        </is>
      </c>
      <c r="E40" s="111" t="inlineStr">
        <is>
          <t>Component Tests</t>
        </is>
      </c>
      <c r="F40" s="134" t="n">
        <v>6</v>
      </c>
      <c r="G40" s="135" t="inlineStr">
        <is>
          <t>Not Started</t>
        </is>
      </c>
    </row>
    <row r="41" ht="21.75" customHeight="1" s="85">
      <c r="A41" s="130" t="inlineStr">
        <is>
          <t>FE-HARD-022</t>
        </is>
      </c>
      <c r="B41" s="131" t="inlineStr">
        <is>
          <t>Visual regression baseline (optional but high-leverage)</t>
        </is>
      </c>
      <c r="C41" s="132" t="inlineStr">
        <is>
          <t>Hardening</t>
        </is>
      </c>
      <c r="D41" s="153" t="inlineStr">
        <is>
          <t>Optional</t>
        </is>
      </c>
      <c r="E41" s="111" t="inlineStr">
        <is>
          <t>CI</t>
        </is>
      </c>
      <c r="F41" s="134" t="n">
        <v>4</v>
      </c>
      <c r="G41" s="135" t="inlineStr">
        <is>
          <t>Not Started</t>
        </is>
      </c>
    </row>
    <row r="43" ht="25.5" customHeight="1" s="85">
      <c r="A43" s="154" t="inlineStr">
        <is>
          <t>Fullstack (6 tasks, 45.0h)</t>
        </is>
      </c>
      <c r="B43" s="127" t="n"/>
      <c r="C43" s="127" t="n"/>
      <c r="D43" s="127" t="n"/>
      <c r="E43" s="127" t="n"/>
      <c r="F43" s="127" t="n"/>
      <c r="G43" s="128" t="n"/>
    </row>
    <row r="44" ht="24" customHeight="1" s="85">
      <c r="A44" s="129" t="inlineStr">
        <is>
          <t>Task ID</t>
        </is>
      </c>
      <c r="B44" s="129" t="inlineStr">
        <is>
          <t>Task Name</t>
        </is>
      </c>
      <c r="C44" s="129" t="inlineStr">
        <is>
          <t>Category</t>
        </is>
      </c>
      <c r="D44" s="129" t="inlineStr">
        <is>
          <t>Priority</t>
        </is>
      </c>
      <c r="E44" s="129" t="inlineStr">
        <is>
          <t>Submodule</t>
        </is>
      </c>
      <c r="F44" s="129" t="inlineStr">
        <is>
          <t>Effort</t>
        </is>
      </c>
      <c r="G44" s="129" t="inlineStr">
        <is>
          <t>Status</t>
        </is>
      </c>
    </row>
    <row r="45" ht="21.75" customHeight="1" s="85">
      <c r="A45" s="130" t="inlineStr">
        <is>
          <t>BE-ADD-001</t>
        </is>
      </c>
      <c r="B45" s="131" t="inlineStr">
        <is>
          <t>AuditLogEntry — full implementation (Pilot Blocker 2)</t>
        </is>
      </c>
      <c r="C45" s="136" t="inlineStr">
        <is>
          <t>Adding Feature</t>
        </is>
      </c>
      <c r="D45" s="149" t="inlineStr">
        <is>
          <t>Very Important</t>
        </is>
      </c>
      <c r="E45" s="111" t="inlineStr">
        <is>
          <t>Domain / Api / Database</t>
        </is>
      </c>
      <c r="F45" s="134" t="n">
        <v>6</v>
      </c>
      <c r="G45" s="135" t="inlineStr">
        <is>
          <t>Not Started</t>
        </is>
      </c>
    </row>
    <row r="46" ht="21.75" customHeight="1" s="85">
      <c r="A46" s="130" t="inlineStr">
        <is>
          <t>FE-HARD-008</t>
        </is>
      </c>
      <c r="B46" s="131" t="inlineStr">
        <is>
          <t>Bundle size CI check</t>
        </is>
      </c>
      <c r="C46" s="132" t="inlineStr">
        <is>
          <t>Hardening</t>
        </is>
      </c>
      <c r="D46" s="150" t="inlineStr">
        <is>
          <t>Important</t>
        </is>
      </c>
      <c r="E46" s="111" t="inlineStr">
        <is>
          <t>Frontend / CICD</t>
        </is>
      </c>
      <c r="F46" s="134" t="n">
        <v>3</v>
      </c>
      <c r="G46" s="135" t="inlineStr">
        <is>
          <t>Not Started</t>
        </is>
      </c>
    </row>
    <row r="47" ht="21.75" customHeight="1" s="85">
      <c r="A47" s="130" t="inlineStr">
        <is>
          <t>FE-HARD-019</t>
        </is>
      </c>
      <c r="B47" s="131" t="inlineStr">
        <is>
          <t>Legacy plantProcessApi.ts contract probe</t>
        </is>
      </c>
      <c r="C47" s="132" t="inlineStr">
        <is>
          <t>Hardening</t>
        </is>
      </c>
      <c r="D47" s="150" t="inlineStr">
        <is>
          <t>Important</t>
        </is>
      </c>
      <c r="E47" s="111" t="inlineStr">
        <is>
          <t>ApiClient</t>
        </is>
      </c>
      <c r="F47" s="134" t="n">
        <v>4</v>
      </c>
      <c r="G47" s="135" t="inlineStr">
        <is>
          <t>Not Started</t>
        </is>
      </c>
    </row>
    <row r="48" ht="21.75" customHeight="1" s="85">
      <c r="A48" s="130" t="inlineStr">
        <is>
          <t>FS-ADD-001</t>
        </is>
      </c>
      <c r="B48" s="131" t="inlineStr">
        <is>
          <t>Save-as-Inspection-Job button on Correlation page</t>
        </is>
      </c>
      <c r="C48" s="136" t="inlineStr">
        <is>
          <t>Adding Feature</t>
        </is>
      </c>
      <c r="D48" s="149" t="inlineStr">
        <is>
          <t>Very Important</t>
        </is>
      </c>
      <c r="E48" s="111" t="inlineStr">
        <is>
          <t>Correlation / Api</t>
        </is>
      </c>
      <c r="F48" s="134" t="n">
        <v>4</v>
      </c>
      <c r="G48" s="135" t="inlineStr">
        <is>
          <t>Not Started</t>
        </is>
      </c>
    </row>
    <row r="49" ht="21.75" customHeight="1" s="85">
      <c r="A49" s="130" t="inlineStr">
        <is>
          <t>FS-ADD-002</t>
        </is>
      </c>
      <c r="B49" s="131" t="inlineStr">
        <is>
          <t>WidgetQueryExpression DSL + /widgets/execute endpoint (Vision §2.2.2)</t>
        </is>
      </c>
      <c r="C49" s="136" t="inlineStr">
        <is>
          <t>Adding Feature</t>
        </is>
      </c>
      <c r="D49" s="150" t="inlineStr">
        <is>
          <t>Important</t>
        </is>
      </c>
      <c r="E49" s="111" t="inlineStr">
        <is>
          <t>Widget / Api</t>
        </is>
      </c>
      <c r="F49" s="134" t="n">
        <v>12</v>
      </c>
      <c r="G49" s="135" t="inlineStr">
        <is>
          <t>Not Started</t>
        </is>
      </c>
    </row>
    <row r="50" ht="21.75" customHeight="1" s="85">
      <c r="A50" s="130" t="inlineStr">
        <is>
          <t>FS-ADD-003</t>
        </is>
      </c>
      <c r="B50" s="131" t="inlineStr">
        <is>
          <t>PageDefinition distinct from DashboardDefinition (Vision §2.1)</t>
        </is>
      </c>
      <c r="C50" s="136" t="inlineStr">
        <is>
          <t>Adding Feature</t>
        </is>
      </c>
      <c r="D50" s="151" t="inlineStr">
        <is>
          <t>Normal</t>
        </is>
      </c>
      <c r="E50" s="111" t="inlineStr">
        <is>
          <t>Domain / Dashboard</t>
        </is>
      </c>
      <c r="F50" s="134" t="n">
        <v>16</v>
      </c>
      <c r="G50" s="135" t="inlineStr">
        <is>
          <t>Not Started</t>
        </is>
      </c>
    </row>
    <row r="52" ht="25.5" customHeight="1" s="85">
      <c r="A52" s="155" t="inlineStr">
        <is>
          <t>Infrastructure (4 tasks, 8.1h)</t>
        </is>
      </c>
      <c r="B52" s="127" t="n"/>
      <c r="C52" s="127" t="n"/>
      <c r="D52" s="127" t="n"/>
      <c r="E52" s="127" t="n"/>
      <c r="F52" s="127" t="n"/>
      <c r="G52" s="128" t="n"/>
    </row>
    <row r="53" ht="24" customHeight="1" s="85">
      <c r="A53" s="129" t="inlineStr">
        <is>
          <t>Task ID</t>
        </is>
      </c>
      <c r="B53" s="129" t="inlineStr">
        <is>
          <t>Task Name</t>
        </is>
      </c>
      <c r="C53" s="129" t="inlineStr">
        <is>
          <t>Category</t>
        </is>
      </c>
      <c r="D53" s="129" t="inlineStr">
        <is>
          <t>Priority</t>
        </is>
      </c>
      <c r="E53" s="129" t="inlineStr">
        <is>
          <t>Submodule</t>
        </is>
      </c>
      <c r="F53" s="129" t="inlineStr">
        <is>
          <t>Effort</t>
        </is>
      </c>
      <c r="G53" s="129" t="inlineStr">
        <is>
          <t>Status</t>
        </is>
      </c>
    </row>
    <row r="54" ht="21.75" customHeight="1" s="85">
      <c r="A54" s="130" t="inlineStr">
        <is>
          <t>INF-FIX-001</t>
        </is>
      </c>
      <c r="B54" s="131" t="inlineStr">
        <is>
          <t>Production .env + Caddyfile (domain-based)</t>
        </is>
      </c>
      <c r="C54" s="138" t="inlineStr">
        <is>
          <t>Fixing Feature</t>
        </is>
      </c>
      <c r="D54" s="149" t="inlineStr">
        <is>
          <t>Very Important</t>
        </is>
      </c>
      <c r="E54" s="111" t="inlineStr">
        <is>
          <t>Deploy / Caddy</t>
        </is>
      </c>
      <c r="F54" s="134" t="n">
        <v>1.5</v>
      </c>
      <c r="G54" s="135" t="inlineStr">
        <is>
          <t>Not Started</t>
        </is>
      </c>
    </row>
    <row r="55" ht="21.75" customHeight="1" s="85">
      <c r="A55" s="130" t="inlineStr">
        <is>
          <t>INF-FIX-002</t>
        </is>
      </c>
      <c r="B55" s="131" t="inlineStr">
        <is>
          <t>CORS allowed origins for production</t>
        </is>
      </c>
      <c r="C55" s="138" t="inlineStr">
        <is>
          <t>Fixing Feature</t>
        </is>
      </c>
      <c r="D55" s="149" t="inlineStr">
        <is>
          <t>Very Important</t>
        </is>
      </c>
      <c r="E55" s="111" t="inlineStr">
        <is>
          <t>Deploy</t>
        </is>
      </c>
      <c r="F55" s="134" t="n">
        <v>0.5</v>
      </c>
      <c r="G55" s="135" t="inlineStr">
        <is>
          <t>Not Started</t>
        </is>
      </c>
    </row>
    <row r="56" ht="21.75" customHeight="1" s="85">
      <c r="A56" s="130" t="inlineStr">
        <is>
          <t>INF-ADD-001</t>
        </is>
      </c>
      <c r="B56" s="131" t="inlineStr">
        <is>
          <t>Three simulation databases (HSM PostgreSQL, Inspection MySQL, QMS SQL Server)</t>
        </is>
      </c>
      <c r="C56" s="136" t="inlineStr">
        <is>
          <t>Adding Feature</t>
        </is>
      </c>
      <c r="D56" s="149" t="inlineStr">
        <is>
          <t>Very Important</t>
        </is>
      </c>
      <c r="E56" s="111" t="inlineStr">
        <is>
          <t>Demo Environment</t>
        </is>
      </c>
      <c r="F56" s="134" t="n">
        <v>6</v>
      </c>
      <c r="G56" s="135" t="inlineStr">
        <is>
          <t>Not Started</t>
        </is>
      </c>
    </row>
    <row r="57" ht="21.75" customHeight="1" s="85">
      <c r="A57" s="130" t="inlineStr">
        <is>
          <t>INF-FIX-003</t>
        </is>
      </c>
      <c r="B57" s="131" t="inlineStr">
        <is>
          <t>Jenkinsfile email placeholder</t>
        </is>
      </c>
      <c r="C57" s="138" t="inlineStr">
        <is>
          <t>Fixing Feature</t>
        </is>
      </c>
      <c r="D57" s="151" t="inlineStr">
        <is>
          <t>Normal</t>
        </is>
      </c>
      <c r="E57" s="111" t="inlineStr">
        <is>
          <t>CICD</t>
        </is>
      </c>
      <c r="F57" s="134" t="n">
        <v>0.1</v>
      </c>
      <c r="G57" s="135" t="inlineStr">
        <is>
          <t>Not Started</t>
        </is>
      </c>
    </row>
    <row r="59" ht="25.5" customHeight="1" s="85">
      <c r="A59" s="156" t="inlineStr">
        <is>
          <t>Database (4 tasks, 3.6h)</t>
        </is>
      </c>
      <c r="B59" s="127" t="n"/>
      <c r="C59" s="127" t="n"/>
      <c r="D59" s="127" t="n"/>
      <c r="E59" s="127" t="n"/>
      <c r="F59" s="127" t="n"/>
      <c r="G59" s="128" t="n"/>
    </row>
    <row r="60" ht="24" customHeight="1" s="85">
      <c r="A60" s="129" t="inlineStr">
        <is>
          <t>Task ID</t>
        </is>
      </c>
      <c r="B60" s="129" t="inlineStr">
        <is>
          <t>Task Name</t>
        </is>
      </c>
      <c r="C60" s="129" t="inlineStr">
        <is>
          <t>Category</t>
        </is>
      </c>
      <c r="D60" s="129" t="inlineStr">
        <is>
          <t>Priority</t>
        </is>
      </c>
      <c r="E60" s="129" t="inlineStr">
        <is>
          <t>Submodule</t>
        </is>
      </c>
      <c r="F60" s="129" t="inlineStr">
        <is>
          <t>Effort</t>
        </is>
      </c>
      <c r="G60" s="129" t="inlineStr">
        <is>
          <t>Status</t>
        </is>
      </c>
    </row>
    <row r="61" ht="21.75" customHeight="1" s="85">
      <c r="A61" s="130" t="inlineStr">
        <is>
          <t>DB-FIX-001</t>
        </is>
      </c>
      <c r="B61" s="131" t="inlineStr">
        <is>
          <t>Empty 080 SQL migration file cleanup</t>
        </is>
      </c>
      <c r="C61" s="138" t="inlineStr">
        <is>
          <t>Fixing Feature</t>
        </is>
      </c>
      <c r="D61" s="151" t="inlineStr">
        <is>
          <t>Normal</t>
        </is>
      </c>
      <c r="E61" s="111" t="inlineStr">
        <is>
          <t>Scripts</t>
        </is>
      </c>
      <c r="F61" s="134" t="n">
        <v>0.1</v>
      </c>
      <c r="G61" s="135" t="inlineStr">
        <is>
          <t>Not Started</t>
        </is>
      </c>
    </row>
    <row r="62" ht="21.75" customHeight="1" s="85">
      <c r="A62" s="130" t="inlineStr">
        <is>
          <t>DB-ADD-001</t>
        </is>
      </c>
      <c r="B62" s="131" t="inlineStr">
        <is>
          <t>Simulation database schemas (HSM)</t>
        </is>
      </c>
      <c r="C62" s="136" t="inlineStr">
        <is>
          <t>Adding Feature</t>
        </is>
      </c>
      <c r="D62" s="149" t="inlineStr">
        <is>
          <t>Very Important</t>
        </is>
      </c>
      <c r="E62" s="111" t="inlineStr">
        <is>
          <t>Demo / HSM</t>
        </is>
      </c>
      <c r="F62" s="134" t="n">
        <v>1</v>
      </c>
      <c r="G62" s="135" t="inlineStr">
        <is>
          <t>Not Started</t>
        </is>
      </c>
    </row>
    <row r="63" ht="21.75" customHeight="1" s="85">
      <c r="A63" s="130" t="inlineStr">
        <is>
          <t>DB-ADD-002</t>
        </is>
      </c>
      <c r="B63" s="131" t="inlineStr">
        <is>
          <t>Simulation database schemas (Inspection)</t>
        </is>
      </c>
      <c r="C63" s="136" t="inlineStr">
        <is>
          <t>Adding Feature</t>
        </is>
      </c>
      <c r="D63" s="149" t="inlineStr">
        <is>
          <t>Very Important</t>
        </is>
      </c>
      <c r="E63" s="111" t="inlineStr">
        <is>
          <t>Demo / Inspection</t>
        </is>
      </c>
      <c r="F63" s="134" t="n">
        <v>1</v>
      </c>
      <c r="G63" s="135" t="inlineStr">
        <is>
          <t>Not Started</t>
        </is>
      </c>
    </row>
    <row r="64" ht="21.75" customHeight="1" s="85">
      <c r="A64" s="130" t="inlineStr">
        <is>
          <t>DB-ADD-003</t>
        </is>
      </c>
      <c r="B64" s="131" t="inlineStr">
        <is>
          <t>Simulation database schemas (QMS)</t>
        </is>
      </c>
      <c r="C64" s="136" t="inlineStr">
        <is>
          <t>Adding Feature</t>
        </is>
      </c>
      <c r="D64" s="149" t="inlineStr">
        <is>
          <t>Very Important</t>
        </is>
      </c>
      <c r="E64" s="111" t="inlineStr">
        <is>
          <t>Demo / QMS</t>
        </is>
      </c>
      <c r="F64" s="134" t="n">
        <v>1.5</v>
      </c>
      <c r="G64" s="135" t="inlineStr">
        <is>
          <t>Not Started</t>
        </is>
      </c>
    </row>
    <row r="66" ht="25.5" customHeight="1" s="85">
      <c r="A66" s="157" t="inlineStr">
        <is>
          <t>Website (2 tasks, 1.5h)</t>
        </is>
      </c>
      <c r="B66" s="127" t="n"/>
      <c r="C66" s="127" t="n"/>
      <c r="D66" s="127" t="n"/>
      <c r="E66" s="127" t="n"/>
      <c r="F66" s="127" t="n"/>
      <c r="G66" s="128" t="n"/>
    </row>
    <row r="67" ht="24" customHeight="1" s="85">
      <c r="A67" s="129" t="inlineStr">
        <is>
          <t>Task ID</t>
        </is>
      </c>
      <c r="B67" s="129" t="inlineStr">
        <is>
          <t>Task Name</t>
        </is>
      </c>
      <c r="C67" s="129" t="inlineStr">
        <is>
          <t>Category</t>
        </is>
      </c>
      <c r="D67" s="129" t="inlineStr">
        <is>
          <t>Priority</t>
        </is>
      </c>
      <c r="E67" s="129" t="inlineStr">
        <is>
          <t>Submodule</t>
        </is>
      </c>
      <c r="F67" s="129" t="inlineStr">
        <is>
          <t>Effort</t>
        </is>
      </c>
      <c r="G67" s="129" t="inlineStr">
        <is>
          <t>Status</t>
        </is>
      </c>
    </row>
    <row r="68" ht="21.75" customHeight="1" s="85">
      <c r="A68" s="130" t="inlineStr">
        <is>
          <t>WEB-ADD-001</t>
        </is>
      </c>
      <c r="B68" s="131" t="inlineStr">
        <is>
          <t>Hero homepage screenshot replacement</t>
        </is>
      </c>
      <c r="C68" s="136" t="inlineStr">
        <is>
          <t>Adding Feature</t>
        </is>
      </c>
      <c r="D68" s="151" t="inlineStr">
        <is>
          <t>Normal</t>
        </is>
      </c>
      <c r="E68" s="111" t="inlineStr">
        <is>
          <t>Homepage</t>
        </is>
      </c>
      <c r="F68" s="134" t="n">
        <v>1</v>
      </c>
      <c r="G68" s="135" t="inlineStr">
        <is>
          <t>Not Started</t>
        </is>
      </c>
    </row>
    <row r="69" ht="21.75" customHeight="1" s="85">
      <c r="A69" s="130" t="inlineStr">
        <is>
          <t>WEB-ADD-002</t>
        </is>
      </c>
      <c r="B69" s="131" t="inlineStr">
        <is>
          <t>Demo-request mailto/calendar CTA</t>
        </is>
      </c>
      <c r="C69" s="136" t="inlineStr">
        <is>
          <t>Adding Feature</t>
        </is>
      </c>
      <c r="D69" s="151" t="inlineStr">
        <is>
          <t>Normal</t>
        </is>
      </c>
      <c r="E69" s="111" t="inlineStr">
        <is>
          <t>Contact</t>
        </is>
      </c>
      <c r="F69" s="134" t="n">
        <v>0.5</v>
      </c>
      <c r="G69" s="135" t="inlineStr">
        <is>
          <t>Not Started</t>
        </is>
      </c>
    </row>
    <row r="71" ht="25.5" customHeight="1" s="85">
      <c r="A71" s="158" t="inlineStr">
        <is>
          <t>Documentation (6 tasks, 14.0h)</t>
        </is>
      </c>
      <c r="B71" s="127" t="n"/>
      <c r="C71" s="127" t="n"/>
      <c r="D71" s="127" t="n"/>
      <c r="E71" s="127" t="n"/>
      <c r="F71" s="127" t="n"/>
      <c r="G71" s="128" t="n"/>
    </row>
    <row r="72" ht="24" customHeight="1" s="85">
      <c r="A72" s="129" t="inlineStr">
        <is>
          <t>Task ID</t>
        </is>
      </c>
      <c r="B72" s="129" t="inlineStr">
        <is>
          <t>Task Name</t>
        </is>
      </c>
      <c r="C72" s="129" t="inlineStr">
        <is>
          <t>Category</t>
        </is>
      </c>
      <c r="D72" s="129" t="inlineStr">
        <is>
          <t>Priority</t>
        </is>
      </c>
      <c r="E72" s="129" t="inlineStr">
        <is>
          <t>Submodule</t>
        </is>
      </c>
      <c r="F72" s="129" t="inlineStr">
        <is>
          <t>Effort</t>
        </is>
      </c>
      <c r="G72" s="129" t="inlineStr">
        <is>
          <t>Status</t>
        </is>
      </c>
    </row>
    <row r="73" ht="21.75" customHeight="1" s="85">
      <c r="A73" s="130" t="inlineStr">
        <is>
          <t>DOC-001</t>
        </is>
      </c>
      <c r="B73" s="131" t="inlineStr">
        <is>
          <t>Rewrite Status Audit Report (retire outdated version)</t>
        </is>
      </c>
      <c r="C73" s="132" t="inlineStr">
        <is>
          <t>Hardening</t>
        </is>
      </c>
      <c r="D73" s="149" t="inlineStr">
        <is>
          <t>Very Important</t>
        </is>
      </c>
      <c r="E73" s="111" t="inlineStr">
        <is>
          <t>Brand / Sales</t>
        </is>
      </c>
      <c r="F73" s="134" t="n">
        <v>2</v>
      </c>
      <c r="G73" s="135" t="inlineStr">
        <is>
          <t>Not Started</t>
        </is>
      </c>
    </row>
    <row r="74" ht="21.75" customHeight="1" s="85">
      <c r="A74" s="130" t="inlineStr">
        <is>
          <t>DOC-002</t>
        </is>
      </c>
      <c r="B74" s="131" t="inlineStr">
        <is>
          <t>15-step demo script with narration</t>
        </is>
      </c>
      <c r="C74" s="136" t="inlineStr">
        <is>
          <t>Adding Feature</t>
        </is>
      </c>
      <c r="D74" s="149" t="inlineStr">
        <is>
          <t>Very Important</t>
        </is>
      </c>
      <c r="E74" s="111" t="inlineStr">
        <is>
          <t>Sales / Demo</t>
        </is>
      </c>
      <c r="F74" s="134" t="n">
        <v>2</v>
      </c>
      <c r="G74" s="135" t="inlineStr">
        <is>
          <t>Not Started</t>
        </is>
      </c>
    </row>
    <row r="75" ht="21.75" customHeight="1" s="85">
      <c r="A75" s="130" t="inlineStr">
        <is>
          <t>DOC-003</t>
        </is>
      </c>
      <c r="B75" s="131" t="inlineStr">
        <is>
          <t>NDA + Data Processing Statement template</t>
        </is>
      </c>
      <c r="C75" s="136" t="inlineStr">
        <is>
          <t>Adding Feature</t>
        </is>
      </c>
      <c r="D75" s="149" t="inlineStr">
        <is>
          <t>Very Important</t>
        </is>
      </c>
      <c r="E75" s="111" t="inlineStr">
        <is>
          <t>Legal</t>
        </is>
      </c>
      <c r="F75" s="134" t="n">
        <v>3</v>
      </c>
      <c r="G75" s="135" t="inlineStr">
        <is>
          <t>Not Started</t>
        </is>
      </c>
    </row>
    <row r="76" ht="21.75" customHeight="1" s="85">
      <c r="A76" s="130" t="inlineStr">
        <is>
          <t>DOC-004</t>
        </is>
      </c>
      <c r="B76" s="131" t="inlineStr">
        <is>
          <t>Diagnostic SOW template</t>
        </is>
      </c>
      <c r="C76" s="136" t="inlineStr">
        <is>
          <t>Adding Feature</t>
        </is>
      </c>
      <c r="D76" s="149" t="inlineStr">
        <is>
          <t>Very Important</t>
        </is>
      </c>
      <c r="E76" s="111" t="inlineStr">
        <is>
          <t>Sales</t>
        </is>
      </c>
      <c r="F76" s="134" t="n">
        <v>3</v>
      </c>
      <c r="G76" s="135" t="inlineStr">
        <is>
          <t>Not Started</t>
        </is>
      </c>
    </row>
    <row r="77" ht="21.75" customHeight="1" s="85">
      <c r="A77" s="130" t="inlineStr">
        <is>
          <t>DOC-005</t>
        </is>
      </c>
      <c r="B77" s="131" t="inlineStr">
        <is>
          <t>Live-demo recovery lines rehearsal</t>
        </is>
      </c>
      <c r="C77" s="132" t="inlineStr">
        <is>
          <t>Hardening</t>
        </is>
      </c>
      <c r="D77" s="149" t="inlineStr">
        <is>
          <t>Very Important</t>
        </is>
      </c>
      <c r="E77" s="111" t="inlineStr">
        <is>
          <t>Demo</t>
        </is>
      </c>
      <c r="F77" s="134" t="n">
        <v>1</v>
      </c>
      <c r="G77" s="135" t="inlineStr">
        <is>
          <t>Not Started</t>
        </is>
      </c>
    </row>
    <row r="78" ht="21.75" customHeight="1" s="85">
      <c r="A78" s="130" t="inlineStr">
        <is>
          <t>DOC-006</t>
        </is>
      </c>
      <c r="B78" s="131" t="inlineStr">
        <is>
          <t>Backup demo video recording</t>
        </is>
      </c>
      <c r="C78" s="136" t="inlineStr">
        <is>
          <t>Adding Feature</t>
        </is>
      </c>
      <c r="D78" s="149" t="inlineStr">
        <is>
          <t>Very Important</t>
        </is>
      </c>
      <c r="E78" s="111" t="inlineStr">
        <is>
          <t>Demo</t>
        </is>
      </c>
      <c r="F78" s="134" t="n">
        <v>3</v>
      </c>
      <c r="G78" s="135" t="inlineStr">
        <is>
          <t>Not Started</t>
        </is>
      </c>
    </row>
  </sheetData>
  <mergeCells count="9">
    <mergeCell ref="A66:G66"/>
    <mergeCell ref="A1:G1"/>
    <mergeCell ref="A17:G17"/>
    <mergeCell ref="A4:G4"/>
    <mergeCell ref="A2:G2"/>
    <mergeCell ref="A52:G52"/>
    <mergeCell ref="A59:G59"/>
    <mergeCell ref="A43:G43"/>
    <mergeCell ref="A71:G71"/>
  </mergeCells>
  <printOptions horizontalCentered="0" verticalCentered="0" headings="0" gridLines="0" gridLinesSet="1"/>
  <pageMargins left="0.4" right="0.4" top="0.5" bottom="0.5" header="0.3" footer="0.3"/>
  <pageSetup orientation="landscape" paperSize="9" scale="100" fitToHeight="0"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1"/>
  </sheetPr>
  <dimension ref="A1:G66"/>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4" customWidth="1" style="84" min="1" max="1"/>
    <col width="50" customWidth="1" style="84" min="2" max="2"/>
    <col width="18" customWidth="1" style="84" min="3" max="4"/>
    <col width="22" customWidth="1" style="84" min="5" max="5"/>
    <col width="10" customWidth="1" style="84" min="6" max="6"/>
    <col width="14" customWidth="1" style="84" min="7" max="7"/>
  </cols>
  <sheetData>
    <row r="1" ht="22.05" customHeight="1" s="85">
      <c r="A1" s="124" t="inlineStr">
        <is>
          <t>Tasks Grouped By Category</t>
        </is>
      </c>
    </row>
    <row r="2" ht="24" customHeight="1" s="85">
      <c r="A2" s="125" t="inlineStr">
        <is>
          <t>Hardening: protect what exists. Fixing Feature: fix a real bug or correctness issue. Adding Feature: net-new capability.</t>
        </is>
      </c>
    </row>
    <row r="4" ht="25.5" customHeight="1" s="85">
      <c r="A4" s="159" t="inlineStr">
        <is>
          <t>Hardening (28 tasks, 112.5h)</t>
        </is>
      </c>
      <c r="B4" s="127" t="n"/>
      <c r="C4" s="127" t="n"/>
      <c r="D4" s="127" t="n"/>
      <c r="E4" s="127" t="n"/>
      <c r="F4" s="127" t="n"/>
      <c r="G4" s="128" t="n"/>
    </row>
    <row r="5" ht="24" customHeight="1" s="85">
      <c r="A5" s="129" t="inlineStr">
        <is>
          <t>Task ID</t>
        </is>
      </c>
      <c r="B5" s="129" t="inlineStr">
        <is>
          <t>Task Name</t>
        </is>
      </c>
      <c r="C5" s="129" t="inlineStr">
        <is>
          <t>Priority</t>
        </is>
      </c>
      <c r="D5" s="129" t="inlineStr">
        <is>
          <t>Module</t>
        </is>
      </c>
      <c r="E5" s="129" t="inlineStr">
        <is>
          <t>Submodule</t>
        </is>
      </c>
      <c r="F5" s="129" t="inlineStr">
        <is>
          <t>Effort</t>
        </is>
      </c>
      <c r="G5" s="129" t="inlineStr">
        <is>
          <t>Status</t>
        </is>
      </c>
    </row>
    <row r="6" ht="21.75" customHeight="1" s="85">
      <c r="A6" s="130" t="inlineStr">
        <is>
          <t>FE-HARD-001</t>
        </is>
      </c>
      <c r="B6" s="131" t="inlineStr">
        <is>
          <t>Global ErrorBoundary component</t>
        </is>
      </c>
      <c r="C6" s="148" t="inlineStr">
        <is>
          <t>Critical</t>
        </is>
      </c>
      <c r="D6" s="133" t="inlineStr">
        <is>
          <t>Frontend</t>
        </is>
      </c>
      <c r="E6" s="111" t="inlineStr">
        <is>
          <t>Common</t>
        </is>
      </c>
      <c r="F6" s="134" t="n">
        <v>2</v>
      </c>
      <c r="G6" s="135" t="inlineStr">
        <is>
          <t>Not Started</t>
        </is>
      </c>
    </row>
    <row r="7" ht="21.75" customHeight="1" s="85">
      <c r="A7" s="130" t="inlineStr">
        <is>
          <t>FE-HARD-002</t>
        </is>
      </c>
      <c r="B7" s="131" t="inlineStr">
        <is>
          <t>Toast notification system (sonner)</t>
        </is>
      </c>
      <c r="C7" s="148" t="inlineStr">
        <is>
          <t>Critical</t>
        </is>
      </c>
      <c r="D7" s="133" t="inlineStr">
        <is>
          <t>Frontend</t>
        </is>
      </c>
      <c r="E7" s="111" t="inlineStr">
        <is>
          <t>Common / ApiClient</t>
        </is>
      </c>
      <c r="F7" s="134" t="n">
        <v>3</v>
      </c>
      <c r="G7" s="135" t="inlineStr">
        <is>
          <t>Not Started</t>
        </is>
      </c>
    </row>
    <row r="8" ht="21.75" customHeight="1" s="85">
      <c r="A8" s="130" t="inlineStr">
        <is>
          <t>FE-HARD-003</t>
        </is>
      </c>
      <c r="B8" s="131" t="inlineStr">
        <is>
          <t>API timeout reduction + idempotent retry</t>
        </is>
      </c>
      <c r="C8" s="148" t="inlineStr">
        <is>
          <t>Critical</t>
        </is>
      </c>
      <c r="D8" s="133" t="inlineStr">
        <is>
          <t>Frontend</t>
        </is>
      </c>
      <c r="E8" s="111" t="inlineStr">
        <is>
          <t>ApiClient</t>
        </is>
      </c>
      <c r="F8" s="134" t="n">
        <v>1.5</v>
      </c>
      <c r="G8" s="135" t="inlineStr">
        <is>
          <t>Not Started</t>
        </is>
      </c>
    </row>
    <row r="9" ht="21.75" customHeight="1" s="85">
      <c r="A9" s="130" t="inlineStr">
        <is>
          <t>FE-HARD-004</t>
        </is>
      </c>
      <c r="B9" s="131" t="inlineStr">
        <is>
          <t>Loading skeleton components (replace LoadingPanel inside pages)</t>
        </is>
      </c>
      <c r="C9" s="149" t="inlineStr">
        <is>
          <t>Very Important</t>
        </is>
      </c>
      <c r="D9" s="133" t="inlineStr">
        <is>
          <t>Frontend</t>
        </is>
      </c>
      <c r="E9" s="111" t="inlineStr">
        <is>
          <t>Common</t>
        </is>
      </c>
      <c r="F9" s="134" t="n">
        <v>6</v>
      </c>
      <c r="G9" s="135" t="inlineStr">
        <is>
          <t>Not Started</t>
        </is>
      </c>
    </row>
    <row r="10" ht="21.75" customHeight="1" s="85">
      <c r="A10" s="130" t="inlineStr">
        <is>
          <t>FE-HARD-005</t>
        </is>
      </c>
      <c r="B10" s="131" t="inlineStr">
        <is>
          <t>Optimistic save UI on all admin and dashboard forms</t>
        </is>
      </c>
      <c r="C10" s="149" t="inlineStr">
        <is>
          <t>Very Important</t>
        </is>
      </c>
      <c r="D10" s="133" t="inlineStr">
        <is>
          <t>Frontend</t>
        </is>
      </c>
      <c r="E10" s="111" t="inlineStr">
        <is>
          <t>Admin / Dashboard</t>
        </is>
      </c>
      <c r="F10" s="134" t="n">
        <v>4</v>
      </c>
      <c r="G10" s="135" t="inlineStr">
        <is>
          <t>Not Started</t>
        </is>
      </c>
    </row>
    <row r="11" ht="21.75" customHeight="1" s="85">
      <c r="A11" s="130" t="inlineStr">
        <is>
          <t>BE-HARD-002</t>
        </is>
      </c>
      <c r="B11" s="131" t="inlineStr">
        <is>
          <t>InvestigateMaterial pagination</t>
        </is>
      </c>
      <c r="C11" s="149" t="inlineStr">
        <is>
          <t>Very Important</t>
        </is>
      </c>
      <c r="D11" s="137" t="inlineStr">
        <is>
          <t>Backend</t>
        </is>
      </c>
      <c r="E11" s="111" t="inlineStr">
        <is>
          <t>Api / Workflow</t>
        </is>
      </c>
      <c r="F11" s="134" t="n">
        <v>1.5</v>
      </c>
      <c r="G11" s="135" t="inlineStr">
        <is>
          <t>Not Started</t>
        </is>
      </c>
    </row>
    <row r="12" ht="21.75" customHeight="1" s="85">
      <c r="A12" s="130" t="inlineStr">
        <is>
          <t>FE-HARD-006</t>
        </is>
      </c>
      <c r="B12" s="131" t="inlineStr">
        <is>
          <t>Dashboard widget memoization audit</t>
        </is>
      </c>
      <c r="C12" s="149" t="inlineStr">
        <is>
          <t>Very Important</t>
        </is>
      </c>
      <c r="D12" s="133" t="inlineStr">
        <is>
          <t>Frontend</t>
        </is>
      </c>
      <c r="E12" s="111" t="inlineStr">
        <is>
          <t>Dashboard</t>
        </is>
      </c>
      <c r="F12" s="134" t="n">
        <v>4</v>
      </c>
      <c r="G12" s="135" t="inlineStr">
        <is>
          <t>Not Started</t>
        </is>
      </c>
    </row>
    <row r="13" ht="21.75" customHeight="1" s="85">
      <c r="A13" s="130" t="inlineStr">
        <is>
          <t>FE-HARD-007</t>
        </is>
      </c>
      <c r="B13" s="131" t="inlineStr">
        <is>
          <t>SortableDataTable virtualization for &gt;200 rows</t>
        </is>
      </c>
      <c r="C13" s="150" t="inlineStr">
        <is>
          <t>Important</t>
        </is>
      </c>
      <c r="D13" s="133" t="inlineStr">
        <is>
          <t>Frontend</t>
        </is>
      </c>
      <c r="E13" s="111" t="inlineStr">
        <is>
          <t>Common</t>
        </is>
      </c>
      <c r="F13" s="134" t="n">
        <v>3</v>
      </c>
      <c r="G13" s="135" t="inlineStr">
        <is>
          <t>Not Started</t>
        </is>
      </c>
    </row>
    <row r="14" ht="21.75" customHeight="1" s="85">
      <c r="A14" s="130" t="inlineStr">
        <is>
          <t>FE-HARD-008</t>
        </is>
      </c>
      <c r="B14" s="131" t="inlineStr">
        <is>
          <t>Bundle size CI check</t>
        </is>
      </c>
      <c r="C14" s="150" t="inlineStr">
        <is>
          <t>Important</t>
        </is>
      </c>
      <c r="D14" s="140" t="inlineStr">
        <is>
          <t>Fullstack</t>
        </is>
      </c>
      <c r="E14" s="111" t="inlineStr">
        <is>
          <t>Frontend / CICD</t>
        </is>
      </c>
      <c r="F14" s="134" t="n">
        <v>3</v>
      </c>
      <c r="G14" s="135" t="inlineStr">
        <is>
          <t>Not Started</t>
        </is>
      </c>
    </row>
    <row r="15" ht="21.75" customHeight="1" s="85">
      <c r="A15" s="130" t="inlineStr">
        <is>
          <t>FE-HARD-009</t>
        </is>
      </c>
      <c r="B15" s="131" t="inlineStr">
        <is>
          <t>Drag-drop smoothness profiling and optimization</t>
        </is>
      </c>
      <c r="C15" s="150" t="inlineStr">
        <is>
          <t>Important</t>
        </is>
      </c>
      <c r="D15" s="133" t="inlineStr">
        <is>
          <t>Frontend</t>
        </is>
      </c>
      <c r="E15" s="111" t="inlineStr">
        <is>
          <t>Dashboard / WidgetBuilder</t>
        </is>
      </c>
      <c r="F15" s="134" t="n">
        <v>4</v>
      </c>
      <c r="G15" s="135" t="inlineStr">
        <is>
          <t>Not Started</t>
        </is>
      </c>
    </row>
    <row r="16" ht="21.75" customHeight="1" s="85">
      <c r="A16" s="130" t="inlineStr">
        <is>
          <t>FE-HARD-010</t>
        </is>
      </c>
      <c r="B16" s="131" t="inlineStr">
        <is>
          <t>Six failure modes — consistency audit</t>
        </is>
      </c>
      <c r="C16" s="149" t="inlineStr">
        <is>
          <t>Very Important</t>
        </is>
      </c>
      <c r="D16" s="133" t="inlineStr">
        <is>
          <t>Frontend</t>
        </is>
      </c>
      <c r="E16" s="111" t="inlineStr">
        <is>
          <t>Common</t>
        </is>
      </c>
      <c r="F16" s="134" t="n">
        <v>6</v>
      </c>
      <c r="G16" s="135" t="inlineStr">
        <is>
          <t>Not Started</t>
        </is>
      </c>
    </row>
    <row r="17" ht="21.75" customHeight="1" s="85">
      <c r="A17" s="130" t="inlineStr">
        <is>
          <t>FE-HARD-011</t>
        </is>
      </c>
      <c r="B17" s="131" t="inlineStr">
        <is>
          <t>License gate UX verification (LockedFeatureOverlay)</t>
        </is>
      </c>
      <c r="C17" s="150" t="inlineStr">
        <is>
          <t>Important</t>
        </is>
      </c>
      <c r="D17" s="133" t="inlineStr">
        <is>
          <t>Frontend</t>
        </is>
      </c>
      <c r="E17" s="111" t="inlineStr">
        <is>
          <t>License</t>
        </is>
      </c>
      <c r="F17" s="134" t="n">
        <v>1</v>
      </c>
      <c r="G17" s="135" t="inlineStr">
        <is>
          <t>Not Started</t>
        </is>
      </c>
    </row>
    <row r="18" ht="21.75" customHeight="1" s="85">
      <c r="A18" s="130" t="inlineStr">
        <is>
          <t>FE-HARD-012</t>
        </is>
      </c>
      <c r="B18" s="131" t="inlineStr">
        <is>
          <t>Empty/Loading/Error state separation audit</t>
        </is>
      </c>
      <c r="C18" s="149" t="inlineStr">
        <is>
          <t>Very Important</t>
        </is>
      </c>
      <c r="D18" s="133" t="inlineStr">
        <is>
          <t>Frontend</t>
        </is>
      </c>
      <c r="E18" s="111" t="inlineStr">
        <is>
          <t>Common</t>
        </is>
      </c>
      <c r="F18" s="134" t="n">
        <v>4</v>
      </c>
      <c r="G18" s="135" t="inlineStr">
        <is>
          <t>Not Started</t>
        </is>
      </c>
    </row>
    <row r="19" ht="21.75" customHeight="1" s="85">
      <c r="A19" s="130" t="inlineStr">
        <is>
          <t>FE-HARD-013</t>
        </is>
      </c>
      <c r="B19" s="131" t="inlineStr">
        <is>
          <t>Inline form validation on all admin forms</t>
        </is>
      </c>
      <c r="C19" s="150" t="inlineStr">
        <is>
          <t>Important</t>
        </is>
      </c>
      <c r="D19" s="133" t="inlineStr">
        <is>
          <t>Frontend</t>
        </is>
      </c>
      <c r="E19" s="111" t="inlineStr">
        <is>
          <t>Admin</t>
        </is>
      </c>
      <c r="F19" s="134" t="n">
        <v>4</v>
      </c>
      <c r="G19" s="135" t="inlineStr">
        <is>
          <t>Not Started</t>
        </is>
      </c>
    </row>
    <row r="20" ht="21.75" customHeight="1" s="85">
      <c r="A20" s="130" t="inlineStr">
        <is>
          <t>FE-HARD-014</t>
        </is>
      </c>
      <c r="B20" s="131" t="inlineStr">
        <is>
          <t>Stale-state protection on Jobs Monitor polling</t>
        </is>
      </c>
      <c r="C20" s="150" t="inlineStr">
        <is>
          <t>Important</t>
        </is>
      </c>
      <c r="D20" s="133" t="inlineStr">
        <is>
          <t>Frontend</t>
        </is>
      </c>
      <c r="E20" s="111" t="inlineStr">
        <is>
          <t>Admin / JobsMonitor</t>
        </is>
      </c>
      <c r="F20" s="134" t="n">
        <v>2</v>
      </c>
      <c r="G20" s="135" t="inlineStr">
        <is>
          <t>Not Started</t>
        </is>
      </c>
    </row>
    <row r="21" ht="21.75" customHeight="1" s="85">
      <c r="A21" s="130" t="inlineStr">
        <is>
          <t>FE-HARD-015</t>
        </is>
      </c>
      <c r="B21" s="131" t="inlineStr">
        <is>
          <t>WidgetBuilderWizardContent — focused QA pass</t>
        </is>
      </c>
      <c r="C21" s="149" t="inlineStr">
        <is>
          <t>Very Important</t>
        </is>
      </c>
      <c r="D21" s="133" t="inlineStr">
        <is>
          <t>Frontend</t>
        </is>
      </c>
      <c r="E21" s="111" t="inlineStr">
        <is>
          <t>Widget</t>
        </is>
      </c>
      <c r="F21" s="134" t="n">
        <v>6</v>
      </c>
      <c r="G21" s="135" t="inlineStr">
        <is>
          <t>Not Started</t>
        </is>
      </c>
    </row>
    <row r="22" ht="21.75" customHeight="1" s="85">
      <c r="A22" s="130" t="inlineStr">
        <is>
          <t>FE-HARD-016</t>
        </is>
      </c>
      <c r="B22" s="131" t="inlineStr">
        <is>
          <t>AdminDbConfigurationTab — focused QA pass</t>
        </is>
      </c>
      <c r="C22" s="149" t="inlineStr">
        <is>
          <t>Very Important</t>
        </is>
      </c>
      <c r="D22" s="133" t="inlineStr">
        <is>
          <t>Frontend</t>
        </is>
      </c>
      <c r="E22" s="111" t="inlineStr">
        <is>
          <t>Admin</t>
        </is>
      </c>
      <c r="F22" s="134" t="n">
        <v>4</v>
      </c>
      <c r="G22" s="135" t="inlineStr">
        <is>
          <t>Not Started</t>
        </is>
      </c>
    </row>
    <row r="23" ht="21.75" customHeight="1" s="85">
      <c r="A23" s="130" t="inlineStr">
        <is>
          <t>FE-HARD-017</t>
        </is>
      </c>
      <c r="B23" s="131" t="inlineStr">
        <is>
          <t>AdminSchemaConfigurationTab — focused QA pass</t>
        </is>
      </c>
      <c r="C23" s="149" t="inlineStr">
        <is>
          <t>Very Important</t>
        </is>
      </c>
      <c r="D23" s="133" t="inlineStr">
        <is>
          <t>Frontend</t>
        </is>
      </c>
      <c r="E23" s="111" t="inlineStr">
        <is>
          <t>Admin</t>
        </is>
      </c>
      <c r="F23" s="134" t="n">
        <v>4</v>
      </c>
      <c r="G23" s="135" t="inlineStr">
        <is>
          <t>Not Started</t>
        </is>
      </c>
    </row>
    <row r="24" ht="21.75" customHeight="1" s="85">
      <c r="A24" s="130" t="inlineStr">
        <is>
          <t>FE-HARD-018</t>
        </is>
      </c>
      <c r="B24" s="131" t="inlineStr">
        <is>
          <t>DashboardPageContent — refresh and filter scenarios</t>
        </is>
      </c>
      <c r="C24" s="150" t="inlineStr">
        <is>
          <t>Important</t>
        </is>
      </c>
      <c r="D24" s="133" t="inlineStr">
        <is>
          <t>Frontend</t>
        </is>
      </c>
      <c r="E24" s="111" t="inlineStr">
        <is>
          <t>Dashboard</t>
        </is>
      </c>
      <c r="F24" s="134" t="n">
        <v>3</v>
      </c>
      <c r="G24" s="135" t="inlineStr">
        <is>
          <t>Not Started</t>
        </is>
      </c>
    </row>
    <row r="25" ht="21.75" customHeight="1" s="85">
      <c r="A25" s="130" t="inlineStr">
        <is>
          <t>FE-HARD-019</t>
        </is>
      </c>
      <c r="B25" s="131" t="inlineStr">
        <is>
          <t>Legacy plantProcessApi.ts contract probe</t>
        </is>
      </c>
      <c r="C25" s="150" t="inlineStr">
        <is>
          <t>Important</t>
        </is>
      </c>
      <c r="D25" s="140" t="inlineStr">
        <is>
          <t>Fullstack</t>
        </is>
      </c>
      <c r="E25" s="111" t="inlineStr">
        <is>
          <t>ApiClient</t>
        </is>
      </c>
      <c r="F25" s="134" t="n">
        <v>4</v>
      </c>
      <c r="G25" s="135" t="inlineStr">
        <is>
          <t>Not Started</t>
        </is>
      </c>
    </row>
    <row r="26" ht="21.75" customHeight="1" s="85">
      <c r="A26" s="130" t="inlineStr">
        <is>
          <t>BE-HARD-003</t>
        </is>
      </c>
      <c r="B26" s="131" t="inlineStr">
        <is>
          <t>Excel connector smoke test → IsAvailableNow flag verification</t>
        </is>
      </c>
      <c r="C26" s="150" t="inlineStr">
        <is>
          <t>Important</t>
        </is>
      </c>
      <c r="D26" s="137" t="inlineStr">
        <is>
          <t>Backend</t>
        </is>
      </c>
      <c r="E26" s="111" t="inlineStr">
        <is>
          <t>Connectors / Excel</t>
        </is>
      </c>
      <c r="F26" s="134" t="n">
        <v>1.5</v>
      </c>
      <c r="G26" s="135" t="inlineStr">
        <is>
          <t>Not Started</t>
        </is>
      </c>
    </row>
    <row r="27" ht="21.75" customHeight="1" s="85">
      <c r="A27" s="130" t="inlineStr">
        <is>
          <t>QA-HARD-001</t>
        </is>
      </c>
      <c r="B27" s="131" t="inlineStr">
        <is>
          <t>Per-page QA matrix execution</t>
        </is>
      </c>
      <c r="C27" s="148" t="inlineStr">
        <is>
          <t>Critical</t>
        </is>
      </c>
      <c r="D27" s="133" t="inlineStr">
        <is>
          <t>Frontend</t>
        </is>
      </c>
      <c r="E27" s="111" t="inlineStr">
        <is>
          <t>QA</t>
        </is>
      </c>
      <c r="F27" s="134" t="n">
        <v>16</v>
      </c>
      <c r="G27" s="135" t="inlineStr">
        <is>
          <t>Not Started</t>
        </is>
      </c>
    </row>
    <row r="28" ht="21.75" customHeight="1" s="85">
      <c r="A28" s="130" t="inlineStr">
        <is>
          <t>QA-HARD-002</t>
        </is>
      </c>
      <c r="B28" s="131" t="inlineStr">
        <is>
          <t>12-scenario stress test with external tester</t>
        </is>
      </c>
      <c r="C28" s="149" t="inlineStr">
        <is>
          <t>Very Important</t>
        </is>
      </c>
      <c r="D28" s="133" t="inlineStr">
        <is>
          <t>Frontend</t>
        </is>
      </c>
      <c r="E28" s="111" t="inlineStr">
        <is>
          <t>QA</t>
        </is>
      </c>
      <c r="F28" s="134" t="n">
        <v>8</v>
      </c>
      <c r="G28" s="135" t="inlineStr">
        <is>
          <t>Not Started</t>
        </is>
      </c>
    </row>
    <row r="29" ht="21.75" customHeight="1" s="85">
      <c r="A29" s="130" t="inlineStr">
        <is>
          <t>FE-HARD-020</t>
        </is>
      </c>
      <c r="B29" s="131" t="inlineStr">
        <is>
          <t>Playwright nav-graph + refresh-survival E2E spec</t>
        </is>
      </c>
      <c r="C29" s="150" t="inlineStr">
        <is>
          <t>Important</t>
        </is>
      </c>
      <c r="D29" s="133" t="inlineStr">
        <is>
          <t>Frontend</t>
        </is>
      </c>
      <c r="E29" s="111" t="inlineStr">
        <is>
          <t>E2E Tests</t>
        </is>
      </c>
      <c r="F29" s="134" t="n">
        <v>4</v>
      </c>
      <c r="G29" s="135" t="inlineStr">
        <is>
          <t>Not Started</t>
        </is>
      </c>
    </row>
    <row r="30" ht="21.75" customHeight="1" s="85">
      <c r="A30" s="130" t="inlineStr">
        <is>
          <t>FE-HARD-021</t>
        </is>
      </c>
      <c r="B30" s="131" t="inlineStr">
        <is>
          <t>Component-level smoke tests for high-risk files</t>
        </is>
      </c>
      <c r="C30" s="150" t="inlineStr">
        <is>
          <t>Important</t>
        </is>
      </c>
      <c r="D30" s="133" t="inlineStr">
        <is>
          <t>Frontend</t>
        </is>
      </c>
      <c r="E30" s="111" t="inlineStr">
        <is>
          <t>Component Tests</t>
        </is>
      </c>
      <c r="F30" s="134" t="n">
        <v>6</v>
      </c>
      <c r="G30" s="135" t="inlineStr">
        <is>
          <t>Not Started</t>
        </is>
      </c>
    </row>
    <row r="31" ht="21.75" customHeight="1" s="85">
      <c r="A31" s="130" t="inlineStr">
        <is>
          <t>FE-HARD-022</t>
        </is>
      </c>
      <c r="B31" s="131" t="inlineStr">
        <is>
          <t>Visual regression baseline (optional but high-leverage)</t>
        </is>
      </c>
      <c r="C31" s="153" t="inlineStr">
        <is>
          <t>Optional</t>
        </is>
      </c>
      <c r="D31" s="133" t="inlineStr">
        <is>
          <t>Frontend</t>
        </is>
      </c>
      <c r="E31" s="111" t="inlineStr">
        <is>
          <t>CI</t>
        </is>
      </c>
      <c r="F31" s="134" t="n">
        <v>4</v>
      </c>
      <c r="G31" s="135" t="inlineStr">
        <is>
          <t>Not Started</t>
        </is>
      </c>
    </row>
    <row r="32" ht="21.75" customHeight="1" s="85">
      <c r="A32" s="130" t="inlineStr">
        <is>
          <t>DOC-001</t>
        </is>
      </c>
      <c r="B32" s="131" t="inlineStr">
        <is>
          <t>Rewrite Status Audit Report (retire outdated version)</t>
        </is>
      </c>
      <c r="C32" s="149" t="inlineStr">
        <is>
          <t>Very Important</t>
        </is>
      </c>
      <c r="D32" s="142" t="inlineStr">
        <is>
          <t>Documentation</t>
        </is>
      </c>
      <c r="E32" s="111" t="inlineStr">
        <is>
          <t>Brand / Sales</t>
        </is>
      </c>
      <c r="F32" s="134" t="n">
        <v>2</v>
      </c>
      <c r="G32" s="135" t="inlineStr">
        <is>
          <t>Not Started</t>
        </is>
      </c>
    </row>
    <row r="33" ht="21.75" customHeight="1" s="85">
      <c r="A33" s="130" t="inlineStr">
        <is>
          <t>DOC-005</t>
        </is>
      </c>
      <c r="B33" s="131" t="inlineStr">
        <is>
          <t>Live-demo recovery lines rehearsal</t>
        </is>
      </c>
      <c r="C33" s="149" t="inlineStr">
        <is>
          <t>Very Important</t>
        </is>
      </c>
      <c r="D33" s="142" t="inlineStr">
        <is>
          <t>Documentation</t>
        </is>
      </c>
      <c r="E33" s="111" t="inlineStr">
        <is>
          <t>Demo</t>
        </is>
      </c>
      <c r="F33" s="134" t="n">
        <v>1</v>
      </c>
      <c r="G33" s="135" t="inlineStr">
        <is>
          <t>Not Started</t>
        </is>
      </c>
    </row>
    <row r="35" ht="25.5" customHeight="1" s="85">
      <c r="A35" s="155" t="inlineStr">
        <is>
          <t>Fixing Feature (7 tasks, 8.7h)</t>
        </is>
      </c>
      <c r="B35" s="127" t="n"/>
      <c r="C35" s="127" t="n"/>
      <c r="D35" s="127" t="n"/>
      <c r="E35" s="127" t="n"/>
      <c r="F35" s="127" t="n"/>
      <c r="G35" s="128" t="n"/>
    </row>
    <row r="36" ht="24" customHeight="1" s="85">
      <c r="A36" s="129" t="inlineStr">
        <is>
          <t>Task ID</t>
        </is>
      </c>
      <c r="B36" s="129" t="inlineStr">
        <is>
          <t>Task Name</t>
        </is>
      </c>
      <c r="C36" s="129" t="inlineStr">
        <is>
          <t>Priority</t>
        </is>
      </c>
      <c r="D36" s="129" t="inlineStr">
        <is>
          <t>Module</t>
        </is>
      </c>
      <c r="E36" s="129" t="inlineStr">
        <is>
          <t>Submodule</t>
        </is>
      </c>
      <c r="F36" s="129" t="inlineStr">
        <is>
          <t>Effort</t>
        </is>
      </c>
      <c r="G36" s="129" t="inlineStr">
        <is>
          <t>Status</t>
        </is>
      </c>
    </row>
    <row r="37" ht="21.75" customHeight="1" s="85">
      <c r="A37" s="130" t="inlineStr">
        <is>
          <t>BE-FIX-001</t>
        </is>
      </c>
      <c r="B37" s="131" t="inlineStr">
        <is>
          <t>Per-source scheduling fix (DeltaImportExecutionService)</t>
        </is>
      </c>
      <c r="C37" s="148" t="inlineStr">
        <is>
          <t>Critical</t>
        </is>
      </c>
      <c r="D37" s="137" t="inlineStr">
        <is>
          <t>Backend</t>
        </is>
      </c>
      <c r="E37" s="111" t="inlineStr">
        <is>
          <t>Workers / Integration</t>
        </is>
      </c>
      <c r="F37" s="134" t="n">
        <v>3</v>
      </c>
      <c r="G37" s="135" t="inlineStr">
        <is>
          <t>Not Started</t>
        </is>
      </c>
    </row>
    <row r="38" ht="21.75" customHeight="1" s="85">
      <c r="A38" s="130" t="inlineStr">
        <is>
          <t>BE-FIX-002</t>
        </is>
      </c>
      <c r="B38" s="131" t="inlineStr">
        <is>
          <t>SafeSqlValidator hardening (functions, joins, schemas, timeout)</t>
        </is>
      </c>
      <c r="C38" s="149" t="inlineStr">
        <is>
          <t>Very Important</t>
        </is>
      </c>
      <c r="D38" s="137" t="inlineStr">
        <is>
          <t>Backend</t>
        </is>
      </c>
      <c r="E38" s="111" t="inlineStr">
        <is>
          <t>Api / Admin / Security</t>
        </is>
      </c>
      <c r="F38" s="134" t="n">
        <v>3</v>
      </c>
      <c r="G38" s="135" t="inlineStr">
        <is>
          <t>Not Started</t>
        </is>
      </c>
    </row>
    <row r="39" ht="21.75" customHeight="1" s="85">
      <c r="A39" s="130" t="inlineStr">
        <is>
          <t>BE-FIX-003</t>
        </is>
      </c>
      <c r="B39" s="131" t="inlineStr">
        <is>
          <t>Stale PlannedProviderDto array fix</t>
        </is>
      </c>
      <c r="C39" s="150" t="inlineStr">
        <is>
          <t>Important</t>
        </is>
      </c>
      <c r="D39" s="137" t="inlineStr">
        <is>
          <t>Backend</t>
        </is>
      </c>
      <c r="E39" s="111" t="inlineStr">
        <is>
          <t>Api / Admin</t>
        </is>
      </c>
      <c r="F39" s="134" t="n">
        <v>0.5</v>
      </c>
      <c r="G39" s="135" t="inlineStr">
        <is>
          <t>Not Started</t>
        </is>
      </c>
    </row>
    <row r="40" ht="21.75" customHeight="1" s="85">
      <c r="A40" s="130" t="inlineStr">
        <is>
          <t>DB-FIX-001</t>
        </is>
      </c>
      <c r="B40" s="131" t="inlineStr">
        <is>
          <t>Empty 080 SQL migration file cleanup</t>
        </is>
      </c>
      <c r="C40" s="151" t="inlineStr">
        <is>
          <t>Normal</t>
        </is>
      </c>
      <c r="D40" s="141" t="inlineStr">
        <is>
          <t>Database</t>
        </is>
      </c>
      <c r="E40" s="111" t="inlineStr">
        <is>
          <t>Scripts</t>
        </is>
      </c>
      <c r="F40" s="134" t="n">
        <v>0.1</v>
      </c>
      <c r="G40" s="135" t="inlineStr">
        <is>
          <t>Not Started</t>
        </is>
      </c>
    </row>
    <row r="41" ht="21.75" customHeight="1" s="85">
      <c r="A41" s="130" t="inlineStr">
        <is>
          <t>INF-FIX-001</t>
        </is>
      </c>
      <c r="B41" s="131" t="inlineStr">
        <is>
          <t>Production .env + Caddyfile (domain-based)</t>
        </is>
      </c>
      <c r="C41" s="149" t="inlineStr">
        <is>
          <t>Very Important</t>
        </is>
      </c>
      <c r="D41" s="138" t="inlineStr">
        <is>
          <t>Infrastructure</t>
        </is>
      </c>
      <c r="E41" s="111" t="inlineStr">
        <is>
          <t>Deploy / Caddy</t>
        </is>
      </c>
      <c r="F41" s="134" t="n">
        <v>1.5</v>
      </c>
      <c r="G41" s="135" t="inlineStr">
        <is>
          <t>Not Started</t>
        </is>
      </c>
    </row>
    <row r="42" ht="21.75" customHeight="1" s="85">
      <c r="A42" s="130" t="inlineStr">
        <is>
          <t>INF-FIX-002</t>
        </is>
      </c>
      <c r="B42" s="131" t="inlineStr">
        <is>
          <t>CORS allowed origins for production</t>
        </is>
      </c>
      <c r="C42" s="149" t="inlineStr">
        <is>
          <t>Very Important</t>
        </is>
      </c>
      <c r="D42" s="138" t="inlineStr">
        <is>
          <t>Infrastructure</t>
        </is>
      </c>
      <c r="E42" s="111" t="inlineStr">
        <is>
          <t>Deploy</t>
        </is>
      </c>
      <c r="F42" s="134" t="n">
        <v>0.5</v>
      </c>
      <c r="G42" s="135" t="inlineStr">
        <is>
          <t>Not Started</t>
        </is>
      </c>
    </row>
    <row r="43" ht="21.75" customHeight="1" s="85">
      <c r="A43" s="130" t="inlineStr">
        <is>
          <t>INF-FIX-003</t>
        </is>
      </c>
      <c r="B43" s="131" t="inlineStr">
        <is>
          <t>Jenkinsfile email placeholder</t>
        </is>
      </c>
      <c r="C43" s="151" t="inlineStr">
        <is>
          <t>Normal</t>
        </is>
      </c>
      <c r="D43" s="138" t="inlineStr">
        <is>
          <t>Infrastructure</t>
        </is>
      </c>
      <c r="E43" s="111" t="inlineStr">
        <is>
          <t>CICD</t>
        </is>
      </c>
      <c r="F43" s="134" t="n">
        <v>0.1</v>
      </c>
      <c r="G43" s="135" t="inlineStr">
        <is>
          <t>Not Started</t>
        </is>
      </c>
    </row>
    <row r="45" ht="25.5" customHeight="1" s="85">
      <c r="A45" s="160" t="inlineStr">
        <is>
          <t>Adding Feature (20 tasks, 77.5h)</t>
        </is>
      </c>
      <c r="B45" s="127" t="n"/>
      <c r="C45" s="127" t="n"/>
      <c r="D45" s="127" t="n"/>
      <c r="E45" s="127" t="n"/>
      <c r="F45" s="127" t="n"/>
      <c r="G45" s="128" t="n"/>
    </row>
    <row r="46" ht="24" customHeight="1" s="85">
      <c r="A46" s="129" t="inlineStr">
        <is>
          <t>Task ID</t>
        </is>
      </c>
      <c r="B46" s="129" t="inlineStr">
        <is>
          <t>Task Name</t>
        </is>
      </c>
      <c r="C46" s="129" t="inlineStr">
        <is>
          <t>Priority</t>
        </is>
      </c>
      <c r="D46" s="129" t="inlineStr">
        <is>
          <t>Module</t>
        </is>
      </c>
      <c r="E46" s="129" t="inlineStr">
        <is>
          <t>Submodule</t>
        </is>
      </c>
      <c r="F46" s="129" t="inlineStr">
        <is>
          <t>Effort</t>
        </is>
      </c>
      <c r="G46" s="129" t="inlineStr">
        <is>
          <t>Status</t>
        </is>
      </c>
    </row>
    <row r="47" ht="21.75" customHeight="1" s="85">
      <c r="A47" s="130" t="inlineStr">
        <is>
          <t>BE-HARD-001</t>
        </is>
      </c>
      <c r="B47" s="131" t="inlineStr">
        <is>
          <t>Client error diagnostics endpoint</t>
        </is>
      </c>
      <c r="C47" s="148" t="inlineStr">
        <is>
          <t>Critical</t>
        </is>
      </c>
      <c r="D47" s="137" t="inlineStr">
        <is>
          <t>Backend</t>
        </is>
      </c>
      <c r="E47" s="111" t="inlineStr">
        <is>
          <t>Api / Diagnostics</t>
        </is>
      </c>
      <c r="F47" s="134" t="n">
        <v>1.5</v>
      </c>
      <c r="G47" s="135" t="inlineStr">
        <is>
          <t>Not Started</t>
        </is>
      </c>
    </row>
    <row r="48" ht="21.75" customHeight="1" s="85">
      <c r="A48" s="130" t="inlineStr">
        <is>
          <t>BE-ADD-001</t>
        </is>
      </c>
      <c r="B48" s="131" t="inlineStr">
        <is>
          <t>AuditLogEntry — full implementation (Pilot Blocker 2)</t>
        </is>
      </c>
      <c r="C48" s="149" t="inlineStr">
        <is>
          <t>Very Important</t>
        </is>
      </c>
      <c r="D48" s="140" t="inlineStr">
        <is>
          <t>Fullstack</t>
        </is>
      </c>
      <c r="E48" s="111" t="inlineStr">
        <is>
          <t>Domain / Api / Database</t>
        </is>
      </c>
      <c r="F48" s="134" t="n">
        <v>6</v>
      </c>
      <c r="G48" s="135" t="inlineStr">
        <is>
          <t>Not Started</t>
        </is>
      </c>
    </row>
    <row r="49" ht="21.75" customHeight="1" s="85">
      <c r="A49" s="130" t="inlineStr">
        <is>
          <t>BE-ADD-002</t>
        </is>
      </c>
      <c r="B49" s="131" t="inlineStr">
        <is>
          <t>Bootstrap admin lock-after-first-real-admin</t>
        </is>
      </c>
      <c r="C49" s="150" t="inlineStr">
        <is>
          <t>Important</t>
        </is>
      </c>
      <c r="D49" s="137" t="inlineStr">
        <is>
          <t>Backend</t>
        </is>
      </c>
      <c r="E49" s="111" t="inlineStr">
        <is>
          <t>Auth</t>
        </is>
      </c>
      <c r="F49" s="134" t="n">
        <v>0.5</v>
      </c>
      <c r="G49" s="135" t="inlineStr">
        <is>
          <t>Not Started</t>
        </is>
      </c>
    </row>
    <row r="50" ht="21.75" customHeight="1" s="85">
      <c r="A50" s="130" t="inlineStr">
        <is>
          <t>INF-ADD-001</t>
        </is>
      </c>
      <c r="B50" s="131" t="inlineStr">
        <is>
          <t>Three simulation databases (HSM PostgreSQL, Inspection MySQL, QMS SQL Server)</t>
        </is>
      </c>
      <c r="C50" s="149" t="inlineStr">
        <is>
          <t>Very Important</t>
        </is>
      </c>
      <c r="D50" s="138" t="inlineStr">
        <is>
          <t>Infrastructure</t>
        </is>
      </c>
      <c r="E50" s="111" t="inlineStr">
        <is>
          <t>Demo Environment</t>
        </is>
      </c>
      <c r="F50" s="134" t="n">
        <v>6</v>
      </c>
      <c r="G50" s="135" t="inlineStr">
        <is>
          <t>Not Started</t>
        </is>
      </c>
    </row>
    <row r="51" ht="21.75" customHeight="1" s="85">
      <c r="A51" s="130" t="inlineStr">
        <is>
          <t>DB-ADD-001</t>
        </is>
      </c>
      <c r="B51" s="131" t="inlineStr">
        <is>
          <t>Simulation database schemas (HSM)</t>
        </is>
      </c>
      <c r="C51" s="149" t="inlineStr">
        <is>
          <t>Very Important</t>
        </is>
      </c>
      <c r="D51" s="141" t="inlineStr">
        <is>
          <t>Database</t>
        </is>
      </c>
      <c r="E51" s="111" t="inlineStr">
        <is>
          <t>Demo / HSM</t>
        </is>
      </c>
      <c r="F51" s="134" t="n">
        <v>1</v>
      </c>
      <c r="G51" s="135" t="inlineStr">
        <is>
          <t>Not Started</t>
        </is>
      </c>
    </row>
    <row r="52" ht="21.75" customHeight="1" s="85">
      <c r="A52" s="130" t="inlineStr">
        <is>
          <t>DB-ADD-002</t>
        </is>
      </c>
      <c r="B52" s="131" t="inlineStr">
        <is>
          <t>Simulation database schemas (Inspection)</t>
        </is>
      </c>
      <c r="C52" s="149" t="inlineStr">
        <is>
          <t>Very Important</t>
        </is>
      </c>
      <c r="D52" s="141" t="inlineStr">
        <is>
          <t>Database</t>
        </is>
      </c>
      <c r="E52" s="111" t="inlineStr">
        <is>
          <t>Demo / Inspection</t>
        </is>
      </c>
      <c r="F52" s="134" t="n">
        <v>1</v>
      </c>
      <c r="G52" s="135" t="inlineStr">
        <is>
          <t>Not Started</t>
        </is>
      </c>
    </row>
    <row r="53" ht="21.75" customHeight="1" s="85">
      <c r="A53" s="130" t="inlineStr">
        <is>
          <t>DB-ADD-003</t>
        </is>
      </c>
      <c r="B53" s="131" t="inlineStr">
        <is>
          <t>Simulation database schemas (QMS)</t>
        </is>
      </c>
      <c r="C53" s="149" t="inlineStr">
        <is>
          <t>Very Important</t>
        </is>
      </c>
      <c r="D53" s="141" t="inlineStr">
        <is>
          <t>Database</t>
        </is>
      </c>
      <c r="E53" s="111" t="inlineStr">
        <is>
          <t>Demo / QMS</t>
        </is>
      </c>
      <c r="F53" s="134" t="n">
        <v>1.5</v>
      </c>
      <c r="G53" s="135" t="inlineStr">
        <is>
          <t>Not Started</t>
        </is>
      </c>
    </row>
    <row r="54" ht="21.75" customHeight="1" s="85">
      <c r="A54" s="130" t="inlineStr">
        <is>
          <t>BE-ADD-003</t>
        </is>
      </c>
      <c r="B54" s="131" t="inlineStr">
        <is>
          <t>Synthetic data generator extension (3 DB INSERT writers)</t>
        </is>
      </c>
      <c r="C54" s="150" t="inlineStr">
        <is>
          <t>Important</t>
        </is>
      </c>
      <c r="D54" s="137" t="inlineStr">
        <is>
          <t>Backend</t>
        </is>
      </c>
      <c r="E54" s="111" t="inlineStr">
        <is>
          <t>Tools</t>
        </is>
      </c>
      <c r="F54" s="134" t="n">
        <v>4</v>
      </c>
      <c r="G54" s="135" t="inlineStr">
        <is>
          <t>Not Started</t>
        </is>
      </c>
    </row>
    <row r="55" ht="21.75" customHeight="1" s="85">
      <c r="A55" s="130" t="inlineStr">
        <is>
          <t>FE-ADD-001</t>
        </is>
      </c>
      <c r="B55" s="131" t="inlineStr">
        <is>
          <t>Demo environment banner — global activation</t>
        </is>
      </c>
      <c r="C55" s="149" t="inlineStr">
        <is>
          <t>Very Important</t>
        </is>
      </c>
      <c r="D55" s="133" t="inlineStr">
        <is>
          <t>Frontend</t>
        </is>
      </c>
      <c r="E55" s="111" t="inlineStr">
        <is>
          <t>Common</t>
        </is>
      </c>
      <c r="F55" s="134" t="n">
        <v>0.5</v>
      </c>
      <c r="G55" s="135" t="inlineStr">
        <is>
          <t>Not Started</t>
        </is>
      </c>
    </row>
    <row r="56" ht="21.75" customHeight="1" s="85">
      <c r="A56" s="130" t="inlineStr">
        <is>
          <t>BE-ADD-004</t>
        </is>
      </c>
      <c r="B56" s="131" t="inlineStr">
        <is>
          <t>Demo-lifecycle reset endpoint</t>
        </is>
      </c>
      <c r="C56" s="149" t="inlineStr">
        <is>
          <t>Very Important</t>
        </is>
      </c>
      <c r="D56" s="137" t="inlineStr">
        <is>
          <t>Backend</t>
        </is>
      </c>
      <c r="E56" s="111" t="inlineStr">
        <is>
          <t>Api / DemoLifecycle</t>
        </is>
      </c>
      <c r="F56" s="134" t="n">
        <v>3</v>
      </c>
      <c r="G56" s="135" t="inlineStr">
        <is>
          <t>Not Started</t>
        </is>
      </c>
    </row>
    <row r="57" ht="21.75" customHeight="1" s="85">
      <c r="A57" s="130" t="inlineStr">
        <is>
          <t>FS-ADD-001</t>
        </is>
      </c>
      <c r="B57" s="131" t="inlineStr">
        <is>
          <t>Save-as-Inspection-Job button on Correlation page</t>
        </is>
      </c>
      <c r="C57" s="149" t="inlineStr">
        <is>
          <t>Very Important</t>
        </is>
      </c>
      <c r="D57" s="140" t="inlineStr">
        <is>
          <t>Fullstack</t>
        </is>
      </c>
      <c r="E57" s="111" t="inlineStr">
        <is>
          <t>Correlation / Api</t>
        </is>
      </c>
      <c r="F57" s="134" t="n">
        <v>4</v>
      </c>
      <c r="G57" s="135" t="inlineStr">
        <is>
          <t>Not Started</t>
        </is>
      </c>
    </row>
    <row r="58" ht="21.75" customHeight="1" s="85">
      <c r="A58" s="130" t="inlineStr">
        <is>
          <t>FS-ADD-002</t>
        </is>
      </c>
      <c r="B58" s="131" t="inlineStr">
        <is>
          <t>WidgetQueryExpression DSL + /widgets/execute endpoint (Vision §2.2.2)</t>
        </is>
      </c>
      <c r="C58" s="150" t="inlineStr">
        <is>
          <t>Important</t>
        </is>
      </c>
      <c r="D58" s="140" t="inlineStr">
        <is>
          <t>Fullstack</t>
        </is>
      </c>
      <c r="E58" s="111" t="inlineStr">
        <is>
          <t>Widget / Api</t>
        </is>
      </c>
      <c r="F58" s="134" t="n">
        <v>12</v>
      </c>
      <c r="G58" s="135" t="inlineStr">
        <is>
          <t>Not Started</t>
        </is>
      </c>
    </row>
    <row r="59" ht="21.75" customHeight="1" s="85">
      <c r="A59" s="130" t="inlineStr">
        <is>
          <t>FS-ADD-003</t>
        </is>
      </c>
      <c r="B59" s="131" t="inlineStr">
        <is>
          <t>PageDefinition distinct from DashboardDefinition (Vision §2.1)</t>
        </is>
      </c>
      <c r="C59" s="151" t="inlineStr">
        <is>
          <t>Normal</t>
        </is>
      </c>
      <c r="D59" s="140" t="inlineStr">
        <is>
          <t>Fullstack</t>
        </is>
      </c>
      <c r="E59" s="111" t="inlineStr">
        <is>
          <t>Domain / Dashboard</t>
        </is>
      </c>
      <c r="F59" s="134" t="n">
        <v>16</v>
      </c>
      <c r="G59" s="135" t="inlineStr">
        <is>
          <t>Not Started</t>
        </is>
      </c>
    </row>
    <row r="60" ht="21.75" customHeight="1" s="85">
      <c r="A60" s="130" t="inlineStr">
        <is>
          <t>BE-ADD-005</t>
        </is>
      </c>
      <c r="B60" s="131" t="inlineStr">
        <is>
          <t>Oracle connector</t>
        </is>
      </c>
      <c r="C60" s="151" t="inlineStr">
        <is>
          <t>Normal</t>
        </is>
      </c>
      <c r="D60" s="137" t="inlineStr">
        <is>
          <t>Backend</t>
        </is>
      </c>
      <c r="E60" s="111" t="inlineStr">
        <is>
          <t>Connectors / Oracle</t>
        </is>
      </c>
      <c r="F60" s="134" t="n">
        <v>8</v>
      </c>
      <c r="G60" s="135" t="inlineStr">
        <is>
          <t>Not Started</t>
        </is>
      </c>
    </row>
    <row r="61" ht="21.75" customHeight="1" s="85">
      <c r="A61" s="130" t="inlineStr">
        <is>
          <t>WEB-ADD-001</t>
        </is>
      </c>
      <c r="B61" s="131" t="inlineStr">
        <is>
          <t>Hero homepage screenshot replacement</t>
        </is>
      </c>
      <c r="C61" s="151" t="inlineStr">
        <is>
          <t>Normal</t>
        </is>
      </c>
      <c r="D61" s="145" t="inlineStr">
        <is>
          <t>Website</t>
        </is>
      </c>
      <c r="E61" s="111" t="inlineStr">
        <is>
          <t>Homepage</t>
        </is>
      </c>
      <c r="F61" s="134" t="n">
        <v>1</v>
      </c>
      <c r="G61" s="135" t="inlineStr">
        <is>
          <t>Not Started</t>
        </is>
      </c>
    </row>
    <row r="62" ht="21.75" customHeight="1" s="85">
      <c r="A62" s="130" t="inlineStr">
        <is>
          <t>WEB-ADD-002</t>
        </is>
      </c>
      <c r="B62" s="131" t="inlineStr">
        <is>
          <t>Demo-request mailto/calendar CTA</t>
        </is>
      </c>
      <c r="C62" s="151" t="inlineStr">
        <is>
          <t>Normal</t>
        </is>
      </c>
      <c r="D62" s="145" t="inlineStr">
        <is>
          <t>Website</t>
        </is>
      </c>
      <c r="E62" s="111" t="inlineStr">
        <is>
          <t>Contact</t>
        </is>
      </c>
      <c r="F62" s="134" t="n">
        <v>0.5</v>
      </c>
      <c r="G62" s="135" t="inlineStr">
        <is>
          <t>Not Started</t>
        </is>
      </c>
    </row>
    <row r="63" ht="21.75" customHeight="1" s="85">
      <c r="A63" s="130" t="inlineStr">
        <is>
          <t>DOC-002</t>
        </is>
      </c>
      <c r="B63" s="131" t="inlineStr">
        <is>
          <t>15-step demo script with narration</t>
        </is>
      </c>
      <c r="C63" s="149" t="inlineStr">
        <is>
          <t>Very Important</t>
        </is>
      </c>
      <c r="D63" s="142" t="inlineStr">
        <is>
          <t>Documentation</t>
        </is>
      </c>
      <c r="E63" s="111" t="inlineStr">
        <is>
          <t>Sales / Demo</t>
        </is>
      </c>
      <c r="F63" s="134" t="n">
        <v>2</v>
      </c>
      <c r="G63" s="135" t="inlineStr">
        <is>
          <t>Not Started</t>
        </is>
      </c>
    </row>
    <row r="64" ht="21.75" customHeight="1" s="85">
      <c r="A64" s="130" t="inlineStr">
        <is>
          <t>DOC-003</t>
        </is>
      </c>
      <c r="B64" s="131" t="inlineStr">
        <is>
          <t>NDA + Data Processing Statement template</t>
        </is>
      </c>
      <c r="C64" s="149" t="inlineStr">
        <is>
          <t>Very Important</t>
        </is>
      </c>
      <c r="D64" s="142" t="inlineStr">
        <is>
          <t>Documentation</t>
        </is>
      </c>
      <c r="E64" s="111" t="inlineStr">
        <is>
          <t>Legal</t>
        </is>
      </c>
      <c r="F64" s="134" t="n">
        <v>3</v>
      </c>
      <c r="G64" s="135" t="inlineStr">
        <is>
          <t>Not Started</t>
        </is>
      </c>
    </row>
    <row r="65" ht="21.75" customHeight="1" s="85">
      <c r="A65" s="130" t="inlineStr">
        <is>
          <t>DOC-004</t>
        </is>
      </c>
      <c r="B65" s="131" t="inlineStr">
        <is>
          <t>Diagnostic SOW template</t>
        </is>
      </c>
      <c r="C65" s="149" t="inlineStr">
        <is>
          <t>Very Important</t>
        </is>
      </c>
      <c r="D65" s="142" t="inlineStr">
        <is>
          <t>Documentation</t>
        </is>
      </c>
      <c r="E65" s="111" t="inlineStr">
        <is>
          <t>Sales</t>
        </is>
      </c>
      <c r="F65" s="134" t="n">
        <v>3</v>
      </c>
      <c r="G65" s="135" t="inlineStr">
        <is>
          <t>Not Started</t>
        </is>
      </c>
    </row>
    <row r="66" ht="21.75" customHeight="1" s="85">
      <c r="A66" s="130" t="inlineStr">
        <is>
          <t>DOC-006</t>
        </is>
      </c>
      <c r="B66" s="131" t="inlineStr">
        <is>
          <t>Backup demo video recording</t>
        </is>
      </c>
      <c r="C66" s="149" t="inlineStr">
        <is>
          <t>Very Important</t>
        </is>
      </c>
      <c r="D66" s="142" t="inlineStr">
        <is>
          <t>Documentation</t>
        </is>
      </c>
      <c r="E66" s="111" t="inlineStr">
        <is>
          <t>Demo</t>
        </is>
      </c>
      <c r="F66" s="134" t="n">
        <v>3</v>
      </c>
      <c r="G66" s="135" t="inlineStr">
        <is>
          <t>Not Started</t>
        </is>
      </c>
    </row>
  </sheetData>
  <mergeCells count="5">
    <mergeCell ref="A1:G1"/>
    <mergeCell ref="A35:G35"/>
    <mergeCell ref="A4:G4"/>
    <mergeCell ref="A2:G2"/>
    <mergeCell ref="A45:G45"/>
  </mergeCells>
  <printOptions horizontalCentered="0" verticalCentered="0" headings="0" gridLines="0" gridLinesSet="1"/>
  <pageMargins left="0.4" right="0.4" top="0.5" bottom="0.5" header="0.3" footer="0.3"/>
  <pageSetup orientation="landscape" paperSize="9" scale="100" fitToHeight="0"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1"/>
  </sheetPr>
  <dimension ref="A1:D2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8" customWidth="1" style="84" min="1" max="1"/>
    <col width="14" customWidth="1" style="84" min="2" max="2"/>
    <col width="18" customWidth="1" style="84" min="3" max="3"/>
    <col width="16" customWidth="1" style="84" min="4" max="4"/>
  </cols>
  <sheetData>
    <row r="1" ht="22.05" customHeight="1" s="85">
      <c r="A1" s="124" t="inlineStr">
        <is>
          <t>Effort Summary — Sprint Planning Input</t>
        </is>
      </c>
    </row>
    <row r="2" ht="30" customHeight="1" s="85">
      <c r="A2" s="125" t="inlineStr">
        <is>
          <t>All effort estimates are working hours from the Demo Hardening Plan and the Strategic Code Validation Report. Multiply by 1.4 for calendar time including overhead and interruptions.</t>
        </is>
      </c>
    </row>
    <row r="4" ht="16.15" customHeight="1" s="85">
      <c r="A4" s="161" t="inlineStr">
        <is>
          <t>Effort by Priority</t>
        </is>
      </c>
    </row>
    <row r="5" ht="15" customHeight="1" s="85">
      <c r="A5" s="162" t="inlineStr">
        <is>
          <t>Priority</t>
        </is>
      </c>
      <c r="B5" s="162" t="inlineStr">
        <is>
          <t>Tasks</t>
        </is>
      </c>
      <c r="C5" s="162" t="inlineStr">
        <is>
          <t>Total Hours</t>
        </is>
      </c>
      <c r="D5" s="162" t="inlineStr">
        <is>
          <t>% of Total</t>
        </is>
      </c>
    </row>
    <row r="6" ht="15" customHeight="1" s="85">
      <c r="A6" s="101" t="inlineStr">
        <is>
          <t>Critical</t>
        </is>
      </c>
      <c r="B6" s="163" t="n">
        <v>6</v>
      </c>
      <c r="C6" s="113" t="n">
        <v>27</v>
      </c>
      <c r="D6" s="164" t="n">
        <v>0.135883241066935</v>
      </c>
    </row>
    <row r="7" ht="15" customHeight="1" s="85">
      <c r="A7" s="115" t="inlineStr">
        <is>
          <t>Very Important</t>
        </is>
      </c>
      <c r="B7" s="163" t="n">
        <v>27</v>
      </c>
      <c r="C7" s="113" t="n">
        <v>89.5</v>
      </c>
      <c r="D7" s="164" t="n">
        <v>0.450427780573729</v>
      </c>
    </row>
    <row r="8" ht="15" customHeight="1" s="85">
      <c r="A8" s="118" t="inlineStr">
        <is>
          <t>Important</t>
        </is>
      </c>
      <c r="B8" s="163" t="n">
        <v>15</v>
      </c>
      <c r="C8" s="113" t="n">
        <v>52.5</v>
      </c>
      <c r="D8" s="164" t="n">
        <v>0.264217413185707</v>
      </c>
    </row>
    <row r="9" ht="15" customHeight="1" s="85">
      <c r="A9" s="119" t="inlineStr">
        <is>
          <t>Normal</t>
        </is>
      </c>
      <c r="B9" s="163" t="n">
        <v>6</v>
      </c>
      <c r="C9" s="113" t="n">
        <v>25.7</v>
      </c>
      <c r="D9" s="164" t="n">
        <v>0.129340714645194</v>
      </c>
    </row>
    <row r="10" ht="15" customHeight="1" s="85">
      <c r="A10" s="121" t="inlineStr">
        <is>
          <t>Optional</t>
        </is>
      </c>
      <c r="B10" s="163" t="n">
        <v>1</v>
      </c>
      <c r="C10" s="113" t="n">
        <v>4</v>
      </c>
      <c r="D10" s="164" t="n">
        <v>0.0201308505284348</v>
      </c>
    </row>
    <row r="11" ht="15" customHeight="1" s="85">
      <c r="A11" s="162" t="inlineStr">
        <is>
          <t>Total</t>
        </is>
      </c>
      <c r="B11" s="165" t="n">
        <v>55</v>
      </c>
      <c r="C11" s="166" t="n">
        <v>198.7</v>
      </c>
      <c r="D11" s="167" t="n">
        <v>1</v>
      </c>
    </row>
    <row r="14" ht="16.15" customHeight="1" s="85">
      <c r="A14" s="161" t="inlineStr">
        <is>
          <t>Effort by Module</t>
        </is>
      </c>
    </row>
    <row r="15" ht="15" customHeight="1" s="85">
      <c r="A15" s="162" t="inlineStr">
        <is>
          <t>Module</t>
        </is>
      </c>
      <c r="B15" s="162" t="inlineStr">
        <is>
          <t>Tasks</t>
        </is>
      </c>
      <c r="C15" s="162" t="inlineStr">
        <is>
          <t>Total Hours</t>
        </is>
      </c>
      <c r="D15" s="162" t="inlineStr">
        <is>
          <t>% of Total</t>
        </is>
      </c>
    </row>
    <row r="16" ht="15" customHeight="1" s="85">
      <c r="A16" s="110" t="inlineStr">
        <is>
          <t>Backend</t>
        </is>
      </c>
      <c r="B16" s="163" t="n">
        <v>10</v>
      </c>
      <c r="C16" s="113" t="n">
        <v>26.5</v>
      </c>
      <c r="D16" s="168" t="n">
        <v>0.133366884750881</v>
      </c>
    </row>
    <row r="17" ht="15" customHeight="1" s="85">
      <c r="A17" s="102" t="inlineStr">
        <is>
          <t>Frontend</t>
        </is>
      </c>
      <c r="B17" s="163" t="n">
        <v>23</v>
      </c>
      <c r="C17" s="113" t="n">
        <v>100</v>
      </c>
      <c r="D17" s="168" t="n">
        <v>0.503271263210871</v>
      </c>
    </row>
    <row r="18" ht="15" customHeight="1" s="85">
      <c r="A18" s="117" t="inlineStr">
        <is>
          <t>Fullstack</t>
        </is>
      </c>
      <c r="B18" s="163" t="n">
        <v>6</v>
      </c>
      <c r="C18" s="113" t="n">
        <v>45</v>
      </c>
      <c r="D18" s="168" t="n">
        <v>0.226472068444892</v>
      </c>
    </row>
    <row r="19" ht="15" customHeight="1" s="85">
      <c r="A19" s="116" t="inlineStr">
        <is>
          <t>Infrastructure</t>
        </is>
      </c>
      <c r="B19" s="163" t="n">
        <v>4</v>
      </c>
      <c r="C19" s="113" t="n">
        <v>8.1</v>
      </c>
      <c r="D19" s="168" t="n">
        <v>0.0407649723200805</v>
      </c>
    </row>
    <row r="20" ht="15" customHeight="1" s="85">
      <c r="A20" s="120" t="inlineStr">
        <is>
          <t>Database</t>
        </is>
      </c>
      <c r="B20" s="163" t="n">
        <v>4</v>
      </c>
      <c r="C20" s="113" t="n">
        <v>3.6</v>
      </c>
      <c r="D20" s="168" t="n">
        <v>0.0181177654755914</v>
      </c>
    </row>
    <row r="21" ht="15" customHeight="1" s="85">
      <c r="A21" s="122" t="inlineStr">
        <is>
          <t>Website</t>
        </is>
      </c>
      <c r="B21" s="163" t="n">
        <v>2</v>
      </c>
      <c r="C21" s="113" t="n">
        <v>1.5</v>
      </c>
      <c r="D21" s="168" t="n">
        <v>0.00754906894816306</v>
      </c>
    </row>
    <row r="22" ht="15" customHeight="1" s="85">
      <c r="A22" s="123" t="inlineStr">
        <is>
          <t>Documentation</t>
        </is>
      </c>
      <c r="B22" s="163" t="n">
        <v>6</v>
      </c>
      <c r="C22" s="113" t="n">
        <v>14</v>
      </c>
      <c r="D22" s="168" t="n">
        <v>0.0704579768495219</v>
      </c>
    </row>
    <row r="25" ht="16.15" customHeight="1" s="85">
      <c r="A25" s="161" t="inlineStr">
        <is>
          <t>Effort by Category</t>
        </is>
      </c>
    </row>
    <row r="26" ht="15" customHeight="1" s="85">
      <c r="A26" s="162" t="inlineStr">
        <is>
          <t>Category</t>
        </is>
      </c>
      <c r="B26" s="162" t="inlineStr">
        <is>
          <t>Tasks</t>
        </is>
      </c>
      <c r="C26" s="162" t="inlineStr">
        <is>
          <t>Total Hours</t>
        </is>
      </c>
      <c r="D26" s="162" t="inlineStr">
        <is>
          <t>% of Total</t>
        </is>
      </c>
    </row>
    <row r="27" ht="15" customHeight="1" s="85">
      <c r="A27" s="100" t="inlineStr">
        <is>
          <t>Hardening</t>
        </is>
      </c>
      <c r="B27" s="163" t="n">
        <v>28</v>
      </c>
      <c r="C27" s="113" t="n">
        <v>112.5</v>
      </c>
      <c r="D27" s="168" t="n">
        <v>0.56618017111223</v>
      </c>
    </row>
    <row r="28" ht="15" customHeight="1" s="85">
      <c r="A28" s="116" t="inlineStr">
        <is>
          <t>Fixing Feature</t>
        </is>
      </c>
      <c r="B28" s="163" t="n">
        <v>7</v>
      </c>
      <c r="C28" s="113" t="n">
        <v>8.699999999999999</v>
      </c>
      <c r="D28" s="168" t="n">
        <v>0.0437845998993457</v>
      </c>
    </row>
    <row r="29" ht="15" customHeight="1" s="85">
      <c r="A29" s="109" t="inlineStr">
        <is>
          <t>Adding Feature</t>
        </is>
      </c>
      <c r="B29" s="163" t="n">
        <v>20</v>
      </c>
      <c r="C29" s="113" t="n">
        <v>77.5</v>
      </c>
      <c r="D29" s="168" t="n">
        <v>0.390035228988425</v>
      </c>
    </row>
  </sheetData>
  <mergeCells count="5">
    <mergeCell ref="A1:D1"/>
    <mergeCell ref="A4:D4"/>
    <mergeCell ref="A25:D25"/>
    <mergeCell ref="A2:D2"/>
    <mergeCell ref="A14:D14"/>
  </mergeCells>
  <printOptions horizontalCentered="0" verticalCentered="0" headings="0" gridLines="0" gridLinesSet="1"/>
  <pageMargins left="0.4" right="0.4" top="0.5" bottom="0.5" header="0.3" footer="0.3"/>
  <pageSetup orientation="landscape" paperSize="9" scale="100" fitToHeight="0"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1"/>
  </sheetPr>
  <dimension ref="A1:B1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8" customWidth="1" style="84" min="1" max="1"/>
    <col width="90" customWidth="1" style="84" min="2" max="2"/>
  </cols>
  <sheetData>
    <row r="1" ht="26.8" customHeight="1" s="85">
      <c r="A1" s="86" t="inlineStr">
        <is>
          <t>How to Use This Workbook</t>
        </is>
      </c>
    </row>
    <row r="3" ht="39.75" customHeight="1" s="85">
      <c r="A3" s="169" t="inlineStr">
        <is>
          <t>OPENING &amp; SHARING</t>
        </is>
      </c>
      <c r="B3" s="170" t="inlineStr">
        <is>
          <t>Open in Excel, Numbers, or Google Sheets. All sheets are independent so you can hide any you do not use. To share with a developer, send the whole .xlsx.</t>
        </is>
      </c>
    </row>
    <row r="4" ht="60" customHeight="1" s="85">
      <c r="A4" s="169" t="inlineStr">
        <is>
          <t>TASK ID CONVENTIONS</t>
        </is>
      </c>
      <c r="B4" s="170" t="inlineStr">
        <is>
          <t>Every Task ID follows MODULE-CATEGORY-NNN: BE-FIX-001 means Backend / Fixing Feature / first item. The prefixes are stable so IDs can be referenced from PR titles, Jira tickets, or daily standups.</t>
        </is>
      </c>
    </row>
    <row r="5" ht="60" customHeight="1" s="85">
      <c r="A5" s="169" t="inlineStr">
        <is>
          <t>STATUS COLUMN</t>
        </is>
      </c>
      <c r="B5" s="170" t="inlineStr">
        <is>
          <t>Update the Status column in the Master Task List sheet as work progresses. Allowed values: Not Started, In Progress, Blocked, Done. Conditional formatting will color-code automatically (green = Done, amber = In Progress, red = Blocked).</t>
        </is>
      </c>
    </row>
    <row r="6" ht="39.75" customHeight="1" s="85">
      <c r="A6" s="169" t="inlineStr">
        <is>
          <t>OWNER &amp; SPRINT COLUMNS</t>
        </is>
      </c>
      <c r="B6" s="170" t="inlineStr">
        <is>
          <t>Use the Owner and Sprint columns to assign tasks to team members and group them into sprints/phases. They are empty by default; fill them during planning.</t>
        </is>
      </c>
    </row>
    <row r="7" ht="60" customHeight="1" s="85">
      <c r="A7" s="169" t="inlineStr">
        <is>
          <t>FILTERING</t>
        </is>
      </c>
      <c r="B7" s="170" t="inlineStr">
        <is>
          <t>Click any column header in Master Task List to filter or sort. Common filters: by Priority = Critical (what blocks the demo), by Module = Frontend (front-end-only sprint), by Status = Blocked (what needs unblocking).</t>
        </is>
      </c>
    </row>
    <row r="8" ht="60" customHeight="1" s="85">
      <c r="A8" s="169" t="inlineStr">
        <is>
          <t>SPRINT PLANNING WORKFLOW</t>
        </is>
      </c>
      <c r="B8" s="170" t="inlineStr">
        <is>
          <t>(1) Sort by Priority. (2) Pick a sprint capacity (e.g. 40 hours/dev/sprint). (3) Walk down the Critical and Very Important lists and fill the Sprint column until capacity exhausted. (4) Repeat for the next sprint. The Effort Summary sheet auto-totals everything.</t>
        </is>
      </c>
    </row>
    <row r="9" ht="60" customHeight="1" s="85">
      <c r="A9" s="169" t="inlineStr">
        <is>
          <t>VALIDATION COLUMN</t>
        </is>
      </c>
      <c r="B9" s="170" t="inlineStr">
        <is>
          <t>Every task has a specific validation step. A task is not Done until its validation step passes. This is what separates this list from a generic backlog — every task carries its own definition of done.</t>
        </is>
      </c>
    </row>
    <row r="10" ht="60" customHeight="1" s="85">
      <c r="A10" s="169" t="inlineStr">
        <is>
          <t>UPDATING TASKS</t>
        </is>
      </c>
      <c r="B10" s="170" t="inlineStr">
        <is>
          <t>If a task needs to be split, add new tasks with the same ID prefix and an extra letter (e.g. BE-FIX-001-A, BE-FIX-001-B). Add a Notes value linking to a PR, ticket, or document for traceability.</t>
        </is>
      </c>
    </row>
    <row r="11" ht="39.75" customHeight="1" s="85">
      <c r="A11" s="169" t="inlineStr">
        <is>
          <t>KEEP IT LIVE</t>
        </is>
      </c>
      <c r="B11" s="170" t="inlineStr">
        <is>
          <t>This workbook is a living document. After every sprint review, update statuses, add any new tasks discovered, and re-export the Effort Summary as a progress report.</t>
        </is>
      </c>
    </row>
  </sheetData>
  <mergeCells count="1">
    <mergeCell ref="A1:B1"/>
  </mergeCells>
  <printOptions horizontalCentered="0" verticalCentered="0" headings="0" gridLines="0" gridLinesSet="1"/>
  <pageMargins left="0.4" right="0.4" top="0.5" bottom="0.5" header="0.3" footer="0.3"/>
  <pageSetup orientation="landscape" paperSize="9" scale="100" fitToHeight="0"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2026-05-22T19:39:33Z</dcterms:created>
  <dcterms:modified xmlns:dcterms="http://purl.org/dc/terms/" xmlns:xsi="http://www.w3.org/2001/XMLSchema-instance" xsi:type="dcterms:W3CDTF">2026-05-22T19:40:18Z</dcterms:modified>
  <cp:revision>0</cp:revision>
</cp:coreProperties>
</file>