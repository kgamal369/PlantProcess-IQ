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ist" sheetId="1" state="visible" r:id="rId3"/>
    <sheet name="How to Use" sheetId="2" state="visible" r:id="rId4"/>
    <sheet name="Phase Summary" sheetId="3" state="visible" r:id="rId5"/>
    <sheet name="UI Standards Reference" sheetId="4" state="visible" r:id="rId6"/>
    <sheet name="Rollu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<sst xmlns="http://schemas.openxmlformats.org/spreadsheetml/2006/main" count="976" uniqueCount="558">
  <si>
    <t xml:space="preserve">PlantProcess IQ — Phase-Grouped Task List (v5 · 30 May 2026)</t>
  </si>
  <si>
    <t xml:space="preserve">79 open tasks across 13 phases. Supersedes v4 P01–P03 (schema mapping + two-stage delta import), now done in substance. ML/AI subsystem expanded per the engine + assistant design.</t>
  </si>
  <si>
    <t xml:space="preserve">Task ID</t>
  </si>
  <si>
    <t xml:space="preserve">Task Name</t>
  </si>
  <si>
    <t xml:space="preserve">Phase ID</t>
  </si>
  <si>
    <t xml:space="preserve">Severity</t>
  </si>
  <si>
    <t xml:space="preserve">Track</t>
  </si>
  <si>
    <t xml:space="preserve">Module</t>
  </si>
  <si>
    <t xml:space="preserve">Submodule</t>
  </si>
  <si>
    <t xml:space="preserve">Description</t>
  </si>
  <si>
    <t xml:space="preserve">Task Type</t>
  </si>
  <si>
    <t xml:space="preserve">Validation</t>
  </si>
  <si>
    <t xml:space="preserve">Effort (hrs)</t>
  </si>
  <si>
    <t xml:space="preserve">  Phase 01 — Hotfixes &amp; Build-Green Closeout   |   8 tasks   |   18.5 hrs</t>
  </si>
  <si>
    <t xml:space="preserve">PPIQ-T201</t>
  </si>
  <si>
    <t xml:space="preserve">Fix Jenkins npm build failure (Node unavailable, exit 127)</t>
  </si>
  <si>
    <t xml:space="preserve">P01</t>
  </si>
  <si>
    <t xml:space="preserve">critical</t>
  </si>
  <si>
    <t xml:space="preserve">Track 2 — Hardening</t>
  </si>
  <si>
    <t xml:space="preserve">Infrastructure</t>
  </si>
  <si>
    <t xml:space="preserve">CI / Build Agent</t>
  </si>
  <si>
    <t xml:space="preserve">The pipeline still fails at stage '2b. Phase 5/6 UI quality gates' with 'npm: not found' (exit 127): npm ci runs directly on `agent any` with no Node runtime. Run the UI gates inside a Node container (docker run --rm -v "$PWD":/app -w /app node:20-alpine sh -c 'npm ci &amp;&amp; npm run validate:phase5-phase6:strict ...'), OR configure the Jenkins NodeJS tool ('node20') and wrap the stage in tools{ nodejs 'node20' }, OR install Node on the agent and ensure it is on the non-interactive PATH. Stages 3-5 must stop being skipped.</t>
  </si>
  <si>
    <t xml:space="preserve">Bug Fix</t>
  </si>
  <si>
    <t xml:space="preserve">1) A full pipeline run reaches 'Build images' and 'Recreate containers' without the npm step failing. 2) `npm ci` and the validate/test:visual/test:a11y scripts run with a pinned Node 20. 3) A green build is produced end to end. 4) The fix is committed in the Jenkinsfile, not applied ad hoc on the agent.</t>
  </si>
  <si>
    <t xml:space="preserve">PPIQ-T202</t>
  </si>
  <si>
    <t xml:space="preserve">Reconcile migration 117 audit-table schema (still broken)</t>
  </si>
  <si>
    <t xml:space="preserve">Database</t>
  </si>
  <si>
    <t xml:space="preserve">Migration / Widget Audit</t>
  </si>
  <si>
    <t xml:space="preserve">Script 117 still uses CREATE TABLE IF NOT EXISTS for dashboard_widget_expression_audit with created_at_utc, but 113 already created that table with executed_at_utc — so IF NOT EXISTS is a no-op, created_at_utc never lands, and the index on it fails (silently, under ON_ERROR_STOP=0). The audit layer is on the stale schema. Replace 117's body with DROP TABLE IF EXISTS dashboard_widget_expression_audit; then CREATE TABLE with the EF-entity schema (id, dashboard_widget_definition_id, expression_version smallint, validation_status smallint, validation_message, query_expression, advanced_expression_json jsonb, created_at_utc) + the index. Make 113 and 117 not both CREATE the same table (113 becomes guard-only or canonical). Apply on the Hetzner staging clone.</t>
  </si>
  <si>
    <t xml:space="preserve">1) Fresh Postgres 17 + ordered scripts apply with zero errors and the audit table has created_at_utc. 2) Re-apply on the staging clone is clean. 3) EF reads/writes against the audit table succeed (smallint enum + created_at_utc). 4) Exactly one migration CREATEs the table.</t>
  </si>
  <si>
    <t xml:space="preserve">PPIQ-T203</t>
  </si>
  <si>
    <t xml:space="preserve">Switch SQL migration runner to ON_ERROR_STOP=1</t>
  </si>
  <si>
    <t xml:space="preserve">very important</t>
  </si>
  <si>
    <t xml:space="preserve">CI / Migration Safety</t>
  </si>
  <si>
    <t xml:space="preserve">The Jenkins 'Apply SQL scripts' stage runs psql with ON_ERROR_STOP=0, so a rolled-back migration (e.g. 117) reports success and the deploy proceeds onto a half-migrated schema. After T202 is fixed, change the runner to ON_ERROR_STOP=1 so any failing migration fails the build loudly. Audit the existing scripts first to ensure none rely on the permissive mode.</t>
  </si>
  <si>
    <t xml:space="preserve">1) Runner uses ON_ERROR_STOP=1. 2) A deliberately broken script in a scratch branch turns the build red at the migration stage. 3) The full ordered script set still applies clean on a fresh DB and on staging. 4) No script depends on error-swallowing.</t>
  </si>
  <si>
    <t xml:space="preserve">PPIQ-T204</t>
  </si>
  <si>
    <t xml:space="preserve">Complete the JWT auth-matrix to full tier coverage</t>
  </si>
  <si>
    <t xml:space="preserve">App Backend</t>
  </si>
  <si>
    <t xml:space="preserve">Auth / Endpoint Authorization</t>
  </si>
  <si>
    <t xml:space="preserve">Closes the residual of v4 PPIQ-T101. An auth-matrix-admin.spec.ts and test:auth-matrix exist, but the confirmed backend assertions only cover anonymous=&gt;401/403 and valid-login=&gt;token. Extend to the full matrix: every admin endpoint group (/admin/jobs-monitor, /admin/schema-mapping, /admin/two-stage-import, /admin/license, /admin/phase1, /admin/phase2, /admin/widgets, /admin/users, /demo-lifecycle, /diagnostics, and the new /api/ml/*) under three identities — no token (401), operator-tier JWT (403 on admin, 200 on operator), admin-tier JWT (200) — emitting a matrix artifact and wired as a red-on-deviation Jenkins gate.</t>
  </si>
  <si>
    <t xml:space="preserve">1) The probe exercises all three identities across every admin group, not just anonymous. 2) Removing an [Authorize] on any admin endpoint fails the probe. 3) Output archived per deploy. 4) Jenkins goes red on any deviation.</t>
  </si>
  <si>
    <t xml:space="preserve">PPIQ-T205</t>
  </si>
  <si>
    <t xml:space="preserve">Verify standard-import ESLint block is an enforced Jenkins gate</t>
  </si>
  <si>
    <t xml:space="preserve">important</t>
  </si>
  <si>
    <t xml:space="preserve">CI / Quality Gate</t>
  </si>
  <si>
    <t xml:space="preserve">Closes the residual of v4 PPIQ-T106. The forbidden-phrase sweep and auth-matrix are referenced in Jenkins stage 2c, but confirm the non-standard-import rule (no native &lt;button&gt;/&lt;input&gt;/&lt;select&gt;/&lt;table&gt;/&lt;textarea&gt; in src/pages|features; no import from src/hardening/*) actually fails the build, not just warns. Wire pnpm/npm lint as a failing stage with a clear offender list and canonical-replacement hint; add the pre-commit hook.</t>
  </si>
  <si>
    <t xml:space="preserve">Enhancement</t>
  </si>
  <si>
    <t xml:space="preserve">1) A native &lt;button&gt; in src/pages/* fails the build naming the file + replacement. 2) An import from src/hardening/* fails lint. 3) Stage runs on every push. 4) Pre-commit blocks locally.</t>
  </si>
  <si>
    <t xml:space="preserve">PPIQ-T206</t>
  </si>
  <si>
    <t xml:space="preserve">Confirm SchemaViewResolver typed errors + join SafeSqlValidator</t>
  </si>
  <si>
    <t xml:space="preserve">Track 1 — Workflow</t>
  </si>
  <si>
    <t xml:space="preserve">Schema Mapping / Validation Hardening</t>
  </si>
  <si>
    <t xml:space="preserve">Closes residual rigor on v4 PPIQ-T108/T110 (capability shipped in GenericSchemaMappingEndpoints.cs but specific guarantees unconfirmed). Ensure /resolve returns distinct, testable errors — NoSuchView, NoSuchColumn, InvalidAggregateForType — not a generic failure, and that /joins/preview and /joins/materialize run SafeSqlValidator on the generated join SQL (blocking DDL/cross-tenant injection) and reject type-mismatched key pairs with a clear message. Add unit/integration tests for each path.</t>
  </si>
  <si>
    <t xml:space="preserve">1) Resolver returns the three named error types on bad view/column/aggregate. 2) Malicious join SQL is blocked at preview and materialize. 3) Type-mismatched key pair rejected with a clear error. 4) Tests cover each case and run in CI.</t>
  </si>
  <si>
    <t xml:space="preserve">PPIQ-T207</t>
  </si>
  <si>
    <t xml:space="preserve">Add delta-import integration + resumability tests (T118 was unstarted)</t>
  </si>
  <si>
    <t xml:space="preserve">Import / Test Coverage</t>
  </si>
  <si>
    <t xml:space="preserve">Closes v4 PPIQ-T118, which had no implementation. The two-stage pipeline (source_table_dump_registry, two_stage_import_runs, two_stage_processed_watermarks; stage1/stage2/run-full-cycle endpoints) ships without tests. Author integration tests against seeded sources: cold full-load, incremental delta (only new rows beyond last_index), mid-run crash + resume (no duplicates), schema drift detection, idempotency. Opt-in via PPIQ_RUN_CONNECTOR_INTEGRATION=1; wire to the post-deploy gate.</t>
  </si>
  <si>
    <t xml:space="preserve">New Feature</t>
  </si>
  <si>
    <t xml:space="preserve">1) Cold load then incremental delta imports only new rows. 2) Simulated crash resumes from last_index with no duplicates. 3) Source schema drift is detected and surfaced. 4) Suite &lt; 60s, wired to Jenkins.</t>
  </si>
  <si>
    <t xml:space="preserve">PPIQ-T208</t>
  </si>
  <si>
    <t xml:space="preserve">Finish loopback-binding audit for all infra services + external scan proof</t>
  </si>
  <si>
    <t xml:space="preserve">Docker Compose / Network Exposure</t>
  </si>
  <si>
    <t xml:space="preserve">Closes residual of v4 PPIQ-T105 (only Postgres proven on 127.0.0.1). Audit redis, seq, jaeger, grafana, prometheus, jenkins, workers in docker-compose.demo.yml; bind each published port to 127.0.0.1 unless intentionally public (Caddy 80/443; Jenkins :9090 behind basicauth). Prove with an external nmap and document each decision in Infrastructure/deploy/README.md.</t>
  </si>
  <si>
    <t xml:space="preserve">1) External nmap of 178.105.152.180 shows only 80, 443, 9090 open; all data/observability ports filtered. 2) Internal health checks green. 3) README documents each binding.</t>
  </si>
  <si>
    <t xml:space="preserve">  Phase 02 — ML Engine — Data Foundation &amp; Feature Store (Vision §3 prerequisite)   |   5 tasks   |   32 hrs</t>
  </si>
  <si>
    <t xml:space="preserve">PPIQ-T209</t>
  </si>
  <si>
    <t xml:space="preserve">Multi-grain feature store schema (heat/strand/coil/location)</t>
  </si>
  <si>
    <t xml:space="preserve">P02</t>
  </si>
  <si>
    <t xml:space="preserve">ML Engine / Feature Store</t>
  </si>
  <si>
    <t xml:space="preserve">Per design doc §1.1: build the multi-grain feature store the entire engine learns from, materialized from the canonical generic schema (P02/P03 of v4). Each feature and outcome carries its native grain and the genealogy keys (heat_id, sequence_id, strand, slab_id, coil_id) needed to join across grains. Tables for feature definitions, feature values per grain, and outcome values; EF entities + configuration + migration. Refreshed by the stage-2 import job. Versioned.</t>
  </si>
  <si>
    <t xml:space="preserve">1) Migration applies clean; feature/outcome tables exist with grain + genealogy keys. 2) A heat-level parameter can be joined to a coil-level outcome via genealogy. 3) Refresh from canonical schema populates expected counts. 4) Effective sample size (independent units) is derivable, not just row count.</t>
  </si>
  <si>
    <t xml:space="preserve">PPIQ-T210</t>
  </si>
  <si>
    <t xml:space="preserve">FeatureEngineeringService — metallurgical derived features</t>
  </si>
  <si>
    <t xml:space="preserve">ML Engine / Feature Engineering</t>
  </si>
  <si>
    <t xml:space="preserve">Per design doc §1.2: extend FeatureEngineeringService to assemble the feature matrix at a SELECTABLE grain (coil-level default; heat-level option) and compute derived features: carbon equivalent (CEV) from chemistry; true superheat = tundish temp − liquidus (liquidus estimated from composition); casting-speed aggregates (mean/max/std/range, count of speed changes, time in transition); reduction ratio; cooling rate; specific energy; time-above-temperature; categorical encodings (grade family, gauge band, spec class, strand, crew/shift). Explicit missingness handling (pairwise deletion with n per pair; 'missing' as informative category; flag features whose missingness correlates with the outcome).</t>
  </si>
  <si>
    <t xml:space="preserve">1) Matrix builds at coil and heat grain on demand. 2) CEV and true superheat computed correctly for sample heats. 3) Speed aggregates and reduction/cooling features present. 4) Missingness reported per feature, not silently imputed.</t>
  </si>
  <si>
    <t xml:space="preserve">PPIQ-T211</t>
  </si>
  <si>
    <t xml:space="preserve">Outcome definitions: defect-rate/class/severity/position, cascade-downtime, KPI-as-view</t>
  </si>
  <si>
    <t xml:space="preserve">ML Engine / Outcome Modeling</t>
  </si>
  <si>
    <t xml:space="preserve">Per design doc §1.3: model outcomes rigorously rather than yes/no. Defects as a rate normalized to coil area/tonnage (defects per m²), plus class (multinomial), severity (graded), and position (head/body/tail, edge/center). Downtime using the plant taxonomy (production stoppage vs equipment failure; electrical/operation/production/mechanical/hydraulic) against CASCADE-adjusted duration, not the raw event. KPIs defined as canonical views (prime yield, energy/ton, throughput) via the KPI-as-view layer.</t>
  </si>
  <si>
    <t xml:space="preserve">1) Defect outcomes expose rate, class, severity, position. 2) Downtime outcome uses cascade-adjusted duration with the reason taxonomy. 3) KPI outcomes resolve from canonical KPI views. 4) Each outcome is selectable as an ML target.</t>
  </si>
  <si>
    <t xml:space="preserve">PPIQ-T212</t>
  </si>
  <si>
    <t xml:space="preserve">ICorrelationComputeEngine interface + .NET default implementation</t>
  </si>
  <si>
    <t xml:space="preserve">ML Engine / Compute Abstraction</t>
  </si>
  <si>
    <t xml:space="preserve">Per design doc §2.4 / §6: define ICorrelationComputeEngine so the compute is swappable. Default implementation is .NET in-process (Math.NET Numerics for statistics, ML.NET for regularized regression / tree importances), with PostgreSQL doing heavy data reduction (corr(), regr_*, group-bys). Keep one runtime; deterministic, auditable math in the repo. The interface is the escape hatch for a future Python implementation (mixed-effects, survival, defect-image CV) without touching the job system, persistence, governance, or UI.</t>
  </si>
  <si>
    <t xml:space="preserve">1) Interface defines compute over a (features, outcome, window, grain) request. 2) .NET implementation runs against the feature store. 3) Math methods are unit-tested for correctness vs known values. 4) Swapping implementations requires no change to callers.</t>
  </si>
  <si>
    <t xml:space="preserve">PPIQ-T213</t>
  </si>
  <si>
    <t xml:space="preserve">pgvector knowledge base provisioning (assistant prerequisite)</t>
  </si>
  <si>
    <t xml:space="preserve">ML Assistant / Vector Store</t>
  </si>
  <si>
    <t xml:space="preserve">Per design doc §4.3: enable the pgvector extension in PostgreSQL 17 and provision the knowledge-base tables the §3.3 assistant retrieves from — embeddings + metadata for (a) learned findings, (b) case memory, (c) domain knowledge documents — with structured columns (area, defect class, grade, line, window, q-value) to support HYBRID retrieval (semantic + SQL filter). No new datastore or service. EF entities + migration; IEmbeddingProvider interface (API-default, self-hostable).</t>
  </si>
  <si>
    <t xml:space="preserve">1) pgvector enabled; KB tables exist with vector + structured columns. 2) An item can be embedded and retrieved by similarity AND filtered by structured fields. 3) IEmbeddingProvider abstracts the embedding model. 4) Migration applies clean.</t>
  </si>
  <si>
    <t xml:space="preserve">  Phase 03 — ML Engine — Scheduled Correlation Learning (Vision §3.1)   |   6 tasks   |   38 hrs</t>
  </si>
  <si>
    <t xml:space="preserve">PPIQ-T214</t>
  </si>
  <si>
    <t xml:space="preserve">Define the four learning job types + EnsureMlJobDefinitions (Vision §3.1.1–3.1.4)</t>
  </si>
  <si>
    <t xml:space="preserve">P03</t>
  </si>
  <si>
    <t xml:space="preserve">ML Engine / Job Definitions</t>
  </si>
  <si>
    <t xml:space="preserve">Per design doc §2.1: formalize the four scheduled jobs as first-class JobDefinitionType entries — (1) process-params × defect-id, (2) × downtime-id, (3) × KPI-id (daily, off-hours, user-overridable), (4) weekly overall pass across all data. Extend the existing EnsureMlJobDefinitions/IsMlJob scaffolding. Each flows through the unified job model so it appears in the Jobs Monitor (§3.1.5).</t>
  </si>
  <si>
    <t xml:space="preserve">1) The four jobs registered with correct default schedules (daily off-hours; weekly overall). 2) Schedules user-overridable per job. 3) Jobs appear in the Jobs Monitor. 4) IsMlJob classifies each correctly.</t>
  </si>
  <si>
    <t xml:space="preserve">PPIQ-T215</t>
  </si>
  <si>
    <t xml:space="preserve">Learning worker — type-aware statistical association engine</t>
  </si>
  <si>
    <t xml:space="preserve">ML Engine / Learning Worker</t>
  </si>
  <si>
    <t xml:space="preserve">Per design doc §2.2: implement the worker that runs the four jobs off-hours via ICorrelationComputeEngine. For each (feature, outcome) pair choose the type-appropriate measure: Pearson+Spearman (cont×cont); point-biserial + Cohen's d + Mann-Whitney (cont×binary); chi-square + Cramér's V (cat×cat); Spearman + quantile bucketing (cont×count); mutual information + L1/Elastic-Net rank for the multivariate non-linear pass (optional ML.NET tree importances as cross-check, never a predictor). Honest framing only. Long-run safety: chunked compute, checkpointing per (target,batch), cancellation, concurrency cap 1/job, backoff.</t>
  </si>
  <si>
    <t xml:space="preserve">1) Running a job persists results with coefficient, effect size, sample size. 2) Each pair uses the type-correct method. 3) Deterministic for fixed data+seed (two runs match). 4) Cancellation mid-run leaves a clean failed state. 5) No forbidden claim language in any output.</t>
  </si>
  <si>
    <t xml:space="preserve">PPIQ-T216</t>
  </si>
  <si>
    <t xml:space="preserve">Statistical validity machinery (FDR, effect-size, power, stability, confounding, VIF)</t>
  </si>
  <si>
    <t xml:space="preserve">ML Engine / Statistical Rigor</t>
  </si>
  <si>
    <t xml:space="preserve">Per design doc §2.3 — the rigor that separates professional from naive. Wrap every result with: effect-size-first strength buckets (not p); Benjamini–Hochberg q-values across the full test family; a power/minimum-effective-n gate; bootstrap stability (CI on r itself + replication across time sub-windows; flag unstable findings); confounding handling (stratify by grade/line + partial-correlation adjustment, warn when an association collapses after adjustment); multicollinearity reporting (VIF; present grouped drivers, not duplicates). Cluster-robust standard errors by heat to correct pseudo-replication from coils nested in heats.</t>
  </si>
  <si>
    <t xml:space="preserve">1) Every result carries effect size, q-value, CI, effective-n, stability flag. 2) Under-powered pairs are gated out. 3) A planted-noise column does not survive FDR. 4) A confounded association is flagged after stratification. 5) Effective-n reflects heat-clustering, not raw coil count.</t>
  </si>
  <si>
    <t xml:space="preserve">PPIQ-T217</t>
  </si>
  <si>
    <t xml:space="preserve">Per-job scheduling, backoff &amp; MlReadiness governance gates</t>
  </si>
  <si>
    <t xml:space="preserve">ML Engine / Scheduling &amp; Governance</t>
  </si>
  <si>
    <t xml:space="preserve">Per design doc §2 + §3.1: add per-job off-hours scheduling with failure backoff and concurrency control, and extend MlReadinessService into governance gates — minimum sample size, label completeness, feature freshness, and a training-window selector (last week/month/year). The engine refuses to learn on insufficient/ungoverned data and reports why (preserving the no_production_prediction honesty).</t>
  </si>
  <si>
    <t xml:space="preserve">1) A job below the sample/label threshold is blocked with a clear readiness reason. 2) Backoff doubles the retry interval up to a cap. 3) Window selector changes the data range used. 4) Readiness gates reflect the real governance state.</t>
  </si>
  <si>
    <t xml:space="preserve">PPIQ-T218</t>
  </si>
  <si>
    <t xml:space="preserve">Persist correlation_result (extended) + Jobs Monitor integration</t>
  </si>
  <si>
    <t xml:space="preserve">ML Engine / Results Persistence</t>
  </si>
  <si>
    <t xml:space="preserve">Per design doc §2.5 / §2.6: extend CorrelationResult with model_version_id, feature_key+grain, outcome_key+type, method, coefficient, effect_size(+type), p_value, q_value, ci_low/high, effective_n, stratum, stability_score+is_stable, window. Ensure all four learning jobs surface in Administrator → Jobs Monitor (status OK/crash/timeout, last-run, duration, next-run, run-now/pause, active progress).</t>
  </si>
  <si>
    <t xml:space="preserve">1) Results persist with the full evidence columns incl. q-value and effective-n. 2) Learning jobs appear in the Jobs Monitor with correct status/last-run/duration/next-run. 3) Run-now triggers a job and progress ticks. 4) A crashed job shows failed + last error.</t>
  </si>
  <si>
    <t xml:space="preserve">PPIQ-T219</t>
  </si>
  <si>
    <t xml:space="preserve">ML learning engine tests on golden datasets</t>
  </si>
  <si>
    <t xml:space="preserve">ML Engine / Test Coverage</t>
  </si>
  <si>
    <t xml:space="preserve">Per design doc §2.3: tests with deterministic golden datasets where correct correlations are known by construction (planted signal + noise). Assert the engine recovers planted associations within tolerance, ranks them correctly, rejects pure noise after FDR, respects governance gates, persists correct provenance, and is reproducible for a fixed seed. Performance test bounds the run on the standard demo size.</t>
  </si>
  <si>
    <t xml:space="preserve">1) Engine recovers planted associations and rejects noise columns. 2) Ranking matches known ground-truth order. 3) Governance gate blocks an under-sampled run. 4) Deterministic; wired to the Jenkins gate.</t>
  </si>
  <si>
    <t xml:space="preserve">  Phase 04 — ML Engine — Inspection Jobs to Generated Pages (Vision §3.2)   |   6 tasks   |   31 hrs</t>
  </si>
  <si>
    <t xml:space="preserve">PPIQ-T220</t>
  </si>
  <si>
    <t xml:space="preserve">Inspection Job domain + persistence + endpoints</t>
  </si>
  <si>
    <t xml:space="preserve">P04</t>
  </si>
  <si>
    <t xml:space="preserve">ML Engine / Inspection Jobs</t>
  </si>
  <si>
    <t xml:space="preserve">Per design doc §3.2.1 (Vision §3.2.1): user selects one defect-id / downtime-id / KPI-id + window (last week/month/year) + a name. Implement InspectionJob entity + EF config + migration + endpoints (create/list/get/run/schedule/delete). Back the already-wired SaveInspectionJobModal with the real POST. Authorization + license gating (Pro Plus/Enterprise).</t>
  </si>
  <si>
    <t xml:space="preserve">1) Creating an inspection job from the modal persists it and returns an id. 2) Listing shows target, window, schedule. 3) Non-licensed tier is gated with a clear hint. 4) Audit row on create/run/schedule.</t>
  </si>
  <si>
    <t xml:space="preserve">PPIQ-T221</t>
  </si>
  <si>
    <t xml:space="preserve">Inspection Job runner — on-demand analysis with progress</t>
  </si>
  <si>
    <t xml:space="preserve">ML Engine / Inspection Runner</t>
  </si>
  <si>
    <t xml:space="preserve">Per design doc §3.2.2 (Vision §3.2.2): the runner executes an inspection job via the learning engine over the selected target + window and produces a ranked 'most influential parameters' result with evidence (coefficient, q-value, effect size, supporting slices, stability). Returns a structured InspectionResult the page generator consumes. Run-now returns 202 + progress (reuse the demo-lifecycle progress pattern).</t>
  </si>
  <si>
    <t xml:space="preserve">1) Run-now over a demo target returns a ranked contributor list with evidence in bounded time. 2) Progress endpoint ticks through stages. 3) Same input+window =&gt; deterministic ranking. 4) Results persisted and linked to the job.</t>
  </si>
  <si>
    <t xml:space="preserve">PPIQ-T222</t>
  </si>
  <si>
    <t xml:space="preserve">Auto-generate analysis page from inspection result (no hardcoding)</t>
  </si>
  <si>
    <t xml:space="preserve">ML Engine / Page Generation</t>
  </si>
  <si>
    <t xml:space="preserve">Per design doc §3.2.2 + Track-3 golden rule: on completion, auto-compose a dashboard page from REAL widget definitions bound to the result — top-contributors bar, contributor trend over the window, distribution by target, correlation matrix — emitted into the page model (P08), the same definitions a user could build by hand. Regenerating after a re-run updates the page in place. No hardcoded layout.</t>
  </si>
  <si>
    <t xml:space="preserve">1) A completed run produces a saved-page definition referencing real widgets bound to result data. 2) Opening the page renders live widgets. 3) Re-run updates the page in place. 4) The page round-trips through the page model — zero hardcoded layout.</t>
  </si>
  <si>
    <t xml:space="preserve">PPIQ-T223</t>
  </si>
  <si>
    <t xml:space="preserve">Correlation Page shell — tabbed generated pages (replace stub)</t>
  </si>
  <si>
    <t xml:space="preserve">App Frontend</t>
  </si>
  <si>
    <t xml:space="preserve">ML Engine / Correlation Page</t>
  </si>
  <si>
    <t xml:space="preserve">Per design doc §3.2.x (Vision §3.2): replace the 5-line CorrelationPage.tsx stub with the full ML Correlation area — a StandardTabs surface where each generated inspection-job page is a tab, with run-now, a save toggle, and a schedule control (hourly/daily) per tab. Standard* primitives, license gating, DataFetchBoundary states.</t>
  </si>
  <si>
    <t xml:space="preserve">1) Page lists inspection jobs as tabs; selecting one renders its generated widgets. 2) Run-now refreshes the tab via the runner with a progress panel. 3) Save persists the page; Schedule enqueues a periodic job in the Jobs Monitor. 4) Standard* primitives only; visual regression baseline captured.</t>
  </si>
  <si>
    <t xml:space="preserve">PPIQ-T224</t>
  </si>
  <si>
    <t xml:space="preserve">Schedule inspection jobs periodically + Jobs Monitor integration</t>
  </si>
  <si>
    <t xml:space="preserve">ML Engine / Scheduling</t>
  </si>
  <si>
    <t xml:space="preserve">Per design doc §3.2.3 (Vision §3.2.3): allow a saved inspection job to run periodically (hourly/daily/user-defined) or on demand. Register scheduled inspection runs in the unified job model so they appear in the Jobs Monitor with status/last-run/duration, and a periodic run regenerates the saved page. Rate-limited to avoid overlap.</t>
  </si>
  <si>
    <t xml:space="preserve">1) Scheduling a job enqueues a recurring run visible in the Jobs Monitor. 2) Each periodic run regenerates the page and records last-run/duration. 3) Pausing/deleting the schedule stops future runs. 4) Rate-limited against overlap.</t>
  </si>
  <si>
    <t xml:space="preserve">PPIQ-T225</t>
  </si>
  <si>
    <t xml:space="preserve">E2E + integration tests for run -&gt; generate -&gt; save -&gt; schedule loop</t>
  </si>
  <si>
    <t xml:space="preserve">Per design doc §3.2: Playwright e2e + backend integration covering the full loop — create inspection job =&gt; run-now =&gt; generated page renders contributors =&gt; save =&gt; schedule =&gt; periodic run regenerates. Assert absence of the forbidden phrase and forbidden ML claims.</t>
  </si>
  <si>
    <t xml:space="preserve">1) The full loop passes against staging. 2) Generated page shows the expected top contributor for a planted-signal demo target. 3) Forbidden-phrase + forbidden-claim assertions pass. 4) Test &lt; 120s, wired to the post-deploy gate.</t>
  </si>
  <si>
    <t xml:space="preserve">  Phase 05 — ML Assistant — Suggestion Feed (Vision §3.3 proactive)   |   4 tasks   |   21 hrs</t>
  </si>
  <si>
    <t xml:space="preserve">PPIQ-T226</t>
  </si>
  <si>
    <t xml:space="preserve">Suggestion engine — rule-based, evidence-linked, impact-ranked</t>
  </si>
  <si>
    <t xml:space="preserve">P05</t>
  </si>
  <si>
    <t xml:space="preserve">ML Assistant / Suggestion Engine</t>
  </si>
  <si>
    <t xml:space="preserve">Per design doc §4.2/§4.4 (Vision §3.3 proactive): synthesize ranked recommendations from the §3.1 learning outputs, inspection results, and data-quality findings. Each suggestion carries confidence, effective-n, q-value, effect size, and links to the supporting evidence. Rank by impact score ≈ effect size × prevalence × actionability × confidence/stability; dedup/group correlated drivers (multicollinearity); boost newly-emerged/changed relationships (changepoint). Strictly honest framing.</t>
  </si>
  <si>
    <t xml:space="preserve">1) The engine emits ranked suggestions, each with confidence, n, q-value, evidence link. 2) Correlated drivers are grouped, not duplicated. 3) A newly-changed relationship surfaces higher. 4) Suggestions update after a new learning run. 5) No forbidden claim language (guarded).</t>
  </si>
  <si>
    <t xml:space="preserve">PPIQ-T227</t>
  </si>
  <si>
    <t xml:space="preserve">/api/suggestions endpoint + context filtering + license gating</t>
  </si>
  <si>
    <t xml:space="preserve">ML Assistant / Suggestions API</t>
  </si>
  <si>
    <t xml:space="preserve">Implement GET /api/suggestions (the previously-stubbed route) returning ranked recommendations, filterable by current investigation context (material/area/line/window) and license tier. ProblemDetails error paths; pagination; audit of which suggestions were surfaced.</t>
  </si>
  <si>
    <t xml:space="preserve">1) Endpoint returns ranked suggestions with reasoning + evidence links. 2) Context filters narrow results correctly. 3) Non-licensed tier gated. 4) Integration tests cover happy/empty/filtered.</t>
  </si>
  <si>
    <t xml:space="preserve">PPIQ-T228</t>
  </si>
  <si>
    <t xml:space="preserve">Suggestions &amp; Recommendations Page (proactive feed UI)</t>
  </si>
  <si>
    <t xml:space="preserve">ML Assistant / Suggestions Page</t>
  </si>
  <si>
    <t xml:space="preserve">Per design doc §4.2 (the 'Page' half of Vision §3.3): an evidence-grade ranked feed — 'the top things to look at this week' — with reasoning, confidence, sample size, and drill-through to the supporting correlation/inspection page. Standard* primitives, DataFetchBoundary states, license gating, and an honest empty state ('no strong signal yet'). Brand voice throughout.</t>
  </si>
  <si>
    <t xml:space="preserve">1) Page renders ranked recommendations with reasoning + evidence drill-through. 2) Drill-through opens the supporting analysis page. 3) Empty/loading/error use Standard* and the 'Refreshing…' pattern. 4) Standard* primitives only; visual regression baseline captured.</t>
  </si>
  <si>
    <t xml:space="preserve">PPIQ-T229</t>
  </si>
  <si>
    <t xml:space="preserve">Suggestion ranking + evidence-linkage tests</t>
  </si>
  <si>
    <t xml:space="preserve">ML Assistant / Test Coverage</t>
  </si>
  <si>
    <t xml:space="preserve">Tests asserting suggestion ranking order on golden inputs, evidence links resolve to the correct underlying results, context-filtering correctness, dedup/grouping of correlated drivers, and license gating. Determinism check.</t>
  </si>
  <si>
    <t xml:space="preserve">1) Ranking matches known ground truth on golden inputs. 2) Every evidence link resolves to the correct correlation/inspection record. 3) Correlated drivers are grouped. 4) Deterministic; wired to the gate.</t>
  </si>
  <si>
    <t xml:space="preserve">  Phase 06 — ML Assistant — Conversational RAG Agent (Vision §3.3 conversational)   |   6 tasks   |   39 hrs</t>
  </si>
  <si>
    <t xml:space="preserve">PPIQ-T230</t>
  </si>
  <si>
    <t xml:space="preserve">Knowledge-base ingestion (findings, cases, domain docs)</t>
  </si>
  <si>
    <t xml:space="preserve">P06</t>
  </si>
  <si>
    <t xml:space="preserve">ML Assistant / KB Ingestion</t>
  </si>
  <si>
    <t xml:space="preserve">Per design doc §4.1/§4.3: ingest the three growing knowledge sources into the pgvector KB (T213). (a) Learned findings rendered as evidence cards with structured metadata; (b) case memory (past inspection jobs, resolved excursions, downtime root-cause notes, acted-on recommendations + outcomes); (c) curated domain knowledge (grade specs, flat-steel failure modes, operating ranges, SOPs). Embed via IEmbeddingProvider; keep structured columns for hybrid retrieval. Re-ingest incrementally as data accumulates.</t>
  </si>
  <si>
    <t xml:space="preserve">1) Findings, cases, and domain docs are embedded and retrievable. 2) New findings/cases are ingested incrementally. 3) Each item retains structured fields (area, defect class, grade, window, q-value). 4) Re-ingestion is idempotent.</t>
  </si>
  <si>
    <t xml:space="preserve">PPIQ-T231</t>
  </si>
  <si>
    <t xml:space="preserve">Hybrid retrieval pipeline (semantic + structured filter)</t>
  </si>
  <si>
    <t xml:space="preserve">ML Assistant / Retrieval</t>
  </si>
  <si>
    <t xml:space="preserve">Per design doc §4.3: implement retrieval that combines pgvector semantic similarity with structured SQL filters over the findings (area, defect class, grade, line, time window, q-value threshold). Question =&gt; embed =&gt; semantic + filtered search =&gt; top-k evidence with citations. Tunable k; relevance + recency weighting.</t>
  </si>
  <si>
    <t xml:space="preserve">1) A query returns top-k evidence combining semantic match and structured filters. 2) Filtering by grade/defect/window narrows correctly. 3) Each retrieved item is citeable back to its source finding/case. 4) Retrieval latency is bounded and logged.</t>
  </si>
  <si>
    <t xml:space="preserve">PPIQ-T232</t>
  </si>
  <si>
    <t xml:space="preserve">Agent + tool layer (query findings, run inspection, KPI, genealogy, compare)</t>
  </si>
  <si>
    <t xml:space="preserve">ML Assistant / Agent &amp; Tools</t>
  </si>
  <si>
    <t xml:space="preserve">Per design doc §4.3: the assistant is an agent with tools that call existing services — query_findings(filters), run_inspection_job(target,window), query_kpi(metric,window,breakdown), trace_genealogy(material_id), compare_periods(...). The LLM (behind INarrativeProvider) orchestrates retrieval + tools and narrates a grounded, cited answer; it never computes analysis or invents numbers. Tool-calling via the provider (API-default, self-hostable for air-gap). Send only abstracted structured findings to an external provider, never raw plant data.</t>
  </si>
  <si>
    <t xml:space="preserve">1) The agent can answer a question that requires running a fresh inspection job mid-conversation. 2) Each tool call resolves against real services and returns structured data. 3) The answer cites the specific findings/cases/tool results used. 4) Only abstracted findings cross an external provider boundary.</t>
  </si>
  <si>
    <t xml:space="preserve">PPIQ-T233</t>
  </si>
  <si>
    <t xml:space="preserve">Conversational assistant UI with evidence citations + drill-through</t>
  </si>
  <si>
    <t xml:space="preserve">ML Assistant / Chat UI</t>
  </si>
  <si>
    <t xml:space="preserve">Per design doc §4.2 (the conversational half of Vision §3.3): a chat surface where a user asks plant-performance questions ('why are sliver defects up?', 'best lever on energy/ton?', 'compare strand 1 vs 2') and receives grounded answers with inline evidence chips (n, q-value, effect size) that drill through to the supporting correlation/inspection page. Standard* primitives; streaming responses; license gating; honest empty/uncertain states.</t>
  </si>
  <si>
    <t xml:space="preserve">1) Asking a question returns a grounded, cited answer with evidence chips. 2) A chip drills through to the supporting analysis page. 3) With no evidence the assistant says so rather than confabulating. 4) Standard* primitives only; visual regression baseline captured.</t>
  </si>
  <si>
    <t xml:space="preserve">PPIQ-T234</t>
  </si>
  <si>
    <t xml:space="preserve">Operator feedback loop (useful/acted/dismissed + outcomes)</t>
  </si>
  <si>
    <t xml:space="preserve">ML Assistant / Feedback Loop</t>
  </si>
  <si>
    <t xml:space="preserve">Per design doc §4.4: operators mark suggestions/answers useful, acted-on, or dismissed and record outcomes. This re-ranks future suggestions AND flows into case memory ('acted on; yield +1.2 pts'). Honest system-level learning — the platform improves with use, fully auditable, not opaque weight changes.</t>
  </si>
  <si>
    <t xml:space="preserve">1) Feedback can be recorded against a suggestion/answer. 2) Feedback measurably re-ranks future suggestions. 3) Acted-on outcomes enter case memory and become retrievable. 4) An audit trail records all feedback.</t>
  </si>
  <si>
    <t xml:space="preserve">PPIQ-T235</t>
  </si>
  <si>
    <t xml:space="preserve">Assistant grounding &amp; honesty guardrail tests</t>
  </si>
  <si>
    <t xml:space="preserve">ML Assistant / Guardrail Tests</t>
  </si>
  <si>
    <t xml:space="preserve">Per design doc §4.5: tests that the assistant answers ONLY from retrieved evidence + tool results, says 'no statistically significant driver found' when there is none (no confabulation), and never emits forbidden ML claims ('guaranteed root cause', 'AI-powered prediction', 'production-ready AI', 'predicts'). Verify every recommendation carries n + q-value + effect size + evidence link. Extend the CI copy guard to the assistant surfaces.</t>
  </si>
  <si>
    <t xml:space="preserve">1) With no supporting evidence the assistant declines rather than inventing an answer. 2) A forbidden ML claim anywhere fails CI. 3) Every surfaced recommendation carries n, q-value, effect size, evidence link. 4) Tests wired to the gate.</t>
  </si>
  <si>
    <t xml:space="preserve">  Phase 07 — Risk Scorer &amp; Model Governance (Vision §3 cross-cutting)   |   4 tasks   |   18 hrs</t>
  </si>
  <si>
    <t xml:space="preserve">PPIQ-T236</t>
  </si>
  <si>
    <t xml:space="preserve">Transparent additive risk scorer with exact contribution decomposition</t>
  </si>
  <si>
    <t xml:space="preserve">P07</t>
  </si>
  <si>
    <t xml:space="preserve">ML Engine / Risk Scorer</t>
  </si>
  <si>
    <t xml:space="preserve">Per design doc §5: make the customer-facing risk score a transparent additive model — score = Σ wᵢ·standardized(featureᵢ) over the validated drivers, weights from the active model's effect sizes/coefficients, normalized 0–100. Each coil's score decomposes EXACTLY into per-feature contributions (superheat +30, hard grade +25, strand 2 +17) — no SHAP, because the model is linear/additive. Keep a GBM only for driver DISCOVERY, never for scoring.</t>
  </si>
  <si>
    <t xml:space="preserve">1) A coil's score equals the sum of its per-feature contributions exactly. 2) The contribution waterfall is exposed in the UI/API. 3) Weights derive from the active model version. 4) Scorer remains linear/additive (no black-box scoring).</t>
  </si>
  <si>
    <t xml:space="preserve">PPIQ-T237</t>
  </si>
  <si>
    <t xml:space="preserve">Risk-score calibration &amp; reliability check</t>
  </si>
  <si>
    <t xml:space="preserve">ML Engine / Calibration</t>
  </si>
  <si>
    <t xml:space="preserve">Per design doc §5: validate that higher scores correspond to higher observed defect rates (rank correlation + reliability/calibration plot). Recalibrate when drift is detected. A score that does not rank-order real outcomes is flagged.</t>
  </si>
  <si>
    <t xml:space="preserve">1) Calibration check runs and reports rank correlation between score and observed defect rate. 2) A miscalibrated scorer is flagged. 3) Recalibration updates the normalization. 4) Result is reproducible.</t>
  </si>
  <si>
    <t xml:space="preserve">PPIQ-T238</t>
  </si>
  <si>
    <t xml:space="preserve">Model registry lifecycle, provenance &amp; reproducibility</t>
  </si>
  <si>
    <t xml:space="preserve">ML Engine / Model Registry</t>
  </si>
  <si>
    <t xml:space="preserve">Per design doc §7: treat a model as a versioned analysis configuration + computed snapshot. Store provenance — data window, canonical-view versions, engine git SHA, thresholds, random seed — so any result is reproducible bit-for-bit. Register/version/activate/retire; exactly one active version per scope; the risk scorer reads the active version. Keep baseline v1 = 'Transparent rule-based quality risk scorer'.</t>
  </si>
  <si>
    <t xml:space="preserve">1) A learning run registers a new version with full provenance. 2) Exactly one version per scope is active; activation retires the prior. 3) Re-running with the stored seed reproduces results. 4) History is queryable for audit.</t>
  </si>
  <si>
    <t xml:space="preserve">PPIQ-T239</t>
  </si>
  <si>
    <t xml:space="preserve">Drift monitoring &amp; champion/challenger promotion</t>
  </si>
  <si>
    <t xml:space="preserve">normal</t>
  </si>
  <si>
    <t xml:space="preserve">ML Engine / Drift &amp; Promotion</t>
  </si>
  <si>
    <t xml:space="preserve">Per design doc §7: when new data lands, compare the active model's correlations to fresh computation and alert when a strong driver weakens or flips sign (a process change — feeds suggestions). The weekly overall pass (§3.1.4) is a challenger; promote over the active model only if more stable, never automatically.</t>
  </si>
  <si>
    <t xml:space="preserve">1) A drifted driver raises an alert and a suggestion. 2) The weekly pass is evaluated as a challenger. 3) Promotion requires a stability improvement and is logged. 4) No automatic silent promotion.</t>
  </si>
  <si>
    <t xml:space="preserve">  Phase 08 — Page Builder &amp; Widget Library (Vision §2.1–2.2)   |   5 tasks   |   30 hrs</t>
  </si>
  <si>
    <t xml:space="preserve">PPIQ-T240</t>
  </si>
  <si>
    <t xml:space="preserve">Page CRUD + /pages/{slug} dynamic load</t>
  </si>
  <si>
    <t xml:space="preserve">P08</t>
  </si>
  <si>
    <t xml:space="preserve">Page Builder / Page CRUD</t>
  </si>
  <si>
    <t xml:space="preserve">Vision §2.1.1/2.1.3: create/edit/delete/save user pages, persisted per-user, and a dynamic /pages/{slug} route loading a stored page definition (backend /api/pages/{slug}, 404 on missing). This is the page model the ML page generator (P04) emits into. Standard* primitives.</t>
  </si>
  <si>
    <t xml:space="preserve">1) Create, rename, save, delete a page; reload restores it. 2) /pages/{slug} loads a stored page; missing slug 404s. 3) Pages are per-user/owner scoped. 4) The ML-generated page round-trips through the same model.</t>
  </si>
  <si>
    <t xml:space="preserve">PPIQ-T241</t>
  </si>
  <si>
    <t xml:space="preserve">Drag-drop widget canvas + widget library</t>
  </si>
  <si>
    <t xml:space="preserve">Page Builder / Canvas &amp; Library</t>
  </si>
  <si>
    <t xml:space="preserve">Vision §2.1.2: a library of all widgets (every chart type, KPI, and the filtering tools — date-time picker, list-of-values). Drag-drop onto the page, arrange, Save; editing can add/remove/rearrange. Drag/resize/min/max correct (Vision §2.5). Reuse WidgetBuilderWizard for per-widget config.</t>
  </si>
  <si>
    <t xml:space="preserve">1) Drag a widget from the library to the canvas, arrange, save; reload preserves layout. 2) Resize/min/max/move behave correctly with no overlap glitches. 3) Date-time and list filters available as widgets. 4) Standard* primitives; visual regression baseline captured.</t>
  </si>
  <si>
    <t xml:space="preserve">PPIQ-T242</t>
  </si>
  <si>
    <t xml:space="preserve">Widget edit: link to DB values + script layer in the builder</t>
  </si>
  <si>
    <t xml:space="preserve">Page Builder / Widget Config</t>
  </si>
  <si>
    <t xml:space="preserve">Vision §2.2.1–2.2.3: the selected widget has Edit to link it to a list of values from the canonical schema and add a script-layer expression (e.g. bar chart grouped by shift). Wire the existing widget compiler (WidgetQueryExpressionService + WidgetScriptStep) into the live builder, with schema-aware autocomplete from the canonical catalog and SafeSqlValidator on save + execute.</t>
  </si>
  <si>
    <t xml:space="preserve">1) Editing a widget links it to a canonical view's columns and a script expression. 2) Autocomplete suggests views/columns contextually. 3) Save is gated on a valid, safe expression. 4) Execution honors the second-pass SafeSqlValidator.</t>
  </si>
  <si>
    <t xml:space="preserve">PPIQ-T243</t>
  </si>
  <si>
    <t xml:space="preserve">Page persistence, ownership &amp; sharing (backend)</t>
  </si>
  <si>
    <t xml:space="preserve">Page Builder / Persistence</t>
  </si>
  <si>
    <t xml:space="preserve">Backend page store (page, owner, layout json, widget bindings, version), endpoints for CRUD + list-by-owner, optional share/visibility. Tenant-scoped. Used by P04 generated pages and P08 builder.</t>
  </si>
  <si>
    <t xml:space="preserve">1) Pages persist with layout + bindings + version. 2) List-by-owner returns the user's pages. 3) Tenant isolation enforced. 4) Round-trip preserves layout and bindings.</t>
  </si>
  <si>
    <t xml:space="preserve">PPIQ-T244</t>
  </si>
  <si>
    <t xml:space="preserve">Page builder e2e + drag/resize correctness tests</t>
  </si>
  <si>
    <t xml:space="preserve">Page Builder / Test Coverage</t>
  </si>
  <si>
    <t xml:space="preserve">Playwright e2e: create page =&gt; drag two widgets =&gt; configure one with a script expression =&gt; resize/move =&gt; save =&gt; reload renders identically. Assert no layout drift and no forbidden phrase.</t>
  </si>
  <si>
    <t xml:space="preserve">1) The build-save-reload flow renders identically (snapshot). 2) Resize/move persist exactly. 3) Forbidden-phrase assertion passes. 4) Wired to the PR gate.</t>
  </si>
  <si>
    <t xml:space="preserve">  Phase 09 — Demo Source-Database Suite at Real Scale (Vision Track 3)   |   4 tasks   |   25 hrs</t>
  </si>
  <si>
    <t xml:space="preserve">PPIQ-T245</t>
  </si>
  <si>
    <t xml:space="preserve">docker-compose.demo-sources.yml — eight source systems (loopback-bound)</t>
  </si>
  <si>
    <t xml:space="preserve">P09</t>
  </si>
  <si>
    <t xml:space="preserve">Track 3 — Demo</t>
  </si>
  <si>
    <t xml:space="preserve">Demo Sources / Compose</t>
  </si>
  <si>
    <t xml:space="preserve">Vision Track 3: provision postgres-meltshop (EAF/LF), oracle-caster, oracle-hsm, mssql-pkl, mysql-downtime, mysql-parsytec, plus csv-drop (Yard) and excel-drop (QA) watched volumes. Every port bound to 127.0.0.1 only. First-run init scripts under Infrastructure/deploy/source-seeds/{system}/. External network so the backend reaches each by hostname.</t>
  </si>
  <si>
    <t xml:space="preserve">1) compose up -d brings all eight up healthy within the warm-up window (Oracle slow). 2) Backend reaches each by internal hostname. 3) External scan shows no source DB publicly reachable. 4) Re-run is idempotent.</t>
  </si>
  <si>
    <t xml:space="preserve">PPIQ-T246</t>
  </si>
  <si>
    <t xml:space="preserve">Split the existing coherent dataset across the eight source systems</t>
  </si>
  <si>
    <t xml:space="preserve">Demo Sources / Seed Distribution</t>
  </si>
  <si>
    <t xml:space="preserve">The single-DB seed already produces vision-scale volumes (630 heats, 5,670 slabs/coils, ~40k HSM measurements, ~17k QA results, ~210 downtime events — 100k+ rows). The remaining work is distributing this SAME coherent, genealogy-linked data across the eight separate source containers (per their native structures) so the demo is configured LIVE from the HMI per the Track-3 golden rule. Preserve end-to-end genealogy across systems.</t>
  </si>
  <si>
    <t xml:space="preserve">1) Each source container is seeded with its slice in its native structure. 2) Material ADV_COIL4002 traces end-to-end across every system incl. a downtime and a QA sample. 3) Re-seeding is idempotent. 4) Total volume preserved (100k+ rows).</t>
  </si>
  <si>
    <t xml:space="preserve">PPIQ-T247</t>
  </si>
  <si>
    <t xml:space="preserve">Connector smoke tests vs all six live DB sources + CSV/Excel golden files</t>
  </si>
  <si>
    <t xml:space="preserve">Connectors / Smoke Tests</t>
  </si>
  <si>
    <t xml:space="preserve">Author/extend smoke tests for PostgreSqlConnector, OracleConnector (×2), MsSqlConnector, MySqlConnector (×2), plus CSV/Excel, against the live demo-sources containers: ListTables, DescribeTable, SamplePage(100), FullSync, vs checked-in golden snapshots. Opt-in via PPIQ_RUN_CONNECTOR_INTEGRATION=1; wired to the post-deploy gate. Oracle gets a 90s warm-up.</t>
  </si>
  <si>
    <t xml:space="preserve">1) Each connector passes against its seeded source. 2) Each detects drift if seed data is altered. 3) Oracle warm-up handled. 4) All wired to Jenkins post-deploy and logged.</t>
  </si>
  <si>
    <t xml:space="preserve">PPIQ-T248</t>
  </si>
  <si>
    <t xml:space="preserve">Live end-to-end config demo proof (no hardcoding)</t>
  </si>
  <si>
    <t xml:space="preserve">Demo Sources / E2E Proof</t>
  </si>
  <si>
    <t xml:space="preserve">Track-3 golden-rule proof: a scripted e2e that, from the HMI only, connects each of the six DB sources + two drops, maps/joins one cross-source view, runs a delta import, builds a page with a script-layer widget, runs an inspection job, and asks the assistant one question — verifying nothing is hardcoded.</t>
  </si>
  <si>
    <t xml:space="preserve">1) The full from-HMI path passes against the demo-sources stack. 2) Each step verified with a concrete checkpoint. 3) No hardcoded page/widget used anywhere. 4) Run completes within the demo time budget.</t>
  </si>
  <si>
    <t xml:space="preserve">  Phase 10 — Hardening Completion &amp; Resilience (Vision Track 2)   |   8 tasks   |   35 hrs</t>
  </si>
  <si>
    <t xml:space="preserve">PPIQ-T249</t>
  </si>
  <si>
    <t xml:space="preserve">HeatMapWidget for Risk Intelligence (line × shift × day)</t>
  </si>
  <si>
    <t xml:space="preserve">P10</t>
  </si>
  <si>
    <t xml:space="preserve">Widgets / Visualization</t>
  </si>
  <si>
    <t xml:space="preserve">Vision §4.2: a heat map on Risk Intelligence — risk score by line × shift × day-of-week, green→amber→red on brand thresholds, hover tooltip with breakdown, click-through to the materials in that cell (applies filters to Material Investigation). Data via /api/risk/heatmap. StandardCard with loading/empty/error states.</t>
  </si>
  <si>
    <t xml:space="preserve">1) Heat map renders; colors match the chip treatment. 2) Click drilldown applies filters to Material Investigation. 3) States use Standard* primitives. 4) 30×7×24 grid renders &lt; 200ms.</t>
  </si>
  <si>
    <t xml:space="preserve">PPIQ-T250</t>
  </si>
  <si>
    <t xml:space="preserve">Live license tier toggle + app-wide override banner</t>
  </si>
  <si>
    <t xml:space="preserve">License / Tier Toggle</t>
  </si>
  <si>
    <t xml:space="preserve">In Admin Preview, a StandardSelect bound to effective-tier/tier-override lets an admin demo Pro Plus features without swapping licenses; an app-shell banner shows when an override is active ('Tier override active: Pro Plus (expires in 23h 47m). Reset.'). Demonstrates Vision §4.2.</t>
  </si>
  <si>
    <t xml:space="preserve">1) Toggling tier immediately re-gates features across the app. 2) Banner appears when override active; Reset clears it. 3) Switching Enterprise→Pro visibly removes gated features. 4) Audit on every toggle.</t>
  </si>
  <si>
    <t xml:space="preserve">PPIQ-T251</t>
  </si>
  <si>
    <t xml:space="preserve">Progress-percentage UI for long-running endpoints (Vision §2.1)</t>
  </si>
  <si>
    <t xml:space="preserve">Hardening / Long Calls</t>
  </si>
  <si>
    <t xml:space="preserve">For every endpoint that can be slow on large datasets (imports, ML runs, heavy analytics, PDF), surface a loading indicator with a progress percentage (reuse OperationProgressPanel + progress endpoints). No silent multi-second hangs anywhere a customer can see.</t>
  </si>
  <si>
    <t xml:space="preserve">1) Each heavy action shows progress %, not a bare spinner. 2) Progress reflects real backend stages. 3) No visible hang &gt; 1s without feedback. 4) e2e covers the three heaviest paths.</t>
  </si>
  <si>
    <t xml:space="preserve">PPIQ-T252</t>
  </si>
  <si>
    <t xml:space="preserve">Endpoint + SQL resilience audit (PK/FK/null/timeout) (Vision §2.2)</t>
  </si>
  <si>
    <t xml:space="preserve">Hardening / API Resilience</t>
  </si>
  <si>
    <t xml:space="preserve">Systematic pass over every API + its SQL/joins (including the new schema-mapping, two-stage import, and ML endpoints): guard null/missing PK-FK, enforce query timeouts, ProblemDetails on every error path, assert no unexpected 500s under empty/edge data. Produce docs/hardening/endpoint-resilience-{date}.md listing each endpoint's edge handling.</t>
  </si>
  <si>
    <t xml:space="preserve">1) Every endpoint returns structured errors, never an unhandled 500, under empty/edge inputs. 2) Query timeouts enforced. 3) Checklist documents each endpoint. 4) Integration tests cover the top 25 endpoints' edge cases.</t>
  </si>
  <si>
    <t xml:space="preserve">PPIQ-T253</t>
  </si>
  <si>
    <t xml:space="preserve">Full action-matrix test: every control does its job (Vision §3.1.1)</t>
  </si>
  <si>
    <t xml:space="preserve">Hardening / Action Matrix</t>
  </si>
  <si>
    <t xml:space="preserve">Extend src/hardening/actionMatrix.ts: for every page and sub-page (incl. the new ML Correlation, Suggestions, Assistant, Schema Mapping, Two-Stage Import, Jobs Monitor surfaces), enumerate every button/control/hook with its expected action, and a Playwright test exercising each and asserting the outcome. No dead/misbehaving control.</t>
  </si>
  <si>
    <t xml:space="preserve">1) The matrix enumerates every control on every page/sub-page. 2) Each is exercised and asserted. 3) Zero dead/misbehaving controls. 4) Wired to the PR gate; a new dead button fails it.</t>
  </si>
  <si>
    <t xml:space="preserve">PPIQ-T254</t>
  </si>
  <si>
    <t xml:space="preserve">Responsive + cross-browser + http/https correctness (Vision §1.6, §2.1.6)</t>
  </si>
  <si>
    <t xml:space="preserve">Hardening / Responsive</t>
  </si>
  <si>
    <t xml:space="preserve">Verify every page renders correctly at common screen sizes and re-adjusts across Chromium/Firefox/WebKit on both http and https. Fix layout/overflow/orientation issues. Add Playwright runs at three viewports × three browsers.</t>
  </si>
  <si>
    <t xml:space="preserve">1) No layout/overflow defects across three viewports and three browsers. 2) Works on http and https. 3) Snapshots captured as baselines. 4) Wired to the visual-regression job.</t>
  </si>
  <si>
    <t xml:space="preserve">PPIQ-T255</t>
  </si>
  <si>
    <t xml:space="preserve">Archive synthetic seeds out of production boot path</t>
  </si>
  <si>
    <t xml:space="preserve">Seeds / Hygiene</t>
  </si>
  <si>
    <t xml:space="preserve">Move any synthetic/placeholder seed out of the boot path into Backend/database/seeds/demo-only/, invoked only by the demo reset job and only when tenant.is_demo = true. Any seed touching a real tenant must be explicit and approved.</t>
  </si>
  <si>
    <t xml:space="preserve">1) Grep of API startup shows zero demo-seed calls in the production boot path. 2) A fresh non-demo tenant has zero synthetic rows. 3) The demo tenant re-seeds via reset. 4) Audit shows seed activity only on demo tenants.</t>
  </si>
  <si>
    <t xml:space="preserve">PPIQ-T256</t>
  </si>
  <si>
    <t xml:space="preserve">Complete Standard* contract tests</t>
  </si>
  <si>
    <t xml:space="preserve">Quality / Contract Tests</t>
  </si>
  <si>
    <t xml:space="preserve">Ensure every Standard* primitive has a contract test asserting prop names/types/defaults and render shape (data-testid hooks). Fill gaps (Surface/Fields variants) beyond the existing Button/Table/Tabs tests.</t>
  </si>
  <si>
    <t xml:space="preserve">1) Contract tests exist for all Standard* primitives. 2) A non-backward-compatible prop change fails a contract test. 3) Suite &lt; 30s on every PR.</t>
  </si>
  <si>
    <t xml:space="preserve">  Phase 11 — Demo Storytelling, Personas &amp; Recording (Vision Track 3)   |   6 tasks   |   20 hrs</t>
  </si>
  <si>
    <t xml:space="preserve">PPIQ-T257</t>
  </si>
  <si>
    <t xml:space="preserve">25-step technical demo script with verification points</t>
  </si>
  <si>
    <t xml:space="preserve">P11</t>
  </si>
  <si>
    <t xml:space="preserve">Documentation</t>
  </si>
  <si>
    <t xml:space="preserve">Demo Scripts / Technical</t>
  </si>
  <si>
    <t xml:space="preserve">docs/demo/technical-demo-25-steps.md: 25 steps, each with [Action],[Expected UI state],[Verification checkpoint],[Recovery line],[Backend log indicator]. Covers login, connect each source, map/join one, delta sync, Data Quality, save investigation, calculate risk, export PDF, run ML readiness, run an inspection job + view the generated page, ask the assistant a question, view a suggestion, deploy a script-layer widget, view audit log, reset demo. Screenshots match the Standard*-migrated UI.</t>
  </si>
  <si>
    <t xml:space="preserve">1) 25 steps, all five fields populated. 2) Screenshots match the current UI. 3) A new SE runs it end-to-end in &lt; 40 min. 4) Each checkpoint is concrete.</t>
  </si>
  <si>
    <t xml:space="preserve">PPIQ-T258</t>
  </si>
  <si>
    <t xml:space="preserve">5-minute executive demo script with talk track</t>
  </si>
  <si>
    <t xml:space="preserve">Demo Scripts / Executive</t>
  </si>
  <si>
    <t xml:space="preserve">docs/demo/executive-demo-5min.md: 4 acts (problem 60s; solution 90s; demo 2m30s — search → drilldown → calculate risk → inspection job → ask the assistant → PDF; close 60s). Exact words + the screen to show per act.</t>
  </si>
  <si>
    <t xml:space="preserve">1) Four acts, total 4:30–5:00 measured. 2) Deliverable from the script without rehearsal. 3) Each act references a specific page+state.</t>
  </si>
  <si>
    <t xml:space="preserve">PPIQ-T259</t>
  </si>
  <si>
    <t xml:space="preserve">Recovery lines for known fail-points</t>
  </si>
  <si>
    <t xml:space="preserve">Demo Scripts / Recovery</t>
  </si>
  <si>
    <t xml:space="preserve">docs/demo/recovery-lines.md: ≥12 known weak points (Oracle warm-up, first connector load, ML run latency, assistant latency, PDF render, network hiccup, stale cache) each with a calm, confident, non-apologetic recovery line + remediation gesture, in brand voice.</t>
  </si>
  <si>
    <t xml:space="preserve">1) ≥12 fail-points covered. 2) Each line is calm and on-brand. 3) Founder review approves the tone.</t>
  </si>
  <si>
    <t xml:space="preserve">PPIQ-T260</t>
  </si>
  <si>
    <t xml:space="preserve">Demo persona accounts (Operator, QA Lead, Plant Manager, Admin)</t>
  </si>
  <si>
    <t xml:space="preserve">Demo Lifecycle / Personas</t>
  </si>
  <si>
    <t xml:space="preserve">Seed four personas via the demo reset job with rotated credentials and tuned home pages (Operator: today's quality events; QA Lead: open investigations; Plant Manager: risk by line; Admin: system health). Role/tier restrictions enforced.</t>
  </si>
  <si>
    <t xml:space="preserve">1) After reset all four log in. 2) Each home page is tuned per spec. 3) Operator cannot reach Admin pages. 4) Credentials documented (gitignored real values, vaulted).</t>
  </si>
  <si>
    <t xml:space="preserve">PPIQ-T261</t>
  </si>
  <si>
    <t xml:space="preserve">Seed canonical demo plant layout (flat-steel)</t>
  </si>
  <si>
    <t xml:space="preserve">Demo Lifecycle / Canonical Layout</t>
  </si>
  <si>
    <t xml:space="preserve">Seed the canonical layout (EAF/LF/CC/TF/HSM/SKP/LCT/HCT/STL/PKL/GVL/Yard/Roll Shop) with realistic genealogy and per-area equipment/counters, applied via the demo reset job. Document at docs/demo/canonical-layout.md.</t>
  </si>
  <si>
    <t xml:space="preserve">1) Layout after reset matches the documented canonical plant. 2) Genealogy intact across areas. 3) Process history/quality/risk realistic per material. 4) Re-applies cleanly via reset.</t>
  </si>
  <si>
    <t xml:space="preserve">PPIQ-T262</t>
  </si>
  <si>
    <t xml:space="preserve">Record dry-run demo video + capture website screenshots</t>
  </si>
  <si>
    <t xml:space="preserve">Track 4 — Website</t>
  </si>
  <si>
    <t xml:space="preserve">Demo Recording / Website Assets</t>
  </si>
  <si>
    <t xml:space="preserve">After prior phases are green, record one 5-minute executive dry-run (screen+voice) on the Standard*-migrated UI and capture 10+ 1080p screenshots (login, dashboard, material search, drilldown, risk, inspection page, assistant, suggestion, PDF, audit, reset) into Website assets.</t>
  </si>
  <si>
    <t xml:space="preserve">1) 5-min video at 1080p+. 2) 10+ screenshots at 1920×1080. 3) Website renders the new assets. 4) In-app/website visual consistency confirmed.</t>
  </si>
  <si>
    <t xml:space="preserve">  Phase 12 — Website Track — 5-Product Showcase &amp; Brand (Vision Track 4)   |   9 tasks   |   28 hrs</t>
  </si>
  <si>
    <t xml:space="preserve">PPIQ-T263</t>
  </si>
  <si>
    <t xml:space="preserve">Produce the logo asset set per brand brief</t>
  </si>
  <si>
    <t xml:space="preserve">P12</t>
  </si>
  <si>
    <t xml:space="preserve">Web</t>
  </si>
  <si>
    <t xml:space="preserve">Website / Brand Assets</t>
  </si>
  <si>
    <t xml:space="preserve">Vision §2.4: produce the full logo set — full horizontal, icon-only favicon, stacked vertical — each in full-color, dark, light, monochrome — from the connected-node concept (Electric Cyan nodes on Deep Navy). Ship optimized SVG + PNG; wire into app header, website, and PDF reports.</t>
  </si>
  <si>
    <t xml:space="preserve">1) All variants exist as SVG+PNG within palette. 2) Favicon + app header + website + PDF header use the correct variant. 3) No drop shadows/recolors/steel-only imagery.</t>
  </si>
  <si>
    <t xml:space="preserve">PPIQ-T264</t>
  </si>
  <si>
    <t xml:space="preserve">PlantProcess IQ product page (full) — feature the AI assistant</t>
  </si>
  <si>
    <t xml:space="preserve">Website / Product Page</t>
  </si>
  <si>
    <t xml:space="preserve">Vision Track 4 product 1: full PlantProcess IQ page — description, benefits, interactive graphics/screenshots, license matrix, golden-rule CTA — and prominently feature the honest, evidence-grade AI assistant ('ask your plant data, every answer cited'). Reuse PricingLicenseMatrix, ProductScreenshotShowcase.</t>
  </si>
  <si>
    <t xml:space="preserve">1) Page covers description/benefits/graphics/license/CTA. 2) The AI assistant is featured with the honest framing. 3) CTA links to the live demo. 4) Responsive across viewports.</t>
  </si>
  <si>
    <t xml:space="preserve">PPIQ-T265</t>
  </si>
  <si>
    <t xml:space="preserve">MES product page (full)</t>
  </si>
  <si>
    <t xml:space="preserve">Vision Track 4 product 2: full Manufacturing Execution System page — description, benefits, interactive graphics, license, golden rule. Consistent brand grammar with the PPIQ page.</t>
  </si>
  <si>
    <t xml:space="preserve">1) Full MES page with all required sections. 2) Brand-consistent with PPIQ page. 3) CTA wired. 4) Responsive.</t>
  </si>
  <si>
    <t xml:space="preserve">PPIQ-T266</t>
  </si>
  <si>
    <t xml:space="preserve">QES product page (full)</t>
  </si>
  <si>
    <t xml:space="preserve">Vision Track 4 product 3: full Quality Execution System page — description, benefits, interactive graphics, license, golden rule.</t>
  </si>
  <si>
    <t xml:space="preserve">1) Full QES page with all required sections. 2) Brand-consistent. 3) CTA wired. 4) Responsive.</t>
  </si>
  <si>
    <t xml:space="preserve">PPIQ-T267</t>
  </si>
  <si>
    <t xml:space="preserve">Yard &amp; Warehouse Management product page (full)</t>
  </si>
  <si>
    <t xml:space="preserve">Vision Track 4 product 4: full Yard &amp; Warehouse Management page — description, benefits, interactive graphics, license, golden rule.</t>
  </si>
  <si>
    <t xml:space="preserve">1) Full page with all required sections. 2) Brand-consistent. 3) CTA wired. 4) Responsive.</t>
  </si>
  <si>
    <t xml:space="preserve">PPIQ-T268</t>
  </si>
  <si>
    <t xml:space="preserve">Energy Management product page (full)</t>
  </si>
  <si>
    <t xml:space="preserve">Vision Track 4 product 5: full Energy Management page — description, benefits, interactive graphics, license, golden rule.</t>
  </si>
  <si>
    <t xml:space="preserve">PPIQ-T269</t>
  </si>
  <si>
    <t xml:space="preserve">Pricing + CTA wired to lead capture &amp; demo lifecycle</t>
  </si>
  <si>
    <t xml:space="preserve">Website / Pricing &amp; CTA</t>
  </si>
  <si>
    <t xml:space="preserve">Three tiers (Pro/Pro Plus/Enterprise) with a feature matrix consistent with in-app licensing; 'Book a demo' posts to /api/leads with UTM params and triggers a calendar booking flow; leads reach the founder. Website CTA buttons match the in-app brand grammar.</t>
  </si>
  <si>
    <t xml:space="preserve">1) Pricing renders three tiers + feature matrix matching in-app gating. 2) Book-a-demo submits a lead and shows a booking flow. 3) Lead notification reaches the founder. 4) Brand consistency with the app.</t>
  </si>
  <si>
    <t xml:space="preserve">PPIQ-T270</t>
  </si>
  <si>
    <t xml:space="preserve">Evidence-grade screenshots + case-study snippets</t>
  </si>
  <si>
    <t xml:space="preserve">Website / Proof</t>
  </si>
  <si>
    <t xml:space="preserve">Integrate the T262 screenshots into hero/features/proof with 'See it in the live demo' deep links, plus one evidence-grade case-study paragraph for the canonical plant (no exaggeration, brand voice).</t>
  </si>
  <si>
    <t xml:space="preserve">1) Hero/features/proof show post-migration UI. 2) CTAs deep-link to the page shown. 3) Case-study snippet is evidence-grade and on-brand.</t>
  </si>
  <si>
    <t xml:space="preserve">PPIQ-T271</t>
  </si>
  <si>
    <t xml:space="preserve">Brand identity consistency audit (app + website + reports)</t>
  </si>
  <si>
    <t xml:space="preserve">Website / Brand Audit</t>
  </si>
  <si>
    <t xml:space="preserve">Audit palette, typography (Inter / JetBrains Mono), logo usage, and tone across app, website, and PDF reports; fix any drift. Produce docs/brand/consistency-audit-{date}.md.</t>
  </si>
  <si>
    <t xml:space="preserve">1) Palette/typography/logo usage consistent across all three surfaces. 2) PDF reports use the light-mode brand header/footer. 3) Audit document lists and resolves every drift.</t>
  </si>
  <si>
    <t xml:space="preserve">  Phase 13 — Legal Templates, Runbooks &amp; Documentation   |   8 tasks   |   25.5 hrs</t>
  </si>
  <si>
    <t xml:space="preserve">PPIQ-T272</t>
  </si>
  <si>
    <t xml:space="preserve">Mutual NDA template</t>
  </si>
  <si>
    <t xml:space="preserve">P13</t>
  </si>
  <si>
    <t xml:space="preserve">Legal / NDA</t>
  </si>
  <si>
    <t xml:space="preserve">docs/legal/NDA-mutual-v1.docx parameterized for {EffectiveDate}{Counterparty}{Term}: confidential-info definition, exclusions, term (default 3y), purpose limitation, return of materials, no implied license, governing law (Düsseldorf / German law default). Counsel review before first use. Plain-md version for diffing.</t>
  </si>
  <si>
    <t xml:space="preserve">1) Docx template renders with placeholders. 2) Counsel sign-off captured in docs/legal/REVIEWS.md. 3) MD diff version checked in.</t>
  </si>
  <si>
    <t xml:space="preserve">PPIQ-T273</t>
  </si>
  <si>
    <t xml:space="preserve">SOW pilot template</t>
  </si>
  <si>
    <t xml:space="preserve">Legal / SOW</t>
  </si>
  <si>
    <t xml:space="preserve">docs/legal/SOW-pilot-v1.docx: scope (sources connected, modules enabled, success metrics), duration (default 8 weeks), price, deliverables, acceptance criteria, change-control. Aligned with the pricing model. Counsel review.</t>
  </si>
  <si>
    <t xml:space="preserve">1) Docx template renders with placeholders. 2) Pricing fields match the website pricing page. 3) Counsel sign-off captured.</t>
  </si>
  <si>
    <t xml:space="preserve">PPIQ-T274</t>
  </si>
  <si>
    <t xml:space="preserve">DPA template aligned with GDPR (+ LLM provider disclosure)</t>
  </si>
  <si>
    <t xml:space="preserve">Legal / DPA</t>
  </si>
  <si>
    <t xml:space="preserve">docs/legal/DPA-gdpr-v1.docx: controller/processor roles, processing purposes, data categories, subprocessors (Hetzner; and ANY external LLM/embedding provider IF the assistant's API mode is enabled — with the data-minimization note that only abstracted findings are sent), security measures, breach notification (72h), audit rights, retention, deletion on termination. Counsel review.</t>
  </si>
  <si>
    <t xml:space="preserve">1) Docx template renders with placeholders. 2) Subprocessor list matches the actual deployment incl. any LLM provider. 3) The air-gapped/disable-AI option is documented. 4) Counsel sign-off captured.</t>
  </si>
  <si>
    <t xml:space="preserve">PPIQ-T275</t>
  </si>
  <si>
    <t xml:space="preserve">Deployment runbook (server, Compose, Caddy, Jenkins)</t>
  </si>
  <si>
    <t xml:space="preserve">Runbook / Deployment</t>
  </si>
  <si>
    <t xml:space="preserve">docs/runbook/deployment.md: bootstrap a fresh Hetzner Ubuntu server from zero to running PPIQ in &lt; 30 min — SSH hardening, Docker, repo clone, .env prep, Caddy + Caddyfile, Jenkins + plugins + webhook + the Node tool fix (T201), first deploy, post-deploy verification. Each step has the exact command, expected output, and failure-and-remediation note.</t>
  </si>
  <si>
    <t xml:space="preserve">1) A new engineer bootstraps a fresh server in &lt; 30 min. 2) Every command verified live. 3) Failure modes documented with fixes. 4) Includes the Node/Jenkins fix so the build is green from scratch.</t>
  </si>
  <si>
    <t xml:space="preserve">PPIQ-T276</t>
  </si>
  <si>
    <t xml:space="preserve">Incident-response runbook + daily backup job</t>
  </si>
  <si>
    <t xml:space="preserve">Runbook / Incident Response</t>
  </si>
  <si>
    <t xml:space="preserve">docs/runbook/incident-response.md: rollback to the previous container tag &lt; 5 min, restore from Postgres backup, restore from audit-log replay, customer comms templates, severity matrix, escalation. Verify a daily backup job exists; if not, build it (offsite/encrypted).</t>
  </si>
  <si>
    <t xml:space="preserve">1) Runbook covers the four scenarios with concrete commands. 2) Daily backup job exists, runs, stores backups offsite encrypted. 3) Restore tested end-to-end in a sandbox &lt; 30 min. 4) Severity matrix + comms templates approved.</t>
  </si>
  <si>
    <t xml:space="preserve">PPIQ-T277</t>
  </si>
  <si>
    <t xml:space="preserve">UI Standards onboarding for future contributors</t>
  </si>
  <si>
    <t xml:space="preserve">Documentation / Onboarding</t>
  </si>
  <si>
    <t xml:space="preserve">docs/ui-standards/contributing.md: canonical import paths, the ESLint rules, how to add/extend a Standard* component without breaking the contract, how to update design tokens. Reference the Storybook URL. Worked example: add a ProgressBar primitive in &lt; 60 min.</t>
  </si>
  <si>
    <t xml:space="preserve">1) Document references all Standard* primitives. 2) Worked example is reproducible. 3) A new contributor authors a primitive PR in &lt; 60 min.</t>
  </si>
  <si>
    <t xml:space="preserve">PPIQ-T278</t>
  </si>
  <si>
    <t xml:space="preserve">Widget script grammar reference for power users</t>
  </si>
  <si>
    <t xml:space="preserve">Documentation / Widget Grammar</t>
  </si>
  <si>
    <t xml:space="preserve">docs/widget-grammar/reference.md: the full grammar, every aggregate function, every filter operator, every limitation. 10+ worked examples. The explicit list of canonical schema views available. The SafeSqlValidator blocked patterns and why. Linked from the widget editor as inline help.</t>
  </si>
  <si>
    <t xml:space="preserve">1) Reference covers the full grammar. 2) 10+ worked examples each compile and execute. 3) Linked from the WidgetExpressionEditor as inline help.</t>
  </si>
  <si>
    <t xml:space="preserve">PPIQ-T279</t>
  </si>
  <si>
    <t xml:space="preserve">AI/ML subsystem architecture doc + tenant isolation &amp; audit doc</t>
  </si>
  <si>
    <t xml:space="preserve">Documentation / Architecture</t>
  </si>
  <si>
    <t xml:space="preserve">Two docs for SOC 2 and customer security reviews: (1) docs/architecture/ml-engine-and-assistant-design.md committed and kept current with the implementation (the transparent-engine + RAG-assistant design, honesty contract, in-house-vs-API boundary); (2) docs/architecture/security-and-isolation.md — SingleTenantPerPilot, tenant_id row-level security, audit-log immutability triggers, retention defaults, encryption at rest/in transit, key rotation, backup encryption. Cross-reference AuditLogImmutabilityTests.cs.</t>
  </si>
  <si>
    <t xml:space="preserve">1) The ML design doc matches the shipped engine + assistant. 2) The security doc covers all topics with diagrams. 3) Diagrams checked in as source + PNG. 4) Founder + counsel review for accuracy.</t>
  </si>
  <si>
    <t xml:space="preserve">How to Use This Workbook (v5)</t>
  </si>
  <si>
    <t xml:space="preserve">Relationship to v4</t>
  </si>
  <si>
    <t xml:space="preserve">v5 contains only OPEN work. v4 Phases 1–3 (PPIQ-T101–T118: schema mapping + two-stage delta import) were validated &gt;90% on 30 May and are not repeated — their residuals are folded into P01 here. IDs continue from the prior series and start at PPIQ-T201 so they never collide with T101–T118.</t>
  </si>
  <si>
    <t xml:space="preserve">What changed from v4</t>
  </si>
  <si>
    <t xml:space="preserve">(1) v4 P01–P03 removed as done. (2) Three new build-green hotfixes added (npm-in-Jenkins, migration-117 reconcile, ON_ERROR_STOP=1) plus carried residuals (full auth-matrix, ESLint gate, resolver/join hardening, delta-import tests, loopback scan). (3) The ML/AI subsystem is rebuilt per the engine + assistant design: a data-foundation phase, the learning engine with full statistical rigor, inspection→pages, a split suggestion-feed vs conversational-RAG-agent, and a risk-scorer/governance phase.</t>
  </si>
  <si>
    <t xml:space="preserve">Audience</t>
  </si>
  <si>
    <t xml:space="preserve">Founder / lead developer (Karim) and future contributors. Single source of truth for what 'finished' means against the 4-Track Vision, now including the transparent statistical ML engine and the honest, evidence-cited AI assistant.</t>
  </si>
  <si>
    <t xml:space="preserve">Sheets</t>
  </si>
  <si>
    <t xml:space="preserve">Task List (79 tasks, 13 phases); How to Use; Phase Summary (formula-driven); UI Standards Reference; Rollups (formula-driven).</t>
  </si>
  <si>
    <t xml:space="preserve">Severity scale</t>
  </si>
  <si>
    <t xml:space="preserve">critical &gt; very important &gt; important &gt; normal &gt; optional. Phase 1 is build-green: until the npm fix (T201), migration-117 reconcile (T202) and ON_ERROR_STOP=1 (T203) land, the pipeline stays red and deploys onto a half-migrated DB.</t>
  </si>
  <si>
    <t xml:space="preserve">ML/AI honesty contract</t>
  </si>
  <si>
    <t xml:space="preserve">The analytical core is deterministic, in-house, and statistical. The LLM is the VOICE, never the brain — it phrases already-computed, evidence-backed findings, never computes or invents numbers. 'Experience' lives in the accumulating knowledge base, not in model weights. Every finding carries effective-n, q-value, effect size, stability flag, and an evidence link. Forbidden: 'prediction', 'guaranteed root cause', 'AI-powered prediction', 'production-ready AI'. Approved: 'suspected contributor', 'statistical correlation', 'rule-based risk scoring'.</t>
  </si>
  <si>
    <t xml:space="preserve">In-house vs API</t>
  </si>
  <si>
    <t xml:space="preserve">The statistical engine is always in-house (not an LLM task). The natural-language layer sits behind INarrativeProvider/IEmbeddingProvider — API-default for quality/speed, self-hostable for air-gapped or governance-sensitive customers; only abstracted findings ever cross an external boundary. 'Works fully air-gapped; AI narration optional' is a selling point.</t>
  </si>
  <si>
    <t xml:space="preserve">Tracks / Modules</t>
  </si>
  <si>
    <t xml:space="preserve">Tracks: Workflow / Hardening / Demo / Website. Modules: App Frontend, App Backend, Database, Infrastructure, Web, Documentation.</t>
  </si>
  <si>
    <t xml:space="preserve">Effort</t>
  </si>
  <si>
    <t xml:space="preserve">Hours for one experienced full-stack engineer. Days = hours / 6. Add 25–35% buffer for review/integration/validation. Totals computed on Phase Summary and Rollups.</t>
  </si>
  <si>
    <t xml:space="preserve">A task is Done only when every validation step passes. CI gates and post-deploy probes enforce this where possible. Recommended order is strictly top-to-bottom: P01 build-green first; P02 the ML data foundation; P03–P07 the engine, pages, assistant, scorer; P08 the page builder; P09 demo-at-scale; P10 hardening; P11 storytelling; P12 website; P13 legal/docs.</t>
  </si>
  <si>
    <t xml:space="preserve">Vision alignment</t>
  </si>
  <si>
    <t xml:space="preserve">Completing every task brings the 4-Track Vision to 100% at the depth specified — generic data lifecycle, a transparent ML engine with scheduled learning + generated analysis pages + an evidence-cited conversational assistant, a hardened HMI, a live-configurable demo at scale, and a 5-product website.</t>
  </si>
  <si>
    <t xml:space="preserve">Phase Summary — effort, severity, and module distribution</t>
  </si>
  <si>
    <t xml:space="preserve">Recommended execution order: top-to-bottom. Counts and effort computed live from the Task List sheet.</t>
  </si>
  <si>
    <t xml:space="preserve">Phase Name</t>
  </si>
  <si>
    <t xml:space="preserve">Tasks</t>
  </si>
  <si>
    <t xml:space="preserve">Critical</t>
  </si>
  <si>
    <t xml:space="preserve">Very Important</t>
  </si>
  <si>
    <t xml:space="preserve">Important</t>
  </si>
  <si>
    <t xml:space="preserve">Normal</t>
  </si>
  <si>
    <t xml:space="preserve">Effort (days)</t>
  </si>
  <si>
    <t xml:space="preserve">Hotfixes &amp; Build-Green Closeout</t>
  </si>
  <si>
    <t xml:space="preserve">ML Engine — Data Foundation &amp; Feature Store (Vision §3 prerequisite)</t>
  </si>
  <si>
    <t xml:space="preserve">ML Engine — Scheduled Correlation Learning (Vision §3.1)</t>
  </si>
  <si>
    <t xml:space="preserve">ML Engine — Inspection Jobs to Generated Pages (Vision §3.2)</t>
  </si>
  <si>
    <t xml:space="preserve">ML Assistant — Suggestion Feed (Vision §3.3 proactive)</t>
  </si>
  <si>
    <t xml:space="preserve">ML Assistant — Conversational RAG Agent (Vision §3.3 conversational)</t>
  </si>
  <si>
    <t xml:space="preserve">Risk Scorer &amp; Model Governance (Vision §3 cross-cutting)</t>
  </si>
  <si>
    <t xml:space="preserve">Page Builder &amp; Widget Library (Vision §2.1–2.2)</t>
  </si>
  <si>
    <t xml:space="preserve">Demo Source-Database Suite at Real Scale (Vision Track 3)</t>
  </si>
  <si>
    <t xml:space="preserve">Hardening Completion &amp; Resilience (Vision Track 2)</t>
  </si>
  <si>
    <t xml:space="preserve">Demo Storytelling, Personas &amp; Recording (Vision Track 3)</t>
  </si>
  <si>
    <t xml:space="preserve">Website Track — 5-Product Showcase &amp; Brand (Vision Track 4)</t>
  </si>
  <si>
    <t xml:space="preserve">Legal Templates, Runbooks &amp; Documentation</t>
  </si>
  <si>
    <t xml:space="preserve">TOTAL</t>
  </si>
  <si>
    <t xml:space="preserve">All open phases</t>
  </si>
  <si>
    <t xml:space="preserve">Effort-days assume 6 productive engineering hours per workday. Add 25–35% buffer for review, integration, and validation.</t>
  </si>
  <si>
    <t xml:space="preserve">UI Standards — Canonical Component Contract (enforced)</t>
  </si>
  <si>
    <t xml:space="preserve">Every interactive element across all existing AND new pages (incl. ML Correlation, Suggestions, Assistant, Schema Mapping, Two-Stage Import) must conform. Enforced via ESLint, CI lint, review, Storybook.</t>
  </si>
  <si>
    <t xml:space="preserve">Component</t>
  </si>
  <si>
    <t xml:space="preserve">Canonical Path</t>
  </si>
  <si>
    <t xml:space="preserve">Variants / Modes</t>
  </si>
  <si>
    <t xml:space="preserve">Required Props</t>
  </si>
  <si>
    <t xml:space="preserve">Required States</t>
  </si>
  <si>
    <t xml:space="preserve">StandardButton</t>
  </si>
  <si>
    <t xml:space="preserve">src/components/standard/StandardButton.tsx</t>
  </si>
  <si>
    <t xml:space="preserve">primary | secondary | ghost | danger | success | icon-only</t>
  </si>
  <si>
    <t xml:space="preserve">variant, size, leadingIcon, trailingIcon, isLoading, isDisabled, fullWidth, onClick, type, ariaLabel</t>
  </si>
  <si>
    <t xml:space="preserve">default, hover, focus (cyan ring), active, disabled (40%), loading (spinner + aria-busy)</t>
  </si>
  <si>
    <t xml:space="preserve">StandardTable</t>
  </si>
  <si>
    <t xml:space="preserve">src/components/standard/StandardTable.tsx</t>
  </si>
  <si>
    <t xml:space="preserve">client | server | virtualized (&gt;500 rows)</t>
  </si>
  <si>
    <t xml:space="preserve">columns, data, isLoading, hasError, onRetry, totalCount, onRowClick, density, selectable, exportable</t>
  </si>
  <si>
    <t xml:space="preserve">loading (skeleton), error ('Refreshing X…' + retry), empty, populated, sorted, filtered, paginated</t>
  </si>
  <si>
    <t xml:space="preserve">StandardTabs</t>
  </si>
  <si>
    <t xml:space="preserve">src/components/standard/StandardTabs.tsx</t>
  </si>
  <si>
    <t xml:space="preserve">horizontal | vertical | scroll-on-overflow</t>
  </si>
  <si>
    <t xml:space="preserve">items, value, onChange, orientation, lazy, urlParam</t>
  </si>
  <si>
    <t xml:space="preserve">default, active (indicator), hover, disabled, overflow-scrollable, keyboard-focused</t>
  </si>
  <si>
    <t xml:space="preserve">StandardInput / Select / TextArea</t>
  </si>
  <si>
    <t xml:space="preserve">src/components/standard/StandardFields.tsx</t>
  </si>
  <si>
    <t xml:space="preserve">text/email/password/number/search; single/multi/searchable; default/code</t>
  </si>
  <si>
    <t xml:space="preserve">label, helperText, error, value, onChange, required, disabled, isLoading, size, (options, multiple, searchable)</t>
  </si>
  <si>
    <t xml:space="preserve">default, focus, error (helper-text), disabled, with-value, code-mode (mono)</t>
  </si>
  <si>
    <t xml:space="preserve">StandardCard / Modal / Toast</t>
  </si>
  <si>
    <t xml:space="preserve">src/components/standard/StandardSurface.tsx</t>
  </si>
  <si>
    <t xml:space="preserve">flat/raised/floating; sm-xl; info/success/warning/error/loading</t>
  </si>
  <si>
    <t xml:space="preserve">title, actions, elevation, open, onClose, size, dismiss flags, variant, duration</t>
  </si>
  <si>
    <t xml:space="preserve">default, hover, with-actions, open (focus-trapped), dirty-blocked, toast slide-in + progress</t>
  </si>
  <si>
    <t xml:space="preserve">DataFetchBoundary</t>
  </si>
  <si>
    <t xml:space="preserve">src/components/standard/DataFetchBoundary.tsx</t>
  </si>
  <si>
    <t xml:space="preserve">default | skeleton-mirror</t>
  </si>
  <si>
    <t xml:space="preserve">isLoading, hasError, onRetry, loadingFallback, errorFallback, children</t>
  </si>
  <si>
    <t xml:space="preserve">loading ('Refreshing X…'), error (+retry, auto-retry-5s), success</t>
  </si>
  <si>
    <t xml:space="preserve">ErrorBoundary</t>
  </si>
  <si>
    <t xml:space="preserve">src/components/standard/ErrorBoundary.tsx</t>
  </si>
  <si>
    <t xml:space="preserve">app | route | component</t>
  </si>
  <si>
    <t xml:space="preserve">fallback, onError, resetKeys, children</t>
  </si>
  <si>
    <t xml:space="preserve">caught (fallback + /diagnostics/client-error beacon), retrying, recovered</t>
  </si>
  <si>
    <t xml:space="preserve">  FORBIDDEN PATTERNS (CI-enforced)</t>
  </si>
  <si>
    <t xml:space="preserve">Forbidden phrase</t>
  </si>
  <si>
    <t xml:space="preserve">'could not be loaded' / 'could not load'</t>
  </si>
  <si>
    <t xml:space="preserve">Use the 'Refreshing X…' pattern. Founder's #1 non-negotiable (Vision §2).</t>
  </si>
  <si>
    <t xml:space="preserve">Forbidden ML claims</t>
  </si>
  <si>
    <t xml:space="preserve">'guaranteed root cause' / 'AI-powered prediction' / 'production-ready AI' / 'predicts'</t>
  </si>
  <si>
    <t xml:space="preserve">Use 'suspected contributor' / 'statistical correlation' / 'rule-based risk scoring'. Enforced on ML + assistant surfaces.</t>
  </si>
  <si>
    <t xml:space="preserve">Native element</t>
  </si>
  <si>
    <t xml:space="preserve">&lt;button&gt;/&lt;input&gt;/&lt;select&gt;/&lt;table&gt;/&lt;textarea&gt; in src/pages|features</t>
  </si>
  <si>
    <t xml:space="preserve">Use Standard* primitives (ESLint no-restricted-syntax).</t>
  </si>
  <si>
    <t xml:space="preserve">Deprecated path</t>
  </si>
  <si>
    <t xml:space="preserve">import from src/components/hardening/* or src/hardening/*</t>
  </si>
  <si>
    <t xml:space="preserve">Use src/components/standard/*.</t>
  </si>
  <si>
    <t xml:space="preserve">LLM invents numbers</t>
  </si>
  <si>
    <t xml:space="preserve">assistant emits a figure not present in retrieved evidence/tool results</t>
  </si>
  <si>
    <t xml:space="preserve">The LLM phrases evidence it is handed; it never computes or invents. Grounding tests enforce.</t>
  </si>
  <si>
    <t xml:space="preserve">Rollups — by Severity, Track, Module, Type (computed live)</t>
  </si>
  <si>
    <t xml:space="preserve">By Severity</t>
  </si>
  <si>
    <t xml:space="preserve">By Track</t>
  </si>
  <si>
    <t xml:space="preserve">By Module</t>
  </si>
  <si>
    <t xml:space="preserve">By Type</t>
  </si>
  <si>
    <t xml:space="preserve">Count</t>
  </si>
  <si>
    <t xml:space="preserve">Type</t>
  </si>
  <si>
    <t xml:space="preserve">optional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</si>
</sst>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B1730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0B1730"/>
      <name val="Cambria"/>
      <family val="0"/>
      <charset val="1"/>
    </font>
    <font>
      <i val="true"/>
      <sz val="11"/>
      <color rgb="FF8EA7C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730"/>
        <bgColor rgb="FF102A43"/>
      </patternFill>
    </fill>
    <fill>
      <patternFill patternType="solid">
        <fgColor rgb="FF102A43"/>
        <bgColor rgb="FF0B1730"/>
      </patternFill>
    </fill>
    <fill>
      <patternFill patternType="solid">
        <fgColor rgb="FFFFFFFF"/>
        <bgColor rgb="FFF4F7FB"/>
      </patternFill>
    </fill>
    <fill>
      <patternFill patternType="solid">
        <fgColor rgb="FFF4F7FB"/>
        <bgColor rgb="FFFFFFFF"/>
      </patternFill>
    </fill>
    <fill>
      <patternFill patternType="solid">
        <fgColor rgb="FFFF4D6D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0EC"/>
      </left>
      <right style="thin">
        <color rgb="FFD6E0EC"/>
      </right>
      <top style="thin">
        <color rgb="FFD6E0EC"/>
      </top>
      <bottom style="thin">
        <color rgb="FFD6E0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4D6D"/>
      <rgbColor rgb="FF0066CC"/>
      <rgbColor rgb="FFD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A7C1"/>
      <rgbColor rgb="FF102A43"/>
      <rgbColor rgb="FF339966"/>
      <rgbColor rgb="FF0B17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7"/>
    <col collapsed="false" customWidth="true" hidden="false" outlineLevel="0" max="8" min="8" style="0" width="94"/>
    <col collapsed="false" customWidth="true" hidden="false" outlineLevel="0" max="9" min="9" style="0" width="13"/>
    <col collapsed="false" customWidth="true" hidden="false" outlineLevel="0" max="10" min="10" style="0" width="88"/>
    <col collapsed="false" customWidth="true" hidden="false" outlineLevel="0" max="11" min="11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9.5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57.45" hidden="false" customHeight="false" outlineLevel="0" collapsed="false">
      <c r="A6" s="5" t="s">
        <v>14</v>
      </c>
      <c r="B6" s="6" t="s">
        <v>15</v>
      </c>
      <c r="C6" s="7" t="s">
        <v>16</v>
      </c>
      <c r="D6" s="7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7" t="s">
        <v>22</v>
      </c>
      <c r="J6" s="6" t="s">
        <v>23</v>
      </c>
      <c r="K6" s="7" t="n">
        <v>2</v>
      </c>
    </row>
    <row r="7" customFormat="false" ht="79.85" hidden="false" customHeight="false" outlineLevel="0" collapsed="false">
      <c r="A7" s="8" t="s">
        <v>24</v>
      </c>
      <c r="B7" s="9" t="s">
        <v>25</v>
      </c>
      <c r="C7" s="10" t="s">
        <v>16</v>
      </c>
      <c r="D7" s="10" t="s">
        <v>17</v>
      </c>
      <c r="E7" s="9" t="s">
        <v>18</v>
      </c>
      <c r="F7" s="9" t="s">
        <v>26</v>
      </c>
      <c r="G7" s="9" t="s">
        <v>27</v>
      </c>
      <c r="H7" s="9" t="s">
        <v>28</v>
      </c>
      <c r="I7" s="10" t="s">
        <v>22</v>
      </c>
      <c r="J7" s="9" t="s">
        <v>29</v>
      </c>
      <c r="K7" s="10" t="n">
        <v>2</v>
      </c>
    </row>
    <row r="8" customFormat="false" ht="35.05" hidden="false" customHeight="false" outlineLevel="0" collapsed="false">
      <c r="A8" s="5" t="s">
        <v>30</v>
      </c>
      <c r="B8" s="6" t="s">
        <v>31</v>
      </c>
      <c r="C8" s="7" t="s">
        <v>16</v>
      </c>
      <c r="D8" s="7" t="s">
        <v>32</v>
      </c>
      <c r="E8" s="6" t="s">
        <v>18</v>
      </c>
      <c r="F8" s="6" t="s">
        <v>19</v>
      </c>
      <c r="G8" s="6" t="s">
        <v>33</v>
      </c>
      <c r="H8" s="6" t="s">
        <v>34</v>
      </c>
      <c r="I8" s="7" t="s">
        <v>22</v>
      </c>
      <c r="J8" s="6" t="s">
        <v>35</v>
      </c>
      <c r="K8" s="7" t="n">
        <v>1.5</v>
      </c>
    </row>
    <row r="9" customFormat="false" ht="68.65" hidden="false" customHeight="false" outlineLevel="0" collapsed="false">
      <c r="A9" s="8" t="s">
        <v>36</v>
      </c>
      <c r="B9" s="9" t="s">
        <v>37</v>
      </c>
      <c r="C9" s="10" t="s">
        <v>16</v>
      </c>
      <c r="D9" s="10" t="s">
        <v>32</v>
      </c>
      <c r="E9" s="9" t="s">
        <v>18</v>
      </c>
      <c r="F9" s="9" t="s">
        <v>38</v>
      </c>
      <c r="G9" s="9" t="s">
        <v>39</v>
      </c>
      <c r="H9" s="9" t="s">
        <v>40</v>
      </c>
      <c r="I9" s="10" t="s">
        <v>22</v>
      </c>
      <c r="J9" s="9" t="s">
        <v>41</v>
      </c>
      <c r="K9" s="10" t="n">
        <v>3</v>
      </c>
    </row>
    <row r="10" customFormat="false" ht="46.25" hidden="false" customHeight="false" outlineLevel="0" collapsed="false">
      <c r="A10" s="5" t="s">
        <v>42</v>
      </c>
      <c r="B10" s="6" t="s">
        <v>43</v>
      </c>
      <c r="C10" s="7" t="s">
        <v>16</v>
      </c>
      <c r="D10" s="7" t="s">
        <v>44</v>
      </c>
      <c r="E10" s="6" t="s">
        <v>18</v>
      </c>
      <c r="F10" s="6" t="s">
        <v>19</v>
      </c>
      <c r="G10" s="6" t="s">
        <v>45</v>
      </c>
      <c r="H10" s="6" t="s">
        <v>46</v>
      </c>
      <c r="I10" s="7" t="s">
        <v>47</v>
      </c>
      <c r="J10" s="6" t="s">
        <v>48</v>
      </c>
      <c r="K10" s="7" t="n">
        <v>1.5</v>
      </c>
    </row>
    <row r="11" customFormat="false" ht="57.45" hidden="false" customHeight="false" outlineLevel="0" collapsed="false">
      <c r="A11" s="8" t="s">
        <v>49</v>
      </c>
      <c r="B11" s="9" t="s">
        <v>50</v>
      </c>
      <c r="C11" s="10" t="s">
        <v>16</v>
      </c>
      <c r="D11" s="10" t="s">
        <v>44</v>
      </c>
      <c r="E11" s="9" t="s">
        <v>51</v>
      </c>
      <c r="F11" s="9" t="s">
        <v>38</v>
      </c>
      <c r="G11" s="9" t="s">
        <v>52</v>
      </c>
      <c r="H11" s="9" t="s">
        <v>53</v>
      </c>
      <c r="I11" s="10" t="s">
        <v>22</v>
      </c>
      <c r="J11" s="9" t="s">
        <v>54</v>
      </c>
      <c r="K11" s="10" t="n">
        <v>3</v>
      </c>
    </row>
    <row r="12" customFormat="false" ht="57.45" hidden="false" customHeight="false" outlineLevel="0" collapsed="false">
      <c r="A12" s="5" t="s">
        <v>55</v>
      </c>
      <c r="B12" s="6" t="s">
        <v>56</v>
      </c>
      <c r="C12" s="7" t="s">
        <v>16</v>
      </c>
      <c r="D12" s="7" t="s">
        <v>32</v>
      </c>
      <c r="E12" s="6" t="s">
        <v>18</v>
      </c>
      <c r="F12" s="6" t="s">
        <v>38</v>
      </c>
      <c r="G12" s="6" t="s">
        <v>57</v>
      </c>
      <c r="H12" s="6" t="s">
        <v>58</v>
      </c>
      <c r="I12" s="7" t="s">
        <v>59</v>
      </c>
      <c r="J12" s="6" t="s">
        <v>60</v>
      </c>
      <c r="K12" s="7" t="n">
        <v>4</v>
      </c>
    </row>
    <row r="13" customFormat="false" ht="46.25" hidden="false" customHeight="false" outlineLevel="0" collapsed="false">
      <c r="A13" s="8" t="s">
        <v>61</v>
      </c>
      <c r="B13" s="9" t="s">
        <v>62</v>
      </c>
      <c r="C13" s="10" t="s">
        <v>16</v>
      </c>
      <c r="D13" s="10" t="s">
        <v>44</v>
      </c>
      <c r="E13" s="9" t="s">
        <v>18</v>
      </c>
      <c r="F13" s="9" t="s">
        <v>19</v>
      </c>
      <c r="G13" s="9" t="s">
        <v>63</v>
      </c>
      <c r="H13" s="9" t="s">
        <v>64</v>
      </c>
      <c r="I13" s="10" t="s">
        <v>22</v>
      </c>
      <c r="J13" s="9" t="s">
        <v>65</v>
      </c>
      <c r="K13" s="10" t="n">
        <v>1.5</v>
      </c>
    </row>
    <row r="14" customFormat="false" ht="19.5" hidden="false" customHeight="true" outlineLevel="0" collapsed="false">
      <c r="A14" s="4" t="s">
        <v>66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46.25" hidden="false" customHeight="false" outlineLevel="0" collapsed="false">
      <c r="A15" s="5" t="s">
        <v>67</v>
      </c>
      <c r="B15" s="6" t="s">
        <v>68</v>
      </c>
      <c r="C15" s="7" t="s">
        <v>69</v>
      </c>
      <c r="D15" s="7" t="s">
        <v>32</v>
      </c>
      <c r="E15" s="6" t="s">
        <v>51</v>
      </c>
      <c r="F15" s="6" t="s">
        <v>26</v>
      </c>
      <c r="G15" s="6" t="s">
        <v>70</v>
      </c>
      <c r="H15" s="6" t="s">
        <v>71</v>
      </c>
      <c r="I15" s="7" t="s">
        <v>59</v>
      </c>
      <c r="J15" s="6" t="s">
        <v>72</v>
      </c>
      <c r="K15" s="7" t="n">
        <v>8</v>
      </c>
    </row>
    <row r="16" customFormat="false" ht="68.65" hidden="false" customHeight="false" outlineLevel="0" collapsed="false">
      <c r="A16" s="8" t="s">
        <v>73</v>
      </c>
      <c r="B16" s="9" t="s">
        <v>74</v>
      </c>
      <c r="C16" s="10" t="s">
        <v>69</v>
      </c>
      <c r="D16" s="10" t="s">
        <v>32</v>
      </c>
      <c r="E16" s="9" t="s">
        <v>51</v>
      </c>
      <c r="F16" s="9" t="s">
        <v>38</v>
      </c>
      <c r="G16" s="9" t="s">
        <v>75</v>
      </c>
      <c r="H16" s="9" t="s">
        <v>76</v>
      </c>
      <c r="I16" s="10" t="s">
        <v>59</v>
      </c>
      <c r="J16" s="9" t="s">
        <v>77</v>
      </c>
      <c r="K16" s="10" t="n">
        <v>8</v>
      </c>
    </row>
    <row r="17" customFormat="false" ht="57.45" hidden="false" customHeight="false" outlineLevel="0" collapsed="false">
      <c r="A17" s="5" t="s">
        <v>78</v>
      </c>
      <c r="B17" s="6" t="s">
        <v>79</v>
      </c>
      <c r="C17" s="7" t="s">
        <v>69</v>
      </c>
      <c r="D17" s="7" t="s">
        <v>44</v>
      </c>
      <c r="E17" s="6" t="s">
        <v>51</v>
      </c>
      <c r="F17" s="6" t="s">
        <v>38</v>
      </c>
      <c r="G17" s="6" t="s">
        <v>80</v>
      </c>
      <c r="H17" s="6" t="s">
        <v>81</v>
      </c>
      <c r="I17" s="7" t="s">
        <v>59</v>
      </c>
      <c r="J17" s="6" t="s">
        <v>82</v>
      </c>
      <c r="K17" s="7" t="n">
        <v>5</v>
      </c>
    </row>
    <row r="18" customFormat="false" ht="57.45" hidden="false" customHeight="false" outlineLevel="0" collapsed="false">
      <c r="A18" s="8" t="s">
        <v>83</v>
      </c>
      <c r="B18" s="9" t="s">
        <v>84</v>
      </c>
      <c r="C18" s="10" t="s">
        <v>69</v>
      </c>
      <c r="D18" s="10" t="s">
        <v>32</v>
      </c>
      <c r="E18" s="9" t="s">
        <v>51</v>
      </c>
      <c r="F18" s="9" t="s">
        <v>38</v>
      </c>
      <c r="G18" s="9" t="s">
        <v>85</v>
      </c>
      <c r="H18" s="9" t="s">
        <v>86</v>
      </c>
      <c r="I18" s="10" t="s">
        <v>59</v>
      </c>
      <c r="J18" s="9" t="s">
        <v>87</v>
      </c>
      <c r="K18" s="10" t="n">
        <v>6</v>
      </c>
    </row>
    <row r="19" customFormat="false" ht="46.25" hidden="false" customHeight="false" outlineLevel="0" collapsed="false">
      <c r="A19" s="5" t="s">
        <v>88</v>
      </c>
      <c r="B19" s="6" t="s">
        <v>89</v>
      </c>
      <c r="C19" s="7" t="s">
        <v>69</v>
      </c>
      <c r="D19" s="7" t="s">
        <v>44</v>
      </c>
      <c r="E19" s="6" t="s">
        <v>51</v>
      </c>
      <c r="F19" s="6" t="s">
        <v>26</v>
      </c>
      <c r="G19" s="6" t="s">
        <v>90</v>
      </c>
      <c r="H19" s="6" t="s">
        <v>91</v>
      </c>
      <c r="I19" s="7" t="s">
        <v>59</v>
      </c>
      <c r="J19" s="6" t="s">
        <v>92</v>
      </c>
      <c r="K19" s="7" t="n">
        <v>5</v>
      </c>
    </row>
    <row r="20" customFormat="false" ht="19.5" hidden="false" customHeight="true" outlineLevel="0" collapsed="false">
      <c r="A20" s="4" t="s">
        <v>93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46.25" hidden="false" customHeight="false" outlineLevel="0" collapsed="false">
      <c r="A21" s="5" t="s">
        <v>94</v>
      </c>
      <c r="B21" s="6" t="s">
        <v>95</v>
      </c>
      <c r="C21" s="7" t="s">
        <v>96</v>
      </c>
      <c r="D21" s="7" t="s">
        <v>32</v>
      </c>
      <c r="E21" s="6" t="s">
        <v>51</v>
      </c>
      <c r="F21" s="6" t="s">
        <v>38</v>
      </c>
      <c r="G21" s="6" t="s">
        <v>97</v>
      </c>
      <c r="H21" s="6" t="s">
        <v>98</v>
      </c>
      <c r="I21" s="7" t="s">
        <v>59</v>
      </c>
      <c r="J21" s="6" t="s">
        <v>99</v>
      </c>
      <c r="K21" s="7" t="n">
        <v>3</v>
      </c>
    </row>
    <row r="22" customFormat="false" ht="68.65" hidden="false" customHeight="false" outlineLevel="0" collapsed="false">
      <c r="A22" s="8" t="s">
        <v>100</v>
      </c>
      <c r="B22" s="9" t="s">
        <v>101</v>
      </c>
      <c r="C22" s="10" t="s">
        <v>96</v>
      </c>
      <c r="D22" s="10" t="s">
        <v>17</v>
      </c>
      <c r="E22" s="9" t="s">
        <v>51</v>
      </c>
      <c r="F22" s="9" t="s">
        <v>38</v>
      </c>
      <c r="G22" s="9" t="s">
        <v>102</v>
      </c>
      <c r="H22" s="9" t="s">
        <v>103</v>
      </c>
      <c r="I22" s="10" t="s">
        <v>59</v>
      </c>
      <c r="J22" s="9" t="s">
        <v>104</v>
      </c>
      <c r="K22" s="10" t="n">
        <v>12</v>
      </c>
    </row>
    <row r="23" customFormat="false" ht="68.65" hidden="false" customHeight="false" outlineLevel="0" collapsed="false">
      <c r="A23" s="5" t="s">
        <v>105</v>
      </c>
      <c r="B23" s="6" t="s">
        <v>106</v>
      </c>
      <c r="C23" s="7" t="s">
        <v>96</v>
      </c>
      <c r="D23" s="7" t="s">
        <v>17</v>
      </c>
      <c r="E23" s="6" t="s">
        <v>18</v>
      </c>
      <c r="F23" s="6" t="s">
        <v>38</v>
      </c>
      <c r="G23" s="6" t="s">
        <v>107</v>
      </c>
      <c r="H23" s="6" t="s">
        <v>108</v>
      </c>
      <c r="I23" s="7" t="s">
        <v>59</v>
      </c>
      <c r="J23" s="6" t="s">
        <v>109</v>
      </c>
      <c r="K23" s="7" t="n">
        <v>10</v>
      </c>
    </row>
    <row r="24" customFormat="false" ht="46.25" hidden="false" customHeight="false" outlineLevel="0" collapsed="false">
      <c r="A24" s="8" t="s">
        <v>110</v>
      </c>
      <c r="B24" s="9" t="s">
        <v>111</v>
      </c>
      <c r="C24" s="10" t="s">
        <v>96</v>
      </c>
      <c r="D24" s="10" t="s">
        <v>44</v>
      </c>
      <c r="E24" s="9" t="s">
        <v>51</v>
      </c>
      <c r="F24" s="9" t="s">
        <v>38</v>
      </c>
      <c r="G24" s="9" t="s">
        <v>112</v>
      </c>
      <c r="H24" s="9" t="s">
        <v>113</v>
      </c>
      <c r="I24" s="10" t="s">
        <v>47</v>
      </c>
      <c r="J24" s="9" t="s">
        <v>114</v>
      </c>
      <c r="K24" s="10" t="n">
        <v>5</v>
      </c>
    </row>
    <row r="25" customFormat="false" ht="46.25" hidden="false" customHeight="false" outlineLevel="0" collapsed="false">
      <c r="A25" s="5" t="s">
        <v>115</v>
      </c>
      <c r="B25" s="6" t="s">
        <v>116</v>
      </c>
      <c r="C25" s="7" t="s">
        <v>96</v>
      </c>
      <c r="D25" s="7" t="s">
        <v>44</v>
      </c>
      <c r="E25" s="6" t="s">
        <v>51</v>
      </c>
      <c r="F25" s="6" t="s">
        <v>26</v>
      </c>
      <c r="G25" s="6" t="s">
        <v>117</v>
      </c>
      <c r="H25" s="6" t="s">
        <v>118</v>
      </c>
      <c r="I25" s="7" t="s">
        <v>47</v>
      </c>
      <c r="J25" s="6" t="s">
        <v>119</v>
      </c>
      <c r="K25" s="7" t="n">
        <v>4</v>
      </c>
    </row>
    <row r="26" customFormat="false" ht="46.25" hidden="false" customHeight="false" outlineLevel="0" collapsed="false">
      <c r="A26" s="8" t="s">
        <v>120</v>
      </c>
      <c r="B26" s="9" t="s">
        <v>121</v>
      </c>
      <c r="C26" s="10" t="s">
        <v>96</v>
      </c>
      <c r="D26" s="10" t="s">
        <v>32</v>
      </c>
      <c r="E26" s="9" t="s">
        <v>18</v>
      </c>
      <c r="F26" s="9" t="s">
        <v>38</v>
      </c>
      <c r="G26" s="9" t="s">
        <v>122</v>
      </c>
      <c r="H26" s="9" t="s">
        <v>123</v>
      </c>
      <c r="I26" s="10" t="s">
        <v>59</v>
      </c>
      <c r="J26" s="9" t="s">
        <v>124</v>
      </c>
      <c r="K26" s="10" t="n">
        <v>4</v>
      </c>
    </row>
    <row r="27" customFormat="false" ht="19.5" hidden="false" customHeight="true" outlineLevel="0" collapsed="false">
      <c r="A27" s="4" t="s">
        <v>125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35.05" hidden="false" customHeight="false" outlineLevel="0" collapsed="false">
      <c r="A28" s="5" t="s">
        <v>126</v>
      </c>
      <c r="B28" s="6" t="s">
        <v>127</v>
      </c>
      <c r="C28" s="7" t="s">
        <v>128</v>
      </c>
      <c r="D28" s="7" t="s">
        <v>32</v>
      </c>
      <c r="E28" s="6" t="s">
        <v>51</v>
      </c>
      <c r="F28" s="6" t="s">
        <v>38</v>
      </c>
      <c r="G28" s="6" t="s">
        <v>129</v>
      </c>
      <c r="H28" s="6" t="s">
        <v>130</v>
      </c>
      <c r="I28" s="7" t="s">
        <v>59</v>
      </c>
      <c r="J28" s="6" t="s">
        <v>131</v>
      </c>
      <c r="K28" s="7" t="n">
        <v>5</v>
      </c>
    </row>
    <row r="29" customFormat="false" ht="46.25" hidden="false" customHeight="false" outlineLevel="0" collapsed="false">
      <c r="A29" s="8" t="s">
        <v>132</v>
      </c>
      <c r="B29" s="9" t="s">
        <v>133</v>
      </c>
      <c r="C29" s="10" t="s">
        <v>128</v>
      </c>
      <c r="D29" s="10" t="s">
        <v>32</v>
      </c>
      <c r="E29" s="9" t="s">
        <v>51</v>
      </c>
      <c r="F29" s="9" t="s">
        <v>38</v>
      </c>
      <c r="G29" s="9" t="s">
        <v>134</v>
      </c>
      <c r="H29" s="9" t="s">
        <v>135</v>
      </c>
      <c r="I29" s="10" t="s">
        <v>59</v>
      </c>
      <c r="J29" s="9" t="s">
        <v>136</v>
      </c>
      <c r="K29" s="10" t="n">
        <v>6</v>
      </c>
    </row>
    <row r="30" customFormat="false" ht="46.25" hidden="false" customHeight="false" outlineLevel="0" collapsed="false">
      <c r="A30" s="5" t="s">
        <v>137</v>
      </c>
      <c r="B30" s="6" t="s">
        <v>138</v>
      </c>
      <c r="C30" s="7" t="s">
        <v>128</v>
      </c>
      <c r="D30" s="7" t="s">
        <v>32</v>
      </c>
      <c r="E30" s="6" t="s">
        <v>51</v>
      </c>
      <c r="F30" s="6" t="s">
        <v>38</v>
      </c>
      <c r="G30" s="6" t="s">
        <v>139</v>
      </c>
      <c r="H30" s="6" t="s">
        <v>140</v>
      </c>
      <c r="I30" s="7" t="s">
        <v>59</v>
      </c>
      <c r="J30" s="6" t="s">
        <v>141</v>
      </c>
      <c r="K30" s="7" t="n">
        <v>6</v>
      </c>
    </row>
    <row r="31" customFormat="false" ht="35.05" hidden="false" customHeight="false" outlineLevel="0" collapsed="false">
      <c r="A31" s="8" t="s">
        <v>142</v>
      </c>
      <c r="B31" s="9" t="s">
        <v>143</v>
      </c>
      <c r="C31" s="10" t="s">
        <v>128</v>
      </c>
      <c r="D31" s="10" t="s">
        <v>32</v>
      </c>
      <c r="E31" s="9" t="s">
        <v>51</v>
      </c>
      <c r="F31" s="9" t="s">
        <v>144</v>
      </c>
      <c r="G31" s="9" t="s">
        <v>145</v>
      </c>
      <c r="H31" s="9" t="s">
        <v>146</v>
      </c>
      <c r="I31" s="10" t="s">
        <v>59</v>
      </c>
      <c r="J31" s="9" t="s">
        <v>147</v>
      </c>
      <c r="K31" s="10" t="n">
        <v>6</v>
      </c>
    </row>
    <row r="32" customFormat="false" ht="35.05" hidden="false" customHeight="false" outlineLevel="0" collapsed="false">
      <c r="A32" s="5" t="s">
        <v>148</v>
      </c>
      <c r="B32" s="6" t="s">
        <v>149</v>
      </c>
      <c r="C32" s="7" t="s">
        <v>128</v>
      </c>
      <c r="D32" s="7" t="s">
        <v>44</v>
      </c>
      <c r="E32" s="6" t="s">
        <v>51</v>
      </c>
      <c r="F32" s="6" t="s">
        <v>38</v>
      </c>
      <c r="G32" s="6" t="s">
        <v>150</v>
      </c>
      <c r="H32" s="6" t="s">
        <v>151</v>
      </c>
      <c r="I32" s="7" t="s">
        <v>47</v>
      </c>
      <c r="J32" s="6" t="s">
        <v>152</v>
      </c>
      <c r="K32" s="7" t="n">
        <v>4</v>
      </c>
    </row>
    <row r="33" customFormat="false" ht="35.05" hidden="false" customHeight="false" outlineLevel="0" collapsed="false">
      <c r="A33" s="8" t="s">
        <v>153</v>
      </c>
      <c r="B33" s="9" t="s">
        <v>154</v>
      </c>
      <c r="C33" s="10" t="s">
        <v>128</v>
      </c>
      <c r="D33" s="10" t="s">
        <v>44</v>
      </c>
      <c r="E33" s="9" t="s">
        <v>18</v>
      </c>
      <c r="F33" s="9" t="s">
        <v>144</v>
      </c>
      <c r="G33" s="9" t="s">
        <v>122</v>
      </c>
      <c r="H33" s="9" t="s">
        <v>155</v>
      </c>
      <c r="I33" s="10" t="s">
        <v>59</v>
      </c>
      <c r="J33" s="9" t="s">
        <v>156</v>
      </c>
      <c r="K33" s="10" t="n">
        <v>4</v>
      </c>
    </row>
    <row r="34" customFormat="false" ht="19.5" hidden="false" customHeight="true" outlineLevel="0" collapsed="false">
      <c r="A34" s="4" t="s">
        <v>157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46.25" hidden="false" customHeight="false" outlineLevel="0" collapsed="false">
      <c r="A35" s="5" t="s">
        <v>158</v>
      </c>
      <c r="B35" s="6" t="s">
        <v>159</v>
      </c>
      <c r="C35" s="7" t="s">
        <v>160</v>
      </c>
      <c r="D35" s="7" t="s">
        <v>32</v>
      </c>
      <c r="E35" s="6" t="s">
        <v>51</v>
      </c>
      <c r="F35" s="6" t="s">
        <v>38</v>
      </c>
      <c r="G35" s="6" t="s">
        <v>161</v>
      </c>
      <c r="H35" s="6" t="s">
        <v>162</v>
      </c>
      <c r="I35" s="7" t="s">
        <v>59</v>
      </c>
      <c r="J35" s="6" t="s">
        <v>163</v>
      </c>
      <c r="K35" s="7" t="n">
        <v>8</v>
      </c>
    </row>
    <row r="36" customFormat="false" ht="35.05" hidden="false" customHeight="false" outlineLevel="0" collapsed="false">
      <c r="A36" s="8" t="s">
        <v>164</v>
      </c>
      <c r="B36" s="9" t="s">
        <v>165</v>
      </c>
      <c r="C36" s="10" t="s">
        <v>160</v>
      </c>
      <c r="D36" s="10" t="s">
        <v>44</v>
      </c>
      <c r="E36" s="9" t="s">
        <v>51</v>
      </c>
      <c r="F36" s="9" t="s">
        <v>38</v>
      </c>
      <c r="G36" s="9" t="s">
        <v>166</v>
      </c>
      <c r="H36" s="9" t="s">
        <v>167</v>
      </c>
      <c r="I36" s="10" t="s">
        <v>59</v>
      </c>
      <c r="J36" s="9" t="s">
        <v>168</v>
      </c>
      <c r="K36" s="10" t="n">
        <v>4</v>
      </c>
    </row>
    <row r="37" customFormat="false" ht="35.05" hidden="false" customHeight="false" outlineLevel="0" collapsed="false">
      <c r="A37" s="5" t="s">
        <v>169</v>
      </c>
      <c r="B37" s="6" t="s">
        <v>170</v>
      </c>
      <c r="C37" s="7" t="s">
        <v>160</v>
      </c>
      <c r="D37" s="7" t="s">
        <v>32</v>
      </c>
      <c r="E37" s="6" t="s">
        <v>51</v>
      </c>
      <c r="F37" s="6" t="s">
        <v>144</v>
      </c>
      <c r="G37" s="6" t="s">
        <v>171</v>
      </c>
      <c r="H37" s="6" t="s">
        <v>172</v>
      </c>
      <c r="I37" s="7" t="s">
        <v>59</v>
      </c>
      <c r="J37" s="6" t="s">
        <v>173</v>
      </c>
      <c r="K37" s="7" t="n">
        <v>6</v>
      </c>
    </row>
    <row r="38" customFormat="false" ht="23.85" hidden="false" customHeight="false" outlineLevel="0" collapsed="false">
      <c r="A38" s="8" t="s">
        <v>174</v>
      </c>
      <c r="B38" s="9" t="s">
        <v>175</v>
      </c>
      <c r="C38" s="10" t="s">
        <v>160</v>
      </c>
      <c r="D38" s="10" t="s">
        <v>44</v>
      </c>
      <c r="E38" s="9" t="s">
        <v>18</v>
      </c>
      <c r="F38" s="9" t="s">
        <v>38</v>
      </c>
      <c r="G38" s="9" t="s">
        <v>176</v>
      </c>
      <c r="H38" s="9" t="s">
        <v>177</v>
      </c>
      <c r="I38" s="10" t="s">
        <v>59</v>
      </c>
      <c r="J38" s="9" t="s">
        <v>178</v>
      </c>
      <c r="K38" s="10" t="n">
        <v>3</v>
      </c>
    </row>
    <row r="39" customFormat="false" ht="19.5" hidden="false" customHeight="true" outlineLevel="0" collapsed="false">
      <c r="A39" s="4" t="s">
        <v>179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57.45" hidden="false" customHeight="false" outlineLevel="0" collapsed="false">
      <c r="A40" s="5" t="s">
        <v>180</v>
      </c>
      <c r="B40" s="6" t="s">
        <v>181</v>
      </c>
      <c r="C40" s="7" t="s">
        <v>182</v>
      </c>
      <c r="D40" s="7" t="s">
        <v>32</v>
      </c>
      <c r="E40" s="6" t="s">
        <v>51</v>
      </c>
      <c r="F40" s="6" t="s">
        <v>38</v>
      </c>
      <c r="G40" s="6" t="s">
        <v>183</v>
      </c>
      <c r="H40" s="6" t="s">
        <v>184</v>
      </c>
      <c r="I40" s="7" t="s">
        <v>59</v>
      </c>
      <c r="J40" s="6" t="s">
        <v>185</v>
      </c>
      <c r="K40" s="7" t="n">
        <v>6</v>
      </c>
    </row>
    <row r="41" customFormat="false" ht="35.05" hidden="false" customHeight="false" outlineLevel="0" collapsed="false">
      <c r="A41" s="8" t="s">
        <v>186</v>
      </c>
      <c r="B41" s="9" t="s">
        <v>187</v>
      </c>
      <c r="C41" s="10" t="s">
        <v>182</v>
      </c>
      <c r="D41" s="10" t="s">
        <v>32</v>
      </c>
      <c r="E41" s="9" t="s">
        <v>51</v>
      </c>
      <c r="F41" s="9" t="s">
        <v>38</v>
      </c>
      <c r="G41" s="9" t="s">
        <v>188</v>
      </c>
      <c r="H41" s="9" t="s">
        <v>189</v>
      </c>
      <c r="I41" s="10" t="s">
        <v>59</v>
      </c>
      <c r="J41" s="9" t="s">
        <v>190</v>
      </c>
      <c r="K41" s="10" t="n">
        <v>6</v>
      </c>
    </row>
    <row r="42" customFormat="false" ht="57.45" hidden="false" customHeight="false" outlineLevel="0" collapsed="false">
      <c r="A42" s="5" t="s">
        <v>191</v>
      </c>
      <c r="B42" s="6" t="s">
        <v>192</v>
      </c>
      <c r="C42" s="7" t="s">
        <v>182</v>
      </c>
      <c r="D42" s="7" t="s">
        <v>32</v>
      </c>
      <c r="E42" s="6" t="s">
        <v>51</v>
      </c>
      <c r="F42" s="6" t="s">
        <v>38</v>
      </c>
      <c r="G42" s="6" t="s">
        <v>193</v>
      </c>
      <c r="H42" s="6" t="s">
        <v>194</v>
      </c>
      <c r="I42" s="7" t="s">
        <v>59</v>
      </c>
      <c r="J42" s="6" t="s">
        <v>195</v>
      </c>
      <c r="K42" s="7" t="n">
        <v>10</v>
      </c>
    </row>
    <row r="43" customFormat="false" ht="46.25" hidden="false" customHeight="false" outlineLevel="0" collapsed="false">
      <c r="A43" s="8" t="s">
        <v>196</v>
      </c>
      <c r="B43" s="9" t="s">
        <v>197</v>
      </c>
      <c r="C43" s="10" t="s">
        <v>182</v>
      </c>
      <c r="D43" s="10" t="s">
        <v>32</v>
      </c>
      <c r="E43" s="9" t="s">
        <v>51</v>
      </c>
      <c r="F43" s="9" t="s">
        <v>144</v>
      </c>
      <c r="G43" s="9" t="s">
        <v>198</v>
      </c>
      <c r="H43" s="9" t="s">
        <v>199</v>
      </c>
      <c r="I43" s="10" t="s">
        <v>59</v>
      </c>
      <c r="J43" s="9" t="s">
        <v>200</v>
      </c>
      <c r="K43" s="10" t="n">
        <v>8</v>
      </c>
    </row>
    <row r="44" customFormat="false" ht="35.05" hidden="false" customHeight="false" outlineLevel="0" collapsed="false">
      <c r="A44" s="5" t="s">
        <v>201</v>
      </c>
      <c r="B44" s="6" t="s">
        <v>202</v>
      </c>
      <c r="C44" s="7" t="s">
        <v>182</v>
      </c>
      <c r="D44" s="7" t="s">
        <v>44</v>
      </c>
      <c r="E44" s="6" t="s">
        <v>51</v>
      </c>
      <c r="F44" s="6" t="s">
        <v>38</v>
      </c>
      <c r="G44" s="6" t="s">
        <v>203</v>
      </c>
      <c r="H44" s="6" t="s">
        <v>204</v>
      </c>
      <c r="I44" s="7" t="s">
        <v>59</v>
      </c>
      <c r="J44" s="6" t="s">
        <v>205</v>
      </c>
      <c r="K44" s="7" t="n">
        <v>5</v>
      </c>
    </row>
    <row r="45" customFormat="false" ht="46.25" hidden="false" customHeight="false" outlineLevel="0" collapsed="false">
      <c r="A45" s="8" t="s">
        <v>206</v>
      </c>
      <c r="B45" s="9" t="s">
        <v>207</v>
      </c>
      <c r="C45" s="10" t="s">
        <v>182</v>
      </c>
      <c r="D45" s="10" t="s">
        <v>32</v>
      </c>
      <c r="E45" s="9" t="s">
        <v>18</v>
      </c>
      <c r="F45" s="9" t="s">
        <v>38</v>
      </c>
      <c r="G45" s="9" t="s">
        <v>208</v>
      </c>
      <c r="H45" s="9" t="s">
        <v>209</v>
      </c>
      <c r="I45" s="10" t="s">
        <v>59</v>
      </c>
      <c r="J45" s="9" t="s">
        <v>210</v>
      </c>
      <c r="K45" s="10" t="n">
        <v>4</v>
      </c>
    </row>
    <row r="46" customFormat="false" ht="19.5" hidden="false" customHeight="true" outlineLevel="0" collapsed="false">
      <c r="A46" s="4" t="s">
        <v>211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46.25" hidden="false" customHeight="false" outlineLevel="0" collapsed="false">
      <c r="A47" s="5" t="s">
        <v>212</v>
      </c>
      <c r="B47" s="6" t="s">
        <v>213</v>
      </c>
      <c r="C47" s="7" t="s">
        <v>214</v>
      </c>
      <c r="D47" s="7" t="s">
        <v>44</v>
      </c>
      <c r="E47" s="6" t="s">
        <v>51</v>
      </c>
      <c r="F47" s="6" t="s">
        <v>38</v>
      </c>
      <c r="G47" s="6" t="s">
        <v>215</v>
      </c>
      <c r="H47" s="6" t="s">
        <v>216</v>
      </c>
      <c r="I47" s="7" t="s">
        <v>47</v>
      </c>
      <c r="J47" s="6" t="s">
        <v>217</v>
      </c>
      <c r="K47" s="7" t="n">
        <v>6</v>
      </c>
    </row>
    <row r="48" customFormat="false" ht="23.85" hidden="false" customHeight="false" outlineLevel="0" collapsed="false">
      <c r="A48" s="8" t="s">
        <v>218</v>
      </c>
      <c r="B48" s="9" t="s">
        <v>219</v>
      </c>
      <c r="C48" s="10" t="s">
        <v>214</v>
      </c>
      <c r="D48" s="10" t="s">
        <v>44</v>
      </c>
      <c r="E48" s="9" t="s">
        <v>18</v>
      </c>
      <c r="F48" s="9" t="s">
        <v>38</v>
      </c>
      <c r="G48" s="9" t="s">
        <v>220</v>
      </c>
      <c r="H48" s="9" t="s">
        <v>221</v>
      </c>
      <c r="I48" s="10" t="s">
        <v>59</v>
      </c>
      <c r="J48" s="9" t="s">
        <v>222</v>
      </c>
      <c r="K48" s="10" t="n">
        <v>4</v>
      </c>
    </row>
    <row r="49" customFormat="false" ht="46.25" hidden="false" customHeight="false" outlineLevel="0" collapsed="false">
      <c r="A49" s="5" t="s">
        <v>223</v>
      </c>
      <c r="B49" s="6" t="s">
        <v>224</v>
      </c>
      <c r="C49" s="7" t="s">
        <v>214</v>
      </c>
      <c r="D49" s="7" t="s">
        <v>44</v>
      </c>
      <c r="E49" s="6" t="s">
        <v>51</v>
      </c>
      <c r="F49" s="6" t="s">
        <v>26</v>
      </c>
      <c r="G49" s="6" t="s">
        <v>225</v>
      </c>
      <c r="H49" s="6" t="s">
        <v>226</v>
      </c>
      <c r="I49" s="7" t="s">
        <v>47</v>
      </c>
      <c r="J49" s="6" t="s">
        <v>227</v>
      </c>
      <c r="K49" s="7" t="n">
        <v>4</v>
      </c>
    </row>
    <row r="50" customFormat="false" ht="35.05" hidden="false" customHeight="false" outlineLevel="0" collapsed="false">
      <c r="A50" s="8" t="s">
        <v>228</v>
      </c>
      <c r="B50" s="9" t="s">
        <v>229</v>
      </c>
      <c r="C50" s="10" t="s">
        <v>214</v>
      </c>
      <c r="D50" s="10" t="s">
        <v>230</v>
      </c>
      <c r="E50" s="9" t="s">
        <v>51</v>
      </c>
      <c r="F50" s="9" t="s">
        <v>38</v>
      </c>
      <c r="G50" s="9" t="s">
        <v>231</v>
      </c>
      <c r="H50" s="9" t="s">
        <v>232</v>
      </c>
      <c r="I50" s="10" t="s">
        <v>59</v>
      </c>
      <c r="J50" s="9" t="s">
        <v>233</v>
      </c>
      <c r="K50" s="10" t="n">
        <v>4</v>
      </c>
    </row>
    <row r="51" customFormat="false" ht="19.5" hidden="false" customHeight="true" outlineLevel="0" collapsed="false">
      <c r="A51" s="4" t="s">
        <v>234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customFormat="false" ht="35.05" hidden="false" customHeight="false" outlineLevel="0" collapsed="false">
      <c r="A52" s="5" t="s">
        <v>235</v>
      </c>
      <c r="B52" s="6" t="s">
        <v>236</v>
      </c>
      <c r="C52" s="7" t="s">
        <v>237</v>
      </c>
      <c r="D52" s="7" t="s">
        <v>32</v>
      </c>
      <c r="E52" s="6" t="s">
        <v>51</v>
      </c>
      <c r="F52" s="6" t="s">
        <v>144</v>
      </c>
      <c r="G52" s="6" t="s">
        <v>238</v>
      </c>
      <c r="H52" s="6" t="s">
        <v>239</v>
      </c>
      <c r="I52" s="7" t="s">
        <v>59</v>
      </c>
      <c r="J52" s="6" t="s">
        <v>240</v>
      </c>
      <c r="K52" s="7" t="n">
        <v>6</v>
      </c>
    </row>
    <row r="53" customFormat="false" ht="35.05" hidden="false" customHeight="false" outlineLevel="0" collapsed="false">
      <c r="A53" s="8" t="s">
        <v>241</v>
      </c>
      <c r="B53" s="9" t="s">
        <v>242</v>
      </c>
      <c r="C53" s="10" t="s">
        <v>237</v>
      </c>
      <c r="D53" s="10" t="s">
        <v>32</v>
      </c>
      <c r="E53" s="9" t="s">
        <v>51</v>
      </c>
      <c r="F53" s="9" t="s">
        <v>144</v>
      </c>
      <c r="G53" s="9" t="s">
        <v>243</v>
      </c>
      <c r="H53" s="9" t="s">
        <v>244</v>
      </c>
      <c r="I53" s="10" t="s">
        <v>59</v>
      </c>
      <c r="J53" s="9" t="s">
        <v>245</v>
      </c>
      <c r="K53" s="10" t="n">
        <v>10</v>
      </c>
    </row>
    <row r="54" customFormat="false" ht="46.25" hidden="false" customHeight="false" outlineLevel="0" collapsed="false">
      <c r="A54" s="5" t="s">
        <v>246</v>
      </c>
      <c r="B54" s="6" t="s">
        <v>247</v>
      </c>
      <c r="C54" s="7" t="s">
        <v>237</v>
      </c>
      <c r="D54" s="7" t="s">
        <v>32</v>
      </c>
      <c r="E54" s="6" t="s">
        <v>51</v>
      </c>
      <c r="F54" s="6" t="s">
        <v>144</v>
      </c>
      <c r="G54" s="6" t="s">
        <v>248</v>
      </c>
      <c r="H54" s="6" t="s">
        <v>249</v>
      </c>
      <c r="I54" s="7" t="s">
        <v>47</v>
      </c>
      <c r="J54" s="6" t="s">
        <v>250</v>
      </c>
      <c r="K54" s="7" t="n">
        <v>6</v>
      </c>
    </row>
    <row r="55" customFormat="false" ht="23.85" hidden="false" customHeight="false" outlineLevel="0" collapsed="false">
      <c r="A55" s="8" t="s">
        <v>251</v>
      </c>
      <c r="B55" s="9" t="s">
        <v>252</v>
      </c>
      <c r="C55" s="10" t="s">
        <v>237</v>
      </c>
      <c r="D55" s="10" t="s">
        <v>44</v>
      </c>
      <c r="E55" s="9" t="s">
        <v>51</v>
      </c>
      <c r="F55" s="9" t="s">
        <v>38</v>
      </c>
      <c r="G55" s="9" t="s">
        <v>253</v>
      </c>
      <c r="H55" s="9" t="s">
        <v>254</v>
      </c>
      <c r="I55" s="10" t="s">
        <v>59</v>
      </c>
      <c r="J55" s="9" t="s">
        <v>255</v>
      </c>
      <c r="K55" s="10" t="n">
        <v>4</v>
      </c>
    </row>
    <row r="56" customFormat="false" ht="23.85" hidden="false" customHeight="false" outlineLevel="0" collapsed="false">
      <c r="A56" s="5" t="s">
        <v>256</v>
      </c>
      <c r="B56" s="6" t="s">
        <v>257</v>
      </c>
      <c r="C56" s="7" t="s">
        <v>237</v>
      </c>
      <c r="D56" s="7" t="s">
        <v>44</v>
      </c>
      <c r="E56" s="6" t="s">
        <v>18</v>
      </c>
      <c r="F56" s="6" t="s">
        <v>144</v>
      </c>
      <c r="G56" s="6" t="s">
        <v>258</v>
      </c>
      <c r="H56" s="6" t="s">
        <v>259</v>
      </c>
      <c r="I56" s="7" t="s">
        <v>59</v>
      </c>
      <c r="J56" s="6" t="s">
        <v>260</v>
      </c>
      <c r="K56" s="7" t="n">
        <v>4</v>
      </c>
    </row>
    <row r="57" customFormat="false" ht="19.5" hidden="false" customHeight="true" outlineLevel="0" collapsed="false">
      <c r="A57" s="4" t="s">
        <v>261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customFormat="false" ht="35.05" hidden="false" customHeight="false" outlineLevel="0" collapsed="false">
      <c r="A58" s="5" t="s">
        <v>262</v>
      </c>
      <c r="B58" s="6" t="s">
        <v>263</v>
      </c>
      <c r="C58" s="7" t="s">
        <v>264</v>
      </c>
      <c r="D58" s="7" t="s">
        <v>32</v>
      </c>
      <c r="E58" s="6" t="s">
        <v>265</v>
      </c>
      <c r="F58" s="6" t="s">
        <v>19</v>
      </c>
      <c r="G58" s="6" t="s">
        <v>266</v>
      </c>
      <c r="H58" s="6" t="s">
        <v>267</v>
      </c>
      <c r="I58" s="7" t="s">
        <v>59</v>
      </c>
      <c r="J58" s="6" t="s">
        <v>268</v>
      </c>
      <c r="K58" s="7" t="n">
        <v>6</v>
      </c>
    </row>
    <row r="59" customFormat="false" ht="46.25" hidden="false" customHeight="false" outlineLevel="0" collapsed="false">
      <c r="A59" s="8" t="s">
        <v>269</v>
      </c>
      <c r="B59" s="9" t="s">
        <v>270</v>
      </c>
      <c r="C59" s="10" t="s">
        <v>264</v>
      </c>
      <c r="D59" s="10" t="s">
        <v>32</v>
      </c>
      <c r="E59" s="9" t="s">
        <v>265</v>
      </c>
      <c r="F59" s="9" t="s">
        <v>26</v>
      </c>
      <c r="G59" s="9" t="s">
        <v>271</v>
      </c>
      <c r="H59" s="9" t="s">
        <v>272</v>
      </c>
      <c r="I59" s="10" t="s">
        <v>47</v>
      </c>
      <c r="J59" s="9" t="s">
        <v>273</v>
      </c>
      <c r="K59" s="10" t="n">
        <v>8</v>
      </c>
    </row>
    <row r="60" customFormat="false" ht="46.25" hidden="false" customHeight="false" outlineLevel="0" collapsed="false">
      <c r="A60" s="5" t="s">
        <v>274</v>
      </c>
      <c r="B60" s="6" t="s">
        <v>275</v>
      </c>
      <c r="C60" s="7" t="s">
        <v>264</v>
      </c>
      <c r="D60" s="7" t="s">
        <v>32</v>
      </c>
      <c r="E60" s="6" t="s">
        <v>18</v>
      </c>
      <c r="F60" s="6" t="s">
        <v>38</v>
      </c>
      <c r="G60" s="6" t="s">
        <v>276</v>
      </c>
      <c r="H60" s="6" t="s">
        <v>277</v>
      </c>
      <c r="I60" s="7" t="s">
        <v>59</v>
      </c>
      <c r="J60" s="6" t="s">
        <v>278</v>
      </c>
      <c r="K60" s="7" t="n">
        <v>6</v>
      </c>
    </row>
    <row r="61" customFormat="false" ht="35.05" hidden="false" customHeight="false" outlineLevel="0" collapsed="false">
      <c r="A61" s="8" t="s">
        <v>279</v>
      </c>
      <c r="B61" s="9" t="s">
        <v>280</v>
      </c>
      <c r="C61" s="10" t="s">
        <v>264</v>
      </c>
      <c r="D61" s="10" t="s">
        <v>44</v>
      </c>
      <c r="E61" s="9" t="s">
        <v>265</v>
      </c>
      <c r="F61" s="9" t="s">
        <v>144</v>
      </c>
      <c r="G61" s="9" t="s">
        <v>281</v>
      </c>
      <c r="H61" s="9" t="s">
        <v>282</v>
      </c>
      <c r="I61" s="10" t="s">
        <v>59</v>
      </c>
      <c r="J61" s="9" t="s">
        <v>283</v>
      </c>
      <c r="K61" s="10" t="n">
        <v>5</v>
      </c>
    </row>
    <row r="62" customFormat="false" ht="19.5" hidden="false" customHeight="true" outlineLevel="0" collapsed="false">
      <c r="A62" s="4" t="s">
        <v>284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35.05" hidden="false" customHeight="false" outlineLevel="0" collapsed="false">
      <c r="A63" s="5" t="s">
        <v>285</v>
      </c>
      <c r="B63" s="6" t="s">
        <v>286</v>
      </c>
      <c r="C63" s="7" t="s">
        <v>287</v>
      </c>
      <c r="D63" s="7" t="s">
        <v>44</v>
      </c>
      <c r="E63" s="6" t="s">
        <v>18</v>
      </c>
      <c r="F63" s="6" t="s">
        <v>144</v>
      </c>
      <c r="G63" s="6" t="s">
        <v>288</v>
      </c>
      <c r="H63" s="6" t="s">
        <v>289</v>
      </c>
      <c r="I63" s="7" t="s">
        <v>59</v>
      </c>
      <c r="J63" s="6" t="s">
        <v>290</v>
      </c>
      <c r="K63" s="7" t="n">
        <v>6</v>
      </c>
    </row>
    <row r="64" customFormat="false" ht="35.05" hidden="false" customHeight="false" outlineLevel="0" collapsed="false">
      <c r="A64" s="8" t="s">
        <v>291</v>
      </c>
      <c r="B64" s="9" t="s">
        <v>292</v>
      </c>
      <c r="C64" s="10" t="s">
        <v>287</v>
      </c>
      <c r="D64" s="10" t="s">
        <v>44</v>
      </c>
      <c r="E64" s="9" t="s">
        <v>51</v>
      </c>
      <c r="F64" s="9" t="s">
        <v>144</v>
      </c>
      <c r="G64" s="9" t="s">
        <v>293</v>
      </c>
      <c r="H64" s="9" t="s">
        <v>294</v>
      </c>
      <c r="I64" s="10" t="s">
        <v>47</v>
      </c>
      <c r="J64" s="9" t="s">
        <v>295</v>
      </c>
      <c r="K64" s="10" t="n">
        <v>4</v>
      </c>
    </row>
    <row r="65" customFormat="false" ht="35.05" hidden="false" customHeight="false" outlineLevel="0" collapsed="false">
      <c r="A65" s="5" t="s">
        <v>296</v>
      </c>
      <c r="B65" s="6" t="s">
        <v>297</v>
      </c>
      <c r="C65" s="7" t="s">
        <v>287</v>
      </c>
      <c r="D65" s="7" t="s">
        <v>44</v>
      </c>
      <c r="E65" s="6" t="s">
        <v>18</v>
      </c>
      <c r="F65" s="6" t="s">
        <v>144</v>
      </c>
      <c r="G65" s="6" t="s">
        <v>298</v>
      </c>
      <c r="H65" s="6" t="s">
        <v>299</v>
      </c>
      <c r="I65" s="7" t="s">
        <v>47</v>
      </c>
      <c r="J65" s="6" t="s">
        <v>300</v>
      </c>
      <c r="K65" s="7" t="n">
        <v>4</v>
      </c>
    </row>
    <row r="66" customFormat="false" ht="35.05" hidden="false" customHeight="false" outlineLevel="0" collapsed="false">
      <c r="A66" s="8" t="s">
        <v>301</v>
      </c>
      <c r="B66" s="9" t="s">
        <v>302</v>
      </c>
      <c r="C66" s="10" t="s">
        <v>287</v>
      </c>
      <c r="D66" s="10" t="s">
        <v>32</v>
      </c>
      <c r="E66" s="9" t="s">
        <v>18</v>
      </c>
      <c r="F66" s="9" t="s">
        <v>38</v>
      </c>
      <c r="G66" s="9" t="s">
        <v>303</v>
      </c>
      <c r="H66" s="9" t="s">
        <v>304</v>
      </c>
      <c r="I66" s="10" t="s">
        <v>47</v>
      </c>
      <c r="J66" s="9" t="s">
        <v>305</v>
      </c>
      <c r="K66" s="10" t="n">
        <v>6</v>
      </c>
    </row>
    <row r="67" customFormat="false" ht="35.05" hidden="false" customHeight="false" outlineLevel="0" collapsed="false">
      <c r="A67" s="5" t="s">
        <v>306</v>
      </c>
      <c r="B67" s="6" t="s">
        <v>307</v>
      </c>
      <c r="C67" s="7" t="s">
        <v>287</v>
      </c>
      <c r="D67" s="7" t="s">
        <v>32</v>
      </c>
      <c r="E67" s="6" t="s">
        <v>18</v>
      </c>
      <c r="F67" s="6" t="s">
        <v>144</v>
      </c>
      <c r="G67" s="6" t="s">
        <v>308</v>
      </c>
      <c r="H67" s="6" t="s">
        <v>309</v>
      </c>
      <c r="I67" s="7" t="s">
        <v>59</v>
      </c>
      <c r="J67" s="6" t="s">
        <v>310</v>
      </c>
      <c r="K67" s="7" t="n">
        <v>6</v>
      </c>
    </row>
    <row r="68" customFormat="false" ht="23.85" hidden="false" customHeight="false" outlineLevel="0" collapsed="false">
      <c r="A68" s="8" t="s">
        <v>311</v>
      </c>
      <c r="B68" s="9" t="s">
        <v>312</v>
      </c>
      <c r="C68" s="10" t="s">
        <v>287</v>
      </c>
      <c r="D68" s="10" t="s">
        <v>44</v>
      </c>
      <c r="E68" s="9" t="s">
        <v>18</v>
      </c>
      <c r="F68" s="9" t="s">
        <v>144</v>
      </c>
      <c r="G68" s="9" t="s">
        <v>313</v>
      </c>
      <c r="H68" s="9" t="s">
        <v>314</v>
      </c>
      <c r="I68" s="10" t="s">
        <v>47</v>
      </c>
      <c r="J68" s="9" t="s">
        <v>315</v>
      </c>
      <c r="K68" s="10" t="n">
        <v>4</v>
      </c>
    </row>
    <row r="69" customFormat="false" ht="23.85" hidden="false" customHeight="false" outlineLevel="0" collapsed="false">
      <c r="A69" s="5" t="s">
        <v>316</v>
      </c>
      <c r="B69" s="6" t="s">
        <v>317</v>
      </c>
      <c r="C69" s="7" t="s">
        <v>287</v>
      </c>
      <c r="D69" s="7" t="s">
        <v>44</v>
      </c>
      <c r="E69" s="6" t="s">
        <v>18</v>
      </c>
      <c r="F69" s="6" t="s">
        <v>26</v>
      </c>
      <c r="G69" s="6" t="s">
        <v>318</v>
      </c>
      <c r="H69" s="6" t="s">
        <v>319</v>
      </c>
      <c r="I69" s="7" t="s">
        <v>22</v>
      </c>
      <c r="J69" s="6" t="s">
        <v>320</v>
      </c>
      <c r="K69" s="7" t="n">
        <v>2</v>
      </c>
    </row>
    <row r="70" customFormat="false" ht="23.85" hidden="false" customHeight="false" outlineLevel="0" collapsed="false">
      <c r="A70" s="8" t="s">
        <v>321</v>
      </c>
      <c r="B70" s="9" t="s">
        <v>322</v>
      </c>
      <c r="C70" s="10" t="s">
        <v>287</v>
      </c>
      <c r="D70" s="10" t="s">
        <v>44</v>
      </c>
      <c r="E70" s="9" t="s">
        <v>18</v>
      </c>
      <c r="F70" s="9" t="s">
        <v>144</v>
      </c>
      <c r="G70" s="9" t="s">
        <v>323</v>
      </c>
      <c r="H70" s="9" t="s">
        <v>324</v>
      </c>
      <c r="I70" s="10" t="s">
        <v>59</v>
      </c>
      <c r="J70" s="9" t="s">
        <v>325</v>
      </c>
      <c r="K70" s="10" t="n">
        <v>3</v>
      </c>
    </row>
    <row r="71" customFormat="false" ht="19.5" hidden="false" customHeight="true" outlineLevel="0" collapsed="false">
      <c r="A71" s="4" t="s">
        <v>326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customFormat="false" ht="46.25" hidden="false" customHeight="false" outlineLevel="0" collapsed="false">
      <c r="A72" s="5" t="s">
        <v>327</v>
      </c>
      <c r="B72" s="6" t="s">
        <v>328</v>
      </c>
      <c r="C72" s="7" t="s">
        <v>329</v>
      </c>
      <c r="D72" s="7" t="s">
        <v>32</v>
      </c>
      <c r="E72" s="6" t="s">
        <v>265</v>
      </c>
      <c r="F72" s="6" t="s">
        <v>330</v>
      </c>
      <c r="G72" s="6" t="s">
        <v>331</v>
      </c>
      <c r="H72" s="6" t="s">
        <v>332</v>
      </c>
      <c r="I72" s="7" t="s">
        <v>59</v>
      </c>
      <c r="J72" s="6" t="s">
        <v>333</v>
      </c>
      <c r="K72" s="7" t="n">
        <v>4</v>
      </c>
    </row>
    <row r="73" customFormat="false" ht="23.85" hidden="false" customHeight="false" outlineLevel="0" collapsed="false">
      <c r="A73" s="8" t="s">
        <v>334</v>
      </c>
      <c r="B73" s="9" t="s">
        <v>335</v>
      </c>
      <c r="C73" s="10" t="s">
        <v>329</v>
      </c>
      <c r="D73" s="10" t="s">
        <v>32</v>
      </c>
      <c r="E73" s="9" t="s">
        <v>265</v>
      </c>
      <c r="F73" s="9" t="s">
        <v>330</v>
      </c>
      <c r="G73" s="9" t="s">
        <v>336</v>
      </c>
      <c r="H73" s="9" t="s">
        <v>337</v>
      </c>
      <c r="I73" s="10" t="s">
        <v>59</v>
      </c>
      <c r="J73" s="9" t="s">
        <v>338</v>
      </c>
      <c r="K73" s="10" t="n">
        <v>3</v>
      </c>
    </row>
    <row r="74" customFormat="false" ht="35.05" hidden="false" customHeight="false" outlineLevel="0" collapsed="false">
      <c r="A74" s="5" t="s">
        <v>339</v>
      </c>
      <c r="B74" s="6" t="s">
        <v>340</v>
      </c>
      <c r="C74" s="7" t="s">
        <v>329</v>
      </c>
      <c r="D74" s="7" t="s">
        <v>44</v>
      </c>
      <c r="E74" s="6" t="s">
        <v>265</v>
      </c>
      <c r="F74" s="6" t="s">
        <v>330</v>
      </c>
      <c r="G74" s="6" t="s">
        <v>341</v>
      </c>
      <c r="H74" s="6" t="s">
        <v>342</v>
      </c>
      <c r="I74" s="7" t="s">
        <v>59</v>
      </c>
      <c r="J74" s="6" t="s">
        <v>343</v>
      </c>
      <c r="K74" s="7" t="n">
        <v>2</v>
      </c>
    </row>
    <row r="75" customFormat="false" ht="23.85" hidden="false" customHeight="false" outlineLevel="0" collapsed="false">
      <c r="A75" s="8" t="s">
        <v>344</v>
      </c>
      <c r="B75" s="9" t="s">
        <v>345</v>
      </c>
      <c r="C75" s="10" t="s">
        <v>329</v>
      </c>
      <c r="D75" s="10" t="s">
        <v>32</v>
      </c>
      <c r="E75" s="9" t="s">
        <v>265</v>
      </c>
      <c r="F75" s="9" t="s">
        <v>26</v>
      </c>
      <c r="G75" s="9" t="s">
        <v>346</v>
      </c>
      <c r="H75" s="9" t="s">
        <v>347</v>
      </c>
      <c r="I75" s="10" t="s">
        <v>59</v>
      </c>
      <c r="J75" s="9" t="s">
        <v>348</v>
      </c>
      <c r="K75" s="10" t="n">
        <v>3</v>
      </c>
    </row>
    <row r="76" customFormat="false" ht="23.85" hidden="false" customHeight="false" outlineLevel="0" collapsed="false">
      <c r="A76" s="5" t="s">
        <v>349</v>
      </c>
      <c r="B76" s="6" t="s">
        <v>350</v>
      </c>
      <c r="C76" s="7" t="s">
        <v>329</v>
      </c>
      <c r="D76" s="7" t="s">
        <v>32</v>
      </c>
      <c r="E76" s="6" t="s">
        <v>265</v>
      </c>
      <c r="F76" s="6" t="s">
        <v>26</v>
      </c>
      <c r="G76" s="6" t="s">
        <v>351</v>
      </c>
      <c r="H76" s="6" t="s">
        <v>352</v>
      </c>
      <c r="I76" s="7" t="s">
        <v>59</v>
      </c>
      <c r="J76" s="6" t="s">
        <v>353</v>
      </c>
      <c r="K76" s="7" t="n">
        <v>4</v>
      </c>
    </row>
    <row r="77" customFormat="false" ht="35.05" hidden="false" customHeight="false" outlineLevel="0" collapsed="false">
      <c r="A77" s="8" t="s">
        <v>354</v>
      </c>
      <c r="B77" s="9" t="s">
        <v>355</v>
      </c>
      <c r="C77" s="10" t="s">
        <v>329</v>
      </c>
      <c r="D77" s="10" t="s">
        <v>44</v>
      </c>
      <c r="E77" s="9" t="s">
        <v>356</v>
      </c>
      <c r="F77" s="9" t="s">
        <v>330</v>
      </c>
      <c r="G77" s="9" t="s">
        <v>357</v>
      </c>
      <c r="H77" s="9" t="s">
        <v>358</v>
      </c>
      <c r="I77" s="10" t="s">
        <v>59</v>
      </c>
      <c r="J77" s="9" t="s">
        <v>359</v>
      </c>
      <c r="K77" s="10" t="n">
        <v>4</v>
      </c>
    </row>
    <row r="78" customFormat="false" ht="19.5" hidden="false" customHeight="true" outlineLevel="0" collapsed="false">
      <c r="A78" s="4" t="s">
        <v>360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customFormat="false" ht="35.05" hidden="false" customHeight="false" outlineLevel="0" collapsed="false">
      <c r="A79" s="5" t="s">
        <v>361</v>
      </c>
      <c r="B79" s="6" t="s">
        <v>362</v>
      </c>
      <c r="C79" s="7" t="s">
        <v>363</v>
      </c>
      <c r="D79" s="7" t="s">
        <v>44</v>
      </c>
      <c r="E79" s="6" t="s">
        <v>356</v>
      </c>
      <c r="F79" s="6" t="s">
        <v>364</v>
      </c>
      <c r="G79" s="6" t="s">
        <v>365</v>
      </c>
      <c r="H79" s="6" t="s">
        <v>366</v>
      </c>
      <c r="I79" s="7" t="s">
        <v>59</v>
      </c>
      <c r="J79" s="6" t="s">
        <v>367</v>
      </c>
      <c r="K79" s="7" t="n">
        <v>3</v>
      </c>
    </row>
    <row r="80" customFormat="false" ht="35.05" hidden="false" customHeight="false" outlineLevel="0" collapsed="false">
      <c r="A80" s="8" t="s">
        <v>368</v>
      </c>
      <c r="B80" s="9" t="s">
        <v>369</v>
      </c>
      <c r="C80" s="10" t="s">
        <v>363</v>
      </c>
      <c r="D80" s="10" t="s">
        <v>32</v>
      </c>
      <c r="E80" s="9" t="s">
        <v>356</v>
      </c>
      <c r="F80" s="9" t="s">
        <v>364</v>
      </c>
      <c r="G80" s="9" t="s">
        <v>370</v>
      </c>
      <c r="H80" s="9" t="s">
        <v>371</v>
      </c>
      <c r="I80" s="10" t="s">
        <v>59</v>
      </c>
      <c r="J80" s="9" t="s">
        <v>372</v>
      </c>
      <c r="K80" s="10" t="n">
        <v>4</v>
      </c>
    </row>
    <row r="81" customFormat="false" ht="23.85" hidden="false" customHeight="false" outlineLevel="0" collapsed="false">
      <c r="A81" s="5" t="s">
        <v>373</v>
      </c>
      <c r="B81" s="6" t="s">
        <v>374</v>
      </c>
      <c r="C81" s="7" t="s">
        <v>363</v>
      </c>
      <c r="D81" s="7" t="s">
        <v>44</v>
      </c>
      <c r="E81" s="6" t="s">
        <v>356</v>
      </c>
      <c r="F81" s="6" t="s">
        <v>364</v>
      </c>
      <c r="G81" s="6" t="s">
        <v>370</v>
      </c>
      <c r="H81" s="6" t="s">
        <v>375</v>
      </c>
      <c r="I81" s="7" t="s">
        <v>59</v>
      </c>
      <c r="J81" s="6" t="s">
        <v>376</v>
      </c>
      <c r="K81" s="7" t="n">
        <v>3</v>
      </c>
    </row>
    <row r="82" customFormat="false" ht="15" hidden="false" customHeight="false" outlineLevel="0" collapsed="false">
      <c r="A82" s="8" t="s">
        <v>377</v>
      </c>
      <c r="B82" s="9" t="s">
        <v>378</v>
      </c>
      <c r="C82" s="10" t="s">
        <v>363</v>
      </c>
      <c r="D82" s="10" t="s">
        <v>44</v>
      </c>
      <c r="E82" s="9" t="s">
        <v>356</v>
      </c>
      <c r="F82" s="9" t="s">
        <v>364</v>
      </c>
      <c r="G82" s="9" t="s">
        <v>370</v>
      </c>
      <c r="H82" s="9" t="s">
        <v>379</v>
      </c>
      <c r="I82" s="10" t="s">
        <v>59</v>
      </c>
      <c r="J82" s="9" t="s">
        <v>380</v>
      </c>
      <c r="K82" s="10" t="n">
        <v>3</v>
      </c>
    </row>
    <row r="83" customFormat="false" ht="23.85" hidden="false" customHeight="false" outlineLevel="0" collapsed="false">
      <c r="A83" s="5" t="s">
        <v>381</v>
      </c>
      <c r="B83" s="6" t="s">
        <v>382</v>
      </c>
      <c r="C83" s="7" t="s">
        <v>363</v>
      </c>
      <c r="D83" s="7" t="s">
        <v>44</v>
      </c>
      <c r="E83" s="6" t="s">
        <v>356</v>
      </c>
      <c r="F83" s="6" t="s">
        <v>364</v>
      </c>
      <c r="G83" s="6" t="s">
        <v>370</v>
      </c>
      <c r="H83" s="6" t="s">
        <v>383</v>
      </c>
      <c r="I83" s="7" t="s">
        <v>59</v>
      </c>
      <c r="J83" s="6" t="s">
        <v>384</v>
      </c>
      <c r="K83" s="7" t="n">
        <v>3</v>
      </c>
    </row>
    <row r="84" customFormat="false" ht="15" hidden="false" customHeight="false" outlineLevel="0" collapsed="false">
      <c r="A84" s="8" t="s">
        <v>385</v>
      </c>
      <c r="B84" s="9" t="s">
        <v>386</v>
      </c>
      <c r="C84" s="10" t="s">
        <v>363</v>
      </c>
      <c r="D84" s="10" t="s">
        <v>44</v>
      </c>
      <c r="E84" s="9" t="s">
        <v>356</v>
      </c>
      <c r="F84" s="9" t="s">
        <v>364</v>
      </c>
      <c r="G84" s="9" t="s">
        <v>370</v>
      </c>
      <c r="H84" s="9" t="s">
        <v>387</v>
      </c>
      <c r="I84" s="10" t="s">
        <v>59</v>
      </c>
      <c r="J84" s="9" t="s">
        <v>384</v>
      </c>
      <c r="K84" s="10" t="n">
        <v>3</v>
      </c>
    </row>
    <row r="85" customFormat="false" ht="35.05" hidden="false" customHeight="false" outlineLevel="0" collapsed="false">
      <c r="A85" s="5" t="s">
        <v>388</v>
      </c>
      <c r="B85" s="6" t="s">
        <v>389</v>
      </c>
      <c r="C85" s="7" t="s">
        <v>363</v>
      </c>
      <c r="D85" s="7" t="s">
        <v>44</v>
      </c>
      <c r="E85" s="6" t="s">
        <v>356</v>
      </c>
      <c r="F85" s="6" t="s">
        <v>364</v>
      </c>
      <c r="G85" s="6" t="s">
        <v>390</v>
      </c>
      <c r="H85" s="6" t="s">
        <v>391</v>
      </c>
      <c r="I85" s="7" t="s">
        <v>47</v>
      </c>
      <c r="J85" s="6" t="s">
        <v>392</v>
      </c>
      <c r="K85" s="7" t="n">
        <v>4</v>
      </c>
    </row>
    <row r="86" customFormat="false" ht="23.85" hidden="false" customHeight="false" outlineLevel="0" collapsed="false">
      <c r="A86" s="8" t="s">
        <v>393</v>
      </c>
      <c r="B86" s="9" t="s">
        <v>394</v>
      </c>
      <c r="C86" s="10" t="s">
        <v>363</v>
      </c>
      <c r="D86" s="10" t="s">
        <v>44</v>
      </c>
      <c r="E86" s="9" t="s">
        <v>356</v>
      </c>
      <c r="F86" s="9" t="s">
        <v>364</v>
      </c>
      <c r="G86" s="9" t="s">
        <v>395</v>
      </c>
      <c r="H86" s="9" t="s">
        <v>396</v>
      </c>
      <c r="I86" s="10" t="s">
        <v>47</v>
      </c>
      <c r="J86" s="9" t="s">
        <v>397</v>
      </c>
      <c r="K86" s="10" t="n">
        <v>3</v>
      </c>
    </row>
    <row r="87" customFormat="false" ht="23.85" hidden="false" customHeight="false" outlineLevel="0" collapsed="false">
      <c r="A87" s="5" t="s">
        <v>398</v>
      </c>
      <c r="B87" s="6" t="s">
        <v>399</v>
      </c>
      <c r="C87" s="7" t="s">
        <v>363</v>
      </c>
      <c r="D87" s="7" t="s">
        <v>230</v>
      </c>
      <c r="E87" s="6" t="s">
        <v>356</v>
      </c>
      <c r="F87" s="6" t="s">
        <v>364</v>
      </c>
      <c r="G87" s="6" t="s">
        <v>400</v>
      </c>
      <c r="H87" s="6" t="s">
        <v>401</v>
      </c>
      <c r="I87" s="7" t="s">
        <v>47</v>
      </c>
      <c r="J87" s="6" t="s">
        <v>402</v>
      </c>
      <c r="K87" s="7" t="n">
        <v>2</v>
      </c>
    </row>
    <row r="88" customFormat="false" ht="19.5" hidden="false" customHeight="true" outlineLevel="0" collapsed="false">
      <c r="A88" s="4" t="s">
        <v>403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customFormat="false" ht="35.05" hidden="false" customHeight="false" outlineLevel="0" collapsed="false">
      <c r="A89" s="5" t="s">
        <v>404</v>
      </c>
      <c r="B89" s="6" t="s">
        <v>405</v>
      </c>
      <c r="C89" s="7" t="s">
        <v>406</v>
      </c>
      <c r="D89" s="7" t="s">
        <v>44</v>
      </c>
      <c r="E89" s="6" t="s">
        <v>356</v>
      </c>
      <c r="F89" s="6" t="s">
        <v>330</v>
      </c>
      <c r="G89" s="6" t="s">
        <v>407</v>
      </c>
      <c r="H89" s="6" t="s">
        <v>408</v>
      </c>
      <c r="I89" s="7" t="s">
        <v>59</v>
      </c>
      <c r="J89" s="6" t="s">
        <v>409</v>
      </c>
      <c r="K89" s="7" t="n">
        <v>2</v>
      </c>
    </row>
    <row r="90" customFormat="false" ht="23.85" hidden="false" customHeight="false" outlineLevel="0" collapsed="false">
      <c r="A90" s="8" t="s">
        <v>410</v>
      </c>
      <c r="B90" s="9" t="s">
        <v>411</v>
      </c>
      <c r="C90" s="10" t="s">
        <v>406</v>
      </c>
      <c r="D90" s="10" t="s">
        <v>44</v>
      </c>
      <c r="E90" s="9" t="s">
        <v>356</v>
      </c>
      <c r="F90" s="9" t="s">
        <v>330</v>
      </c>
      <c r="G90" s="9" t="s">
        <v>412</v>
      </c>
      <c r="H90" s="9" t="s">
        <v>413</v>
      </c>
      <c r="I90" s="10" t="s">
        <v>59</v>
      </c>
      <c r="J90" s="9" t="s">
        <v>414</v>
      </c>
      <c r="K90" s="10" t="n">
        <v>2.5</v>
      </c>
    </row>
    <row r="91" customFormat="false" ht="46.25" hidden="false" customHeight="false" outlineLevel="0" collapsed="false">
      <c r="A91" s="5" t="s">
        <v>415</v>
      </c>
      <c r="B91" s="6" t="s">
        <v>416</v>
      </c>
      <c r="C91" s="7" t="s">
        <v>406</v>
      </c>
      <c r="D91" s="7" t="s">
        <v>44</v>
      </c>
      <c r="E91" s="6" t="s">
        <v>356</v>
      </c>
      <c r="F91" s="6" t="s">
        <v>330</v>
      </c>
      <c r="G91" s="6" t="s">
        <v>417</v>
      </c>
      <c r="H91" s="6" t="s">
        <v>418</v>
      </c>
      <c r="I91" s="7" t="s">
        <v>59</v>
      </c>
      <c r="J91" s="6" t="s">
        <v>419</v>
      </c>
      <c r="K91" s="7" t="n">
        <v>2.5</v>
      </c>
    </row>
    <row r="92" customFormat="false" ht="35.05" hidden="false" customHeight="false" outlineLevel="0" collapsed="false">
      <c r="A92" s="8" t="s">
        <v>420</v>
      </c>
      <c r="B92" s="9" t="s">
        <v>421</v>
      </c>
      <c r="C92" s="10" t="s">
        <v>406</v>
      </c>
      <c r="D92" s="10" t="s">
        <v>44</v>
      </c>
      <c r="E92" s="9" t="s">
        <v>18</v>
      </c>
      <c r="F92" s="9" t="s">
        <v>330</v>
      </c>
      <c r="G92" s="9" t="s">
        <v>422</v>
      </c>
      <c r="H92" s="9" t="s">
        <v>423</v>
      </c>
      <c r="I92" s="10" t="s">
        <v>59</v>
      </c>
      <c r="J92" s="9" t="s">
        <v>424</v>
      </c>
      <c r="K92" s="10" t="n">
        <v>4</v>
      </c>
    </row>
    <row r="93" customFormat="false" ht="35.05" hidden="false" customHeight="false" outlineLevel="0" collapsed="false">
      <c r="A93" s="5" t="s">
        <v>425</v>
      </c>
      <c r="B93" s="6" t="s">
        <v>426</v>
      </c>
      <c r="C93" s="7" t="s">
        <v>406</v>
      </c>
      <c r="D93" s="7" t="s">
        <v>44</v>
      </c>
      <c r="E93" s="6" t="s">
        <v>18</v>
      </c>
      <c r="F93" s="6" t="s">
        <v>330</v>
      </c>
      <c r="G93" s="6" t="s">
        <v>427</v>
      </c>
      <c r="H93" s="6" t="s">
        <v>428</v>
      </c>
      <c r="I93" s="7" t="s">
        <v>59</v>
      </c>
      <c r="J93" s="6" t="s">
        <v>429</v>
      </c>
      <c r="K93" s="7" t="n">
        <v>5</v>
      </c>
    </row>
    <row r="94" customFormat="false" ht="35.05" hidden="false" customHeight="false" outlineLevel="0" collapsed="false">
      <c r="A94" s="8" t="s">
        <v>430</v>
      </c>
      <c r="B94" s="9" t="s">
        <v>431</v>
      </c>
      <c r="C94" s="10" t="s">
        <v>406</v>
      </c>
      <c r="D94" s="10" t="s">
        <v>44</v>
      </c>
      <c r="E94" s="9" t="s">
        <v>18</v>
      </c>
      <c r="F94" s="9" t="s">
        <v>330</v>
      </c>
      <c r="G94" s="9" t="s">
        <v>432</v>
      </c>
      <c r="H94" s="9" t="s">
        <v>433</v>
      </c>
      <c r="I94" s="10" t="s">
        <v>59</v>
      </c>
      <c r="J94" s="9" t="s">
        <v>434</v>
      </c>
      <c r="K94" s="10" t="n">
        <v>2.5</v>
      </c>
    </row>
    <row r="95" customFormat="false" ht="35.05" hidden="false" customHeight="false" outlineLevel="0" collapsed="false">
      <c r="A95" s="5" t="s">
        <v>435</v>
      </c>
      <c r="B95" s="6" t="s">
        <v>436</v>
      </c>
      <c r="C95" s="7" t="s">
        <v>406</v>
      </c>
      <c r="D95" s="7" t="s">
        <v>44</v>
      </c>
      <c r="E95" s="6" t="s">
        <v>51</v>
      </c>
      <c r="F95" s="6" t="s">
        <v>330</v>
      </c>
      <c r="G95" s="6" t="s">
        <v>437</v>
      </c>
      <c r="H95" s="6" t="s">
        <v>438</v>
      </c>
      <c r="I95" s="7" t="s">
        <v>59</v>
      </c>
      <c r="J95" s="6" t="s">
        <v>439</v>
      </c>
      <c r="K95" s="7" t="n">
        <v>3</v>
      </c>
    </row>
    <row r="96" customFormat="false" ht="57.45" hidden="false" customHeight="false" outlineLevel="0" collapsed="false">
      <c r="A96" s="8" t="s">
        <v>440</v>
      </c>
      <c r="B96" s="9" t="s">
        <v>441</v>
      </c>
      <c r="C96" s="10" t="s">
        <v>406</v>
      </c>
      <c r="D96" s="10" t="s">
        <v>44</v>
      </c>
      <c r="E96" s="9" t="s">
        <v>18</v>
      </c>
      <c r="F96" s="9" t="s">
        <v>330</v>
      </c>
      <c r="G96" s="9" t="s">
        <v>442</v>
      </c>
      <c r="H96" s="9" t="s">
        <v>443</v>
      </c>
      <c r="I96" s="10" t="s">
        <v>59</v>
      </c>
      <c r="J96" s="9" t="s">
        <v>444</v>
      </c>
      <c r="K96" s="10" t="n">
        <v>4</v>
      </c>
    </row>
  </sheetData>
  <mergeCells count="15">
    <mergeCell ref="A1:K1"/>
    <mergeCell ref="A2:K2"/>
    <mergeCell ref="A5:K5"/>
    <mergeCell ref="A14:K14"/>
    <mergeCell ref="A20:K20"/>
    <mergeCell ref="A27:K27"/>
    <mergeCell ref="A34:K34"/>
    <mergeCell ref="A39:K39"/>
    <mergeCell ref="A46:K46"/>
    <mergeCell ref="A51:K51"/>
    <mergeCell ref="A57:K57"/>
    <mergeCell ref="A62:K62"/>
    <mergeCell ref="A71:K71"/>
    <mergeCell ref="A78:K78"/>
    <mergeCell ref="A88:K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8"/>
  </cols>
  <sheetData>
    <row r="1" customFormat="false" ht="24" hidden="false" customHeight="true" outlineLevel="0" collapsed="false">
      <c r="A1" s="11" t="s">
        <v>445</v>
      </c>
      <c r="B1" s="11"/>
    </row>
    <row r="3" customFormat="false" ht="41.75" hidden="false" customHeight="false" outlineLevel="0" collapsed="false">
      <c r="A3" s="12" t="s">
        <v>446</v>
      </c>
      <c r="B3" s="13" t="s">
        <v>447</v>
      </c>
    </row>
    <row r="4" customFormat="false" ht="55.2" hidden="false" customHeight="false" outlineLevel="0" collapsed="false">
      <c r="A4" s="14" t="s">
        <v>448</v>
      </c>
      <c r="B4" s="15" t="s">
        <v>449</v>
      </c>
    </row>
    <row r="5" customFormat="false" ht="28.35" hidden="false" customHeight="false" outlineLevel="0" collapsed="false">
      <c r="A5" s="12" t="s">
        <v>450</v>
      </c>
      <c r="B5" s="13" t="s">
        <v>451</v>
      </c>
    </row>
    <row r="6" customFormat="false" ht="15" hidden="false" customHeight="false" outlineLevel="0" collapsed="false">
      <c r="A6" s="14" t="s">
        <v>452</v>
      </c>
      <c r="B6" s="15" t="s">
        <v>453</v>
      </c>
    </row>
    <row r="7" customFormat="false" ht="28.35" hidden="false" customHeight="false" outlineLevel="0" collapsed="false">
      <c r="A7" s="12" t="s">
        <v>454</v>
      </c>
      <c r="B7" s="13" t="s">
        <v>455</v>
      </c>
    </row>
    <row r="8" customFormat="false" ht="55.2" hidden="false" customHeight="false" outlineLevel="0" collapsed="false">
      <c r="A8" s="14" t="s">
        <v>456</v>
      </c>
      <c r="B8" s="15" t="s">
        <v>457</v>
      </c>
    </row>
    <row r="9" customFormat="false" ht="41.75" hidden="false" customHeight="false" outlineLevel="0" collapsed="false">
      <c r="A9" s="12" t="s">
        <v>458</v>
      </c>
      <c r="B9" s="13" t="s">
        <v>459</v>
      </c>
    </row>
    <row r="10" customFormat="false" ht="15" hidden="false" customHeight="false" outlineLevel="0" collapsed="false">
      <c r="A10" s="14" t="s">
        <v>460</v>
      </c>
      <c r="B10" s="15" t="s">
        <v>461</v>
      </c>
    </row>
    <row r="11" customFormat="false" ht="28.35" hidden="false" customHeight="false" outlineLevel="0" collapsed="false">
      <c r="A11" s="12" t="s">
        <v>462</v>
      </c>
      <c r="B11" s="13" t="s">
        <v>463</v>
      </c>
    </row>
    <row r="12" customFormat="false" ht="41.75" hidden="false" customHeight="false" outlineLevel="0" collapsed="false">
      <c r="A12" s="14" t="s">
        <v>11</v>
      </c>
      <c r="B12" s="15" t="s">
        <v>464</v>
      </c>
    </row>
    <row r="13" customFormat="false" ht="41.75" hidden="false" customHeight="false" outlineLevel="0" collapsed="false">
      <c r="A13" s="12" t="s">
        <v>465</v>
      </c>
      <c r="B13" s="13" t="s">
        <v>466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24" hidden="false" customHeight="true" outlineLevel="0" collapsed="false">
      <c r="A1" s="11" t="s">
        <v>467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6" t="s">
        <v>468</v>
      </c>
    </row>
    <row r="3" customFormat="false" ht="28.35" hidden="false" customHeight="false" outlineLevel="0" collapsed="false">
      <c r="A3" s="17" t="s">
        <v>4</v>
      </c>
      <c r="B3" s="17" t="s">
        <v>469</v>
      </c>
      <c r="C3" s="17" t="s">
        <v>470</v>
      </c>
      <c r="D3" s="17" t="s">
        <v>471</v>
      </c>
      <c r="E3" s="17" t="s">
        <v>472</v>
      </c>
      <c r="F3" s="17" t="s">
        <v>473</v>
      </c>
      <c r="G3" s="17" t="s">
        <v>474</v>
      </c>
      <c r="H3" s="17" t="s">
        <v>12</v>
      </c>
      <c r="I3" s="17" t="s">
        <v>475</v>
      </c>
    </row>
    <row r="4" customFormat="false" ht="15" hidden="false" customHeight="false" outlineLevel="0" collapsed="false">
      <c r="A4" s="18" t="s">
        <v>16</v>
      </c>
      <c r="B4" s="19" t="s">
        <v>476</v>
      </c>
      <c r="C4" s="18" t="n">
        <f aca="false">COUNTIF('Task List'!$C$6:$C$96,A4)</f>
        <v>8</v>
      </c>
      <c r="D4" s="18" t="n">
        <f aca="false">COUNTIFS('Task List'!$C$6:$C$96,A4,'Task List'!$D$6:$D$96,"critical")</f>
        <v>2</v>
      </c>
      <c r="E4" s="18" t="n">
        <f aca="false">COUNTIFS('Task List'!$C$6:$C$96,A4,'Task List'!$D$6:$D$96,"very important")</f>
        <v>3</v>
      </c>
      <c r="F4" s="18" t="n">
        <f aca="false">COUNTIFS('Task List'!$C$6:$C$96,A4,'Task List'!$D$6:$D$96,"important")</f>
        <v>3</v>
      </c>
      <c r="G4" s="18" t="n">
        <f aca="false">COUNTIFS('Task List'!$C$6:$C$96,A4,'Task List'!$D$6:$D$96,"normal")</f>
        <v>0</v>
      </c>
      <c r="H4" s="18" t="n">
        <f aca="false">SUMIF('Task List'!$C$6:$C$96,A4,'Task List'!$K$6:$K$96)</f>
        <v>18.5</v>
      </c>
      <c r="I4" s="18" t="n">
        <f aca="false">H4/6</f>
        <v>3.08333333333333</v>
      </c>
    </row>
    <row r="5" customFormat="false" ht="28.35" hidden="false" customHeight="false" outlineLevel="0" collapsed="false">
      <c r="A5" s="20" t="s">
        <v>69</v>
      </c>
      <c r="B5" s="21" t="s">
        <v>477</v>
      </c>
      <c r="C5" s="20" t="n">
        <f aca="false">COUNTIF('Task List'!$C$6:$C$96,A5)</f>
        <v>5</v>
      </c>
      <c r="D5" s="20" t="n">
        <f aca="false">COUNTIFS('Task List'!$C$6:$C$96,A5,'Task List'!$D$6:$D$96,"critical")</f>
        <v>0</v>
      </c>
      <c r="E5" s="20" t="n">
        <f aca="false">COUNTIFS('Task List'!$C$6:$C$96,A5,'Task List'!$D$6:$D$96,"very important")</f>
        <v>3</v>
      </c>
      <c r="F5" s="20" t="n">
        <f aca="false">COUNTIFS('Task List'!$C$6:$C$96,A5,'Task List'!$D$6:$D$96,"important")</f>
        <v>2</v>
      </c>
      <c r="G5" s="20" t="n">
        <f aca="false">COUNTIFS('Task List'!$C$6:$C$96,A5,'Task List'!$D$6:$D$96,"normal")</f>
        <v>0</v>
      </c>
      <c r="H5" s="20" t="n">
        <f aca="false">SUMIF('Task List'!$C$6:$C$96,A5,'Task List'!$K$6:$K$96)</f>
        <v>32</v>
      </c>
      <c r="I5" s="20" t="n">
        <f aca="false">H5/6</f>
        <v>5.33333333333333</v>
      </c>
    </row>
    <row r="6" customFormat="false" ht="15" hidden="false" customHeight="false" outlineLevel="0" collapsed="false">
      <c r="A6" s="18" t="s">
        <v>96</v>
      </c>
      <c r="B6" s="19" t="s">
        <v>478</v>
      </c>
      <c r="C6" s="18" t="n">
        <f aca="false">COUNTIF('Task List'!$C$6:$C$96,A6)</f>
        <v>6</v>
      </c>
      <c r="D6" s="18" t="n">
        <f aca="false">COUNTIFS('Task List'!$C$6:$C$96,A6,'Task List'!$D$6:$D$96,"critical")</f>
        <v>2</v>
      </c>
      <c r="E6" s="18" t="n">
        <f aca="false">COUNTIFS('Task List'!$C$6:$C$96,A6,'Task List'!$D$6:$D$96,"very important")</f>
        <v>2</v>
      </c>
      <c r="F6" s="18" t="n">
        <f aca="false">COUNTIFS('Task List'!$C$6:$C$96,A6,'Task List'!$D$6:$D$96,"important")</f>
        <v>2</v>
      </c>
      <c r="G6" s="18" t="n">
        <f aca="false">COUNTIFS('Task List'!$C$6:$C$96,A6,'Task List'!$D$6:$D$96,"normal")</f>
        <v>0</v>
      </c>
      <c r="H6" s="18" t="n">
        <f aca="false">SUMIF('Task List'!$C$6:$C$96,A6,'Task List'!$K$6:$K$96)</f>
        <v>38</v>
      </c>
      <c r="I6" s="18" t="n">
        <f aca="false">H6/6</f>
        <v>6.33333333333333</v>
      </c>
    </row>
    <row r="7" customFormat="false" ht="15" hidden="false" customHeight="false" outlineLevel="0" collapsed="false">
      <c r="A7" s="20" t="s">
        <v>128</v>
      </c>
      <c r="B7" s="21" t="s">
        <v>479</v>
      </c>
      <c r="C7" s="20" t="n">
        <f aca="false">COUNTIF('Task List'!$C$6:$C$96,A7)</f>
        <v>6</v>
      </c>
      <c r="D7" s="20" t="n">
        <f aca="false">COUNTIFS('Task List'!$C$6:$C$96,A7,'Task List'!$D$6:$D$96,"critical")</f>
        <v>0</v>
      </c>
      <c r="E7" s="20" t="n">
        <f aca="false">COUNTIFS('Task List'!$C$6:$C$96,A7,'Task List'!$D$6:$D$96,"very important")</f>
        <v>4</v>
      </c>
      <c r="F7" s="20" t="n">
        <f aca="false">COUNTIFS('Task List'!$C$6:$C$96,A7,'Task List'!$D$6:$D$96,"important")</f>
        <v>2</v>
      </c>
      <c r="G7" s="20" t="n">
        <f aca="false">COUNTIFS('Task List'!$C$6:$C$96,A7,'Task List'!$D$6:$D$96,"normal")</f>
        <v>0</v>
      </c>
      <c r="H7" s="20" t="n">
        <f aca="false">SUMIF('Task List'!$C$6:$C$96,A7,'Task List'!$K$6:$K$96)</f>
        <v>31</v>
      </c>
      <c r="I7" s="20" t="n">
        <f aca="false">H7/6</f>
        <v>5.16666666666667</v>
      </c>
    </row>
    <row r="8" customFormat="false" ht="15" hidden="false" customHeight="false" outlineLevel="0" collapsed="false">
      <c r="A8" s="18" t="s">
        <v>160</v>
      </c>
      <c r="B8" s="19" t="s">
        <v>480</v>
      </c>
      <c r="C8" s="18" t="n">
        <f aca="false">COUNTIF('Task List'!$C$6:$C$96,A8)</f>
        <v>4</v>
      </c>
      <c r="D8" s="18" t="n">
        <f aca="false">COUNTIFS('Task List'!$C$6:$C$96,A8,'Task List'!$D$6:$D$96,"critical")</f>
        <v>0</v>
      </c>
      <c r="E8" s="18" t="n">
        <f aca="false">COUNTIFS('Task List'!$C$6:$C$96,A8,'Task List'!$D$6:$D$96,"very important")</f>
        <v>2</v>
      </c>
      <c r="F8" s="18" t="n">
        <f aca="false">COUNTIFS('Task List'!$C$6:$C$96,A8,'Task List'!$D$6:$D$96,"important")</f>
        <v>2</v>
      </c>
      <c r="G8" s="18" t="n">
        <f aca="false">COUNTIFS('Task List'!$C$6:$C$96,A8,'Task List'!$D$6:$D$96,"normal")</f>
        <v>0</v>
      </c>
      <c r="H8" s="18" t="n">
        <f aca="false">SUMIF('Task List'!$C$6:$C$96,A8,'Task List'!$K$6:$K$96)</f>
        <v>21</v>
      </c>
      <c r="I8" s="18" t="n">
        <f aca="false">H8/6</f>
        <v>3.5</v>
      </c>
    </row>
    <row r="9" customFormat="false" ht="28.35" hidden="false" customHeight="false" outlineLevel="0" collapsed="false">
      <c r="A9" s="20" t="s">
        <v>182</v>
      </c>
      <c r="B9" s="21" t="s">
        <v>481</v>
      </c>
      <c r="C9" s="20" t="n">
        <f aca="false">COUNTIF('Task List'!$C$6:$C$96,A9)</f>
        <v>6</v>
      </c>
      <c r="D9" s="20" t="n">
        <f aca="false">COUNTIFS('Task List'!$C$6:$C$96,A9,'Task List'!$D$6:$D$96,"critical")</f>
        <v>0</v>
      </c>
      <c r="E9" s="20" t="n">
        <f aca="false">COUNTIFS('Task List'!$C$6:$C$96,A9,'Task List'!$D$6:$D$96,"very important")</f>
        <v>5</v>
      </c>
      <c r="F9" s="20" t="n">
        <f aca="false">COUNTIFS('Task List'!$C$6:$C$96,A9,'Task List'!$D$6:$D$96,"important")</f>
        <v>1</v>
      </c>
      <c r="G9" s="20" t="n">
        <f aca="false">COUNTIFS('Task List'!$C$6:$C$96,A9,'Task List'!$D$6:$D$96,"normal")</f>
        <v>0</v>
      </c>
      <c r="H9" s="20" t="n">
        <f aca="false">SUMIF('Task List'!$C$6:$C$96,A9,'Task List'!$K$6:$K$96)</f>
        <v>39</v>
      </c>
      <c r="I9" s="20" t="n">
        <f aca="false">H9/6</f>
        <v>6.5</v>
      </c>
    </row>
    <row r="10" customFormat="false" ht="15" hidden="false" customHeight="false" outlineLevel="0" collapsed="false">
      <c r="A10" s="18" t="s">
        <v>214</v>
      </c>
      <c r="B10" s="19" t="s">
        <v>482</v>
      </c>
      <c r="C10" s="18" t="n">
        <f aca="false">COUNTIF('Task List'!$C$6:$C$96,A10)</f>
        <v>4</v>
      </c>
      <c r="D10" s="18" t="n">
        <f aca="false">COUNTIFS('Task List'!$C$6:$C$96,A10,'Task List'!$D$6:$D$96,"critical")</f>
        <v>0</v>
      </c>
      <c r="E10" s="18" t="n">
        <f aca="false">COUNTIFS('Task List'!$C$6:$C$96,A10,'Task List'!$D$6:$D$96,"very important")</f>
        <v>0</v>
      </c>
      <c r="F10" s="18" t="n">
        <f aca="false">COUNTIFS('Task List'!$C$6:$C$96,A10,'Task List'!$D$6:$D$96,"important")</f>
        <v>3</v>
      </c>
      <c r="G10" s="18" t="n">
        <f aca="false">COUNTIFS('Task List'!$C$6:$C$96,A10,'Task List'!$D$6:$D$96,"normal")</f>
        <v>1</v>
      </c>
      <c r="H10" s="18" t="n">
        <f aca="false">SUMIF('Task List'!$C$6:$C$96,A10,'Task List'!$K$6:$K$96)</f>
        <v>18</v>
      </c>
      <c r="I10" s="18" t="n">
        <f aca="false">H10/6</f>
        <v>3</v>
      </c>
    </row>
    <row r="11" customFormat="false" ht="15" hidden="false" customHeight="false" outlineLevel="0" collapsed="false">
      <c r="A11" s="20" t="s">
        <v>237</v>
      </c>
      <c r="B11" s="21" t="s">
        <v>483</v>
      </c>
      <c r="C11" s="20" t="n">
        <f aca="false">COUNTIF('Task List'!$C$6:$C$96,A11)</f>
        <v>5</v>
      </c>
      <c r="D11" s="20" t="n">
        <f aca="false">COUNTIFS('Task List'!$C$6:$C$96,A11,'Task List'!$D$6:$D$96,"critical")</f>
        <v>0</v>
      </c>
      <c r="E11" s="20" t="n">
        <f aca="false">COUNTIFS('Task List'!$C$6:$C$96,A11,'Task List'!$D$6:$D$96,"very important")</f>
        <v>3</v>
      </c>
      <c r="F11" s="20" t="n">
        <f aca="false">COUNTIFS('Task List'!$C$6:$C$96,A11,'Task List'!$D$6:$D$96,"important")</f>
        <v>2</v>
      </c>
      <c r="G11" s="20" t="n">
        <f aca="false">COUNTIFS('Task List'!$C$6:$C$96,A11,'Task List'!$D$6:$D$96,"normal")</f>
        <v>0</v>
      </c>
      <c r="H11" s="20" t="n">
        <f aca="false">SUMIF('Task List'!$C$6:$C$96,A11,'Task List'!$K$6:$K$96)</f>
        <v>30</v>
      </c>
      <c r="I11" s="20" t="n">
        <f aca="false">H11/6</f>
        <v>5</v>
      </c>
    </row>
    <row r="12" customFormat="false" ht="15" hidden="false" customHeight="false" outlineLevel="0" collapsed="false">
      <c r="A12" s="18" t="s">
        <v>264</v>
      </c>
      <c r="B12" s="19" t="s">
        <v>484</v>
      </c>
      <c r="C12" s="18" t="n">
        <f aca="false">COUNTIF('Task List'!$C$6:$C$96,A12)</f>
        <v>4</v>
      </c>
      <c r="D12" s="18" t="n">
        <f aca="false">COUNTIFS('Task List'!$C$6:$C$96,A12,'Task List'!$D$6:$D$96,"critical")</f>
        <v>0</v>
      </c>
      <c r="E12" s="18" t="n">
        <f aca="false">COUNTIFS('Task List'!$C$6:$C$96,A12,'Task List'!$D$6:$D$96,"very important")</f>
        <v>3</v>
      </c>
      <c r="F12" s="18" t="n">
        <f aca="false">COUNTIFS('Task List'!$C$6:$C$96,A12,'Task List'!$D$6:$D$96,"important")</f>
        <v>1</v>
      </c>
      <c r="G12" s="18" t="n">
        <f aca="false">COUNTIFS('Task List'!$C$6:$C$96,A12,'Task List'!$D$6:$D$96,"normal")</f>
        <v>0</v>
      </c>
      <c r="H12" s="18" t="n">
        <f aca="false">SUMIF('Task List'!$C$6:$C$96,A12,'Task List'!$K$6:$K$96)</f>
        <v>25</v>
      </c>
      <c r="I12" s="18" t="n">
        <f aca="false">H12/6</f>
        <v>4.16666666666667</v>
      </c>
    </row>
    <row r="13" customFormat="false" ht="15" hidden="false" customHeight="false" outlineLevel="0" collapsed="false">
      <c r="A13" s="20" t="s">
        <v>287</v>
      </c>
      <c r="B13" s="21" t="s">
        <v>485</v>
      </c>
      <c r="C13" s="20" t="n">
        <f aca="false">COUNTIF('Task List'!$C$6:$C$96,A13)</f>
        <v>8</v>
      </c>
      <c r="D13" s="20" t="n">
        <f aca="false">COUNTIFS('Task List'!$C$6:$C$96,A13,'Task List'!$D$6:$D$96,"critical")</f>
        <v>0</v>
      </c>
      <c r="E13" s="20" t="n">
        <f aca="false">COUNTIFS('Task List'!$C$6:$C$96,A13,'Task List'!$D$6:$D$96,"very important")</f>
        <v>2</v>
      </c>
      <c r="F13" s="20" t="n">
        <f aca="false">COUNTIFS('Task List'!$C$6:$C$96,A13,'Task List'!$D$6:$D$96,"important")</f>
        <v>6</v>
      </c>
      <c r="G13" s="20" t="n">
        <f aca="false">COUNTIFS('Task List'!$C$6:$C$96,A13,'Task List'!$D$6:$D$96,"normal")</f>
        <v>0</v>
      </c>
      <c r="H13" s="20" t="n">
        <f aca="false">SUMIF('Task List'!$C$6:$C$96,A13,'Task List'!$K$6:$K$96)</f>
        <v>35</v>
      </c>
      <c r="I13" s="20" t="n">
        <f aca="false">H13/6</f>
        <v>5.83333333333333</v>
      </c>
    </row>
    <row r="14" customFormat="false" ht="15" hidden="false" customHeight="false" outlineLevel="0" collapsed="false">
      <c r="A14" s="18" t="s">
        <v>329</v>
      </c>
      <c r="B14" s="19" t="s">
        <v>486</v>
      </c>
      <c r="C14" s="18" t="n">
        <f aca="false">COUNTIF('Task List'!$C$6:$C$96,A14)</f>
        <v>6</v>
      </c>
      <c r="D14" s="18" t="n">
        <f aca="false">COUNTIFS('Task List'!$C$6:$C$96,A14,'Task List'!$D$6:$D$96,"critical")</f>
        <v>0</v>
      </c>
      <c r="E14" s="18" t="n">
        <f aca="false">COUNTIFS('Task List'!$C$6:$C$96,A14,'Task List'!$D$6:$D$96,"very important")</f>
        <v>4</v>
      </c>
      <c r="F14" s="18" t="n">
        <f aca="false">COUNTIFS('Task List'!$C$6:$C$96,A14,'Task List'!$D$6:$D$96,"important")</f>
        <v>2</v>
      </c>
      <c r="G14" s="18" t="n">
        <f aca="false">COUNTIFS('Task List'!$C$6:$C$96,A14,'Task List'!$D$6:$D$96,"normal")</f>
        <v>0</v>
      </c>
      <c r="H14" s="18" t="n">
        <f aca="false">SUMIF('Task List'!$C$6:$C$96,A14,'Task List'!$K$6:$K$96)</f>
        <v>20</v>
      </c>
      <c r="I14" s="18" t="n">
        <f aca="false">H14/6</f>
        <v>3.33333333333333</v>
      </c>
    </row>
    <row r="15" customFormat="false" ht="15" hidden="false" customHeight="false" outlineLevel="0" collapsed="false">
      <c r="A15" s="20" t="s">
        <v>363</v>
      </c>
      <c r="B15" s="21" t="s">
        <v>487</v>
      </c>
      <c r="C15" s="20" t="n">
        <f aca="false">COUNTIF('Task List'!$C$6:$C$96,A15)</f>
        <v>9</v>
      </c>
      <c r="D15" s="20" t="n">
        <f aca="false">COUNTIFS('Task List'!$C$6:$C$96,A15,'Task List'!$D$6:$D$96,"critical")</f>
        <v>0</v>
      </c>
      <c r="E15" s="20" t="n">
        <f aca="false">COUNTIFS('Task List'!$C$6:$C$96,A15,'Task List'!$D$6:$D$96,"very important")</f>
        <v>1</v>
      </c>
      <c r="F15" s="20" t="n">
        <f aca="false">COUNTIFS('Task List'!$C$6:$C$96,A15,'Task List'!$D$6:$D$96,"important")</f>
        <v>7</v>
      </c>
      <c r="G15" s="20" t="n">
        <f aca="false">COUNTIFS('Task List'!$C$6:$C$96,A15,'Task List'!$D$6:$D$96,"normal")</f>
        <v>1</v>
      </c>
      <c r="H15" s="20" t="n">
        <f aca="false">SUMIF('Task List'!$C$6:$C$96,A15,'Task List'!$K$6:$K$96)</f>
        <v>28</v>
      </c>
      <c r="I15" s="20" t="n">
        <f aca="false">H15/6</f>
        <v>4.66666666666667</v>
      </c>
    </row>
    <row r="16" customFormat="false" ht="15" hidden="false" customHeight="false" outlineLevel="0" collapsed="false">
      <c r="A16" s="18" t="s">
        <v>406</v>
      </c>
      <c r="B16" s="19" t="s">
        <v>488</v>
      </c>
      <c r="C16" s="18" t="n">
        <f aca="false">COUNTIF('Task List'!$C$6:$C$96,A16)</f>
        <v>8</v>
      </c>
      <c r="D16" s="18" t="n">
        <f aca="false">COUNTIFS('Task List'!$C$6:$C$96,A16,'Task List'!$D$6:$D$96,"critical")</f>
        <v>0</v>
      </c>
      <c r="E16" s="18" t="n">
        <f aca="false">COUNTIFS('Task List'!$C$6:$C$96,A16,'Task List'!$D$6:$D$96,"very important")</f>
        <v>0</v>
      </c>
      <c r="F16" s="18" t="n">
        <f aca="false">COUNTIFS('Task List'!$C$6:$C$96,A16,'Task List'!$D$6:$D$96,"important")</f>
        <v>8</v>
      </c>
      <c r="G16" s="18" t="n">
        <f aca="false">COUNTIFS('Task List'!$C$6:$C$96,A16,'Task List'!$D$6:$D$96,"normal")</f>
        <v>0</v>
      </c>
      <c r="H16" s="18" t="n">
        <f aca="false">SUMIF('Task List'!$C$6:$C$96,A16,'Task List'!$K$6:$K$96)</f>
        <v>25.5</v>
      </c>
      <c r="I16" s="18" t="n">
        <f aca="false">H16/6</f>
        <v>4.25</v>
      </c>
    </row>
    <row r="17" customFormat="false" ht="15" hidden="false" customHeight="false" outlineLevel="0" collapsed="false">
      <c r="A17" s="22" t="s">
        <v>489</v>
      </c>
      <c r="B17" s="23" t="s">
        <v>490</v>
      </c>
      <c r="C17" s="22" t="n">
        <f aca="false">SUM(C4:C16)</f>
        <v>79</v>
      </c>
      <c r="D17" s="22" t="n">
        <f aca="false">SUM(D4:D16)</f>
        <v>4</v>
      </c>
      <c r="E17" s="22" t="n">
        <f aca="false">SUM(E4:E16)</f>
        <v>32</v>
      </c>
      <c r="F17" s="22" t="n">
        <f aca="false">SUM(F4:F16)</f>
        <v>41</v>
      </c>
      <c r="G17" s="22" t="n">
        <f aca="false">SUM(G4:G16)</f>
        <v>2</v>
      </c>
      <c r="H17" s="22" t="n">
        <f aca="false">SUM(H4:H16)</f>
        <v>361</v>
      </c>
      <c r="I17" s="22" t="n">
        <f aca="false">H17/6</f>
        <v>60.1666666666667</v>
      </c>
    </row>
    <row r="19" customFormat="false" ht="15" hidden="false" customHeight="false" outlineLevel="0" collapsed="false">
      <c r="A19" s="16" t="s">
        <v>491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5" min="4" style="0" width="52"/>
  </cols>
  <sheetData>
    <row r="1" customFormat="false" ht="24" hidden="false" customHeight="true" outlineLevel="0" collapsed="false">
      <c r="A1" s="11" t="s">
        <v>492</v>
      </c>
      <c r="B1" s="11"/>
      <c r="C1" s="11"/>
      <c r="D1" s="11"/>
      <c r="E1" s="11"/>
    </row>
    <row r="2" customFormat="false" ht="15" hidden="false" customHeight="false" outlineLevel="0" collapsed="false">
      <c r="A2" s="16" t="s">
        <v>493</v>
      </c>
    </row>
    <row r="3" customFormat="false" ht="15" hidden="false" customHeight="false" outlineLevel="0" collapsed="false">
      <c r="A3" s="17" t="s">
        <v>494</v>
      </c>
      <c r="B3" s="17" t="s">
        <v>495</v>
      </c>
      <c r="C3" s="17" t="s">
        <v>496</v>
      </c>
      <c r="D3" s="17" t="s">
        <v>497</v>
      </c>
      <c r="E3" s="17" t="s">
        <v>498</v>
      </c>
    </row>
    <row r="4" customFormat="false" ht="28.35" hidden="false" customHeight="false" outlineLevel="0" collapsed="false">
      <c r="A4" s="24" t="s">
        <v>499</v>
      </c>
      <c r="B4" s="25" t="s">
        <v>500</v>
      </c>
      <c r="C4" s="25" t="s">
        <v>501</v>
      </c>
      <c r="D4" s="25" t="s">
        <v>502</v>
      </c>
      <c r="E4" s="25" t="s">
        <v>503</v>
      </c>
    </row>
    <row r="5" customFormat="false" ht="28.35" hidden="false" customHeight="false" outlineLevel="0" collapsed="false">
      <c r="A5" s="26" t="s">
        <v>504</v>
      </c>
      <c r="B5" s="27" t="s">
        <v>505</v>
      </c>
      <c r="C5" s="27" t="s">
        <v>506</v>
      </c>
      <c r="D5" s="27" t="s">
        <v>507</v>
      </c>
      <c r="E5" s="27" t="s">
        <v>508</v>
      </c>
    </row>
    <row r="6" customFormat="false" ht="28.35" hidden="false" customHeight="false" outlineLevel="0" collapsed="false">
      <c r="A6" s="24" t="s">
        <v>509</v>
      </c>
      <c r="B6" s="25" t="s">
        <v>510</v>
      </c>
      <c r="C6" s="25" t="s">
        <v>511</v>
      </c>
      <c r="D6" s="25" t="s">
        <v>512</v>
      </c>
      <c r="E6" s="25" t="s">
        <v>513</v>
      </c>
    </row>
    <row r="7" customFormat="false" ht="28.35" hidden="false" customHeight="false" outlineLevel="0" collapsed="false">
      <c r="A7" s="26" t="s">
        <v>514</v>
      </c>
      <c r="B7" s="27" t="s">
        <v>515</v>
      </c>
      <c r="C7" s="27" t="s">
        <v>516</v>
      </c>
      <c r="D7" s="27" t="s">
        <v>517</v>
      </c>
      <c r="E7" s="27" t="s">
        <v>518</v>
      </c>
    </row>
    <row r="8" customFormat="false" ht="28.35" hidden="false" customHeight="false" outlineLevel="0" collapsed="false">
      <c r="A8" s="24" t="s">
        <v>519</v>
      </c>
      <c r="B8" s="25" t="s">
        <v>520</v>
      </c>
      <c r="C8" s="25" t="s">
        <v>521</v>
      </c>
      <c r="D8" s="25" t="s">
        <v>522</v>
      </c>
      <c r="E8" s="25" t="s">
        <v>523</v>
      </c>
    </row>
    <row r="9" customFormat="false" ht="28.35" hidden="false" customHeight="false" outlineLevel="0" collapsed="false">
      <c r="A9" s="26" t="s">
        <v>524</v>
      </c>
      <c r="B9" s="27" t="s">
        <v>525</v>
      </c>
      <c r="C9" s="27" t="s">
        <v>526</v>
      </c>
      <c r="D9" s="27" t="s">
        <v>527</v>
      </c>
      <c r="E9" s="27" t="s">
        <v>528</v>
      </c>
    </row>
    <row r="10" customFormat="false" ht="28.35" hidden="false" customHeight="false" outlineLevel="0" collapsed="false">
      <c r="A10" s="24" t="s">
        <v>529</v>
      </c>
      <c r="B10" s="25" t="s">
        <v>530</v>
      </c>
      <c r="C10" s="25" t="s">
        <v>531</v>
      </c>
      <c r="D10" s="25" t="s">
        <v>532</v>
      </c>
      <c r="E10" s="25" t="s">
        <v>533</v>
      </c>
    </row>
    <row r="12" customFormat="false" ht="15" hidden="false" customHeight="false" outlineLevel="0" collapsed="false">
      <c r="A12" s="28" t="s">
        <v>534</v>
      </c>
      <c r="B12" s="28"/>
      <c r="C12" s="28"/>
      <c r="D12" s="28"/>
      <c r="E12" s="28"/>
    </row>
    <row r="13" customFormat="false" ht="15" hidden="false" customHeight="true" outlineLevel="0" collapsed="false">
      <c r="A13" s="26" t="s">
        <v>535</v>
      </c>
      <c r="B13" s="27" t="s">
        <v>536</v>
      </c>
      <c r="C13" s="27" t="s">
        <v>537</v>
      </c>
      <c r="D13" s="27"/>
      <c r="E13" s="27"/>
    </row>
    <row r="14" customFormat="false" ht="28.35" hidden="false" customHeight="true" outlineLevel="0" collapsed="false">
      <c r="A14" s="24" t="s">
        <v>538</v>
      </c>
      <c r="B14" s="25" t="s">
        <v>539</v>
      </c>
      <c r="C14" s="25" t="s">
        <v>540</v>
      </c>
      <c r="D14" s="25"/>
      <c r="E14" s="25"/>
    </row>
    <row r="15" customFormat="false" ht="28.35" hidden="false" customHeight="true" outlineLevel="0" collapsed="false">
      <c r="A15" s="26" t="s">
        <v>541</v>
      </c>
      <c r="B15" s="27" t="s">
        <v>542</v>
      </c>
      <c r="C15" s="27" t="s">
        <v>543</v>
      </c>
      <c r="D15" s="27"/>
      <c r="E15" s="27"/>
    </row>
    <row r="16" customFormat="false" ht="28.35" hidden="false" customHeight="true" outlineLevel="0" collapsed="false">
      <c r="A16" s="24" t="s">
        <v>544</v>
      </c>
      <c r="B16" s="25" t="s">
        <v>545</v>
      </c>
      <c r="C16" s="25" t="s">
        <v>546</v>
      </c>
      <c r="D16" s="25"/>
      <c r="E16" s="25"/>
    </row>
    <row r="17" customFormat="false" ht="28.35" hidden="false" customHeight="true" outlineLevel="0" collapsed="false">
      <c r="A17" s="26" t="s">
        <v>547</v>
      </c>
      <c r="B17" s="27" t="s">
        <v>548</v>
      </c>
      <c r="C17" s="27" t="s">
        <v>549</v>
      </c>
      <c r="D17" s="27"/>
      <c r="E17" s="27"/>
    </row>
  </sheetData>
  <mergeCells count="7">
    <mergeCell ref="A1:E1"/>
    <mergeCell ref="A12:E12"/>
    <mergeCell ref="C13:E13"/>
    <mergeCell ref="C14:E14"/>
    <mergeCell ref="C15:E15"/>
    <mergeCell ref="C16:E16"/>
    <mergeCell ref="C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3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11" t="s">
        <v>550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29" t="s">
        <v>551</v>
      </c>
      <c r="E2" s="29" t="s">
        <v>552</v>
      </c>
      <c r="I2" s="29" t="s">
        <v>553</v>
      </c>
      <c r="M2" s="29" t="s">
        <v>554</v>
      </c>
    </row>
    <row r="3" customFormat="false" ht="15" hidden="false" customHeight="false" outlineLevel="0" collapsed="false">
      <c r="A3" s="30" t="s">
        <v>5</v>
      </c>
      <c r="B3" s="30" t="s">
        <v>555</v>
      </c>
      <c r="C3" s="30" t="s">
        <v>12</v>
      </c>
      <c r="E3" s="30" t="s">
        <v>6</v>
      </c>
      <c r="F3" s="30" t="s">
        <v>555</v>
      </c>
      <c r="G3" s="30" t="s">
        <v>12</v>
      </c>
      <c r="I3" s="30" t="s">
        <v>7</v>
      </c>
      <c r="J3" s="30" t="s">
        <v>555</v>
      </c>
      <c r="K3" s="30" t="s">
        <v>12</v>
      </c>
      <c r="M3" s="30" t="s">
        <v>556</v>
      </c>
      <c r="N3" s="30" t="s">
        <v>555</v>
      </c>
      <c r="O3" s="30" t="s">
        <v>12</v>
      </c>
    </row>
    <row r="4" customFormat="false" ht="15" hidden="false" customHeight="false" outlineLevel="0" collapsed="false">
      <c r="A4" s="19" t="s">
        <v>17</v>
      </c>
      <c r="B4" s="18" t="n">
        <f aca="false">COUNTIF('Task List'!$D$6:$D$96,A4)</f>
        <v>4</v>
      </c>
      <c r="C4" s="18" t="n">
        <f aca="false">SUMIF('Task List'!$D$6:$D$96,A4,'Task List'!$K$6:$K$96)</f>
        <v>26</v>
      </c>
      <c r="E4" s="19" t="s">
        <v>51</v>
      </c>
      <c r="F4" s="18" t="n">
        <f aca="false">COUNTIF('Task List'!$E$6:$E$96,E4)</f>
        <v>32</v>
      </c>
      <c r="G4" s="18" t="n">
        <f aca="false">SUMIF('Task List'!$E$6:$E$96,E4,'Task List'!$K$6:$K$96)</f>
        <v>186</v>
      </c>
      <c r="I4" s="19" t="s">
        <v>144</v>
      </c>
      <c r="J4" s="18" t="n">
        <f aca="false">COUNTIF('Task List'!$F$6:$F$96,I4)</f>
        <v>15</v>
      </c>
      <c r="K4" s="18" t="n">
        <f aca="false">SUMIF('Task List'!$F$6:$F$96,I4,'Task List'!$K$6:$K$96)</f>
        <v>82</v>
      </c>
      <c r="M4" s="19" t="s">
        <v>59</v>
      </c>
      <c r="N4" s="18" t="n">
        <f aca="false">COUNTIF('Task List'!$I$6:$I$96,M4)</f>
        <v>57</v>
      </c>
      <c r="O4" s="18" t="n">
        <f aca="false">SUMIF('Task List'!$I$6:$I$96,M4,'Task List'!$K$6:$K$96)</f>
        <v>280.5</v>
      </c>
    </row>
    <row r="5" customFormat="false" ht="15" hidden="false" customHeight="false" outlineLevel="0" collapsed="false">
      <c r="A5" s="21" t="s">
        <v>32</v>
      </c>
      <c r="B5" s="20" t="n">
        <f aca="false">COUNTIF('Task List'!$D$6:$D$96,A5)</f>
        <v>32</v>
      </c>
      <c r="C5" s="20" t="n">
        <f aca="false">SUMIF('Task List'!$D$6:$D$96,A5,'Task List'!$K$6:$K$96)</f>
        <v>180.5</v>
      </c>
      <c r="E5" s="21" t="s">
        <v>18</v>
      </c>
      <c r="F5" s="20" t="n">
        <f aca="false">COUNTIF('Task List'!$E$6:$E$96,E5)</f>
        <v>26</v>
      </c>
      <c r="G5" s="20" t="n">
        <f aca="false">SUMIF('Task List'!$E$6:$E$96,E5,'Task List'!$K$6:$K$96)</f>
        <v>101</v>
      </c>
      <c r="I5" s="21" t="s">
        <v>38</v>
      </c>
      <c r="J5" s="20" t="n">
        <f aca="false">COUNTIF('Task List'!$F$6:$F$96,I5)</f>
        <v>29</v>
      </c>
      <c r="K5" s="20" t="n">
        <f aca="false">SUMIF('Task List'!$F$6:$F$96,I5,'Task List'!$K$6:$K$96)</f>
        <v>160</v>
      </c>
      <c r="M5" s="21" t="s">
        <v>47</v>
      </c>
      <c r="N5" s="20" t="n">
        <f aca="false">COUNTIF('Task List'!$I$6:$I$96,M5)</f>
        <v>15</v>
      </c>
      <c r="O5" s="20" t="n">
        <f aca="false">SUMIF('Task List'!$I$6:$I$96,M5,'Task List'!$K$6:$K$96)</f>
        <v>65.5</v>
      </c>
    </row>
    <row r="6" customFormat="false" ht="15" hidden="false" customHeight="false" outlineLevel="0" collapsed="false">
      <c r="A6" s="19" t="s">
        <v>44</v>
      </c>
      <c r="B6" s="18" t="n">
        <f aca="false">COUNTIF('Task List'!$D$6:$D$96,A6)</f>
        <v>41</v>
      </c>
      <c r="C6" s="18" t="n">
        <f aca="false">SUMIF('Task List'!$D$6:$D$96,A6,'Task List'!$K$6:$K$96)</f>
        <v>148.5</v>
      </c>
      <c r="E6" s="19" t="s">
        <v>265</v>
      </c>
      <c r="F6" s="18" t="n">
        <f aca="false">COUNTIF('Task List'!$E$6:$E$96,E6)</f>
        <v>8</v>
      </c>
      <c r="G6" s="18" t="n">
        <f aca="false">SUMIF('Task List'!$E$6:$E$96,E6,'Task List'!$K$6:$K$96)</f>
        <v>35</v>
      </c>
      <c r="I6" s="19" t="s">
        <v>26</v>
      </c>
      <c r="J6" s="18" t="n">
        <f aca="false">COUNTIF('Task List'!$F$6:$F$96,I6)</f>
        <v>9</v>
      </c>
      <c r="K6" s="18" t="n">
        <f aca="false">SUMIF('Task List'!$F$6:$F$96,I6,'Task List'!$K$6:$K$96)</f>
        <v>40</v>
      </c>
      <c r="M6" s="19" t="s">
        <v>22</v>
      </c>
      <c r="N6" s="18" t="n">
        <f aca="false">COUNTIF('Task List'!$I$6:$I$96,M6)</f>
        <v>7</v>
      </c>
      <c r="O6" s="18" t="n">
        <f aca="false">SUMIF('Task List'!$I$6:$I$96,M6,'Task List'!$K$6:$K$96)</f>
        <v>15</v>
      </c>
    </row>
    <row r="7" customFormat="false" ht="15" hidden="false" customHeight="false" outlineLevel="0" collapsed="false">
      <c r="A7" s="21" t="s">
        <v>230</v>
      </c>
      <c r="B7" s="20" t="n">
        <f aca="false">COUNTIF('Task List'!$D$6:$D$96,A7)</f>
        <v>2</v>
      </c>
      <c r="C7" s="20" t="n">
        <f aca="false">SUMIF('Task List'!$D$6:$D$96,A7,'Task List'!$K$6:$K$96)</f>
        <v>6</v>
      </c>
      <c r="E7" s="21" t="s">
        <v>356</v>
      </c>
      <c r="F7" s="20" t="n">
        <f aca="false">COUNTIF('Task List'!$E$6:$E$96,E7)</f>
        <v>13</v>
      </c>
      <c r="G7" s="20" t="n">
        <f aca="false">SUMIF('Task List'!$E$6:$E$96,E7,'Task List'!$K$6:$K$96)</f>
        <v>39</v>
      </c>
      <c r="I7" s="21" t="s">
        <v>19</v>
      </c>
      <c r="J7" s="20" t="n">
        <f aca="false">COUNTIF('Task List'!$F$6:$F$96,I7)</f>
        <v>5</v>
      </c>
      <c r="K7" s="20" t="n">
        <f aca="false">SUMIF('Task List'!$F$6:$F$96,I7,'Task List'!$K$6:$K$96)</f>
        <v>12.5</v>
      </c>
      <c r="M7" s="31" t="s">
        <v>489</v>
      </c>
      <c r="N7" s="32" t="n">
        <f aca="false">SUM(N4:N6)</f>
        <v>79</v>
      </c>
      <c r="O7" s="32" t="n">
        <f aca="false">SUM(O4:O6)</f>
        <v>361</v>
      </c>
    </row>
    <row r="8" customFormat="false" ht="15" hidden="false" customHeight="false" outlineLevel="0" collapsed="false">
      <c r="A8" s="19" t="s">
        <v>557</v>
      </c>
      <c r="B8" s="18" t="n">
        <f aca="false">COUNTIF('Task List'!$D$6:$D$96,A8)</f>
        <v>0</v>
      </c>
      <c r="C8" s="18" t="n">
        <f aca="false">SUMIF('Task List'!$D$6:$D$96,A8,'Task List'!$K$6:$K$96)</f>
        <v>0</v>
      </c>
      <c r="E8" s="31" t="s">
        <v>489</v>
      </c>
      <c r="F8" s="32" t="n">
        <f aca="false">SUM(F4:F7)</f>
        <v>79</v>
      </c>
      <c r="G8" s="32" t="n">
        <f aca="false">SUM(G4:G7)</f>
        <v>361</v>
      </c>
      <c r="I8" s="19" t="s">
        <v>364</v>
      </c>
      <c r="J8" s="18" t="n">
        <f aca="false">COUNTIF('Task List'!$F$6:$F$96,I8)</f>
        <v>9</v>
      </c>
      <c r="K8" s="18" t="n">
        <f aca="false">SUMIF('Task List'!$F$6:$F$96,I8,'Task List'!$K$6:$K$96)</f>
        <v>28</v>
      </c>
    </row>
    <row r="9" customFormat="false" ht="15" hidden="false" customHeight="false" outlineLevel="0" collapsed="false">
      <c r="A9" s="31" t="s">
        <v>489</v>
      </c>
      <c r="B9" s="32" t="n">
        <f aca="false">SUM(B4:B8)</f>
        <v>79</v>
      </c>
      <c r="C9" s="32" t="n">
        <f aca="false">SUM(C4:C8)</f>
        <v>361</v>
      </c>
      <c r="I9" s="21" t="s">
        <v>330</v>
      </c>
      <c r="J9" s="20" t="n">
        <f aca="false">COUNTIF('Task List'!$F$6:$F$96,I9)</f>
        <v>12</v>
      </c>
      <c r="K9" s="20" t="n">
        <f aca="false">SUMIF('Task List'!$F$6:$F$96,I9,'Task List'!$K$6:$K$96)</f>
        <v>38.5</v>
      </c>
    </row>
    <row r="10" customFormat="false" ht="15" hidden="false" customHeight="false" outlineLevel="0" collapsed="false">
      <c r="I10" s="31" t="s">
        <v>489</v>
      </c>
      <c r="J10" s="32" t="n">
        <f aca="false">SUM(J4:J9)</f>
        <v>79</v>
      </c>
      <c r="K10" s="32" t="n">
        <f aca="false">SUM(K4:K9)</f>
        <v>361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2026-05-30T13:04:22Z</dcterms:created>
  <dc:creator>openpyxl</dc:creator>
  <dc:description/>
  <dc:language>en-US</dc:language>
  <cp:lastModifiedBy/>
  <dcterms:modified xsi:type="dcterms:W3CDTF">2026-05-30T13:04:23Z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