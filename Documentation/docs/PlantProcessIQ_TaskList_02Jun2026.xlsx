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Phase Roadmap" sheetId="2" state="visible" r:id="rId4"/>
    <sheet name="Legend &amp; How to use" sheetId="3" state="visible" r:id="rId5"/>
  </sheets>
  <definedNames>
    <definedName function="false" hidden="true" localSheetId="0" name="_xlnm._FilterDatabase" vbProcedure="false">'Task List'!$A$3:$K$65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<sst xmlns="http://schemas.openxmlformats.org/spreadsheetml/2006/main" count="737" uniqueCount="391">
  <si>
    <t xml:space="preserve">PlantProcess IQ  ·  Implementation Task List  —  road to the v4 doctrine target</t>
  </si>
  <si>
    <t xml:space="preserve">62 tasks · 11 phases (45–65h each) · ordered by priority + prerequisites · every phase ends demo-safe with a hard test pack · derived from the 02 Jun 2026 audit</t>
  </si>
  <si>
    <t xml:space="preserve">Task ID</t>
  </si>
  <si>
    <t xml:space="preserve">Task Name</t>
  </si>
  <si>
    <t xml:space="preserve">Phase</t>
  </si>
  <si>
    <t xml:space="preserve">Track</t>
  </si>
  <si>
    <t xml:space="preserve">Module</t>
  </si>
  <si>
    <t xml:space="preserve">Submodule</t>
  </si>
  <si>
    <t xml:space="preserve">Severity</t>
  </si>
  <si>
    <t xml:space="preserve">Description (what to build)</t>
  </si>
  <si>
    <t xml:space="preserve">Acceptance Criteria (validation &amp; tests)</t>
  </si>
  <si>
    <t xml:space="preserve">Task Type</t>
  </si>
  <si>
    <t xml:space="preserve">Effort (h)</t>
  </si>
  <si>
    <t xml:space="preserve">P1-01</t>
  </si>
  <si>
    <t xml:space="preserve">Global RFC-7807 exception handler</t>
  </si>
  <si>
    <t xml:space="preserve">Phase 01</t>
  </si>
  <si>
    <t xml:space="preserve">Hardening</t>
  </si>
  <si>
    <t xml:space="preserve">Backend</t>
  </si>
  <si>
    <t xml:space="preserve">API / Middleware</t>
  </si>
  <si>
    <t xml:space="preserve">Critical</t>
  </si>
  <si>
    <t xml:space="preserve">There is currently NO global exception handler and no AddProblemDetails registration, so an unhandled exception in any of the ~374 endpoints can surface a raw HTTP 500 (and a stack trace in Development). Register builder.Services.AddProblemDetails() and add a global IExceptionHandler (or app.UseExceptionHandler) registered FIRST in the pipeline so it wraps every endpoint. Map every unhandled exception to an RFC-7807 application/problem+json response carrying type, title, status, and the existing correlation id (from CorrelationIdMiddleware) in the extensions bag. In non-Development, suppress 'detail' and any stack trace; in Development include them. Define a small set of typed problem kinds: validation(400), not-found(404), conflict(409), unauthorized(401/403), timeout(504), internal(500).</t>
  </si>
  <si>
    <t xml:space="preserve">Integration test registers a deliberately throwing test endpoint and asserts: (a) status 500, (b) Content-Type application/problem+json, (c) body contains type/title/status/traceId, (d) NO stack-trace substring when ASPNETCORE_ENVIRONMENT=Production. A second test forces a BadHttpRequestException and asserts a 400 problem+json. `dotnet test` green.</t>
  </si>
  <si>
    <t xml:space="preserve">New Feature</t>
  </si>
  <si>
    <t xml:space="preserve">P1-02</t>
  </si>
  <si>
    <t xml:space="preserve">Standardize endpoint error returns on ProblemDetails</t>
  </si>
  <si>
    <t xml:space="preserve">Endpoints</t>
  </si>
  <si>
    <t xml:space="preserve">Very Important</t>
  </si>
  <si>
    <t xml:space="preserve">Errors are ad-hoc today: ~94 Results.BadRequest, ~142 Results.NotFound and ~17 anonymous `new { error = ... }` payloads, with only 4 Results.Problem. Replace ad-hoc error returns with Results.Problem / TypedResults.Problem carrying a consistent shape plus a machine-readable `errorCode` string. Do NOT touch happy-path responses. Edit grouped by endpoint file (Admin, Integration, Dashboarding, Analytics, Materials, etc.) so no file is reopened in a later task.</t>
  </si>
  <si>
    <t xml:space="preserve">An analyzer or grep check confirms zero `new { error =` anonymous error payloads remain under Endpoints/. Contract tests for three representative failure paths (invalid body, missing resource, forbidden) assert problem+json with a populated errorCode. All pre-existing endpoint tests still pass.</t>
  </si>
  <si>
    <t xml:space="preserve">Refactor</t>
  </si>
  <si>
    <t xml:space="preserve">P1-03</t>
  </si>
  <si>
    <t xml:space="preserve">Session-level read-only enforcement on all DB connectors</t>
  </si>
  <si>
    <t xml:space="preserve">Security</t>
  </si>
  <si>
    <t xml:space="preserve">Connectors</t>
  </si>
  <si>
    <t xml:space="preserve">Today the connectors only record readOnlyEnforced as METADATA - the connection itself is not hardened, so a write would only be stopped by SafeSqlValidator (which covers authored SQL, not the connection). Make read-only real on every opened connection, per provider: PostgreSQL -&gt; `SET default_transaction_read_only = on` + `SET statement_timeout`; SQL Server -&gt; add ApplicationIntent=ReadOnly to the connection string + READ COMMITTED; MySQL -&gt; `SET SESSION TRANSACTION READ ONLY`; Oracle -&gt; `SET TRANSACTION READ ONLY`. Apply in each connector's connection-open path and centralise the timeout in ConnectorOptions.</t>
  </si>
  <si>
    <t xml:space="preserve">Per-connector integration test (Testcontainers for PostgreSQL and MySQL at minimum) opens a connection and asserts an attempted INSERT/UPDATE is rejected BY THE SERVER, not by SafeSqlValidator. Assert the statement/command timeout is applied (a deliberately slow query is cancelled). `dotnet test` green.</t>
  </si>
  <si>
    <t xml:space="preserve">Bug Fix</t>
  </si>
  <si>
    <t xml:space="preserve">P1-04</t>
  </si>
  <si>
    <t xml:space="preserve">HTTP security headers + HSTS</t>
  </si>
  <si>
    <t xml:space="preserve">Important</t>
  </si>
  <si>
    <t xml:space="preserve">Program.cs has CORS, rate limiting and HTTPS redirect but no security headers. Add app.UseHsts() and a small middleware that sets Strict-Transport-Security, X-Content-Type-Options: nosniff, X-Frame-Options: DENY, Referrer-Policy: no-referrer and a baseline Content-Security-Policy suited to the SPA. Make CSP configurable per environment so it can be tightened for production.</t>
  </si>
  <si>
    <t xml:space="preserve">Integration test asserts the five headers are present on a sample response. The e2e smoke run loads the SPA under the CSP with zero CSP-violation console errors.</t>
  </si>
  <si>
    <t xml:space="preserve">P1-05</t>
  </si>
  <si>
    <t xml:space="preserve">Remove duplicate / orphaned page components + lint guard</t>
  </si>
  <si>
    <t xml:space="preserve">Frontend</t>
  </si>
  <si>
    <t xml:space="preserve">Pages / Routing</t>
  </si>
  <si>
    <t xml:space="preserve">Six page components exist in BOTH a nested path and a flat path: AdminPage, CorrelationPage, DashboardPage, DataQualityPage, MaterialInvestigationPage, RiskDashboardPage. Most flat copies are orphaned dead code; DashboardPage is imported from two paths. Identify the routed copy from the router, delete the orphans, and consolidate to one canonical path per page (pages/&lt;Area&gt;/&lt;Name&gt;.tsx). Update all imports for DashboardPage to the single chosen file. Add a CI guard (script or eslint import rule) that fails if two files share a page basename.</t>
  </si>
  <si>
    <t xml:space="preserve">Grep confirms each page basename resolves to exactly one file. `npm run build` and `npm run test` green. The new duplicate-detection guard fails on a deliberately reintroduced duplicate then passes after removal. All routes still render (e2e smoke).</t>
  </si>
  <si>
    <t xml:space="preserve">P1-06</t>
  </si>
  <si>
    <t xml:space="preserve">Fix 'type-aware' correlation facade labelling (honesty)</t>
  </si>
  <si>
    <t xml:space="preserve">AI+ML</t>
  </si>
  <si>
    <t xml:space="preserve">Database</t>
  </si>
  <si>
    <t xml:space="preserve">Analytics SQL</t>
  </si>
  <si>
    <t xml:space="preserve">ppiq_ml_compute_correlations_v6 is labelled 'type-aware' but only computes Pearson; its own message admits Spearman/Cramer/MI belong to a later task. Until the real engine is wired (Phases 3-4), make the OUTPUT honest: set each result's `method` to `pearson` and have the API/HMI label advanced results as 'Pearson correlation (baseline)'. Do not present q-value/stability as computed while they are placeholders. This protects the anti-facade rule the rest of the system honours.</t>
  </si>
  <si>
    <t xml:space="preserve">Unit/contract test asserts the live correlation result's method field equals 'pearson' and that no q-value/stability is rendered as computed when it is a placeholder. The forbidden-phrase / honesty scan passes.</t>
  </si>
  <si>
    <t xml:space="preserve">P1-07</t>
  </si>
  <si>
    <t xml:space="preserve">Phase 1 regression &amp; safety test pack</t>
  </si>
  <si>
    <t xml:space="preserve">Testing</t>
  </si>
  <si>
    <t xml:space="preserve">Backend + Frontend + E2E</t>
  </si>
  <si>
    <t xml:space="preserve">Add the phase's hard validation and re-green the whole suite. Backend: exception-handler tests (P1-01), error-shape contract tests (P1-02), read-only connector tests (P1-03), security-header test (P1-04). Frontend/E2E: a Playwright assertion across all top-level routes that the body never shows a raw 500, a stack trace, or 'could not load', and that every (formerly duplicated) route still renders. Run dotnet test, npm run test, npm run e2e and fix any breakage introduced by P1-01..P1-06.</t>
  </si>
  <si>
    <t xml:space="preserve">dotnet test, npm run test and npm run e2e all green. New negative test: throwing endpoint -&gt; problem+json with no stack trace. New e2e: navigate every top-level route, assert no raw error text. CI gate green; deploy to server; `/health/ready` returns 200.</t>
  </si>
  <si>
    <t xml:space="preserve">Test</t>
  </si>
  <si>
    <t xml:space="preserve">P2-01</t>
  </si>
  <si>
    <t xml:space="preserve">ITenantAccessor resolved from auth context</t>
  </si>
  <si>
    <t xml:space="preserve">Phase 02</t>
  </si>
  <si>
    <t xml:space="preserve">Multi-tenancy</t>
  </si>
  <si>
    <t xml:space="preserve">Tenant scoping is inconsistent: three inline TryTenant helpers read the tenant_id claim in different endpoints. Introduce a single scoped ITenantAccessor that resolves the current TenantId from the authenticated ClaimsPrincipal (tenant_id claim), fail-closed (no claim -&gt; reject with the existing no_tenant 400/403). Register in DI and replace the scattered TryTenant helpers so there is ONE authority.</t>
  </si>
  <si>
    <t xml:space="preserve">Unit tests: accessor returns the claim tenant; denies when the claim is absent or malformed. Endpoint test: a protected request without a tenant claim returns 400/403 problem+json. `dotnet test` green.</t>
  </si>
  <si>
    <t xml:space="preserve">P2-02</t>
  </si>
  <si>
    <t xml:space="preserve">Remove hardcoded default-tenant GUID from runtime paths</t>
  </si>
  <si>
    <t xml:space="preserve">The default tenant GUID 00000000-0000-0000-0000-000000000001 is hardcoded in ~28 places. Audit every occurrence: keep it ONLY in seed / migration / demo-provisioning scripts. In runtime services and endpoints replace it with ITenantAccessor.TenantId. In AuthStore user creation, derive tenant from the provisioning context rather than the constant.</t>
  </si>
  <si>
    <t xml:space="preserve">Grep check confirms the default GUID appears ONLY in database/ seed and demo-provisioning files and ZERO times in Endpoints/ or runtime *Service.cs paths. Login/auth flow still works against the seeded demo tenant; existing tests pass.</t>
  </si>
  <si>
    <t xml:space="preserve">P2-03</t>
  </si>
  <si>
    <t xml:space="preserve">EF Core global query filter + repository tenant guard</t>
  </si>
  <si>
    <t xml:space="preserve">Add an EF Core global query filter on every tenant-owned entity (HasQueryFilter(e =&gt; e.TenantId == accessor.TenantId)), wiring ITenantAccessor into the DbContext. For raw-SQL / Npgsql paths (correlation, KPI, simple analysis, dashboards) add an explicit `tenant_id = @tenant` predicate via a shared guard helper. Background jobs (no HTTP principal) must set tenant context explicitly.</t>
  </si>
  <si>
    <t xml:space="preserve">Integration test seeds TWO tenants with overlapping data and asserts every read model, dashboard query, KPI evaluation and material query returns only the caller's tenant rows. A raw-SQL path test asserts the tenant predicate is present. `dotnet test` green.</t>
  </si>
  <si>
    <t xml:space="preserve">P2-04</t>
  </si>
  <si>
    <t xml:space="preserve">Tenant-scoped retrieval, export &amp; job context</t>
  </si>
  <si>
    <t xml:space="preserve">Ensure assistant retrieval, report/PDF exports and the job orchestrator all carry tenant scope. Filter assistant retrieval chunks by tenant BEFORE grounding (no cross-tenant evidence). Exports must exclude other tenants' rows. The job orchestrator must run under an explicit tenant and record it on JobRunHistory.</t>
  </si>
  <si>
    <t xml:space="preserve">Test that assistant retrieval for tenant A never returns tenant B chunks. Test that an export for tenant A excludes tenant B rows. Job-run test asserts the tenant context is recorded. `dotnet test` green.</t>
  </si>
  <si>
    <t xml:space="preserve">Modification</t>
  </si>
  <si>
    <t xml:space="preserve">P2-05</t>
  </si>
  <si>
    <t xml:space="preserve">Two-tenant isolation proof + authorization matrix test</t>
  </si>
  <si>
    <t xml:space="preserve">Build the gate proof for the doctrine's 'absolute' isolation rule. Seed two tenants and two users; for every sensitive route, job, retrieval and export assert that cross-tenant access returns 403 or empty - never another tenant's data - including identifier-guessing (request tenant B's resource id while authenticated as tenant A). Add as a required CI gate.</t>
  </si>
  <si>
    <t xml:space="preserve">New TenantIsolationMatrixTests green with at least one assertion per sensitive domain (sources, mappings, dashboards, materials, suggestions, reports, audit, assistant). Zero cross-tenant leakage. `dotnet test` green; deploy; the demo tenant is unaffected.</t>
  </si>
  <si>
    <t xml:space="preserve">P3-01</t>
  </si>
  <si>
    <t xml:space="preserve">Advanced-analysis compute service + feature loading</t>
  </si>
  <si>
    <t xml:space="preserve">Phase 03</t>
  </si>
  <si>
    <t xml:space="preserve">Analytics</t>
  </si>
  <si>
    <t xml:space="preserve">THE #1 audit finding: the correct, unit-tested statistics in PlantProcess.Analytics.Core are referenced only by tests and are NOT wired to any live endpoint. Begin wiring by creating AdvancedCorrelationComputeService (Application/Analytics). Given (outcomeKey, grain, windowDays, filters, tenant) it loads aligned feature/outcome vectors from the v6 feature store (ml_feature_values / ml_outcome_values) into typed arrays, classifies each variable as numeric/categorical/binary (to drive MethodSelector), handles missingness (drop or flag), and computes the readiness inputs (independent heats, outcome events, minority share, freshness, completeness).</t>
  </si>
  <si>
    <t xml:space="preserve">Unit tests with a fixture feature store: vectors are loaded with the correct variable types; readiness inputs computed; missing data handled. The service calls ReadinessGate.Evaluate and refuses to proceed when the verdict is Blocked. `dotnet test` green.</t>
  </si>
  <si>
    <t xml:space="preserve">P3-02</t>
  </si>
  <si>
    <t xml:space="preserve">Wire MethodSelector + method dispatch</t>
  </si>
  <si>
    <t xml:space="preserve">Use Analytics.Core.Methods.MethodSelector to pick the method per variable-pair type, then call the existing MutualInformation, CategoricalAssociation.CramersV and a point-biserial routine to compute effect sizes; ADD Spearman to Analytics.Core if missing (rank-transform then Pearson on ranks). Return per-feature {method, effectSize, n}. Always rank by effect size, never by p-value.</t>
  </si>
  <si>
    <t xml:space="preserve">Unit tests assert: numeric-numeric monotonic -&gt; Spearman; nonlinear -&gt; Mutual Information; categorical-categorical -&gt; Cramer's V; binary-numeric -&gt; point-biserial (driven by MethodSelector, mirroring the existing MethodSelector tests). Computed effect sizes match hand-computed values within tolerance.</t>
  </si>
  <si>
    <t xml:space="preserve">P3-03</t>
  </si>
  <si>
    <t xml:space="preserve">Wire VIF collinearity screen + Lasso reduction</t>
  </si>
  <si>
    <t xml:space="preserve">Before ranking, run VarianceInflation to detect collinear groups (VIF threshold e.g. &gt; 5) and exclude/flag them; optionally run Lasso.Fit for a regularised screen when there are many candidate parameters. Record each excluded feature with its reason (e.g. 'collinear with mould level; VIF 7.8').</t>
  </si>
  <si>
    <t xml:space="preserve">Unit test with deliberately collinear inputs asserts the collinear feature is excluded with a VIF reason. Lasso selects the true signal on a synthetic dataset (mirroring the existing Lasso test). `dotnet test` green.</t>
  </si>
  <si>
    <t xml:space="preserve">P3-04</t>
  </si>
  <si>
    <t xml:space="preserve">Wire Benjamini-Hochberg FDR + bootstrap stability + stratification</t>
  </si>
  <si>
    <t xml:space="preserve">Compute p-values per association, then apply BenjaminiHochberg.Adjust(q=0.05) for q-values and significance; rank by effect size first via EffectRanking.RankByEffect. Run Bootstrap.Stability (deterministic seed) per ranked finding to get stability %, CI and a stable flag. Run Stratification.Evaluate across grade/width/shift to report survival.</t>
  </si>
  <si>
    <t xml:space="preserve">Golden-dataset test: inject 2 true signals plus several noise features; assert the true signals are returned ranked by effect with q&lt;0.05 and stable=true, noise rejected under FDR, and a planted confounder fails stratification. Results are deterministic across runs (fixed seed). `dotnet test` green.</t>
  </si>
  <si>
    <t xml:space="preserve">P3-05</t>
  </si>
  <si>
    <t xml:space="preserve">Persist advanced results + provenance handles</t>
  </si>
  <si>
    <t xml:space="preserve">Persist each run and its findings (method, effectSize, n, qValue, stability, ciLow/High, excluded[], stratificationVerdict, honesty caveat, provenance handle) to ml_learning_results_v1 / correlation_results with tenant + correlation id. Every surfaced number must carry a resolvable provenance handle so the assistant's no-fabrication guard can cite it.</t>
  </si>
  <si>
    <t xml:space="preserve">Integration test: running the service on demo data persists rows with all fields populated; each finding has a resolvable provenance handle; rows are tenant-scoped. `dotnet test` green.</t>
  </si>
  <si>
    <t xml:space="preserve">P3-06</t>
  </si>
  <si>
    <t xml:space="preserve">Phase 3 ML validation test pack</t>
  </si>
  <si>
    <t xml:space="preserve">Consolidate the golden-dataset recovery test, method-selection tests, VIF/Lasso tests and FDR/bootstrap/stratification tests into a dedicated AdvancedAnalysis test suite; add a reproducibility test (same seed -&gt; identical ranking). Re-run the full dotnet test and fix any regressions caused by the new service registration. The service stays behind a feature flag (not yet the live path).</t>
  </si>
  <si>
    <t xml:space="preserve">AdvancedAnalysis suite green; reproducibility test passes; full dotnet test green. The new service runs behind a flag without affecting the live Pearson path. Deploy (no visible change yet, nothing broken).</t>
  </si>
  <si>
    <t xml:space="preserve">P4-01</t>
  </si>
  <si>
    <t xml:space="preserve">Swap compute engine as the live correlation path</t>
  </si>
  <si>
    <t xml:space="preserve">Phase 04</t>
  </si>
  <si>
    <t xml:space="preserve">Behind the ICorrelationComputeEngine interface, route the live path to the new AdvancedCorrelationComputeService, replacing the PostgresCorrelationComputeEngine Pearson facade. Keep a config switch for fallback. Update DI registration so the correlation endpoints now return real method-aware findings.</t>
  </si>
  <si>
    <t xml:space="preserve">Contract test: calling the correlation endpoint returns results computed by the new service (assert method variety + q-value + stability present), not Pearson-only. The fallback flag still works. `dotnet test` green.</t>
  </si>
  <si>
    <t xml:space="preserve">P4-02</t>
  </si>
  <si>
    <t xml:space="preserve">Wire ReadinessGate into live MlReadinessService</t>
  </si>
  <si>
    <t xml:space="preserve">The live MlReadinessService does NOT use the unit-tested ReadinessGate; its verdict can drift from the doctrine thresholds. Replace its ad-hoc logic with ReadinessGate.Evaluate(...) so the live verdict matches the tested thresholds (heats 60/30, events 40/15, minority 10%/3%, freshness 1x/2x, completeness 95%/85%). Expose dimension-level reasons.</t>
  </si>
  <si>
    <t xml:space="preserve">Test that the live readiness endpoint returns Ready/Partial/Blocked exactly per the thresholds with per-dimension reasons, matching ReadinessGateTests. `dotnet test` green.</t>
  </si>
  <si>
    <t xml:space="preserve">P4-03</t>
  </si>
  <si>
    <t xml:space="preserve">Advanced-result API DTO (method/n/q/stability/VIF/caveat)</t>
  </si>
  <si>
    <t xml:space="preserve">Analytics Contracts</t>
  </si>
  <si>
    <t xml:space="preserve">Extend the advanced-results DTO/endpoint to surface per finding: method, sampleSize, effectSize, qValue, stabilityPct, ciLow/High, excludedFeatures (with reason), stratificationSurvives, and the mandatory honesty caveat string. Ensure the provenance-guarded results endpoint passes these through.</t>
  </si>
  <si>
    <t xml:space="preserve">API contract/snapshot test asserts the DTO matches the doctrine 7.4 shape (all fields present, honesty caveat included). OpenAPI updated. `dotnet test` green.</t>
  </si>
  <si>
    <t xml:space="preserve">P4-04</t>
  </si>
  <si>
    <t xml:space="preserve">Advanced Analysis page renders honest findings</t>
  </si>
  <si>
    <t xml:space="preserve">Analytics UI</t>
  </si>
  <si>
    <t xml:space="preserve">Build/upgrade the Advanced Analysis page to render the doctrine 7.4 layout: investigation header (target, grade, window, n), a readiness badge, a ranked suspected-contributors list (method, effect, q, stability bars), an excluded-features note, the stratification result, and a mandatory honesty caveat banner. Use the Standard component library and brand tokens. Include loading / empty / blocked states.</t>
  </si>
  <si>
    <t xml:space="preserve">Component tests for ready/partial/blocked/empty states. E2E: run an inspection on demo data -&gt; the page shows ranked contributors with method+q+stability and the honesty caveat; an honesty-lint over the rendered text finds no 'guaranteed cause' language. `npm run e2e` green.</t>
  </si>
  <si>
    <t xml:space="preserve">P4-05</t>
  </si>
  <si>
    <t xml:space="preserve">On-demand inspection job + generated analysis page</t>
  </si>
  <si>
    <t xml:space="preserve">Workflow</t>
  </si>
  <si>
    <t xml:space="preserve">Implement the compass ML/Correlation workflow: the user picks a defect / downtime / KPI id + a period and names an inspection job; running it generates a saved analysis page (one tab) containing the findings widgets, with options to save + schedule (periodic) or run-now. Reuse the compute service and the jobs system.</t>
  </si>
  <si>
    <t xml:space="preserve">E2E: create an inspection job -&gt; run -&gt; the generated page persists with findings; schedule it -&gt; it appears in the Jobs Monitor; re-run updates the results. The page is tenant-scoped. `npm run e2e` green.</t>
  </si>
  <si>
    <t xml:space="preserve">P4-06</t>
  </si>
  <si>
    <t xml:space="preserve">Phase 4 advanced-analysis E2E + regression</t>
  </si>
  <si>
    <t xml:space="preserve">Hard E2E validating the end-to-end advanced story on demo data plus contract tests for the live swap, the readiness wiring and the DTO. Re-run dotnet test, npm run test and npm run e2e and fix any regressions caused by the live swap.</t>
  </si>
  <si>
    <t xml:space="preserve">All suites green. New E2E: investigate edge-crack on a grade over 30 days -&gt; READY -&gt; ranked contributors with q/stability matching the engine -&gt; honesty caveat shown. Deploy; demo the signature 7.4 moment.</t>
  </si>
  <si>
    <t xml:space="preserve">P5-01</t>
  </si>
  <si>
    <t xml:space="preserve">PostgreSQL + MySQL connector smoke tests (Testcontainers)</t>
  </si>
  <si>
    <t xml:space="preserve">Phase 05</t>
  </si>
  <si>
    <t xml:space="preserve">Demo</t>
  </si>
  <si>
    <t xml:space="preserve">The connector catalog marks the four DB types 'not available now' BECAUSE only CSV/Excel have smoke tests, yet the demo needs six live DB sources. Add Testcontainers integration smoke tests for PostgreSQL and MySQL: spin a container, create a tiny source table, then TestConnection -&gt; DiscoverDatasets -&gt; DiscoverFields -&gt; read a sample row -&gt; assert read-only enforced. These are the 'demo-certification smoke tests' the catalog references.</t>
  </si>
  <si>
    <t xml:space="preserve">dotnet test starts the containers and asserts the full connect-&gt;discover-&gt;read path for PostgreSQL and MySQL with read-only verified. Green in CI.</t>
  </si>
  <si>
    <t xml:space="preserve">P5-02</t>
  </si>
  <si>
    <t xml:space="preserve">SQL Server + Oracle connector smoke tests</t>
  </si>
  <si>
    <t xml:space="preserve">Repeat P5-01 for SQL Server (mssql container) and Oracle (oracle-free/xe container, or a documented skip-if-unavailable with a recorded manual run). Cover Oracle-specific identifier/case quirks in the SQL builders.</t>
  </si>
  <si>
    <t xml:space="preserve">SQL Server smoke test green in CI. Oracle smoke test green where the image is available, otherwise a documented reproducible manual run plus unit-level tests of the Oracle SQL builders. `dotnet test` green.</t>
  </si>
  <si>
    <t xml:space="preserve">P5-03</t>
  </si>
  <si>
    <t xml:space="preserve">Flip connector availability after certification</t>
  </si>
  <si>
    <t xml:space="preserve">Once the smoke tests are green, update ConnectorProviderCatalog to mark PostgreSQL/SqlServer/MySql/Oracle IsAvailableNow = true (gated behind a config/feature flag so the claim stays truthful), preserving the honest descriptions. Update the ConnectorTruthPanel in the frontend accordingly.</t>
  </si>
  <si>
    <t xml:space="preserve">Connector-truth-contract test asserts availability now reflects the certified state; the truth panel shows the six demo sources as available. The honesty scan passes (no availability claim without a passing smoke test).</t>
  </si>
  <si>
    <t xml:space="preserve">P5-04</t>
  </si>
  <si>
    <t xml:space="preserve">Import edge-case hardening (timeout/duplicate/partial/retry/cursor)</t>
  </si>
  <si>
    <t xml:space="preserve">Importing</t>
  </si>
  <si>
    <t xml:space="preserve">Harden the two-stage delta import for the doctrine's required edge states: statement timeout with a typed timeout error (no hang); duplicate-key handling (upsert or skip with a count); partial-import recovery (resume from the watermark); retry with backoff; cursor reset. Surface each outcome in the import batch record and the Jobs Monitor.</t>
  </si>
  <si>
    <t xml:space="preserve">Integration tests simulate a slow query (timeout -&gt; typed error, no hang), duplicate rows (handled + counted), an aborted import (resumes from the watermark) and a cursor reset. The import batch rows reflect outcomes. `dotnet test` green.</t>
  </si>
  <si>
    <t xml:space="preserve">P5-05</t>
  </si>
  <si>
    <t xml:space="preserve">Source Objects profiling edge states</t>
  </si>
  <si>
    <t xml:space="preserve">Ensure the Source Objects step profiles each object (row count, PK candidate, timestamp candidate, nullable columns, types, sample preview) and surfaces the doctrine edge states: no PK (warn + force a delta-strategy choice), no timestamp, large-table warning, unsupported type. Wire the corresponding frontend states.</t>
  </si>
  <si>
    <t xml:space="preserve">Component + API tests for each edge state. E2E: selecting a no-PK table shows the warning and forces a delta-strategy choice. `npm run e2e` green.</t>
  </si>
  <si>
    <t xml:space="preserve">P5-06</t>
  </si>
  <si>
    <t xml:space="preserve">Phase 5 connector / import test pack</t>
  </si>
  <si>
    <t xml:space="preserve">Connectors / Importing</t>
  </si>
  <si>
    <t xml:space="preserve">Consolidate connector smoke tests, import edge-case tests and truth-contract tests; add an e2e that connects a demo source via the HMI, profiles it and stages a batch. Re-green all suites.</t>
  </si>
  <si>
    <t xml:space="preserve">All suites green; e2e 'connect a real source via HMI -&gt; stage a batch' passes for at least PostgreSQL and Excel. Deploy; demo connecting a live source.</t>
  </si>
  <si>
    <t xml:space="preserve">P6-01</t>
  </si>
  <si>
    <t xml:space="preserve">Genealogy bidirectional walk (golden thread)</t>
  </si>
  <si>
    <t xml:space="preserve">Phase 06</t>
  </si>
  <si>
    <t xml:space="preserve">Genealogy</t>
  </si>
  <si>
    <t xml:space="preserve">Implement/confirm the recursive bidirectional traversal that is the demo's signature data moment. Given a material code, walk backward (coil -&gt; ... -&gt; heat/melt) and forward (heat -&gt; ... -&gt; defects/lab) across the canonical genealogy edges, returning the ordered path plus the conditions/observations attached to each node (doctrine 5.1). Use a bounded recursive CTE (explicit LIMIT) and the existing ppiq_validate_genealogy_graph for cycle/orphan safety.</t>
  </si>
  <si>
    <t xml:space="preserve">Integration test on demo data: a known coil resolves backward to its heat and forward to its defects/lab samples; depth is bounded; cycles/orphans are handled. The result matches the doctrine 5.1 traced thread. `dotnet test` green.</t>
  </si>
  <si>
    <t xml:space="preserve">P6-02</t>
  </si>
  <si>
    <t xml:space="preserve">Material Investigation page: genealogy + evidence + standard styling</t>
  </si>
  <si>
    <t xml:space="preserve">Materials UI</t>
  </si>
  <si>
    <t xml:space="preserve">Upgrade Material Investigation to render the bidirectional thread (a genealogy viewer) with per-node conditions plus the evidence panel; apply standard styling; handle edge states (unknown material, duplicate ids, incomplete genealogy). Wire the Calculate Risk / Investigate / PDF Report actions - explicitly flagged as inconsistent in the compass - to Standard components.</t>
  </si>
  <si>
    <t xml:space="preserve">E2E: search a demo coil -&gt; the genealogy thread renders both directions with conditions; every action button performs a real function; styling matches the standard system; edge states are handled. `npm run e2e` green.</t>
  </si>
  <si>
    <t xml:space="preserve">P6-03</t>
  </si>
  <si>
    <t xml:space="preserve">Mapping validation, publish &amp; rollback with typed errors</t>
  </si>
  <si>
    <t xml:space="preserve">Mapping</t>
  </si>
  <si>
    <t xml:space="preserve">Ensure the mapping workbench Validation &amp; Publish supports dry-run (row counts, rejected records, warnings), publish to a new version, and rollback to a prior version, with TYPED resolver errors surfaced precisely (NoSuchView, NoSuchColumn, InvalidAggregateForType, AmbiguousJoinKey) rather than a generic failure. Use ppiq_mapping_versions and transactions.</t>
  </si>
  <si>
    <t xml:space="preserve">Integration test: a deliberately bad mapping (unknown column) returns the SPECIFIC typed error and does NOT publish; a good mapping publishes a version; rollback restores the prior version with a row-count proof. `dotnet test` green.</t>
  </si>
  <si>
    <t xml:space="preserve">P6-04</t>
  </si>
  <si>
    <t xml:space="preserve">Widget script compiler -&gt; safe parameterized SQL (PPIQ-WF-012)</t>
  </si>
  <si>
    <t xml:space="preserve">Widget Script</t>
  </si>
  <si>
    <t xml:space="preserve">Implement the backend that compiles the widget script grammar (group_by, filter, calculated measures, having, aggregates) into PARAMETERIZED, read-only SQL over an APPROVED dataset, checked by SafeSqlValidator, with a row-limit and a 30s timeout. Extend the grammar beyond the current key=value DSL to support aggregate measures (avg/sum/count) and having, per doctrine 12.1.</t>
  </si>
  <si>
    <t xml:space="preserve">Unit tests: the doctrine example (avg(tundish_superheat_c) group_by shift, filter grade in [...], having count(*) &gt; 20) compiles to safe parameterized SQL that passes SafeSqlValidator; injection attempts are rejected; row-limit and timeout enforced. `dotnet test` green.</t>
  </si>
  <si>
    <t xml:space="preserve">P6-05</t>
  </si>
  <si>
    <t xml:space="preserve">Widget builder preview + perf estimate (PPIQ-WF-013/014)</t>
  </si>
  <si>
    <t xml:space="preserve">Wire the builder's live preview (row-limited) and a query perf estimate (EXPLAIN-based cost or a row-scan estimate) shown BEFORE save; validate-before-publish; enforce the ProPlus license gate. Add a visual&lt;-&gt;SQL toggle if feasible.</t>
  </si>
  <si>
    <t xml:space="preserve">E2E: build a widget via script -&gt; preview returns rows -&gt; a perf estimate is shown -&gt; publish succeeds; an invalid expression shows a precise validation error; the ProPlus gate blocks lower tiers with an explanation. `npm run e2e` green.</t>
  </si>
  <si>
    <t xml:space="preserve">P6-06</t>
  </si>
  <si>
    <t xml:space="preserve">Phase 6 workflow test pack</t>
  </si>
  <si>
    <t xml:space="preserve">Mapping / Genealogy / Widget</t>
  </si>
  <si>
    <t xml:space="preserve">Consolidate the genealogy-walk, mapping-rollback and widget-compile tests; add an e2e that builds a mapping + a script widget + a page entirely via the HMI. Re-green all suites.</t>
  </si>
  <si>
    <t xml:space="preserve">All suites green; e2e 'map -&gt; build widget by script -&gt; place on a page' passes; genealogy + rollback tests green. Deploy; demo the genealogy thread and a script-built widget.</t>
  </si>
  <si>
    <t xml:space="preserve">P7-01</t>
  </si>
  <si>
    <t xml:space="preserve">Automated backup + tested restore</t>
  </si>
  <si>
    <t xml:space="preserve">Phase 07</t>
  </si>
  <si>
    <t xml:space="preserve">Operations</t>
  </si>
  <si>
    <t xml:space="preserve">Infrastructure</t>
  </si>
  <si>
    <t xml:space="preserve">Backup / Restore</t>
  </si>
  <si>
    <t xml:space="preserve">There is no backup/restore automation today (G9 requires daily backup with a tested restore). Add a daily pg_dump backup (cron / systemd timer or a compose sidecar) with rotation, plus a restore.sh that restores into a scratch DB and runs a verification query set. Store backups off the app volume. Document the procedure in the deploy README.</t>
  </si>
  <si>
    <t xml:space="preserve">Scripted test: take a backup, drop/recreate a scratch DB, restore, run verification queries asserting row counts match the source. The restore script exits non-zero on failure. The runbook documents the procedure.</t>
  </si>
  <si>
    <t xml:space="preserve">P7-02</t>
  </si>
  <si>
    <t xml:space="preserve">Local &lt;-&gt; server &lt;-&gt; demo parity check</t>
  </si>
  <si>
    <t xml:space="preserve">Parity</t>
  </si>
  <si>
    <t xml:space="preserve">Add a parity-check.sh (and/or a startup self-check) that verifies API base URL, the PRESENCE (not the value) of auth keys, DB host, applied-migration count and connector availability match across environments and fails loudly on any mismatch. Tie it into the deploy pipeline. Honours the doctrine 'parity is sacred' principle.</t>
  </si>
  <si>
    <t xml:space="preserve">The check passes when environments align and fails with a clear diff when a value is deliberately mismatched. It runs in the deploy pipeline.</t>
  </si>
  <si>
    <t xml:space="preserve">P7-03</t>
  </si>
  <si>
    <t xml:space="preserve">Demo dataset: run, verify volume &amp; cross-source genealogy</t>
  </si>
  <si>
    <t xml:space="preserve">Demo Data</t>
  </si>
  <si>
    <t xml:space="preserve">Run generate_phase1_golden_demo_data.py end-to-end and verify it produces &gt;=100k detailed records, ~630 heats and ~5,600 coils across the eight source shapes, with realistic imperfection (missing values, duplicate keys, downtime cascades), and that the SAME genealogy resolves across all eight sources. Fix any generator gaps.</t>
  </si>
  <si>
    <t xml:space="preserve">A verification script asserts the row-count targets and that a sampled coil's genealogy resolves across the PostgreSQL + Oracle + MySQL + Excel sources. The output is regenerable deterministically (seed).</t>
  </si>
  <si>
    <t xml:space="preserve">P7-04</t>
  </si>
  <si>
    <t xml:space="preserve">Demo lifecycle reset + readiness (anti-facade)</t>
  </si>
  <si>
    <t xml:space="preserve">Demo Lifecycle</t>
  </si>
  <si>
    <t xml:space="preserve">Harden the demo lifecycle endpoints: a reset that restores sources, mappings, jobs, pages, users and reports predictably; a one-click readiness check; and the anti-facade guarantee that learning jobs RECOMPUTE on demo data (seeded result rows tagged origin=seed are never surfaced as live). The production startup guard must block seeds in production.</t>
  </si>
  <si>
    <t xml:space="preserve">Integration test: reset -&gt; readiness check passes; a learning job recomputes (origin != seed) and the grounding/suggestion layers refuse seed-origin rows; the production startup guard blocks demo seeds when env=Production. `dotnet test` green.</t>
  </si>
  <si>
    <t xml:space="preserve">P7-05</t>
  </si>
  <si>
    <t xml:space="preserve">Incident runbook + monitoring surfaces</t>
  </si>
  <si>
    <t xml:space="preserve">Documentation</t>
  </si>
  <si>
    <t xml:space="preserve">Normal</t>
  </si>
  <si>
    <t xml:space="preserve">Write the incident runbook (what to check when the app / API / DB / job / connector / assistant / website fails) and ensure health, readiness, DB-health, job-status and connector-status are visible (a small ops view or documented endpoints). Reference verify-server-exposure.sh.</t>
  </si>
  <si>
    <t xml:space="preserve">The runbook is reviewed; each failure scenario has a concrete check + recovery step. The monitoring endpoints are reachable and documented.</t>
  </si>
  <si>
    <t xml:space="preserve">P7-06</t>
  </si>
  <si>
    <t xml:space="preserve">Phase 7 operations test pack</t>
  </si>
  <si>
    <t xml:space="preserve">Operations / Demo</t>
  </si>
  <si>
    <t xml:space="preserve">Consolidate the backup/restore, parity, demo-volume and reset tests; add a documented 'clean machine to working login by runbook only' dry-run. Re-green the suites.</t>
  </si>
  <si>
    <t xml:space="preserve">Backup/restore + parity + demo-volume + reset tests green; the documented clean-machine bring-up succeeds. Deploy; demonstrate a reset + readiness check.</t>
  </si>
  <si>
    <t xml:space="preserve">P8-01</t>
  </si>
  <si>
    <t xml:space="preserve">Data-driven RBAC permission matrix</t>
  </si>
  <si>
    <t xml:space="preserve">Phase 08</t>
  </si>
  <si>
    <t xml:space="preserve">RBAC</t>
  </si>
  <si>
    <t xml:space="preserve">Implement the full doctrine 10.1 permission matrix AS DATA (permission domains x roles), enforced by an authorization handler/policy that checks (tenant, role, permission) deny-by-default, replacing the sparse ~28 inline role checks. Cover all 11 roles and all domains (source/mapping config, page/widget design, analysis execution, suggestions workflow, assistant usage, user/license admin, audit view).</t>
  </si>
  <si>
    <t xml:space="preserve">A matrix-driven authorization test iterating identities x domains asserts allow/deny EXACTLY per doctrine 10.1; deny-by-default is verified for unlisted combinations. `dotnet test` green.</t>
  </si>
  <si>
    <t xml:space="preserve">P8-02</t>
  </si>
  <si>
    <t xml:space="preserve">Audit before/after state capture</t>
  </si>
  <si>
    <t xml:space="preserve">Audit</t>
  </si>
  <si>
    <t xml:space="preserve">Extend AuditLogMiddleware / IAuditLogService to capture before/after snapshots for mutating actions (object, before, after, result) plus tenant/user/role/correlation id. Widen the audited-prefix allow-list to cover all critical mutations.</t>
  </si>
  <si>
    <t xml:space="preserve">Integration test: a config change writes an audit row with before/after JSON, actor, tenant and correlation id; a read does not write one. A coverage test asserts critical mutation endpoints are audited. `dotnet test` green.</t>
  </si>
  <si>
    <t xml:space="preserve">P8-03</t>
  </si>
  <si>
    <t xml:space="preserve">Tamper-evident audit chaining</t>
  </si>
  <si>
    <t xml:space="preserve">Make the audit log append-only and tamper-evident: per-row hash chaining (hash of the row + the previous row's hash), building on the existing 096 immutability hardening. Provide a verification routine that detects breaks in the chain.</t>
  </si>
  <si>
    <t xml:space="preserve">Test: tampering with (or deleting) an audit row is detected by the chain-verification routine; normal appends verify clean. Append-only is enforced at the DB layer. `dotnet test` green.</t>
  </si>
  <si>
    <t xml:space="preserve">P8-04</t>
  </si>
  <si>
    <t xml:space="preserve">License entitlement resolver + live demo toggle</t>
  </si>
  <si>
    <t xml:space="preserve">Governance</t>
  </si>
  <si>
    <t xml:space="preserve">Licensing</t>
  </si>
  <si>
    <t xml:space="preserve">Ensure one Entitlement resolver = f(tier, role) feeds BOTH API enforcement and the UI flags/usage-meters/lock-reasons (never hard-coded client-side). Implement the demo toggle that, in demo mode only, changes entitlements live (adds/removes capability), writes audit events, and is unit-tested for corner cases (Enterprise-admin vs Pro-operator). Use the concrete doctrine 9.1 entitlement numbers.</t>
  </si>
  <si>
    <t xml:space="preserve">E2E: toggle Enterprise -&gt; Pro in demo mode -&gt; advanced analysis / assistant / script-layer visibly lock with lock reasons; toggle back -&gt; unlock; audit events are written. A backend enforcement test confirms a locked feature returns 403 even if the UI is bypassed. `npm run e2e` + `dotnet test` green.</t>
  </si>
  <si>
    <t xml:space="preserve">P8-05</t>
  </si>
  <si>
    <t xml:space="preserve">Phase 8 governance test pack</t>
  </si>
  <si>
    <t xml:space="preserve">Consolidate the RBAC matrix, audit before/after + chaining, and license-toggle tests; add an authorization-matrix-by-tier e2e. Re-green the suites.</t>
  </si>
  <si>
    <t xml:space="preserve">All suites green; RBAC matrix + audit chain + license toggle tests green. Deploy; demo the live license toggle.</t>
  </si>
  <si>
    <t xml:space="preserve">P9-01</t>
  </si>
  <si>
    <t xml:space="preserve">Action-matrix enumeration across all pages</t>
  </si>
  <si>
    <t xml:space="preserve">Phase 09</t>
  </si>
  <si>
    <t xml:space="preserve">Quality</t>
  </si>
  <si>
    <t xml:space="preserve">Enumerate every page/sub-page and every interactive control; for each, assert it has an action, a disabled reason, or a permission lock - no dead buttons (the compass's hard requirement). Build this as a data-driven Playwright suite (the 'action matrix') covering Home, DB Links, Source Objects, Importing, Schema Config, Jobs Monitor, Page/Widget Builder, Material Investigation, ML/Correlation, Advanced Analysis, Suggestions, Assistant, License/User Admin, Reports, Demo Lifecycle.</t>
  </si>
  <si>
    <t xml:space="preserve">The action-matrix `npm run e2e` suite is green: every enumerated control triggers its action or shows a disabled/lock reason; zero no-op buttons. A deliberately broken button fails the suite.</t>
  </si>
  <si>
    <t xml:space="preserve">P9-02</t>
  </si>
  <si>
    <t xml:space="preserve">Standardize remaining non-standard components</t>
  </si>
  <si>
    <t xml:space="preserve">Design System</t>
  </si>
  <si>
    <t xml:space="preserve">Sweep for any controls not using the Standard component library (StandardButton/Table/Tabs/Fields/Surface) and migrate them so styling is consistent everywhere (the compass's explicit complaint about Material Investigation styling). Remove ad-hoc inline styles.</t>
  </si>
  <si>
    <t xml:space="preserve">A lint/inventory check finds zero raw &lt;button&gt; or ad-hoc table styles outside the standard library on app pages; a visual review confirms consistency; component tests pass. `npm run test` green.</t>
  </si>
  <si>
    <t xml:space="preserve">P9-03</t>
  </si>
  <si>
    <t xml:space="preserve">Responsive + empty / loading / error states per page</t>
  </si>
  <si>
    <t xml:space="preserve">UI/UX</t>
  </si>
  <si>
    <t xml:space="preserve">Ensure every page survives refresh, navigate-away-and-back, browser resize and filter changes; every empty state says what is missing + the next action; every operation over 2s shows real progress (no spinner-forever). Cover the doctrine 8.3 required edge states per page.</t>
  </si>
  <si>
    <t xml:space="preserve">E2E across breakpoints (mobile/tablet/desktop) asserts layouts reflow; empty/loading/error states render with actionable text; a simulated slow endpoint shows progress, not a hang. `npm run e2e` green.</t>
  </si>
  <si>
    <t xml:space="preserve">P9-04</t>
  </si>
  <si>
    <t xml:space="preserve">Visual regression + cross-browser matrix</t>
  </si>
  <si>
    <t xml:space="preserve">Add Playwright visual-regression snapshots for key pages and a cross-browser matrix (Chromium / Firefox / WebKit) on http and https. Baseline and compare in CI.</t>
  </si>
  <si>
    <t xml:space="preserve">The visual-regression suite is green with baselines committed; the cross-browser matrix passes; a deliberate style break is caught by the snapshot diff.</t>
  </si>
  <si>
    <t xml:space="preserve">P9-05</t>
  </si>
  <si>
    <t xml:space="preserve">Phase 9 UI quality test pack</t>
  </si>
  <si>
    <t xml:space="preserve">Run the full action-matrix + visual-regression + cross-browser + responsive suites together; re-green npm run test, npm run e2e and dotnet test. Fix regressions.</t>
  </si>
  <si>
    <t xml:space="preserve">All suites green. Deploy; the UI is demonstrably dead-button-free and consistent across browsers and breakpoints.</t>
  </si>
  <si>
    <t xml:space="preserve">P10-01</t>
  </si>
  <si>
    <t xml:space="preserve">Product ecosystem pages: MES, QES, Yard, Energy</t>
  </si>
  <si>
    <t xml:space="preserve">Phase 10</t>
  </si>
  <si>
    <t xml:space="preserve">Web</t>
  </si>
  <si>
    <t xml:space="preserve">Website</t>
  </si>
  <si>
    <t xml:space="preserve">Build the four additional product pages (MES, QES, Yard &amp; Warehouse Management, Energy Management), each with a description, the benefit, an interactive graphic, license detail and a clear inquiry CTA (the golden rule), all on the one brand identity. Reuse the PlantProcess IQ page pattern and brand tokens.</t>
  </si>
  <si>
    <t xml:space="preserve">All four pages render on-brand with content + a CTA; navigation includes them; the honesty-lint passes (no forbidden claims); pages are responsive. `npm run e2e` (web) green.</t>
  </si>
  <si>
    <t xml:space="preserve">P10-02</t>
  </si>
  <si>
    <t xml:space="preserve">Pricing/License + Security/Trust pages</t>
  </si>
  <si>
    <t xml:space="preserve">Build/polish the Pricing/License page (Lite/Pro/Pro Plus/Enterprise with the doctrine 9 feature+usage tiers and the 9.1 numbers) and the Security/Trust page (read-only layer, data handling, deployment models, AI honesty, enterprise controls).</t>
  </si>
  <si>
    <t xml:space="preserve">The pricing matrix matches doctrine 9 / 9.1; the trust page states the honesty contract + deployment models; both are on-brand and responsive; the honesty-lint passes.</t>
  </si>
  <si>
    <t xml:space="preserve">P10-03</t>
  </si>
  <si>
    <t xml:space="preserve">Demo Request CTA + lead capture</t>
  </si>
  <si>
    <t xml:space="preserve">Implement the Demo Request / Contact flow (a form + customer-fit questions) that captures a lead (store + notify) with validation and a success state - the 'first salesperson' golden rule.</t>
  </si>
  <si>
    <t xml:space="preserve">E2E: submitting the demo-request form captures a lead (persisted/queued) and shows a success state; validation handles bad input; a captured lead is retrievable by a Commercial Admin. `npm run e2e` green.</t>
  </si>
  <si>
    <t xml:space="preserve">P10-04</t>
  </si>
  <si>
    <t xml:space="preserve">Brand audit vs Appendix C + accessibility</t>
  </si>
  <si>
    <t xml:space="preserve">Brand</t>
  </si>
  <si>
    <t xml:space="preserve">Audit the website (and cross-check the app) against the Appendix C tokens (exact hex, Inter / JetBrains Mono, the heading scale, minimum sizes) and basic accessibility (contrast, alt text, focus states). Fix any drift.</t>
  </si>
  <si>
    <t xml:space="preserve">A brand-audit checklist passes (tokens match Appendix C); axe/lighthouse accessibility checks meet a defined threshold; minimum font sizes are honoured.</t>
  </si>
  <si>
    <t xml:space="preserve">P10-05</t>
  </si>
  <si>
    <t xml:space="preserve">Phase 10 website test pack</t>
  </si>
  <si>
    <t xml:space="preserve">Consolidate the ecosystem-page, pricing, CTA-capture and brand-audit tests; add an e2e walking the full site -&gt; request a demo. Re-green the web suites.</t>
  </si>
  <si>
    <t xml:space="preserve">All web suites green; the full-site e2e + lead-capture pass. Deploy the website.</t>
  </si>
  <si>
    <t xml:space="preserve">P11-01</t>
  </si>
  <si>
    <t xml:space="preserve">Architecture + API + operations documentation</t>
  </si>
  <si>
    <t xml:space="preserve">Phase 11</t>
  </si>
  <si>
    <t xml:space="preserve">Docs</t>
  </si>
  <si>
    <t xml:space="preserve">Produce the canonical documentation set: an architecture overview (the nine layers), an API reference (OpenAPI + the key flows), the operations runbooks, and a 'build the demo from empty via the HMI' guide. Keep it concise and accurate.</t>
  </si>
  <si>
    <t xml:space="preserve">Docs are reviewed for accuracy against the code; the HMI build guide is reproducible step-by-step; the OpenAPI document is current.</t>
  </si>
  <si>
    <t xml:space="preserve">P11-02</t>
  </si>
  <si>
    <t xml:space="preserve">Full demo dry-run from empty (HMI only)</t>
  </si>
  <si>
    <t xml:space="preserve">Execute the doctrine 14 golden rule: from empty, configure DB links, source objects, mappings, widgets and pages ENTIRELY through the HMI (no hardcoded pages), import the demo data, run the learning jobs and reach the full demo. Record it. Catch real-user bugs before the customer does.</t>
  </si>
  <si>
    <t xml:space="preserve">A recorded clean dry-run exists; the demo is reproducible source -&gt; staging -&gt; mapping -&gt; widget -&gt; page via the HMI only; the one-click readiness check passes; no hardcoded page is used (verified).</t>
  </si>
  <si>
    <t xml:space="preserve">P11-03</t>
  </si>
  <si>
    <t xml:space="preserve">Performance budget verification (SLOs)</t>
  </si>
  <si>
    <t xml:space="preserve">Performance</t>
  </si>
  <si>
    <t xml:space="preserve">Verify the doctrine 8.5 performance budgets: standard endpoint p95 &lt; 800ms, any operation over 2s shows progress, a 30s global timeout, a widget row cap + pagination, heat-map/investigation p95 &lt; 2s or progress. Add performance tests on the heavy endpoints.</t>
  </si>
  <si>
    <t xml:space="preserve">Performance tests assert the p95 thresholds on standard and heavy endpoints (with the demo dataset loaded); a &gt;2s operation shows progress; the 30s timeout returns a typed error, not a hang.</t>
  </si>
  <si>
    <t xml:space="preserve">P11-04</t>
  </si>
  <si>
    <t xml:space="preserve">Final full-regression + gate sign-off</t>
  </si>
  <si>
    <t xml:space="preserve">Run the entire suite (dotnet test, npm run test, npm run e2e, visual + cross-browser + action-matrix + tenant-isolation + golden-dataset) and verify every doctrine 13 quality-bar row and every doctrine 19 gate has a passing proof. Produce a gate sign-off checklist.</t>
  </si>
  <si>
    <t xml:space="preserve">All suites green; the doctrine 13 / 19 gate checklist is fully green (no '85%' on a gate item); a documented sign-off is produced. Release-ready deploy.</t>
  </si>
  <si>
    <t xml:space="preserve">P11-05</t>
  </si>
  <si>
    <t xml:space="preserve">Release hardening sweep + final deploy</t>
  </si>
  <si>
    <t xml:space="preserve">Deploy</t>
  </si>
  <si>
    <t xml:space="preserve">Release</t>
  </si>
  <si>
    <t xml:space="preserve">Final sweep: secrets check (no committed secrets, masked in audits), startup guards green in production config, the exposure proof green, backup verified, parity green. Tag the release and deploy.</t>
  </si>
  <si>
    <t xml:space="preserve">verify-server-exposure.sh is green; the startup guard passes the production config; backup/restore is verified; parity is green; the release is tagged and deployed; `/health/ready` returns 200.</t>
  </si>
  <si>
    <t xml:space="preserve">TOTAL</t>
  </si>
  <si>
    <t xml:space="preserve">Phase Roadmap  —  deploy at the end of every phase with something new and nothing broken</t>
  </si>
  <si>
    <t xml:space="preserve">Theme</t>
  </si>
  <si>
    <t xml:space="preserve">Tasks</t>
  </si>
  <si>
    <t xml:space="preserve">Primary Track</t>
  </si>
  <si>
    <t xml:space="preserve">Deploy milestone — what is new and demo-safe to show</t>
  </si>
  <si>
    <t xml:space="preserve">Demo-safety net &amp; code hygiene</t>
  </si>
  <si>
    <t xml:space="preserve">App is demo-safe: no raw errors or stack traces, read-only DB connections hardened, duplicate dead code removed. Nothing flashy, but you can click anything without an error appearing.</t>
  </si>
  <si>
    <t xml:space="preserve">Multi-tenant isolation (gate)</t>
  </si>
  <si>
    <t xml:space="preserve">Provable isolation: a two-tenant 403 proof. The enterprise security story is now defensible, not aspirational.</t>
  </si>
  <si>
    <t xml:space="preserve">Advanced-analysis engine: compute service</t>
  </si>
  <si>
    <t xml:space="preserve">Internal milestone: the real statistics engine (MI, Cramer's V, Lasso, VIF, BH-FDR, bootstrap, stratification) computes honest findings behind a flag, golden-dataset verified.</t>
  </si>
  <si>
    <t xml:space="preserve">Advanced analysis: live swap + HMI</t>
  </si>
  <si>
    <t xml:space="preserve">THE signature moment: live advanced analysis showing ranked suspected contributors with method, q-value, stability and the honesty caveat (doctrine 7.4). 'It told me something I didn't know — and proved it.'</t>
  </si>
  <si>
    <t xml:space="preserve">Connector demo-certification &amp; sources</t>
  </si>
  <si>
    <t xml:space="preserve">Connect a real PostgreSQL / Oracle / MySQL / SQL Server source LIVE through the HMI and stage it. 'It already speaks my plant.'</t>
  </si>
  <si>
    <t xml:space="preserve">Mapping, genealogy &amp; widget script layer</t>
  </si>
  <si>
    <t xml:space="preserve">Walk a coil's genealogy both directions (the golden thread) and build a chart from a SQL script in the HMI — no new endpoint.</t>
  </si>
  <si>
    <t xml:space="preserve">Operations, backup/restore &amp; demo lifecycle</t>
  </si>
  <si>
    <t xml:space="preserve">One-click demo reset to a clean state; recover from backup; a regenerated &gt;100k-record realistic dataset that resolves across all eight sources.</t>
  </si>
  <si>
    <t xml:space="preserve">Governance: RBAC, audit &amp; license toggle</t>
  </si>
  <si>
    <t xml:space="preserve">Toggle Enterprise -&gt; Pro live and watch features lock/unlock; full role-based access; tamper-evident audit.</t>
  </si>
  <si>
    <t xml:space="preserve">No-dead-button action matrix &amp; UI quality</t>
  </si>
  <si>
    <t xml:space="preserve">Click anything on any page on any browser — every button works and the UI is consistent everywhere.</t>
  </si>
  <si>
    <t xml:space="preserve">Website 5-product ecosystem &amp; commercial</t>
  </si>
  <si>
    <t xml:space="preserve">Full product website (PlantProcess IQ + MES + QES + Yard + Energy), pricing, trust and a working demo-request CTA.</t>
  </si>
  <si>
    <t xml:space="preserve">Documentation, final dry-run &amp; release</t>
  </si>
  <si>
    <t xml:space="preserve">Build the entire demo from empty via the HMI on stage; every quality-bar gate green; tagged release deployed.</t>
  </si>
  <si>
    <t xml:space="preserve">How to use this task list</t>
  </si>
  <si>
    <t xml:space="preserve">Reading order</t>
  </si>
  <si>
    <t xml:space="preserve">Tasks are grouped into 11 phases sized 45–65h. Do them top to bottom: each phase is a prerequisite-respecting, deployable increment.</t>
  </si>
  <si>
    <t xml:space="preserve">Deploy cadence</t>
  </si>
  <si>
    <t xml:space="preserve">Deploy to the server at the END of every phase. Higher-priority / higher-impact work is front-loaded so you always have something good to show early and nothing is left broken.</t>
  </si>
  <si>
    <t xml:space="preserve">Grouping</t>
  </si>
  <si>
    <t xml:space="preserve">Similar tasks (same files/modules) are grouped within a phase so a file is touched once, not reopened many tasks later.</t>
  </si>
  <si>
    <t xml:space="preserve">A rough engineering estimate per task. Phase totals are on the Phase Roadmap sheet (live SUMIF formulas).</t>
  </si>
  <si>
    <t xml:space="preserve">Gate-blocking or demo-breaking. Must be ~100% green; no partial credit.</t>
  </si>
  <si>
    <t xml:space="preserve">High impact on the demo or the quality bar; do early.</t>
  </si>
  <si>
    <t xml:space="preserve">Real value; schedule within its phase.</t>
  </si>
  <si>
    <t xml:space="preserve">Useful, lower urgency.</t>
  </si>
  <si>
    <t xml:space="preserve">Optional</t>
  </si>
  <si>
    <t xml:space="preserve">Nice to have; defer if time-constrained.</t>
  </si>
  <si>
    <t xml:space="preserve">Workflow / Demo / Hardening / AI+ML / Web / Security / Operations / Governance / Quality</t>
  </si>
  <si>
    <t xml:space="preserve">The vision track a task serves (maps to the four-track compass plus the cross-cutting concerns the doctrine adds).</t>
  </si>
  <si>
    <t xml:space="preserve">Backend / Frontend / Database / Infrastructure / Web / Documentation / Testing / Deploy / Security / AI+ML</t>
  </si>
  <si>
    <t xml:space="preserve">Where the work lives. Used to batch similar tasks and to plan ownership.</t>
  </si>
  <si>
    <t xml:space="preserve">Build something that does not exist yet.</t>
  </si>
  <si>
    <t xml:space="preserve">Change/extend existing behaviour.</t>
  </si>
  <si>
    <t xml:space="preserve">Improve structure/quality without changing behaviour (the 'done poorly' items).</t>
  </si>
  <si>
    <t xml:space="preserve">Correct a concrete defect found during the code audit.</t>
  </si>
  <si>
    <t xml:space="preserve">Make existing behaviour safe/resilient (errors, limits, security).</t>
  </si>
  <si>
    <t xml:space="preserve">A realistic, hard validation pack that proves a phase and re-greens all suites.</t>
  </si>
  <si>
    <t xml:space="preserve">Validation philosophy (acceptance criteria)</t>
  </si>
  <si>
    <t xml:space="preserve">Not just a build</t>
  </si>
  <si>
    <t xml:space="preserve">Every acceptance criterion is a realistic, hard test (unit / integration / dotnet test / npm run test / npm run e2e), not 'the build compiles'. A task is DONE only when its proof is green AND it has not broken any other suite.</t>
  </si>
  <si>
    <t xml:space="preserve">Per-phase test pack</t>
  </si>
  <si>
    <t xml:space="preserve">Because a change in one place can break unit / integration / e2e tests elsewhere, every phase ends with a test task that adds the new hard tests and re-greens the entire suite before deploy.</t>
  </si>
  <si>
    <t xml:space="preserve">Gate items</t>
  </si>
  <si>
    <t xml:space="preserve">For Critical gate items (isolation, authorization, grounding, SQL safety, error safety, no-dead-button, demo no-hardcoding) the doctrine forbids the '85%' standard — they ship at ~100% green.</t>
  </si>
  <si>
    <t xml:space="preserve">Provenance</t>
  </si>
  <si>
    <t xml:space="preserve">Source</t>
  </si>
  <si>
    <t xml:space="preserve">Tasks are derived from the PlantProcess IQ Implementation Validation Audit (02 Jun 2026), the v4 Doctrine and the 4-Track Vision. Bug-fix tasks (e.g. read-only-as-metadata, hardcoded tenant GUID, the correlation facade label, the dormant statistics library) come from the code scan.</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</si>
</sst>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02A43"/>
      <name val="Arial"/>
      <family val="0"/>
      <charset val="1"/>
    </font>
    <font>
      <b val="true"/>
      <sz val="10"/>
      <color rgb="FFFFFFFF"/>
      <name val="Arial"/>
      <family val="0"/>
      <charset val="1"/>
    </font>
    <font>
      <b val="true"/>
      <sz val="9"/>
      <color rgb="FF102A43"/>
      <name val="Arial"/>
      <family val="0"/>
      <charset val="1"/>
    </font>
    <font>
      <sz val="9"/>
      <color rgb="FF16202E"/>
      <name val="Arial"/>
      <family val="0"/>
      <charset val="1"/>
    </font>
    <font>
      <b val="true"/>
      <sz val="9"/>
      <color rgb="FFC8324F"/>
      <name val="Arial"/>
      <family val="0"/>
      <charset val="1"/>
    </font>
    <font>
      <b val="true"/>
      <sz val="9"/>
      <color rgb="FFB5781A"/>
      <name val="Arial"/>
      <family val="0"/>
      <charset val="1"/>
    </font>
    <font>
      <b val="true"/>
      <sz val="9"/>
      <color rgb="FF0A5FB4"/>
      <name val="Arial"/>
      <family val="0"/>
      <charset val="1"/>
    </font>
    <font>
      <b val="true"/>
      <sz val="9"/>
      <color rgb="FF5B6B80"/>
      <name val="Arial"/>
      <family val="0"/>
      <charset val="1"/>
    </font>
    <font>
      <b val="true"/>
      <sz val="10"/>
      <color rgb="FF102A43"/>
      <name val="Arial"/>
      <family val="0"/>
      <charset val="1"/>
    </font>
    <font>
      <sz val="10"/>
      <color rgb="FF16202E"/>
      <name val="Arial"/>
      <family val="0"/>
      <charset val="1"/>
    </font>
    <font>
      <b val="true"/>
      <sz val="10"/>
      <color rgb="FFC8324F"/>
      <name val="Arial"/>
      <family val="0"/>
      <charset val="1"/>
    </font>
    <font>
      <b val="true"/>
      <sz val="11"/>
      <color rgb="FF0A84FF"/>
      <name val="Arial"/>
      <family val="0"/>
      <charset val="1"/>
    </font>
  </fonts>
  <fills count="9">
    <fill>
      <patternFill patternType="none"/>
    </fill>
    <fill>
      <patternFill patternType="gray125"/>
    </fill>
    <fill>
      <patternFill patternType="solid">
        <fgColor rgb="FF102A43"/>
        <bgColor rgb="FF16202E"/>
      </patternFill>
    </fill>
    <fill>
      <patternFill patternType="solid">
        <fgColor rgb="FFE1F0FF"/>
        <bgColor rgb="FFEEF2F7"/>
      </patternFill>
    </fill>
    <fill>
      <patternFill patternType="solid">
        <fgColor rgb="FFF2F7FC"/>
        <bgColor rgb="FFEEF2F7"/>
      </patternFill>
    </fill>
    <fill>
      <patternFill patternType="solid">
        <fgColor rgb="FFFCE4EA"/>
        <bgColor rgb="FFFFF3DD"/>
      </patternFill>
    </fill>
    <fill>
      <patternFill patternType="solid">
        <fgColor rgb="FFFFF3DD"/>
        <bgColor rgb="FFFCE4EA"/>
      </patternFill>
    </fill>
    <fill>
      <patternFill patternType="solid">
        <fgColor rgb="FFFFFFFF"/>
        <bgColor rgb="FFF2F7FC"/>
      </patternFill>
    </fill>
    <fill>
      <patternFill patternType="solid">
        <fgColor rgb="FFEEF2F7"/>
        <bgColor rgb="FFF2F7FC"/>
      </patternFill>
    </fill>
  </fills>
  <borders count="2">
    <border diagonalUp="false" diagonalDown="false">
      <left/>
      <right/>
      <top/>
      <bottom/>
      <diagonal/>
    </border>
    <border diagonalUp="false" diagonalDown="false">
      <left style="thin">
        <color rgb="FFC9D4E2"/>
      </left>
      <right style="thin">
        <color rgb="FFC9D4E2"/>
      </right>
      <top style="thin">
        <color rgb="FFC9D4E2"/>
      </top>
      <bottom style="thin">
        <color rgb="FFC9D4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5" fontId="13" fillId="3"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13" fillId="7" borderId="1" xfId="0" applyFont="true" applyBorder="true" applyAlignment="true" applyProtection="false">
      <alignment horizontal="left" vertical="top" textRotation="0" wrapText="fals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5" fontId="14" fillId="7" borderId="1" xfId="0" applyFont="true" applyBorder="true" applyAlignment="true" applyProtection="false">
      <alignment horizontal="center" vertical="top" textRotation="0" wrapText="false" indent="0" shrinkToFit="false"/>
      <protection locked="true" hidden="false"/>
    </xf>
    <xf numFmtId="165" fontId="13" fillId="7" borderId="1" xfId="0" applyFont="true" applyBorder="true" applyAlignment="true" applyProtection="false">
      <alignment horizontal="center" vertical="top" textRotation="0" wrapText="false" indent="0" shrinkToFit="false"/>
      <protection locked="true" hidden="false"/>
    </xf>
    <xf numFmtId="165" fontId="15" fillId="7" borderId="1" xfId="0" applyFont="true" applyBorder="true" applyAlignment="true" applyProtection="false">
      <alignment horizontal="center" vertical="top" textRotation="0" wrapText="false" indent="0" shrinkToFit="false"/>
      <protection locked="true" hidden="false"/>
    </xf>
    <xf numFmtId="164" fontId="14" fillId="7" borderId="1" xfId="0" applyFont="true" applyBorder="true" applyAlignment="true" applyProtection="false">
      <alignment horizontal="left" vertical="top" textRotation="0" wrapText="false" indent="0" shrinkToFit="false"/>
      <protection locked="true" hidden="false"/>
    </xf>
    <xf numFmtId="164" fontId="13" fillId="4" borderId="1" xfId="0" applyFont="true" applyBorder="true" applyAlignment="true" applyProtection="false">
      <alignment horizontal="left" vertical="top" textRotation="0" wrapText="fals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5" fontId="14" fillId="4" borderId="1" xfId="0" applyFont="true" applyBorder="true" applyAlignment="true" applyProtection="false">
      <alignment horizontal="center" vertical="top" textRotation="0" wrapText="false" indent="0" shrinkToFit="false"/>
      <protection locked="true" hidden="false"/>
    </xf>
    <xf numFmtId="165" fontId="13" fillId="4" borderId="1" xfId="0" applyFont="true" applyBorder="true" applyAlignment="true" applyProtection="false">
      <alignment horizontal="center" vertical="top" textRotation="0" wrapText="false" indent="0" shrinkToFit="false"/>
      <protection locked="true" hidden="false"/>
    </xf>
    <xf numFmtId="165" fontId="15" fillId="4"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left" vertical="top"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02A43"/>
          <bgColor rgb="FF000000"/>
        </patternFill>
      </fill>
    </dxf>
    <dxf>
      <fill>
        <patternFill patternType="solid">
          <fgColor rgb="FFF2F7FC"/>
          <bgColor rgb="FF000000"/>
        </patternFill>
      </fill>
    </dxf>
    <dxf>
      <fill>
        <patternFill patternType="solid">
          <fgColor rgb="FFFFFFFF"/>
          <bgColor rgb="FF000000"/>
        </patternFill>
      </fill>
    </dxf>
    <dxf>
      <fill>
        <patternFill patternType="solid">
          <fgColor rgb="FF16202E"/>
          <bgColor rgb="FF000000"/>
        </patternFill>
      </fill>
    </dxf>
    <dxf>
      <fill>
        <patternFill patternType="solid">
          <fgColor rgb="FFE1F0FF"/>
          <bgColor rgb="FF000000"/>
        </patternFill>
      </fill>
    </dxf>
    <dxf>
      <fill>
        <patternFill patternType="solid">
          <fgColor rgb="FFEEF2F7"/>
          <bgColor rgb="FF000000"/>
        </patternFill>
      </fill>
    </dxf>
    <dxf>
      <fill>
        <patternFill patternType="solid">
          <fgColor rgb="FFFCE4EA"/>
          <bgColor rgb="FF000000"/>
        </patternFill>
      </fill>
    </dxf>
    <dxf>
      <fill>
        <patternFill patternType="solid">
          <fgColor rgb="FFFFF3DD"/>
          <bgColor rgb="FF000000"/>
        </patternFill>
      </fill>
    </dxf>
    <dxf>
      <fill>
        <patternFill patternType="solid">
          <fgColor rgb="FF0A5FB4"/>
          <bgColor rgb="FF000000"/>
        </patternFill>
      </fill>
    </dxf>
    <dxf>
      <fill>
        <patternFill patternType="solid">
          <fgColor rgb="FF5B6B80"/>
          <bgColor rgb="FF000000"/>
        </patternFill>
      </fill>
    </dxf>
    <dxf>
      <fill>
        <patternFill patternType="solid">
          <fgColor rgb="FFB5781A"/>
          <bgColor rgb="FF000000"/>
        </patternFill>
      </fill>
    </dxf>
    <dxf>
      <fill>
        <patternFill patternType="solid">
          <fgColor rgb="FFC8324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5781A"/>
      <rgbColor rgb="FF800080"/>
      <rgbColor rgb="FF008080"/>
      <rgbColor rgb="FFC0C0C0"/>
      <rgbColor rgb="FF808080"/>
      <rgbColor rgb="FF9999FF"/>
      <rgbColor rgb="FFC8324F"/>
      <rgbColor rgb="FFFFF3DD"/>
      <rgbColor rgb="FFE1F0FF"/>
      <rgbColor rgb="FF660066"/>
      <rgbColor rgb="FFFF8080"/>
      <rgbColor rgb="FF0A5FB4"/>
      <rgbColor rgb="FFC9D4E2"/>
      <rgbColor rgb="FF000080"/>
      <rgbColor rgb="FFFF00FF"/>
      <rgbColor rgb="FFFFFF00"/>
      <rgbColor rgb="FF00FFFF"/>
      <rgbColor rgb="FF800080"/>
      <rgbColor rgb="FF800000"/>
      <rgbColor rgb="FF008080"/>
      <rgbColor rgb="FF0000FF"/>
      <rgbColor rgb="FF00CCFF"/>
      <rgbColor rgb="FFEEF2F7"/>
      <rgbColor rgb="FFF2F7FC"/>
      <rgbColor rgb="FFFFFF99"/>
      <rgbColor rgb="FF99CCFF"/>
      <rgbColor rgb="FFFF99CC"/>
      <rgbColor rgb="FFCC99FF"/>
      <rgbColor rgb="FFFCE4EA"/>
      <rgbColor rgb="FF0A84FF"/>
      <rgbColor rgb="FF33CCCC"/>
      <rgbColor rgb="FF99CC00"/>
      <rgbColor rgb="FFFFCC00"/>
      <rgbColor rgb="FFFF9900"/>
      <rgbColor rgb="FFFF6600"/>
      <rgbColor rgb="FF5B6B80"/>
      <rgbColor rgb="FF969696"/>
      <rgbColor rgb="FF102A43"/>
      <rgbColor rgb="FF339966"/>
      <rgbColor rgb="FF003300"/>
      <rgbColor rgb="FF333300"/>
      <rgbColor rgb="FF993300"/>
      <rgbColor rgb="FF993366"/>
      <rgbColor rgb="FF333399"/>
      <rgbColor rgb="FF1620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3"/>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72"/>
    <col collapsed="false" customWidth="true" hidden="false" outlineLevel="0" max="9" min="9" style="0" width="62"/>
    <col collapsed="false" customWidth="true" hidden="false" outlineLevel="0" max="10" min="10" style="0" width="14"/>
    <col collapsed="false" customWidth="true" hidden="false" outlineLevel="0" max="11" min="11" style="0" width="9"/>
  </cols>
  <sheetData>
    <row r="1" customFormat="false" ht="25.5"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105.95" hidden="false" customHeight="false" outlineLevel="0" collapsed="false">
      <c r="A4" s="4" t="s">
        <v>13</v>
      </c>
      <c r="B4" s="5" t="s">
        <v>14</v>
      </c>
      <c r="C4" s="6" t="s">
        <v>15</v>
      </c>
      <c r="D4" s="5" t="s">
        <v>16</v>
      </c>
      <c r="E4" s="5" t="s">
        <v>17</v>
      </c>
      <c r="F4" s="5" t="s">
        <v>18</v>
      </c>
      <c r="G4" s="7" t="s">
        <v>19</v>
      </c>
      <c r="H4" s="5" t="s">
        <v>20</v>
      </c>
      <c r="I4" s="5" t="s">
        <v>21</v>
      </c>
      <c r="J4" s="5" t="s">
        <v>22</v>
      </c>
      <c r="K4" s="8" t="n">
        <v>8</v>
      </c>
    </row>
    <row r="5" customFormat="false" ht="53.7" hidden="false" customHeight="false" outlineLevel="0" collapsed="false">
      <c r="A5" s="4" t="s">
        <v>23</v>
      </c>
      <c r="B5" s="5" t="s">
        <v>24</v>
      </c>
      <c r="C5" s="6" t="s">
        <v>15</v>
      </c>
      <c r="D5" s="5" t="s">
        <v>16</v>
      </c>
      <c r="E5" s="5" t="s">
        <v>17</v>
      </c>
      <c r="F5" s="5" t="s">
        <v>25</v>
      </c>
      <c r="G5" s="9" t="s">
        <v>26</v>
      </c>
      <c r="H5" s="5" t="s">
        <v>27</v>
      </c>
      <c r="I5" s="5" t="s">
        <v>28</v>
      </c>
      <c r="J5" s="5" t="s">
        <v>29</v>
      </c>
      <c r="K5" s="8" t="n">
        <v>10</v>
      </c>
    </row>
    <row r="6" customFormat="false" ht="74.6" hidden="false" customHeight="false" outlineLevel="0" collapsed="false">
      <c r="A6" s="4" t="s">
        <v>30</v>
      </c>
      <c r="B6" s="5" t="s">
        <v>31</v>
      </c>
      <c r="C6" s="6" t="s">
        <v>15</v>
      </c>
      <c r="D6" s="5" t="s">
        <v>32</v>
      </c>
      <c r="E6" s="5" t="s">
        <v>17</v>
      </c>
      <c r="F6" s="5" t="s">
        <v>33</v>
      </c>
      <c r="G6" s="7" t="s">
        <v>19</v>
      </c>
      <c r="H6" s="5" t="s">
        <v>34</v>
      </c>
      <c r="I6" s="5" t="s">
        <v>35</v>
      </c>
      <c r="J6" s="5" t="s">
        <v>36</v>
      </c>
      <c r="K6" s="8" t="n">
        <v>8</v>
      </c>
    </row>
    <row r="7" customFormat="false" ht="53.7" hidden="false" customHeight="false" outlineLevel="0" collapsed="false">
      <c r="A7" s="4" t="s">
        <v>37</v>
      </c>
      <c r="B7" s="5" t="s">
        <v>38</v>
      </c>
      <c r="C7" s="6" t="s">
        <v>15</v>
      </c>
      <c r="D7" s="5" t="s">
        <v>32</v>
      </c>
      <c r="E7" s="5" t="s">
        <v>17</v>
      </c>
      <c r="F7" s="5" t="s">
        <v>18</v>
      </c>
      <c r="G7" s="10" t="s">
        <v>39</v>
      </c>
      <c r="H7" s="5" t="s">
        <v>40</v>
      </c>
      <c r="I7" s="5" t="s">
        <v>41</v>
      </c>
      <c r="J7" s="5" t="s">
        <v>16</v>
      </c>
      <c r="K7" s="8" t="n">
        <v>5</v>
      </c>
    </row>
    <row r="8" customFormat="false" ht="64.15" hidden="false" customHeight="false" outlineLevel="0" collapsed="false">
      <c r="A8" s="4" t="s">
        <v>42</v>
      </c>
      <c r="B8" s="5" t="s">
        <v>43</v>
      </c>
      <c r="C8" s="6" t="s">
        <v>15</v>
      </c>
      <c r="D8" s="5" t="s">
        <v>16</v>
      </c>
      <c r="E8" s="5" t="s">
        <v>44</v>
      </c>
      <c r="F8" s="5" t="s">
        <v>45</v>
      </c>
      <c r="G8" s="9" t="s">
        <v>26</v>
      </c>
      <c r="H8" s="5" t="s">
        <v>46</v>
      </c>
      <c r="I8" s="5" t="s">
        <v>47</v>
      </c>
      <c r="J8" s="5" t="s">
        <v>29</v>
      </c>
      <c r="K8" s="8" t="n">
        <v>6</v>
      </c>
    </row>
    <row r="9" customFormat="false" ht="64.15" hidden="false" customHeight="false" outlineLevel="0" collapsed="false">
      <c r="A9" s="4" t="s">
        <v>48</v>
      </c>
      <c r="B9" s="5" t="s">
        <v>49</v>
      </c>
      <c r="C9" s="6" t="s">
        <v>15</v>
      </c>
      <c r="D9" s="5" t="s">
        <v>50</v>
      </c>
      <c r="E9" s="5" t="s">
        <v>51</v>
      </c>
      <c r="F9" s="5" t="s">
        <v>52</v>
      </c>
      <c r="G9" s="10" t="s">
        <v>39</v>
      </c>
      <c r="H9" s="5" t="s">
        <v>53</v>
      </c>
      <c r="I9" s="5" t="s">
        <v>54</v>
      </c>
      <c r="J9" s="5" t="s">
        <v>36</v>
      </c>
      <c r="K9" s="8" t="n">
        <v>4</v>
      </c>
    </row>
    <row r="10" customFormat="false" ht="64.15" hidden="false" customHeight="false" outlineLevel="0" collapsed="false">
      <c r="A10" s="4" t="s">
        <v>55</v>
      </c>
      <c r="B10" s="5" t="s">
        <v>56</v>
      </c>
      <c r="C10" s="6" t="s">
        <v>15</v>
      </c>
      <c r="D10" s="5" t="s">
        <v>16</v>
      </c>
      <c r="E10" s="5" t="s">
        <v>57</v>
      </c>
      <c r="F10" s="5" t="s">
        <v>58</v>
      </c>
      <c r="G10" s="9" t="s">
        <v>26</v>
      </c>
      <c r="H10" s="5" t="s">
        <v>59</v>
      </c>
      <c r="I10" s="5" t="s">
        <v>60</v>
      </c>
      <c r="J10" s="5" t="s">
        <v>61</v>
      </c>
      <c r="K10" s="8" t="n">
        <v>10</v>
      </c>
    </row>
    <row r="11" customFormat="false" ht="53.7" hidden="false" customHeight="false" outlineLevel="0" collapsed="false">
      <c r="A11" s="11" t="s">
        <v>62</v>
      </c>
      <c r="B11" s="12" t="s">
        <v>63</v>
      </c>
      <c r="C11" s="13" t="s">
        <v>64</v>
      </c>
      <c r="D11" s="12" t="s">
        <v>32</v>
      </c>
      <c r="E11" s="12" t="s">
        <v>17</v>
      </c>
      <c r="F11" s="12" t="s">
        <v>65</v>
      </c>
      <c r="G11" s="7" t="s">
        <v>19</v>
      </c>
      <c r="H11" s="12" t="s">
        <v>66</v>
      </c>
      <c r="I11" s="12" t="s">
        <v>67</v>
      </c>
      <c r="J11" s="12" t="s">
        <v>22</v>
      </c>
      <c r="K11" s="14" t="n">
        <v>8</v>
      </c>
    </row>
    <row r="12" customFormat="false" ht="43.25" hidden="false" customHeight="false" outlineLevel="0" collapsed="false">
      <c r="A12" s="11" t="s">
        <v>68</v>
      </c>
      <c r="B12" s="12" t="s">
        <v>69</v>
      </c>
      <c r="C12" s="13" t="s">
        <v>64</v>
      </c>
      <c r="D12" s="12" t="s">
        <v>32</v>
      </c>
      <c r="E12" s="12" t="s">
        <v>17</v>
      </c>
      <c r="F12" s="12" t="s">
        <v>65</v>
      </c>
      <c r="G12" s="7" t="s">
        <v>19</v>
      </c>
      <c r="H12" s="12" t="s">
        <v>70</v>
      </c>
      <c r="I12" s="12" t="s">
        <v>71</v>
      </c>
      <c r="J12" s="12" t="s">
        <v>36</v>
      </c>
      <c r="K12" s="14" t="n">
        <v>10</v>
      </c>
    </row>
    <row r="13" customFormat="false" ht="53.7" hidden="false" customHeight="false" outlineLevel="0" collapsed="false">
      <c r="A13" s="11" t="s">
        <v>72</v>
      </c>
      <c r="B13" s="12" t="s">
        <v>73</v>
      </c>
      <c r="C13" s="13" t="s">
        <v>64</v>
      </c>
      <c r="D13" s="12" t="s">
        <v>32</v>
      </c>
      <c r="E13" s="12" t="s">
        <v>51</v>
      </c>
      <c r="F13" s="12" t="s">
        <v>65</v>
      </c>
      <c r="G13" s="7" t="s">
        <v>19</v>
      </c>
      <c r="H13" s="12" t="s">
        <v>74</v>
      </c>
      <c r="I13" s="12" t="s">
        <v>75</v>
      </c>
      <c r="J13" s="12" t="s">
        <v>22</v>
      </c>
      <c r="K13" s="14" t="n">
        <v>12</v>
      </c>
    </row>
    <row r="14" customFormat="false" ht="43.25" hidden="false" customHeight="false" outlineLevel="0" collapsed="false">
      <c r="A14" s="11" t="s">
        <v>76</v>
      </c>
      <c r="B14" s="12" t="s">
        <v>77</v>
      </c>
      <c r="C14" s="13" t="s">
        <v>64</v>
      </c>
      <c r="D14" s="12" t="s">
        <v>50</v>
      </c>
      <c r="E14" s="12" t="s">
        <v>17</v>
      </c>
      <c r="F14" s="12" t="s">
        <v>65</v>
      </c>
      <c r="G14" s="9" t="s">
        <v>26</v>
      </c>
      <c r="H14" s="12" t="s">
        <v>78</v>
      </c>
      <c r="I14" s="12" t="s">
        <v>79</v>
      </c>
      <c r="J14" s="12" t="s">
        <v>80</v>
      </c>
      <c r="K14" s="14" t="n">
        <v>10</v>
      </c>
    </row>
    <row r="15" customFormat="false" ht="43.25" hidden="false" customHeight="false" outlineLevel="0" collapsed="false">
      <c r="A15" s="11" t="s">
        <v>81</v>
      </c>
      <c r="B15" s="12" t="s">
        <v>82</v>
      </c>
      <c r="C15" s="13" t="s">
        <v>64</v>
      </c>
      <c r="D15" s="12" t="s">
        <v>32</v>
      </c>
      <c r="E15" s="12" t="s">
        <v>57</v>
      </c>
      <c r="F15" s="12" t="s">
        <v>65</v>
      </c>
      <c r="G15" s="7" t="s">
        <v>19</v>
      </c>
      <c r="H15" s="12" t="s">
        <v>83</v>
      </c>
      <c r="I15" s="12" t="s">
        <v>84</v>
      </c>
      <c r="J15" s="12" t="s">
        <v>61</v>
      </c>
      <c r="K15" s="14" t="n">
        <v>12</v>
      </c>
    </row>
    <row r="16" customFormat="false" ht="85.05" hidden="false" customHeight="false" outlineLevel="0" collapsed="false">
      <c r="A16" s="4" t="s">
        <v>85</v>
      </c>
      <c r="B16" s="5" t="s">
        <v>86</v>
      </c>
      <c r="C16" s="6" t="s">
        <v>87</v>
      </c>
      <c r="D16" s="5" t="s">
        <v>50</v>
      </c>
      <c r="E16" s="5" t="s">
        <v>17</v>
      </c>
      <c r="F16" s="5" t="s">
        <v>88</v>
      </c>
      <c r="G16" s="7" t="s">
        <v>19</v>
      </c>
      <c r="H16" s="5" t="s">
        <v>89</v>
      </c>
      <c r="I16" s="5" t="s">
        <v>90</v>
      </c>
      <c r="J16" s="5" t="s">
        <v>22</v>
      </c>
      <c r="K16" s="8" t="n">
        <v>10</v>
      </c>
    </row>
    <row r="17" customFormat="false" ht="53.7" hidden="false" customHeight="false" outlineLevel="0" collapsed="false">
      <c r="A17" s="4" t="s">
        <v>91</v>
      </c>
      <c r="B17" s="5" t="s">
        <v>92</v>
      </c>
      <c r="C17" s="6" t="s">
        <v>87</v>
      </c>
      <c r="D17" s="5" t="s">
        <v>50</v>
      </c>
      <c r="E17" s="5" t="s">
        <v>17</v>
      </c>
      <c r="F17" s="5" t="s">
        <v>88</v>
      </c>
      <c r="G17" s="7" t="s">
        <v>19</v>
      </c>
      <c r="H17" s="5" t="s">
        <v>93</v>
      </c>
      <c r="I17" s="5" t="s">
        <v>94</v>
      </c>
      <c r="J17" s="5" t="s">
        <v>22</v>
      </c>
      <c r="K17" s="8" t="n">
        <v>12</v>
      </c>
    </row>
    <row r="18" customFormat="false" ht="43.25" hidden="false" customHeight="false" outlineLevel="0" collapsed="false">
      <c r="A18" s="4" t="s">
        <v>95</v>
      </c>
      <c r="B18" s="5" t="s">
        <v>96</v>
      </c>
      <c r="C18" s="6" t="s">
        <v>87</v>
      </c>
      <c r="D18" s="5" t="s">
        <v>50</v>
      </c>
      <c r="E18" s="5" t="s">
        <v>17</v>
      </c>
      <c r="F18" s="5" t="s">
        <v>88</v>
      </c>
      <c r="G18" s="9" t="s">
        <v>26</v>
      </c>
      <c r="H18" s="5" t="s">
        <v>97</v>
      </c>
      <c r="I18" s="5" t="s">
        <v>98</v>
      </c>
      <c r="J18" s="5" t="s">
        <v>22</v>
      </c>
      <c r="K18" s="8" t="n">
        <v>8</v>
      </c>
    </row>
    <row r="19" customFormat="false" ht="43.25" hidden="false" customHeight="false" outlineLevel="0" collapsed="false">
      <c r="A19" s="4" t="s">
        <v>99</v>
      </c>
      <c r="B19" s="5" t="s">
        <v>100</v>
      </c>
      <c r="C19" s="6" t="s">
        <v>87</v>
      </c>
      <c r="D19" s="5" t="s">
        <v>50</v>
      </c>
      <c r="E19" s="5" t="s">
        <v>17</v>
      </c>
      <c r="F19" s="5" t="s">
        <v>88</v>
      </c>
      <c r="G19" s="7" t="s">
        <v>19</v>
      </c>
      <c r="H19" s="5" t="s">
        <v>101</v>
      </c>
      <c r="I19" s="5" t="s">
        <v>102</v>
      </c>
      <c r="J19" s="5" t="s">
        <v>22</v>
      </c>
      <c r="K19" s="8" t="n">
        <v>10</v>
      </c>
    </row>
    <row r="20" customFormat="false" ht="43.25" hidden="false" customHeight="false" outlineLevel="0" collapsed="false">
      <c r="A20" s="4" t="s">
        <v>103</v>
      </c>
      <c r="B20" s="5" t="s">
        <v>104</v>
      </c>
      <c r="C20" s="6" t="s">
        <v>87</v>
      </c>
      <c r="D20" s="5" t="s">
        <v>50</v>
      </c>
      <c r="E20" s="5" t="s">
        <v>51</v>
      </c>
      <c r="F20" s="5" t="s">
        <v>88</v>
      </c>
      <c r="G20" s="9" t="s">
        <v>26</v>
      </c>
      <c r="H20" s="5" t="s">
        <v>105</v>
      </c>
      <c r="I20" s="5" t="s">
        <v>106</v>
      </c>
      <c r="J20" s="5" t="s">
        <v>22</v>
      </c>
      <c r="K20" s="8" t="n">
        <v>8</v>
      </c>
    </row>
    <row r="21" customFormat="false" ht="53.7" hidden="false" customHeight="false" outlineLevel="0" collapsed="false">
      <c r="A21" s="4" t="s">
        <v>107</v>
      </c>
      <c r="B21" s="5" t="s">
        <v>108</v>
      </c>
      <c r="C21" s="6" t="s">
        <v>87</v>
      </c>
      <c r="D21" s="5" t="s">
        <v>50</v>
      </c>
      <c r="E21" s="5" t="s">
        <v>57</v>
      </c>
      <c r="F21" s="5" t="s">
        <v>88</v>
      </c>
      <c r="G21" s="9" t="s">
        <v>26</v>
      </c>
      <c r="H21" s="5" t="s">
        <v>109</v>
      </c>
      <c r="I21" s="5" t="s">
        <v>110</v>
      </c>
      <c r="J21" s="5" t="s">
        <v>61</v>
      </c>
      <c r="K21" s="8" t="n">
        <v>8</v>
      </c>
    </row>
    <row r="22" customFormat="false" ht="43.25" hidden="false" customHeight="false" outlineLevel="0" collapsed="false">
      <c r="A22" s="11" t="s">
        <v>111</v>
      </c>
      <c r="B22" s="12" t="s">
        <v>112</v>
      </c>
      <c r="C22" s="13" t="s">
        <v>113</v>
      </c>
      <c r="D22" s="12" t="s">
        <v>50</v>
      </c>
      <c r="E22" s="12" t="s">
        <v>17</v>
      </c>
      <c r="F22" s="12" t="s">
        <v>88</v>
      </c>
      <c r="G22" s="7" t="s">
        <v>19</v>
      </c>
      <c r="H22" s="12" t="s">
        <v>114</v>
      </c>
      <c r="I22" s="12" t="s">
        <v>115</v>
      </c>
      <c r="J22" s="12" t="s">
        <v>80</v>
      </c>
      <c r="K22" s="14" t="n">
        <v>8</v>
      </c>
    </row>
    <row r="23" customFormat="false" ht="43.25" hidden="false" customHeight="false" outlineLevel="0" collapsed="false">
      <c r="A23" s="11" t="s">
        <v>116</v>
      </c>
      <c r="B23" s="12" t="s">
        <v>117</v>
      </c>
      <c r="C23" s="13" t="s">
        <v>113</v>
      </c>
      <c r="D23" s="12" t="s">
        <v>50</v>
      </c>
      <c r="E23" s="12" t="s">
        <v>17</v>
      </c>
      <c r="F23" s="12" t="s">
        <v>88</v>
      </c>
      <c r="G23" s="9" t="s">
        <v>26</v>
      </c>
      <c r="H23" s="12" t="s">
        <v>118</v>
      </c>
      <c r="I23" s="12" t="s">
        <v>119</v>
      </c>
      <c r="J23" s="12" t="s">
        <v>29</v>
      </c>
      <c r="K23" s="14" t="n">
        <v>6</v>
      </c>
    </row>
    <row r="24" customFormat="false" ht="43.25" hidden="false" customHeight="false" outlineLevel="0" collapsed="false">
      <c r="A24" s="11" t="s">
        <v>120</v>
      </c>
      <c r="B24" s="12" t="s">
        <v>121</v>
      </c>
      <c r="C24" s="13" t="s">
        <v>113</v>
      </c>
      <c r="D24" s="12" t="s">
        <v>50</v>
      </c>
      <c r="E24" s="12" t="s">
        <v>17</v>
      </c>
      <c r="F24" s="12" t="s">
        <v>122</v>
      </c>
      <c r="G24" s="9" t="s">
        <v>26</v>
      </c>
      <c r="H24" s="12" t="s">
        <v>123</v>
      </c>
      <c r="I24" s="12" t="s">
        <v>124</v>
      </c>
      <c r="J24" s="12" t="s">
        <v>22</v>
      </c>
      <c r="K24" s="14" t="n">
        <v>6</v>
      </c>
    </row>
    <row r="25" customFormat="false" ht="53.7" hidden="false" customHeight="false" outlineLevel="0" collapsed="false">
      <c r="A25" s="11" t="s">
        <v>125</v>
      </c>
      <c r="B25" s="12" t="s">
        <v>126</v>
      </c>
      <c r="C25" s="13" t="s">
        <v>113</v>
      </c>
      <c r="D25" s="12" t="s">
        <v>50</v>
      </c>
      <c r="E25" s="12" t="s">
        <v>44</v>
      </c>
      <c r="F25" s="12" t="s">
        <v>127</v>
      </c>
      <c r="G25" s="9" t="s">
        <v>26</v>
      </c>
      <c r="H25" s="12" t="s">
        <v>128</v>
      </c>
      <c r="I25" s="12" t="s">
        <v>129</v>
      </c>
      <c r="J25" s="12" t="s">
        <v>22</v>
      </c>
      <c r="K25" s="14" t="n">
        <v>12</v>
      </c>
    </row>
    <row r="26" customFormat="false" ht="43.25" hidden="false" customHeight="false" outlineLevel="0" collapsed="false">
      <c r="A26" s="11" t="s">
        <v>130</v>
      </c>
      <c r="B26" s="12" t="s">
        <v>131</v>
      </c>
      <c r="C26" s="13" t="s">
        <v>113</v>
      </c>
      <c r="D26" s="12" t="s">
        <v>132</v>
      </c>
      <c r="E26" s="12" t="s">
        <v>44</v>
      </c>
      <c r="F26" s="12" t="s">
        <v>127</v>
      </c>
      <c r="G26" s="10" t="s">
        <v>39</v>
      </c>
      <c r="H26" s="12" t="s">
        <v>133</v>
      </c>
      <c r="I26" s="12" t="s">
        <v>134</v>
      </c>
      <c r="J26" s="12" t="s">
        <v>22</v>
      </c>
      <c r="K26" s="14" t="n">
        <v>10</v>
      </c>
    </row>
    <row r="27" customFormat="false" ht="32.8" hidden="false" customHeight="false" outlineLevel="0" collapsed="false">
      <c r="A27" s="11" t="s">
        <v>135</v>
      </c>
      <c r="B27" s="12" t="s">
        <v>136</v>
      </c>
      <c r="C27" s="13" t="s">
        <v>113</v>
      </c>
      <c r="D27" s="12" t="s">
        <v>50</v>
      </c>
      <c r="E27" s="12" t="s">
        <v>57</v>
      </c>
      <c r="F27" s="12" t="s">
        <v>88</v>
      </c>
      <c r="G27" s="9" t="s">
        <v>26</v>
      </c>
      <c r="H27" s="12" t="s">
        <v>137</v>
      </c>
      <c r="I27" s="12" t="s">
        <v>138</v>
      </c>
      <c r="J27" s="12" t="s">
        <v>61</v>
      </c>
      <c r="K27" s="14" t="n">
        <v>8</v>
      </c>
    </row>
    <row r="28" customFormat="false" ht="53.7" hidden="false" customHeight="false" outlineLevel="0" collapsed="false">
      <c r="A28" s="4" t="s">
        <v>139</v>
      </c>
      <c r="B28" s="5" t="s">
        <v>140</v>
      </c>
      <c r="C28" s="6" t="s">
        <v>141</v>
      </c>
      <c r="D28" s="5" t="s">
        <v>142</v>
      </c>
      <c r="E28" s="5" t="s">
        <v>57</v>
      </c>
      <c r="F28" s="5" t="s">
        <v>33</v>
      </c>
      <c r="G28" s="9" t="s">
        <v>26</v>
      </c>
      <c r="H28" s="5" t="s">
        <v>143</v>
      </c>
      <c r="I28" s="5" t="s">
        <v>144</v>
      </c>
      <c r="J28" s="5" t="s">
        <v>61</v>
      </c>
      <c r="K28" s="8" t="n">
        <v>10</v>
      </c>
    </row>
    <row r="29" customFormat="false" ht="32.8" hidden="false" customHeight="false" outlineLevel="0" collapsed="false">
      <c r="A29" s="4" t="s">
        <v>145</v>
      </c>
      <c r="B29" s="5" t="s">
        <v>146</v>
      </c>
      <c r="C29" s="6" t="s">
        <v>141</v>
      </c>
      <c r="D29" s="5" t="s">
        <v>142</v>
      </c>
      <c r="E29" s="5" t="s">
        <v>57</v>
      </c>
      <c r="F29" s="5" t="s">
        <v>33</v>
      </c>
      <c r="G29" s="10" t="s">
        <v>39</v>
      </c>
      <c r="H29" s="5" t="s">
        <v>147</v>
      </c>
      <c r="I29" s="5" t="s">
        <v>148</v>
      </c>
      <c r="J29" s="5" t="s">
        <v>61</v>
      </c>
      <c r="K29" s="8" t="n">
        <v>12</v>
      </c>
    </row>
    <row r="30" customFormat="false" ht="43.25" hidden="false" customHeight="false" outlineLevel="0" collapsed="false">
      <c r="A30" s="4" t="s">
        <v>149</v>
      </c>
      <c r="B30" s="5" t="s">
        <v>150</v>
      </c>
      <c r="C30" s="6" t="s">
        <v>141</v>
      </c>
      <c r="D30" s="5" t="s">
        <v>142</v>
      </c>
      <c r="E30" s="5" t="s">
        <v>17</v>
      </c>
      <c r="F30" s="5" t="s">
        <v>33</v>
      </c>
      <c r="G30" s="10" t="s">
        <v>39</v>
      </c>
      <c r="H30" s="5" t="s">
        <v>151</v>
      </c>
      <c r="I30" s="5" t="s">
        <v>152</v>
      </c>
      <c r="J30" s="5" t="s">
        <v>80</v>
      </c>
      <c r="K30" s="8" t="n">
        <v>4</v>
      </c>
    </row>
    <row r="31" customFormat="false" ht="43.25" hidden="false" customHeight="false" outlineLevel="0" collapsed="false">
      <c r="A31" s="4" t="s">
        <v>153</v>
      </c>
      <c r="B31" s="5" t="s">
        <v>154</v>
      </c>
      <c r="C31" s="6" t="s">
        <v>141</v>
      </c>
      <c r="D31" s="5" t="s">
        <v>132</v>
      </c>
      <c r="E31" s="5" t="s">
        <v>17</v>
      </c>
      <c r="F31" s="5" t="s">
        <v>155</v>
      </c>
      <c r="G31" s="9" t="s">
        <v>26</v>
      </c>
      <c r="H31" s="5" t="s">
        <v>156</v>
      </c>
      <c r="I31" s="5" t="s">
        <v>157</v>
      </c>
      <c r="J31" s="5" t="s">
        <v>16</v>
      </c>
      <c r="K31" s="8" t="n">
        <v>10</v>
      </c>
    </row>
    <row r="32" customFormat="false" ht="43.25" hidden="false" customHeight="false" outlineLevel="0" collapsed="false">
      <c r="A32" s="4" t="s">
        <v>158</v>
      </c>
      <c r="B32" s="5" t="s">
        <v>159</v>
      </c>
      <c r="C32" s="6" t="s">
        <v>141</v>
      </c>
      <c r="D32" s="5" t="s">
        <v>132</v>
      </c>
      <c r="E32" s="5" t="s">
        <v>44</v>
      </c>
      <c r="F32" s="5" t="s">
        <v>155</v>
      </c>
      <c r="G32" s="10" t="s">
        <v>39</v>
      </c>
      <c r="H32" s="5" t="s">
        <v>160</v>
      </c>
      <c r="I32" s="5" t="s">
        <v>161</v>
      </c>
      <c r="J32" s="5" t="s">
        <v>80</v>
      </c>
      <c r="K32" s="8" t="n">
        <v>8</v>
      </c>
    </row>
    <row r="33" customFormat="false" ht="22.35" hidden="false" customHeight="false" outlineLevel="0" collapsed="false">
      <c r="A33" s="4" t="s">
        <v>162</v>
      </c>
      <c r="B33" s="5" t="s">
        <v>163</v>
      </c>
      <c r="C33" s="6" t="s">
        <v>141</v>
      </c>
      <c r="D33" s="5" t="s">
        <v>142</v>
      </c>
      <c r="E33" s="5" t="s">
        <v>57</v>
      </c>
      <c r="F33" s="5" t="s">
        <v>164</v>
      </c>
      <c r="G33" s="9" t="s">
        <v>26</v>
      </c>
      <c r="H33" s="5" t="s">
        <v>165</v>
      </c>
      <c r="I33" s="5" t="s">
        <v>166</v>
      </c>
      <c r="J33" s="5" t="s">
        <v>61</v>
      </c>
      <c r="K33" s="8" t="n">
        <v>8</v>
      </c>
    </row>
    <row r="34" customFormat="false" ht="53.7" hidden="false" customHeight="false" outlineLevel="0" collapsed="false">
      <c r="A34" s="11" t="s">
        <v>167</v>
      </c>
      <c r="B34" s="12" t="s">
        <v>168</v>
      </c>
      <c r="C34" s="13" t="s">
        <v>169</v>
      </c>
      <c r="D34" s="12" t="s">
        <v>132</v>
      </c>
      <c r="E34" s="12" t="s">
        <v>17</v>
      </c>
      <c r="F34" s="12" t="s">
        <v>170</v>
      </c>
      <c r="G34" s="9" t="s">
        <v>26</v>
      </c>
      <c r="H34" s="12" t="s">
        <v>171</v>
      </c>
      <c r="I34" s="12" t="s">
        <v>172</v>
      </c>
      <c r="J34" s="12" t="s">
        <v>22</v>
      </c>
      <c r="K34" s="14" t="n">
        <v>10</v>
      </c>
    </row>
    <row r="35" customFormat="false" ht="43.25" hidden="false" customHeight="false" outlineLevel="0" collapsed="false">
      <c r="A35" s="11" t="s">
        <v>173</v>
      </c>
      <c r="B35" s="12" t="s">
        <v>174</v>
      </c>
      <c r="C35" s="13" t="s">
        <v>169</v>
      </c>
      <c r="D35" s="12" t="s">
        <v>16</v>
      </c>
      <c r="E35" s="12" t="s">
        <v>44</v>
      </c>
      <c r="F35" s="12" t="s">
        <v>175</v>
      </c>
      <c r="G35" s="10" t="s">
        <v>39</v>
      </c>
      <c r="H35" s="12" t="s">
        <v>176</v>
      </c>
      <c r="I35" s="12" t="s">
        <v>177</v>
      </c>
      <c r="J35" s="12" t="s">
        <v>80</v>
      </c>
      <c r="K35" s="14" t="n">
        <v>10</v>
      </c>
    </row>
    <row r="36" customFormat="false" ht="43.25" hidden="false" customHeight="false" outlineLevel="0" collapsed="false">
      <c r="A36" s="11" t="s">
        <v>178</v>
      </c>
      <c r="B36" s="12" t="s">
        <v>179</v>
      </c>
      <c r="C36" s="13" t="s">
        <v>169</v>
      </c>
      <c r="D36" s="12" t="s">
        <v>132</v>
      </c>
      <c r="E36" s="12" t="s">
        <v>17</v>
      </c>
      <c r="F36" s="12" t="s">
        <v>180</v>
      </c>
      <c r="G36" s="9" t="s">
        <v>26</v>
      </c>
      <c r="H36" s="12" t="s">
        <v>181</v>
      </c>
      <c r="I36" s="12" t="s">
        <v>182</v>
      </c>
      <c r="J36" s="12" t="s">
        <v>16</v>
      </c>
      <c r="K36" s="14" t="n">
        <v>10</v>
      </c>
    </row>
    <row r="37" customFormat="false" ht="53.7" hidden="false" customHeight="false" outlineLevel="0" collapsed="false">
      <c r="A37" s="11" t="s">
        <v>183</v>
      </c>
      <c r="B37" s="12" t="s">
        <v>184</v>
      </c>
      <c r="C37" s="13" t="s">
        <v>169</v>
      </c>
      <c r="D37" s="12" t="s">
        <v>132</v>
      </c>
      <c r="E37" s="12" t="s">
        <v>17</v>
      </c>
      <c r="F37" s="12" t="s">
        <v>185</v>
      </c>
      <c r="G37" s="9" t="s">
        <v>26</v>
      </c>
      <c r="H37" s="12" t="s">
        <v>186</v>
      </c>
      <c r="I37" s="12" t="s">
        <v>187</v>
      </c>
      <c r="J37" s="12" t="s">
        <v>22</v>
      </c>
      <c r="K37" s="14" t="n">
        <v>12</v>
      </c>
    </row>
    <row r="38" customFormat="false" ht="32.8" hidden="false" customHeight="false" outlineLevel="0" collapsed="false">
      <c r="A38" s="11" t="s">
        <v>188</v>
      </c>
      <c r="B38" s="12" t="s">
        <v>189</v>
      </c>
      <c r="C38" s="13" t="s">
        <v>169</v>
      </c>
      <c r="D38" s="12" t="s">
        <v>132</v>
      </c>
      <c r="E38" s="12" t="s">
        <v>44</v>
      </c>
      <c r="F38" s="12" t="s">
        <v>185</v>
      </c>
      <c r="G38" s="10" t="s">
        <v>39</v>
      </c>
      <c r="H38" s="12" t="s">
        <v>190</v>
      </c>
      <c r="I38" s="12" t="s">
        <v>191</v>
      </c>
      <c r="J38" s="12" t="s">
        <v>22</v>
      </c>
      <c r="K38" s="14" t="n">
        <v>8</v>
      </c>
    </row>
    <row r="39" customFormat="false" ht="32.8" hidden="false" customHeight="false" outlineLevel="0" collapsed="false">
      <c r="A39" s="11" t="s">
        <v>192</v>
      </c>
      <c r="B39" s="12" t="s">
        <v>193</v>
      </c>
      <c r="C39" s="13" t="s">
        <v>169</v>
      </c>
      <c r="D39" s="12" t="s">
        <v>132</v>
      </c>
      <c r="E39" s="12" t="s">
        <v>57</v>
      </c>
      <c r="F39" s="12" t="s">
        <v>194</v>
      </c>
      <c r="G39" s="9" t="s">
        <v>26</v>
      </c>
      <c r="H39" s="12" t="s">
        <v>195</v>
      </c>
      <c r="I39" s="12" t="s">
        <v>196</v>
      </c>
      <c r="J39" s="12" t="s">
        <v>61</v>
      </c>
      <c r="K39" s="14" t="n">
        <v>8</v>
      </c>
    </row>
    <row r="40" customFormat="false" ht="43.25" hidden="false" customHeight="false" outlineLevel="0" collapsed="false">
      <c r="A40" s="4" t="s">
        <v>197</v>
      </c>
      <c r="B40" s="5" t="s">
        <v>198</v>
      </c>
      <c r="C40" s="6" t="s">
        <v>199</v>
      </c>
      <c r="D40" s="5" t="s">
        <v>200</v>
      </c>
      <c r="E40" s="5" t="s">
        <v>201</v>
      </c>
      <c r="F40" s="5" t="s">
        <v>202</v>
      </c>
      <c r="G40" s="9" t="s">
        <v>26</v>
      </c>
      <c r="H40" s="5" t="s">
        <v>203</v>
      </c>
      <c r="I40" s="5" t="s">
        <v>204</v>
      </c>
      <c r="J40" s="5" t="s">
        <v>22</v>
      </c>
      <c r="K40" s="8" t="n">
        <v>10</v>
      </c>
    </row>
    <row r="41" customFormat="false" ht="43.25" hidden="false" customHeight="false" outlineLevel="0" collapsed="false">
      <c r="A41" s="4" t="s">
        <v>205</v>
      </c>
      <c r="B41" s="5" t="s">
        <v>206</v>
      </c>
      <c r="C41" s="6" t="s">
        <v>199</v>
      </c>
      <c r="D41" s="5" t="s">
        <v>200</v>
      </c>
      <c r="E41" s="5" t="s">
        <v>201</v>
      </c>
      <c r="F41" s="5" t="s">
        <v>207</v>
      </c>
      <c r="G41" s="10" t="s">
        <v>39</v>
      </c>
      <c r="H41" s="5" t="s">
        <v>208</v>
      </c>
      <c r="I41" s="5" t="s">
        <v>209</v>
      </c>
      <c r="J41" s="5" t="s">
        <v>22</v>
      </c>
      <c r="K41" s="8" t="n">
        <v>8</v>
      </c>
    </row>
    <row r="42" customFormat="false" ht="43.25" hidden="false" customHeight="false" outlineLevel="0" collapsed="false">
      <c r="A42" s="4" t="s">
        <v>210</v>
      </c>
      <c r="B42" s="5" t="s">
        <v>211</v>
      </c>
      <c r="C42" s="6" t="s">
        <v>199</v>
      </c>
      <c r="D42" s="5" t="s">
        <v>142</v>
      </c>
      <c r="E42" s="5" t="s">
        <v>51</v>
      </c>
      <c r="F42" s="5" t="s">
        <v>212</v>
      </c>
      <c r="G42" s="9" t="s">
        <v>26</v>
      </c>
      <c r="H42" s="5" t="s">
        <v>213</v>
      </c>
      <c r="I42" s="5" t="s">
        <v>214</v>
      </c>
      <c r="J42" s="5" t="s">
        <v>61</v>
      </c>
      <c r="K42" s="8" t="n">
        <v>10</v>
      </c>
    </row>
    <row r="43" customFormat="false" ht="43.25" hidden="false" customHeight="false" outlineLevel="0" collapsed="false">
      <c r="A43" s="4" t="s">
        <v>215</v>
      </c>
      <c r="B43" s="5" t="s">
        <v>216</v>
      </c>
      <c r="C43" s="6" t="s">
        <v>199</v>
      </c>
      <c r="D43" s="5" t="s">
        <v>142</v>
      </c>
      <c r="E43" s="5" t="s">
        <v>17</v>
      </c>
      <c r="F43" s="5" t="s">
        <v>217</v>
      </c>
      <c r="G43" s="10" t="s">
        <v>39</v>
      </c>
      <c r="H43" s="5" t="s">
        <v>218</v>
      </c>
      <c r="I43" s="5" t="s">
        <v>219</v>
      </c>
      <c r="J43" s="5" t="s">
        <v>16</v>
      </c>
      <c r="K43" s="8" t="n">
        <v>8</v>
      </c>
    </row>
    <row r="44" customFormat="false" ht="32.8" hidden="false" customHeight="false" outlineLevel="0" collapsed="false">
      <c r="A44" s="4" t="s">
        <v>220</v>
      </c>
      <c r="B44" s="5" t="s">
        <v>221</v>
      </c>
      <c r="C44" s="6" t="s">
        <v>199</v>
      </c>
      <c r="D44" s="5" t="s">
        <v>200</v>
      </c>
      <c r="E44" s="5" t="s">
        <v>222</v>
      </c>
      <c r="F44" s="5" t="s">
        <v>200</v>
      </c>
      <c r="G44" s="15" t="s">
        <v>223</v>
      </c>
      <c r="H44" s="5" t="s">
        <v>224</v>
      </c>
      <c r="I44" s="5" t="s">
        <v>225</v>
      </c>
      <c r="J44" s="5" t="s">
        <v>22</v>
      </c>
      <c r="K44" s="8" t="n">
        <v>6</v>
      </c>
    </row>
    <row r="45" customFormat="false" ht="22.35" hidden="false" customHeight="false" outlineLevel="0" collapsed="false">
      <c r="A45" s="4" t="s">
        <v>226</v>
      </c>
      <c r="B45" s="5" t="s">
        <v>227</v>
      </c>
      <c r="C45" s="6" t="s">
        <v>199</v>
      </c>
      <c r="D45" s="5" t="s">
        <v>200</v>
      </c>
      <c r="E45" s="5" t="s">
        <v>57</v>
      </c>
      <c r="F45" s="5" t="s">
        <v>228</v>
      </c>
      <c r="G45" s="10" t="s">
        <v>39</v>
      </c>
      <c r="H45" s="5" t="s">
        <v>229</v>
      </c>
      <c r="I45" s="5" t="s">
        <v>230</v>
      </c>
      <c r="J45" s="5" t="s">
        <v>61</v>
      </c>
      <c r="K45" s="8" t="n">
        <v>8</v>
      </c>
    </row>
    <row r="46" customFormat="false" ht="53.7" hidden="false" customHeight="false" outlineLevel="0" collapsed="false">
      <c r="A46" s="11" t="s">
        <v>231</v>
      </c>
      <c r="B46" s="12" t="s">
        <v>232</v>
      </c>
      <c r="C46" s="13" t="s">
        <v>233</v>
      </c>
      <c r="D46" s="12" t="s">
        <v>32</v>
      </c>
      <c r="E46" s="12" t="s">
        <v>17</v>
      </c>
      <c r="F46" s="12" t="s">
        <v>234</v>
      </c>
      <c r="G46" s="9" t="s">
        <v>26</v>
      </c>
      <c r="H46" s="12" t="s">
        <v>235</v>
      </c>
      <c r="I46" s="12" t="s">
        <v>236</v>
      </c>
      <c r="J46" s="12" t="s">
        <v>22</v>
      </c>
      <c r="K46" s="14" t="n">
        <v>12</v>
      </c>
    </row>
    <row r="47" customFormat="false" ht="32.8" hidden="false" customHeight="false" outlineLevel="0" collapsed="false">
      <c r="A47" s="11" t="s">
        <v>237</v>
      </c>
      <c r="B47" s="12" t="s">
        <v>238</v>
      </c>
      <c r="C47" s="13" t="s">
        <v>233</v>
      </c>
      <c r="D47" s="12" t="s">
        <v>32</v>
      </c>
      <c r="E47" s="12" t="s">
        <v>17</v>
      </c>
      <c r="F47" s="12" t="s">
        <v>239</v>
      </c>
      <c r="G47" s="9" t="s">
        <v>26</v>
      </c>
      <c r="H47" s="12" t="s">
        <v>240</v>
      </c>
      <c r="I47" s="12" t="s">
        <v>241</v>
      </c>
      <c r="J47" s="12" t="s">
        <v>80</v>
      </c>
      <c r="K47" s="14" t="n">
        <v>8</v>
      </c>
    </row>
    <row r="48" customFormat="false" ht="32.8" hidden="false" customHeight="false" outlineLevel="0" collapsed="false">
      <c r="A48" s="11" t="s">
        <v>242</v>
      </c>
      <c r="B48" s="12" t="s">
        <v>243</v>
      </c>
      <c r="C48" s="13" t="s">
        <v>233</v>
      </c>
      <c r="D48" s="12" t="s">
        <v>32</v>
      </c>
      <c r="E48" s="12" t="s">
        <v>17</v>
      </c>
      <c r="F48" s="12" t="s">
        <v>239</v>
      </c>
      <c r="G48" s="10" t="s">
        <v>39</v>
      </c>
      <c r="H48" s="12" t="s">
        <v>244</v>
      </c>
      <c r="I48" s="12" t="s">
        <v>245</v>
      </c>
      <c r="J48" s="12" t="s">
        <v>16</v>
      </c>
      <c r="K48" s="14" t="n">
        <v>8</v>
      </c>
    </row>
    <row r="49" customFormat="false" ht="53.7" hidden="false" customHeight="false" outlineLevel="0" collapsed="false">
      <c r="A49" s="11" t="s">
        <v>246</v>
      </c>
      <c r="B49" s="12" t="s">
        <v>247</v>
      </c>
      <c r="C49" s="13" t="s">
        <v>233</v>
      </c>
      <c r="D49" s="12" t="s">
        <v>248</v>
      </c>
      <c r="E49" s="12" t="s">
        <v>17</v>
      </c>
      <c r="F49" s="12" t="s">
        <v>249</v>
      </c>
      <c r="G49" s="9" t="s">
        <v>26</v>
      </c>
      <c r="H49" s="12" t="s">
        <v>250</v>
      </c>
      <c r="I49" s="12" t="s">
        <v>251</v>
      </c>
      <c r="J49" s="12" t="s">
        <v>22</v>
      </c>
      <c r="K49" s="14" t="n">
        <v>10</v>
      </c>
    </row>
    <row r="50" customFormat="false" ht="22.35" hidden="false" customHeight="false" outlineLevel="0" collapsed="false">
      <c r="A50" s="11" t="s">
        <v>252</v>
      </c>
      <c r="B50" s="12" t="s">
        <v>253</v>
      </c>
      <c r="C50" s="13" t="s">
        <v>233</v>
      </c>
      <c r="D50" s="12" t="s">
        <v>248</v>
      </c>
      <c r="E50" s="12" t="s">
        <v>57</v>
      </c>
      <c r="F50" s="12" t="s">
        <v>248</v>
      </c>
      <c r="G50" s="9" t="s">
        <v>26</v>
      </c>
      <c r="H50" s="12" t="s">
        <v>254</v>
      </c>
      <c r="I50" s="12" t="s">
        <v>255</v>
      </c>
      <c r="J50" s="12" t="s">
        <v>61</v>
      </c>
      <c r="K50" s="14" t="n">
        <v>8</v>
      </c>
    </row>
    <row r="51" customFormat="false" ht="64.15" hidden="false" customHeight="false" outlineLevel="0" collapsed="false">
      <c r="A51" s="4" t="s">
        <v>256</v>
      </c>
      <c r="B51" s="5" t="s">
        <v>257</v>
      </c>
      <c r="C51" s="6" t="s">
        <v>258</v>
      </c>
      <c r="D51" s="5" t="s">
        <v>16</v>
      </c>
      <c r="E51" s="5" t="s">
        <v>57</v>
      </c>
      <c r="F51" s="5" t="s">
        <v>259</v>
      </c>
      <c r="G51" s="9" t="s">
        <v>26</v>
      </c>
      <c r="H51" s="5" t="s">
        <v>260</v>
      </c>
      <c r="I51" s="5" t="s">
        <v>261</v>
      </c>
      <c r="J51" s="5" t="s">
        <v>61</v>
      </c>
      <c r="K51" s="8" t="n">
        <v>14</v>
      </c>
    </row>
    <row r="52" customFormat="false" ht="43.25" hidden="false" customHeight="false" outlineLevel="0" collapsed="false">
      <c r="A52" s="4" t="s">
        <v>262</v>
      </c>
      <c r="B52" s="5" t="s">
        <v>263</v>
      </c>
      <c r="C52" s="6" t="s">
        <v>258</v>
      </c>
      <c r="D52" s="5" t="s">
        <v>16</v>
      </c>
      <c r="E52" s="5" t="s">
        <v>44</v>
      </c>
      <c r="F52" s="5" t="s">
        <v>264</v>
      </c>
      <c r="G52" s="10" t="s">
        <v>39</v>
      </c>
      <c r="H52" s="5" t="s">
        <v>265</v>
      </c>
      <c r="I52" s="5" t="s">
        <v>266</v>
      </c>
      <c r="J52" s="5" t="s">
        <v>29</v>
      </c>
      <c r="K52" s="8" t="n">
        <v>10</v>
      </c>
    </row>
    <row r="53" customFormat="false" ht="32.8" hidden="false" customHeight="false" outlineLevel="0" collapsed="false">
      <c r="A53" s="4" t="s">
        <v>267</v>
      </c>
      <c r="B53" s="5" t="s">
        <v>268</v>
      </c>
      <c r="C53" s="6" t="s">
        <v>258</v>
      </c>
      <c r="D53" s="5" t="s">
        <v>16</v>
      </c>
      <c r="E53" s="5" t="s">
        <v>44</v>
      </c>
      <c r="F53" s="5" t="s">
        <v>269</v>
      </c>
      <c r="G53" s="10" t="s">
        <v>39</v>
      </c>
      <c r="H53" s="5" t="s">
        <v>270</v>
      </c>
      <c r="I53" s="5" t="s">
        <v>271</v>
      </c>
      <c r="J53" s="5" t="s">
        <v>16</v>
      </c>
      <c r="K53" s="8" t="n">
        <v>10</v>
      </c>
    </row>
    <row r="54" customFormat="false" ht="22.35" hidden="false" customHeight="false" outlineLevel="0" collapsed="false">
      <c r="A54" s="4" t="s">
        <v>272</v>
      </c>
      <c r="B54" s="5" t="s">
        <v>273</v>
      </c>
      <c r="C54" s="6" t="s">
        <v>258</v>
      </c>
      <c r="D54" s="5" t="s">
        <v>16</v>
      </c>
      <c r="E54" s="5" t="s">
        <v>57</v>
      </c>
      <c r="F54" s="5" t="s">
        <v>259</v>
      </c>
      <c r="G54" s="10" t="s">
        <v>39</v>
      </c>
      <c r="H54" s="5" t="s">
        <v>274</v>
      </c>
      <c r="I54" s="5" t="s">
        <v>275</v>
      </c>
      <c r="J54" s="5" t="s">
        <v>61</v>
      </c>
      <c r="K54" s="8" t="n">
        <v>8</v>
      </c>
    </row>
    <row r="55" customFormat="false" ht="22.35" hidden="false" customHeight="false" outlineLevel="0" collapsed="false">
      <c r="A55" s="4" t="s">
        <v>276</v>
      </c>
      <c r="B55" s="5" t="s">
        <v>277</v>
      </c>
      <c r="C55" s="6" t="s">
        <v>258</v>
      </c>
      <c r="D55" s="5" t="s">
        <v>16</v>
      </c>
      <c r="E55" s="5" t="s">
        <v>57</v>
      </c>
      <c r="F55" s="5" t="s">
        <v>259</v>
      </c>
      <c r="G55" s="9" t="s">
        <v>26</v>
      </c>
      <c r="H55" s="5" t="s">
        <v>278</v>
      </c>
      <c r="I55" s="5" t="s">
        <v>279</v>
      </c>
      <c r="J55" s="5" t="s">
        <v>61</v>
      </c>
      <c r="K55" s="8" t="n">
        <v>8</v>
      </c>
    </row>
    <row r="56" customFormat="false" ht="43.25" hidden="false" customHeight="false" outlineLevel="0" collapsed="false">
      <c r="A56" s="11" t="s">
        <v>280</v>
      </c>
      <c r="B56" s="12" t="s">
        <v>281</v>
      </c>
      <c r="C56" s="13" t="s">
        <v>282</v>
      </c>
      <c r="D56" s="12" t="s">
        <v>283</v>
      </c>
      <c r="E56" s="12" t="s">
        <v>283</v>
      </c>
      <c r="F56" s="12" t="s">
        <v>284</v>
      </c>
      <c r="G56" s="10" t="s">
        <v>39</v>
      </c>
      <c r="H56" s="12" t="s">
        <v>285</v>
      </c>
      <c r="I56" s="12" t="s">
        <v>286</v>
      </c>
      <c r="J56" s="12" t="s">
        <v>22</v>
      </c>
      <c r="K56" s="14" t="n">
        <v>14</v>
      </c>
    </row>
    <row r="57" customFormat="false" ht="32.8" hidden="false" customHeight="false" outlineLevel="0" collapsed="false">
      <c r="A57" s="11" t="s">
        <v>287</v>
      </c>
      <c r="B57" s="12" t="s">
        <v>288</v>
      </c>
      <c r="C57" s="13" t="s">
        <v>282</v>
      </c>
      <c r="D57" s="12" t="s">
        <v>283</v>
      </c>
      <c r="E57" s="12" t="s">
        <v>283</v>
      </c>
      <c r="F57" s="12" t="s">
        <v>284</v>
      </c>
      <c r="G57" s="10" t="s">
        <v>39</v>
      </c>
      <c r="H57" s="12" t="s">
        <v>289</v>
      </c>
      <c r="I57" s="12" t="s">
        <v>290</v>
      </c>
      <c r="J57" s="12" t="s">
        <v>22</v>
      </c>
      <c r="K57" s="14" t="n">
        <v>10</v>
      </c>
    </row>
    <row r="58" customFormat="false" ht="32.8" hidden="false" customHeight="false" outlineLevel="0" collapsed="false">
      <c r="A58" s="11" t="s">
        <v>291</v>
      </c>
      <c r="B58" s="12" t="s">
        <v>292</v>
      </c>
      <c r="C58" s="13" t="s">
        <v>282</v>
      </c>
      <c r="D58" s="12" t="s">
        <v>283</v>
      </c>
      <c r="E58" s="12" t="s">
        <v>283</v>
      </c>
      <c r="F58" s="12" t="s">
        <v>284</v>
      </c>
      <c r="G58" s="10" t="s">
        <v>39</v>
      </c>
      <c r="H58" s="12" t="s">
        <v>293</v>
      </c>
      <c r="I58" s="12" t="s">
        <v>294</v>
      </c>
      <c r="J58" s="12" t="s">
        <v>22</v>
      </c>
      <c r="K58" s="14" t="n">
        <v>8</v>
      </c>
    </row>
    <row r="59" customFormat="false" ht="32.8" hidden="false" customHeight="false" outlineLevel="0" collapsed="false">
      <c r="A59" s="11" t="s">
        <v>295</v>
      </c>
      <c r="B59" s="12" t="s">
        <v>296</v>
      </c>
      <c r="C59" s="13" t="s">
        <v>282</v>
      </c>
      <c r="D59" s="12" t="s">
        <v>283</v>
      </c>
      <c r="E59" s="12" t="s">
        <v>283</v>
      </c>
      <c r="F59" s="12" t="s">
        <v>297</v>
      </c>
      <c r="G59" s="15" t="s">
        <v>223</v>
      </c>
      <c r="H59" s="12" t="s">
        <v>298</v>
      </c>
      <c r="I59" s="12" t="s">
        <v>299</v>
      </c>
      <c r="J59" s="12" t="s">
        <v>61</v>
      </c>
      <c r="K59" s="14" t="n">
        <v>8</v>
      </c>
    </row>
    <row r="60" customFormat="false" ht="22.35" hidden="false" customHeight="false" outlineLevel="0" collapsed="false">
      <c r="A60" s="11" t="s">
        <v>300</v>
      </c>
      <c r="B60" s="12" t="s">
        <v>301</v>
      </c>
      <c r="C60" s="13" t="s">
        <v>282</v>
      </c>
      <c r="D60" s="12" t="s">
        <v>283</v>
      </c>
      <c r="E60" s="12" t="s">
        <v>57</v>
      </c>
      <c r="F60" s="12" t="s">
        <v>284</v>
      </c>
      <c r="G60" s="10" t="s">
        <v>39</v>
      </c>
      <c r="H60" s="12" t="s">
        <v>302</v>
      </c>
      <c r="I60" s="12" t="s">
        <v>303</v>
      </c>
      <c r="J60" s="12" t="s">
        <v>61</v>
      </c>
      <c r="K60" s="14" t="n">
        <v>8</v>
      </c>
    </row>
    <row r="61" customFormat="false" ht="32.8" hidden="false" customHeight="false" outlineLevel="0" collapsed="false">
      <c r="A61" s="4" t="s">
        <v>304</v>
      </c>
      <c r="B61" s="5" t="s">
        <v>305</v>
      </c>
      <c r="C61" s="6" t="s">
        <v>306</v>
      </c>
      <c r="D61" s="5" t="s">
        <v>283</v>
      </c>
      <c r="E61" s="5" t="s">
        <v>222</v>
      </c>
      <c r="F61" s="5" t="s">
        <v>307</v>
      </c>
      <c r="G61" s="15" t="s">
        <v>223</v>
      </c>
      <c r="H61" s="5" t="s">
        <v>308</v>
      </c>
      <c r="I61" s="5" t="s">
        <v>309</v>
      </c>
      <c r="J61" s="5" t="s">
        <v>22</v>
      </c>
      <c r="K61" s="8" t="n">
        <v>10</v>
      </c>
    </row>
    <row r="62" customFormat="false" ht="43.25" hidden="false" customHeight="false" outlineLevel="0" collapsed="false">
      <c r="A62" s="4" t="s">
        <v>310</v>
      </c>
      <c r="B62" s="5" t="s">
        <v>311</v>
      </c>
      <c r="C62" s="6" t="s">
        <v>306</v>
      </c>
      <c r="D62" s="5" t="s">
        <v>142</v>
      </c>
      <c r="E62" s="5" t="s">
        <v>57</v>
      </c>
      <c r="F62" s="5" t="s">
        <v>142</v>
      </c>
      <c r="G62" s="9" t="s">
        <v>26</v>
      </c>
      <c r="H62" s="5" t="s">
        <v>312</v>
      </c>
      <c r="I62" s="5" t="s">
        <v>313</v>
      </c>
      <c r="J62" s="5" t="s">
        <v>61</v>
      </c>
      <c r="K62" s="8" t="n">
        <v>12</v>
      </c>
    </row>
    <row r="63" customFormat="false" ht="32.8" hidden="false" customHeight="false" outlineLevel="0" collapsed="false">
      <c r="A63" s="4" t="s">
        <v>314</v>
      </c>
      <c r="B63" s="5" t="s">
        <v>315</v>
      </c>
      <c r="C63" s="6" t="s">
        <v>306</v>
      </c>
      <c r="D63" s="5" t="s">
        <v>16</v>
      </c>
      <c r="E63" s="5" t="s">
        <v>57</v>
      </c>
      <c r="F63" s="5" t="s">
        <v>316</v>
      </c>
      <c r="G63" s="10" t="s">
        <v>39</v>
      </c>
      <c r="H63" s="5" t="s">
        <v>317</v>
      </c>
      <c r="I63" s="5" t="s">
        <v>318</v>
      </c>
      <c r="J63" s="5" t="s">
        <v>61</v>
      </c>
      <c r="K63" s="8" t="n">
        <v>8</v>
      </c>
    </row>
    <row r="64" customFormat="false" ht="32.8" hidden="false" customHeight="false" outlineLevel="0" collapsed="false">
      <c r="A64" s="4" t="s">
        <v>319</v>
      </c>
      <c r="B64" s="5" t="s">
        <v>320</v>
      </c>
      <c r="C64" s="6" t="s">
        <v>306</v>
      </c>
      <c r="D64" s="5" t="s">
        <v>16</v>
      </c>
      <c r="E64" s="5" t="s">
        <v>57</v>
      </c>
      <c r="F64" s="5" t="s">
        <v>259</v>
      </c>
      <c r="G64" s="7" t="s">
        <v>19</v>
      </c>
      <c r="H64" s="5" t="s">
        <v>321</v>
      </c>
      <c r="I64" s="5" t="s">
        <v>322</v>
      </c>
      <c r="J64" s="5" t="s">
        <v>61</v>
      </c>
      <c r="K64" s="8" t="n">
        <v>10</v>
      </c>
    </row>
    <row r="65" customFormat="false" ht="32.8" hidden="false" customHeight="false" outlineLevel="0" collapsed="false">
      <c r="A65" s="4" t="s">
        <v>323</v>
      </c>
      <c r="B65" s="5" t="s">
        <v>324</v>
      </c>
      <c r="C65" s="6" t="s">
        <v>306</v>
      </c>
      <c r="D65" s="5" t="s">
        <v>200</v>
      </c>
      <c r="E65" s="5" t="s">
        <v>325</v>
      </c>
      <c r="F65" s="5" t="s">
        <v>326</v>
      </c>
      <c r="G65" s="10" t="s">
        <v>39</v>
      </c>
      <c r="H65" s="5" t="s">
        <v>327</v>
      </c>
      <c r="I65" s="5" t="s">
        <v>328</v>
      </c>
      <c r="J65" s="5" t="s">
        <v>16</v>
      </c>
      <c r="K65" s="8" t="n">
        <v>8</v>
      </c>
    </row>
    <row r="66" customFormat="false" ht="15" hidden="false" customHeight="false" outlineLevel="0" collapsed="false">
      <c r="J66" s="16" t="s">
        <v>329</v>
      </c>
      <c r="K66" s="17" t="n">
        <f aca="false">SUM(K4:K65)</f>
        <v>561</v>
      </c>
    </row>
  </sheetData>
  <autoFilter ref="A3:K65"/>
  <mergeCells count="2">
    <mergeCell ref="A1:K1"/>
    <mergeCell ref="A2:K2"/>
  </mergeCells>
  <dataValidations count="4">
    <dataValidation allowBlank="true" errorStyle="stop" operator="between" showDropDown="false" showErrorMessage="false" showInputMessage="false" sqref="G4:G65" type="list">
      <formula1>"Critical,Very Important,Important,Normal,Optional"</formula1>
      <formula2>0</formula2>
    </dataValidation>
    <dataValidation allowBlank="true" errorStyle="stop" operator="between" showDropDown="false" showErrorMessage="false" showInputMessage="false" sqref="J4:J65" type="list">
      <formula1>"New Feature,Test,Hardening,Refactor,Bug Fix,Modification"</formula1>
      <formula2>0</formula2>
    </dataValidation>
    <dataValidation allowBlank="true" errorStyle="stop" operator="between" showDropDown="false" showErrorMessage="false" showInputMessage="false" sqref="E4:E65" type="list">
      <formula1>"Backend,Frontend,Database,Infrastructure,Web,Documentation,Testing,Deploy,Security,AI+ML"</formula1>
      <formula2>0</formula2>
    </dataValidation>
    <dataValidation allowBlank="true" errorStyle="stop" operator="between" showDropDown="false" showErrorMessage="false" showInputMessage="false" sqref="D4:D65" type="list">
      <formula1>"Workflow,Demo,Hardening,AI+ML,Web,Security,Operations,Governance,Quality"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16"/>
    <col collapsed="false" customWidth="true" hidden="false" outlineLevel="0" max="7" min="7" style="0" width="64"/>
  </cols>
  <sheetData>
    <row r="1" customFormat="false" ht="25.5" hidden="false" customHeight="true" outlineLevel="0" collapsed="false">
      <c r="A1" s="18" t="s">
        <v>330</v>
      </c>
      <c r="B1" s="18"/>
      <c r="C1" s="18"/>
      <c r="D1" s="18"/>
      <c r="E1" s="18"/>
      <c r="F1" s="18"/>
      <c r="G1" s="18"/>
    </row>
    <row r="2" customFormat="false" ht="30" hidden="false" customHeight="true" outlineLevel="0" collapsed="false">
      <c r="A2" s="3" t="s">
        <v>4</v>
      </c>
      <c r="B2" s="3" t="s">
        <v>331</v>
      </c>
      <c r="C2" s="3" t="s">
        <v>332</v>
      </c>
      <c r="D2" s="3" t="s">
        <v>12</v>
      </c>
      <c r="E2" s="3" t="s">
        <v>19</v>
      </c>
      <c r="F2" s="3" t="s">
        <v>333</v>
      </c>
      <c r="G2" s="3" t="s">
        <v>334</v>
      </c>
    </row>
    <row r="3" customFormat="false" ht="32.8" hidden="false" customHeight="false" outlineLevel="0" collapsed="false">
      <c r="A3" s="19" t="s">
        <v>15</v>
      </c>
      <c r="B3" s="20" t="s">
        <v>335</v>
      </c>
      <c r="C3" s="21" t="n">
        <f aca="false">COUNTIF('Task List'!$C:$C,A3)</f>
        <v>7</v>
      </c>
      <c r="D3" s="22" t="n">
        <f aca="false">SUMIF('Task List'!$C:$C,A3,'Task List'!$K:$K)</f>
        <v>51</v>
      </c>
      <c r="E3" s="23" t="n">
        <f aca="false">COUNTIFS('Task List'!$C:$C,A3,'Task List'!$G:$G,"Critical")</f>
        <v>2</v>
      </c>
      <c r="F3" s="24" t="s">
        <v>16</v>
      </c>
      <c r="G3" s="12" t="s">
        <v>336</v>
      </c>
    </row>
    <row r="4" customFormat="false" ht="22.35" hidden="false" customHeight="false" outlineLevel="0" collapsed="false">
      <c r="A4" s="25" t="s">
        <v>64</v>
      </c>
      <c r="B4" s="26" t="s">
        <v>337</v>
      </c>
      <c r="C4" s="27" t="n">
        <f aca="false">COUNTIF('Task List'!$C:$C,A4)</f>
        <v>5</v>
      </c>
      <c r="D4" s="28" t="n">
        <f aca="false">SUMIF('Task List'!$C:$C,A4,'Task List'!$K:$K)</f>
        <v>52</v>
      </c>
      <c r="E4" s="29" t="n">
        <f aca="false">COUNTIFS('Task List'!$C:$C,A4,'Task List'!$G:$G,"Critical")</f>
        <v>4</v>
      </c>
      <c r="F4" s="30" t="s">
        <v>32</v>
      </c>
      <c r="G4" s="5" t="s">
        <v>338</v>
      </c>
    </row>
    <row r="5" customFormat="false" ht="32.8" hidden="false" customHeight="false" outlineLevel="0" collapsed="false">
      <c r="A5" s="19" t="s">
        <v>87</v>
      </c>
      <c r="B5" s="20" t="s">
        <v>339</v>
      </c>
      <c r="C5" s="21" t="n">
        <f aca="false">COUNTIF('Task List'!$C:$C,A5)</f>
        <v>6</v>
      </c>
      <c r="D5" s="22" t="n">
        <f aca="false">SUMIF('Task List'!$C:$C,A5,'Task List'!$K:$K)</f>
        <v>56</v>
      </c>
      <c r="E5" s="23" t="n">
        <f aca="false">COUNTIFS('Task List'!$C:$C,A5,'Task List'!$G:$G,"Critical")</f>
        <v>3</v>
      </c>
      <c r="F5" s="24" t="s">
        <v>50</v>
      </c>
      <c r="G5" s="12" t="s">
        <v>340</v>
      </c>
    </row>
    <row r="6" customFormat="false" ht="32.8" hidden="false" customHeight="false" outlineLevel="0" collapsed="false">
      <c r="A6" s="25" t="s">
        <v>113</v>
      </c>
      <c r="B6" s="26" t="s">
        <v>341</v>
      </c>
      <c r="C6" s="27" t="n">
        <f aca="false">COUNTIF('Task List'!$C:$C,A6)</f>
        <v>6</v>
      </c>
      <c r="D6" s="28" t="n">
        <f aca="false">SUMIF('Task List'!$C:$C,A6,'Task List'!$K:$K)</f>
        <v>50</v>
      </c>
      <c r="E6" s="29" t="n">
        <f aca="false">COUNTIFS('Task List'!$C:$C,A6,'Task List'!$G:$G,"Critical")</f>
        <v>1</v>
      </c>
      <c r="F6" s="30" t="s">
        <v>50</v>
      </c>
      <c r="G6" s="5" t="s">
        <v>342</v>
      </c>
    </row>
    <row r="7" customFormat="false" ht="22.35" hidden="false" customHeight="false" outlineLevel="0" collapsed="false">
      <c r="A7" s="19" t="s">
        <v>141</v>
      </c>
      <c r="B7" s="20" t="s">
        <v>343</v>
      </c>
      <c r="C7" s="21" t="n">
        <f aca="false">COUNTIF('Task List'!$C:$C,A7)</f>
        <v>6</v>
      </c>
      <c r="D7" s="22" t="n">
        <f aca="false">SUMIF('Task List'!$C:$C,A7,'Task List'!$K:$K)</f>
        <v>52</v>
      </c>
      <c r="E7" s="23" t="n">
        <f aca="false">COUNTIFS('Task List'!$C:$C,A7,'Task List'!$G:$G,"Critical")</f>
        <v>0</v>
      </c>
      <c r="F7" s="24" t="s">
        <v>142</v>
      </c>
      <c r="G7" s="12" t="s">
        <v>344</v>
      </c>
    </row>
    <row r="8" customFormat="false" ht="22.35" hidden="false" customHeight="false" outlineLevel="0" collapsed="false">
      <c r="A8" s="25" t="s">
        <v>169</v>
      </c>
      <c r="B8" s="26" t="s">
        <v>345</v>
      </c>
      <c r="C8" s="27" t="n">
        <f aca="false">COUNTIF('Task List'!$C:$C,A8)</f>
        <v>6</v>
      </c>
      <c r="D8" s="28" t="n">
        <f aca="false">SUMIF('Task List'!$C:$C,A8,'Task List'!$K:$K)</f>
        <v>58</v>
      </c>
      <c r="E8" s="29" t="n">
        <f aca="false">COUNTIFS('Task List'!$C:$C,A8,'Task List'!$G:$G,"Critical")</f>
        <v>0</v>
      </c>
      <c r="F8" s="30" t="s">
        <v>132</v>
      </c>
      <c r="G8" s="5" t="s">
        <v>346</v>
      </c>
    </row>
    <row r="9" customFormat="false" ht="22.35" hidden="false" customHeight="false" outlineLevel="0" collapsed="false">
      <c r="A9" s="19" t="s">
        <v>199</v>
      </c>
      <c r="B9" s="20" t="s">
        <v>347</v>
      </c>
      <c r="C9" s="21" t="n">
        <f aca="false">COUNTIF('Task List'!$C:$C,A9)</f>
        <v>6</v>
      </c>
      <c r="D9" s="22" t="n">
        <f aca="false">SUMIF('Task List'!$C:$C,A9,'Task List'!$K:$K)</f>
        <v>50</v>
      </c>
      <c r="E9" s="23" t="n">
        <f aca="false">COUNTIFS('Task List'!$C:$C,A9,'Task List'!$G:$G,"Critical")</f>
        <v>0</v>
      </c>
      <c r="F9" s="24" t="s">
        <v>200</v>
      </c>
      <c r="G9" s="12" t="s">
        <v>348</v>
      </c>
    </row>
    <row r="10" customFormat="false" ht="22.35" hidden="false" customHeight="false" outlineLevel="0" collapsed="false">
      <c r="A10" s="25" t="s">
        <v>233</v>
      </c>
      <c r="B10" s="26" t="s">
        <v>349</v>
      </c>
      <c r="C10" s="27" t="n">
        <f aca="false">COUNTIF('Task List'!$C:$C,A10)</f>
        <v>5</v>
      </c>
      <c r="D10" s="28" t="n">
        <f aca="false">SUMIF('Task List'!$C:$C,A10,'Task List'!$K:$K)</f>
        <v>46</v>
      </c>
      <c r="E10" s="29" t="n">
        <f aca="false">COUNTIFS('Task List'!$C:$C,A10,'Task List'!$G:$G,"Critical")</f>
        <v>0</v>
      </c>
      <c r="F10" s="30" t="s">
        <v>248</v>
      </c>
      <c r="G10" s="5" t="s">
        <v>350</v>
      </c>
    </row>
    <row r="11" customFormat="false" ht="22.35" hidden="false" customHeight="false" outlineLevel="0" collapsed="false">
      <c r="A11" s="19" t="s">
        <v>258</v>
      </c>
      <c r="B11" s="20" t="s">
        <v>351</v>
      </c>
      <c r="C11" s="21" t="n">
        <f aca="false">COUNTIF('Task List'!$C:$C,A11)</f>
        <v>5</v>
      </c>
      <c r="D11" s="22" t="n">
        <f aca="false">SUMIF('Task List'!$C:$C,A11,'Task List'!$K:$K)</f>
        <v>50</v>
      </c>
      <c r="E11" s="23" t="n">
        <f aca="false">COUNTIFS('Task List'!$C:$C,A11,'Task List'!$G:$G,"Critical")</f>
        <v>0</v>
      </c>
      <c r="F11" s="24" t="s">
        <v>16</v>
      </c>
      <c r="G11" s="12" t="s">
        <v>352</v>
      </c>
    </row>
    <row r="12" customFormat="false" ht="22.35" hidden="false" customHeight="false" outlineLevel="0" collapsed="false">
      <c r="A12" s="25" t="s">
        <v>282</v>
      </c>
      <c r="B12" s="26" t="s">
        <v>353</v>
      </c>
      <c r="C12" s="27" t="n">
        <f aca="false">COUNTIF('Task List'!$C:$C,A12)</f>
        <v>5</v>
      </c>
      <c r="D12" s="28" t="n">
        <f aca="false">SUMIF('Task List'!$C:$C,A12,'Task List'!$K:$K)</f>
        <v>48</v>
      </c>
      <c r="E12" s="29" t="n">
        <f aca="false">COUNTIFS('Task List'!$C:$C,A12,'Task List'!$G:$G,"Critical")</f>
        <v>0</v>
      </c>
      <c r="F12" s="30" t="s">
        <v>283</v>
      </c>
      <c r="G12" s="5" t="s">
        <v>354</v>
      </c>
    </row>
    <row r="13" customFormat="false" ht="22.35" hidden="false" customHeight="false" outlineLevel="0" collapsed="false">
      <c r="A13" s="19" t="s">
        <v>306</v>
      </c>
      <c r="B13" s="20" t="s">
        <v>355</v>
      </c>
      <c r="C13" s="21" t="n">
        <f aca="false">COUNTIF('Task List'!$C:$C,A13)</f>
        <v>5</v>
      </c>
      <c r="D13" s="22" t="n">
        <f aca="false">SUMIF('Task List'!$C:$C,A13,'Task List'!$K:$K)</f>
        <v>48</v>
      </c>
      <c r="E13" s="23" t="n">
        <f aca="false">COUNTIFS('Task List'!$C:$C,A13,'Task List'!$G:$G,"Critical")</f>
        <v>1</v>
      </c>
      <c r="F13" s="24" t="s">
        <v>259</v>
      </c>
      <c r="G13" s="12" t="s">
        <v>356</v>
      </c>
    </row>
    <row r="14" customFormat="false" ht="15" hidden="false" customHeight="false" outlineLevel="0" collapsed="false">
      <c r="B14" s="16" t="s">
        <v>329</v>
      </c>
      <c r="C14" s="17" t="n">
        <f aca="false">SUM(C3:C13)</f>
        <v>62</v>
      </c>
      <c r="D14" s="17" t="n">
        <f aca="false">SUM(D3:D13)</f>
        <v>561</v>
      </c>
      <c r="E14" s="17" t="n">
        <f aca="false">SUM(E3:E13)</f>
        <v>11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2"/>
  </cols>
  <sheetData>
    <row r="1" customFormat="false" ht="25.5" hidden="false" customHeight="true" outlineLevel="0" collapsed="false">
      <c r="A1" s="18" t="s">
        <v>357</v>
      </c>
      <c r="B1" s="18"/>
    </row>
    <row r="3" customFormat="false" ht="15" hidden="false" customHeight="false" outlineLevel="0" collapsed="false">
      <c r="A3" s="31" t="s">
        <v>358</v>
      </c>
    </row>
    <row r="4" customFormat="false" ht="23.85" hidden="false" customHeight="false" outlineLevel="0" collapsed="false">
      <c r="A4" s="32" t="s">
        <v>4</v>
      </c>
      <c r="B4" s="33" t="s">
        <v>359</v>
      </c>
    </row>
    <row r="5" customFormat="false" ht="23.85" hidden="false" customHeight="false" outlineLevel="0" collapsed="false">
      <c r="A5" s="32" t="s">
        <v>360</v>
      </c>
      <c r="B5" s="33" t="s">
        <v>361</v>
      </c>
    </row>
    <row r="6" customFormat="false" ht="23.85" hidden="false" customHeight="false" outlineLevel="0" collapsed="false">
      <c r="A6" s="32" t="s">
        <v>362</v>
      </c>
      <c r="B6" s="33" t="s">
        <v>363</v>
      </c>
    </row>
    <row r="7" customFormat="false" ht="15" hidden="false" customHeight="false" outlineLevel="0" collapsed="false">
      <c r="A7" s="32" t="s">
        <v>12</v>
      </c>
      <c r="B7" s="33" t="s">
        <v>364</v>
      </c>
    </row>
    <row r="9" customFormat="false" ht="15" hidden="false" customHeight="false" outlineLevel="0" collapsed="false">
      <c r="A9" s="31" t="s">
        <v>8</v>
      </c>
    </row>
    <row r="10" customFormat="false" ht="15" hidden="false" customHeight="false" outlineLevel="0" collapsed="false">
      <c r="A10" s="32" t="s">
        <v>19</v>
      </c>
      <c r="B10" s="33" t="s">
        <v>365</v>
      </c>
    </row>
    <row r="11" customFormat="false" ht="15" hidden="false" customHeight="false" outlineLevel="0" collapsed="false">
      <c r="A11" s="32" t="s">
        <v>26</v>
      </c>
      <c r="B11" s="33" t="s">
        <v>366</v>
      </c>
    </row>
    <row r="12" customFormat="false" ht="15" hidden="false" customHeight="false" outlineLevel="0" collapsed="false">
      <c r="A12" s="32" t="s">
        <v>39</v>
      </c>
      <c r="B12" s="33" t="s">
        <v>367</v>
      </c>
    </row>
    <row r="13" customFormat="false" ht="15" hidden="false" customHeight="false" outlineLevel="0" collapsed="false">
      <c r="A13" s="32" t="s">
        <v>223</v>
      </c>
      <c r="B13" s="33" t="s">
        <v>368</v>
      </c>
    </row>
    <row r="14" customFormat="false" ht="15" hidden="false" customHeight="false" outlineLevel="0" collapsed="false">
      <c r="A14" s="32" t="s">
        <v>369</v>
      </c>
      <c r="B14" s="33" t="s">
        <v>370</v>
      </c>
    </row>
    <row r="16" customFormat="false" ht="15" hidden="false" customHeight="false" outlineLevel="0" collapsed="false">
      <c r="A16" s="31" t="s">
        <v>5</v>
      </c>
    </row>
    <row r="17" customFormat="false" ht="15" hidden="false" customHeight="false" outlineLevel="0" collapsed="false">
      <c r="A17" s="32" t="s">
        <v>371</v>
      </c>
      <c r="B17" s="33" t="s">
        <v>372</v>
      </c>
    </row>
    <row r="19" customFormat="false" ht="15" hidden="false" customHeight="false" outlineLevel="0" collapsed="false">
      <c r="A19" s="31" t="s">
        <v>6</v>
      </c>
    </row>
    <row r="20" customFormat="false" ht="15" hidden="false" customHeight="false" outlineLevel="0" collapsed="false">
      <c r="A20" s="32" t="s">
        <v>373</v>
      </c>
      <c r="B20" s="33" t="s">
        <v>374</v>
      </c>
    </row>
    <row r="22" customFormat="false" ht="15" hidden="false" customHeight="false" outlineLevel="0" collapsed="false">
      <c r="A22" s="31" t="s">
        <v>11</v>
      </c>
    </row>
    <row r="23" customFormat="false" ht="15" hidden="false" customHeight="false" outlineLevel="0" collapsed="false">
      <c r="A23" s="32" t="s">
        <v>22</v>
      </c>
      <c r="B23" s="33" t="s">
        <v>375</v>
      </c>
    </row>
    <row r="24" customFormat="false" ht="15" hidden="false" customHeight="false" outlineLevel="0" collapsed="false">
      <c r="A24" s="32" t="s">
        <v>80</v>
      </c>
      <c r="B24" s="33" t="s">
        <v>376</v>
      </c>
    </row>
    <row r="25" customFormat="false" ht="15" hidden="false" customHeight="false" outlineLevel="0" collapsed="false">
      <c r="A25" s="32" t="s">
        <v>29</v>
      </c>
      <c r="B25" s="33" t="s">
        <v>377</v>
      </c>
    </row>
    <row r="26" customFormat="false" ht="15" hidden="false" customHeight="false" outlineLevel="0" collapsed="false">
      <c r="A26" s="32" t="s">
        <v>36</v>
      </c>
      <c r="B26" s="33" t="s">
        <v>378</v>
      </c>
    </row>
    <row r="27" customFormat="false" ht="15" hidden="false" customHeight="false" outlineLevel="0" collapsed="false">
      <c r="A27" s="32" t="s">
        <v>16</v>
      </c>
      <c r="B27" s="33" t="s">
        <v>379</v>
      </c>
    </row>
    <row r="28" customFormat="false" ht="15" hidden="false" customHeight="false" outlineLevel="0" collapsed="false">
      <c r="A28" s="32" t="s">
        <v>61</v>
      </c>
      <c r="B28" s="33" t="s">
        <v>380</v>
      </c>
    </row>
    <row r="30" customFormat="false" ht="15" hidden="false" customHeight="false" outlineLevel="0" collapsed="false">
      <c r="A30" s="31" t="s">
        <v>381</v>
      </c>
    </row>
    <row r="31" customFormat="false" ht="23.85" hidden="false" customHeight="false" outlineLevel="0" collapsed="false">
      <c r="A31" s="32" t="s">
        <v>382</v>
      </c>
      <c r="B31" s="33" t="s">
        <v>383</v>
      </c>
    </row>
    <row r="32" customFormat="false" ht="23.85" hidden="false" customHeight="false" outlineLevel="0" collapsed="false">
      <c r="A32" s="32" t="s">
        <v>384</v>
      </c>
      <c r="B32" s="33" t="s">
        <v>385</v>
      </c>
    </row>
    <row r="33" customFormat="false" ht="23.85" hidden="false" customHeight="false" outlineLevel="0" collapsed="false">
      <c r="A33" s="32" t="s">
        <v>386</v>
      </c>
      <c r="B33" s="33" t="s">
        <v>387</v>
      </c>
    </row>
    <row r="35" customFormat="false" ht="15" hidden="false" customHeight="false" outlineLevel="0" collapsed="false">
      <c r="A35" s="31" t="s">
        <v>388</v>
      </c>
    </row>
    <row r="36" customFormat="false" ht="35.05" hidden="false" customHeight="false" outlineLevel="0" collapsed="false">
      <c r="A36" s="32" t="s">
        <v>389</v>
      </c>
      <c r="B36" s="33" t="s">
        <v>390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2026-06-02T20:55:13Z</dcterms:created>
  <dc:creator>openpyxl</dc:creator>
  <dc:description/>
  <dc:language>en-US</dc:language>
  <cp:lastModifiedBy/>
  <dcterms:modified xsi:type="dcterms:W3CDTF">2026-06-02T20:55:13Z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