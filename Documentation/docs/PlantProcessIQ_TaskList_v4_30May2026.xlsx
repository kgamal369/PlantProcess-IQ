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sk List" sheetId="1" state="visible" r:id="rId3"/>
    <sheet name="How to Use" sheetId="2" state="visible" r:id="rId4"/>
    <sheet name="Phase Summary" sheetId="3" state="visible" r:id="rId5"/>
    <sheet name="UI Standards Reference" sheetId="4" state="visible" r:id="rId6"/>
    <sheet name="Rollup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<sst xmlns="http://schemas.openxmlformats.org/spreadsheetml/2006/main" count="945" uniqueCount="550">
  <si>
    <t xml:space="preserve">PlantProcess IQ — Phase-Grouped Task List (v4 · 30 May 2026)</t>
  </si>
  <si>
    <t xml:space="preserve">74 open tasks across 12 phases — completes the 4-Track Vision (Workflow / Hardening / Demo / Website). Supersedes v3 Phases 1–8 (PPIQ-T001–T062), now done.</t>
  </si>
  <si>
    <t xml:space="preserve">Task ID</t>
  </si>
  <si>
    <t xml:space="preserve">Task Name</t>
  </si>
  <si>
    <t xml:space="preserve">Phase ID</t>
  </si>
  <si>
    <t xml:space="preserve">Severity</t>
  </si>
  <si>
    <t xml:space="preserve">Track</t>
  </si>
  <si>
    <t xml:space="preserve">Module</t>
  </si>
  <si>
    <t xml:space="preserve">Submodule</t>
  </si>
  <si>
    <t xml:space="preserve">Description</t>
  </si>
  <si>
    <t xml:space="preserve">Task Type</t>
  </si>
  <si>
    <t xml:space="preserve">Validation</t>
  </si>
  <si>
    <t xml:space="preserve">Effort (hrs)</t>
  </si>
  <si>
    <t xml:space="preserve">  Phase 01 — Carry-Forward Hotfixes &amp; Residual Closeout   |   6 tasks   |   13 hrs</t>
  </si>
  <si>
    <t xml:space="preserve">PPIQ-T101</t>
  </si>
  <si>
    <t xml:space="preserve">Build JWT auth-matrix probe across every admin endpoint group</t>
  </si>
  <si>
    <t xml:space="preserve">P01</t>
  </si>
  <si>
    <t xml:space="preserve">critical</t>
  </si>
  <si>
    <t xml:space="preserve">Track 2 — Hardening</t>
  </si>
  <si>
    <t xml:space="preserve">App Backend</t>
  </si>
  <si>
    <t xml:space="preserve">Auth / Endpoint Authorization</t>
  </si>
  <si>
    <t xml:space="preserve">Closes the residual of v3 PPIQ-T005 (still outstanding — only the four material-search probes exist). Author scripts/probes/auth-matrix-probe.sh hitting every admin endpoint group (/admin/phase1/*, /admin/phase2/*, /admin/license/*, /admin/widgets/*, /admin/users/*, /admin/jobs/*, /demo-lifecycle/*, /diagnostics/*, /api/ml/*) under three identities: (a) no token =&gt; 401; (b) operator-tier JWT =&gt; 403 on admin routes, 200 on operator routes; (c) admin-tier JWT =&gt; 200. Emit a markdown matrix to scripts/probes/output/auth-matrix-{date}.md and wire it as a Jenkins post-deploy gate that goes red on any deviation.</t>
  </si>
  <si>
    <t xml:space="preserve">Bug Fix</t>
  </si>
  <si>
    <t xml:space="preserve">1) Script run against staging — every row shows the expected status. 2) Removing an [Authorize] on any admin endpoint in a scratch branch makes the probe fail. 3) Jenkins marks the build red on any deviation. 4) Output archived per deploy with timestamp.</t>
  </si>
  <si>
    <t xml:space="preserve">PPIQ-T102</t>
  </si>
  <si>
    <t xml:space="preserve">Resolve Phase1WorkflowTruthPanel orphan (wire or delete)</t>
  </si>
  <si>
    <t xml:space="preserve">important</t>
  </si>
  <si>
    <t xml:space="preserve">Track 1 — Workflow</t>
  </si>
  <si>
    <t xml:space="preserve">App Frontend</t>
  </si>
  <si>
    <t xml:space="preserve">Refactor / Dead Code</t>
  </si>
  <si>
    <t xml:space="preserve">Closes v3 PPIQ-T048. src/pages/Admin/Phase1WorkflowTruthPanel.tsx (285 L, last touched 25 May) still has zero importers and appears superseded by components/license/ConnectorTruthPanel.tsx (wired). If ConnectorTruthPanel fully covers the connector-truth surface (last sync, schema fingerprint, drift, sample row count), delete the orphan + CSS; else wire it into the /admin/phase1 'Connector Truth' tab and refactor to Standard* primitives. The repo must contain exactly one connector-truth surface.</t>
  </si>
  <si>
    <t xml:space="preserve">1) madge/dpdm shows zero unreferenced connector-truth components. 2) /admin/phase1 renders one connector-truth panel sourced from Phase1WorkflowTruthEndpoints. 3) Drift a source schema in the demo DB — the panel surfaces it. 4) Frontend builds clean; bundle size does not regress.</t>
  </si>
  <si>
    <t xml:space="preserve">PPIQ-T103</t>
  </si>
  <si>
    <t xml:space="preserve">Fix Caddyfile CSP connect-src host mismatch</t>
  </si>
  <si>
    <t xml:space="preserve">Infrastructure</t>
  </si>
  <si>
    <t xml:space="preserve">Caddy / HTTP Response Headers</t>
  </si>
  <si>
    <t xml:space="preserve">The app-host Content-Security-Policy connect-src lists api.plantprocessiq.com / wss://api.plantprocessiq.com, but production serves on the *.178.105.152.180.sslip.io wildcard. If the SPA calls the sslip.io API origin, CSP silently blocks every XHR/WebSocket in production. Re-tune connect-src to the exact API + WS origins the frontend actually calls (derive from apiConfig.ts / VITE_API_BASE_URL), single source of truth; deploy Content-Security-Policy-Report-Only for 24h, collect violations via diagnostics, then promote to enforce. Apply consistently to api/app/admin/website hosts.</t>
  </si>
  <si>
    <t xml:space="preserve">1) DevTools Console shows zero connect-src violations while exercising every API-calling page. 2) connect-src origins exactly match apiConfig.ts. 3) securityheaders.com still scores A on every host. 4) Report-only window logged violations before enforce.</t>
  </si>
  <si>
    <t xml:space="preserve">PPIQ-T104</t>
  </si>
  <si>
    <t xml:space="preserve">Confirm ';plantadmin' SQL token fix on staging + sweep</t>
  </si>
  <si>
    <t xml:space="preserve">Database</t>
  </si>
  <si>
    <t xml:space="preserve">Migration / Bootstrap SQL</t>
  </si>
  <si>
    <t xml:space="preserve">Closes v3 PPIQ-T006 for production posture. A fix script strips the stray trailing 'plantadmin' token from a seed status string ("...pilot foundation applied' AS status;plantadmin"). Confirm applied on the Hetzner staging clone, then sweep Backend/database/scripts/ and seed/ for any other dangling identifier after a statement terminator (regex ';[A-Za-z_]+\s*$' outside string literals). Add a CI guard failing on a dangling token. Record root cause in Backend/database/scripts/CHANGELOG.md.</t>
  </si>
  <si>
    <t xml:space="preserve">1) Fresh Postgres 17 + dotnet ef database update + all loose scripts in order completes with zero syntax errors. 2) Same on the Hetzner staging clone via Jenkins. 3) Sweep returns zero dangling tokens. 4) CI guard fails on a reintroduced stray token.</t>
  </si>
  <si>
    <t xml:space="preserve">PPIQ-T105</t>
  </si>
  <si>
    <t xml:space="preserve">Complete loopback-binding audit for all infra services</t>
  </si>
  <si>
    <t xml:space="preserve">very important</t>
  </si>
  <si>
    <t xml:space="preserve">Docker Compose / Network Exposure</t>
  </si>
  <si>
    <t xml:space="preserve">Closes the full-surface part of v3 PPIQ-T002 (only Postgres proven). Audit every service in docker-compose.demo.yml (redis, seq, jaeger, grafana, prometheus, jenkins, workers) and bind each published port to 127.0.0.1 unless intentionally public (Caddy 80/443; Jenkins :9090 behind basicauth). Document in Infrastructure/deploy/README.md and prove with an external scan.</t>
  </si>
  <si>
    <t xml:space="preserve">1) External nmap of 178.105.152.180 shows only 80, 443, 9090 open; all data/observability ports filtered. 2) Internal container traffic unaffected (health checks green). 3) README documents each binding decision.</t>
  </si>
  <si>
    <t xml:space="preserve">PPIQ-T106</t>
  </si>
  <si>
    <t xml:space="preserve">Wire forbidden-phrase sweep + non-standard-import block as Jenkins gates</t>
  </si>
  <si>
    <t xml:space="preserve">CI / Quality Gate</t>
  </si>
  <si>
    <t xml:space="preserve">Closes v3 PPIQ-T079/T080. Validators exist (scripts/validate-forbidden-copy.mjs; ESLint no-restricted-imports/syntax) but are not proven as enforced stages. Add Jenkinsfile stages ForbiddenPhraseSweep (repo-wide grep across .ts/.tsx/.cs/.sql/.md/.json/prompts) and StandardImportGate (pnpm lint). Both fail the build with a clear file listing + remediation; both run on the GitHub webhook on every push; pre-commit hooks enforce locally.</t>
  </si>
  <si>
    <t xml:space="preserve">Enhancement</t>
  </si>
  <si>
    <t xml:space="preserve">1) Reintroducing the forbidden phrase anywhere fails the build naming every offender. 2) A native &lt;button&gt; in src/pages/* or an import from src/hardening/* fails lint with the canonical replacement. 3) Both stages run on every push; sweep &lt; 5s. 4) Pre-commit blocks the commit locally.</t>
  </si>
  <si>
    <t xml:space="preserve">  Phase 02 — Generic Schema Mapping &amp; Canonical View Engine (Vision §1.4)   |   6 tasks   |   35 hrs</t>
  </si>
  <si>
    <t xml:space="preserve">PPIQ-T107</t>
  </si>
  <si>
    <t xml:space="preserve">Build canonical_schema_views catalog + registration service</t>
  </si>
  <si>
    <t xml:space="preserve">P02</t>
  </si>
  <si>
    <t xml:space="preserve">Schema Mapping / View Catalog</t>
  </si>
  <si>
    <t xml:space="preserve">Implement the first-class catalog the whole 'generic schema' depends on (and which the resolver in T108 needs). Create table canonical_schema_views (id, slug, title, owning_area_id, sql_definition, column_catalog_json, version, status, audit) + EF entity + configuration + migration. CanonicalViewCatalogService registers, versions, validates and lists views; every widget/KPI/ML feature resolves columns against this catalog. Seed the baseline views the demo uses.</t>
  </si>
  <si>
    <t xml:space="preserve">New Feature</t>
  </si>
  <si>
    <t xml:space="preserve">1) Migration applies clean on a fresh DB; baseline views registered. 2) Registering a view stores its resolved column catalog (name+type). 3) Listing returns active views with versions. 4) Round-trip register=&gt;read preserves columns. 5) Audit row on every change.</t>
  </si>
  <si>
    <t xml:space="preserve">PPIQ-T108</t>
  </si>
  <si>
    <t xml:space="preserve">Implement SchemaViewResolver against the canonical catalog</t>
  </si>
  <si>
    <t xml:space="preserve">Schema Mapping / Validation</t>
  </si>
  <si>
    <t xml:space="preserve">Build SchemaViewResolver (closes v3 PPIQ-T058 properly). Given a parsed WidgetQueryExpression or ML feature request, validate: (a) the source view exists in canonical_schema_views; (b) each dimension/measure column exists; (c) aggregate functions valid for the column type; (d) filter operators valid for the type. Return SchemaValidationError naming the offending column/operator. Cache the catalog in IMemoryCache (60s) with invalidation on change. Consolidate the ad-hoc validation currently spread across DashboardWidgetValidationService.</t>
  </si>
  <si>
    <t xml:space="preserve">1) Valid expression against an existing view =&gt; success. 2) Non-existent view =&gt; NoSuchView; non-existent column =&gt; NoSuchColumn; sum() on text =&gt; InvalidAggregateForType. 3) Cache hit/invalidate visible in metrics. 4) Existing widget-expression tests still pass against the resolver.</t>
  </si>
  <si>
    <t xml:space="preserve">PPIQ-T109</t>
  </si>
  <si>
    <t xml:space="preserve">Build schema-mapping UI: map source tables into the generic schema</t>
  </si>
  <si>
    <t xml:space="preserve">Administrator Page / Schema Config</t>
  </si>
  <si>
    <t xml:space="preserve">Vision §1.4.1: in Administrator =&gt; Schema Configuration, build the mapping workspace. For each imported (dumped) source table, the user maps columns to generic-schema entities, sets keys, and saves a mapping. StandardTable for column lists, StandardSelect for target mapping, JetBrains-Mono StandardTextArea (code mode) for view SQL, live validation via POST /admin/schema/validate, schema-aware autocomplete from the canonical catalog. No hardcoding — everything saved to the catalog/mapping store.</t>
  </si>
  <si>
    <t xml:space="preserve">1) Map an imported HSM table's columns to the generic schema and save. 2) Live validation flags type mismatches inline. 3) Saved mapping persists and reloads. 4) Standard* primitives only. 5) Visual regression baseline captured.</t>
  </si>
  <si>
    <t xml:space="preserve">PPIQ-T110</t>
  </si>
  <si>
    <t xml:space="preserve">Cross-source join authoring (dump-file to dump-file)</t>
  </si>
  <si>
    <t xml:space="preserve">Schema Mapping / Joins</t>
  </si>
  <si>
    <t xml:space="preserve">Implement the cross-source join the vision calls out (Vision §1.4.2/1.4.5): join piece_id from the HSM Oracle dump with material_id from the Parsytec MySQL dump; join EAF process-definition tables to per-heat values. JoinDefinition model (left view, right view, key pairs, join type) materialized into a canonical view; validated via SchemaViewResolver + SafeSqlValidator. Endpoints + UI builder.</t>
  </si>
  <si>
    <t xml:space="preserve">1) Author a join between two source dumps and materialize a canonical view. 2) Query it returns traced rows for material ADV_COIL4002 across both systems. 3) A type-mismatched key pair is rejected with a clear error. 4) SafeSqlValidator blocks cross-tenant/DDL injection in join SQL.</t>
  </si>
  <si>
    <t xml:space="preserve">PPIQ-T111</t>
  </si>
  <si>
    <t xml:space="preserve">KPI-as-view authoring attached to equipment/area/process</t>
  </si>
  <si>
    <t xml:space="preserve">Administrator Page / KPI Definition</t>
  </si>
  <si>
    <t xml:space="preserve">Vision §1.4.3: let a user create a KPI as a saved SQL view and attach it as a process parameter to a specific equipment/area/process (e.g. normalize EAF by joining processDefinition to per-heat values). Build on the existing KPIDefinition sub-component; persist KPI views into the canonical catalog with an area/equipment attachment; expose them to the widget builder and ML feature selectors.</t>
  </si>
  <si>
    <t xml:space="preserve">1) Create a KPI view, attach to EAF area, save. 2) KPI appears as a selectable measure in the widget builder and ML feature picker. 3) KPI view validates against the catalog. 4) Standard* primitives only.</t>
  </si>
  <si>
    <t xml:space="preserve">PPIQ-T112</t>
  </si>
  <si>
    <t xml:space="preserve">Mapping execution service + integration tests</t>
  </si>
  <si>
    <t xml:space="preserve">Schema Mapping / Execution</t>
  </si>
  <si>
    <t xml:space="preserve">Implement the service that executes a saved mapping/view set to materialize/refresh the generic schema from the dump store, invoked by the stage-2 import job (P03). Apply SafeSqlValidator on every execution. MappingExecutionResult with row counts, duration, errors. Integration tests over a seeded dump store.</t>
  </si>
  <si>
    <t xml:space="preserve">1) Executing a mapping populates the generic schema with expected row counts. 2) Re-execution is idempotent. 3) SafeSqlValidator blocks a malicious mapping at execute time. 4) Integration tests pass against the seeded dump store &lt; 30s.</t>
  </si>
  <si>
    <t xml:space="preserve">  Phase 03 — Two-Stage Delta Import Architecture (Vision §1.1–1.6)   |   6 tasks   |   27 hrs</t>
  </si>
  <si>
    <t xml:space="preserve">PPIQ-T113</t>
  </si>
  <si>
    <t xml:space="preserve">Dump-copy store mirroring customer source structure (Vision §1.3)</t>
  </si>
  <si>
    <t xml:space="preserve">P03</t>
  </si>
  <si>
    <t xml:space="preserve">Import / Dump Store</t>
  </si>
  <si>
    <t xml:space="preserve">Implement the dump-copy store: per source table, a 'latest copy state' in the customer's own structure (NOT our generic schema). Model dump tables/files + a registry (source_id, table_name, dump_location, last_index_column, last_index_value, last_synced_at). DB sources =&gt; staging tables; CSV/Excel =&gt; watched drop volumes. This is the stage-1 target the delta compare runs against.</t>
  </si>
  <si>
    <t xml:space="preserve">1) Configuring a source table provisions its dump-copy target. 2) Dump preserves the source's column shape (not generic). 3) Registry tracks last_index per table. 4) Re-provisioning is idempotent.</t>
  </si>
  <si>
    <t xml:space="preserve">PPIQ-T114</t>
  </si>
  <si>
    <t xml:space="preserve">Stage-1 delta import (source to dump) with last-index compare</t>
  </si>
  <si>
    <t xml:space="preserve">Import / Delta Stage 1</t>
  </si>
  <si>
    <t xml:space="preserve">Vision §1.2: each source-table import is a named job with a cycle (2 min up to several days). On each scan the job compares the dump's last index against the source's last index and imports only the new tail records into the dump copy. Use the existing connector factory; add backoff + crash detection; per-source scheduling with NextRunAtUtc filtering (extend existing scheduling).</t>
  </si>
  <si>
    <t xml:space="preserve">1) New source rows beyond last_index import on the next cycle; older rows untouched. 2) Cycle configurable 2 min..days. 3) Crash mid-import is detected; job marked failed with last-run/duration. 4) Re-run resumes from last_index without duplication.</t>
  </si>
  <si>
    <t xml:space="preserve">PPIQ-T115</t>
  </si>
  <si>
    <t xml:space="preserve">Stage-2 import (dump to generic schema) at HMI-refresh rate</t>
  </si>
  <si>
    <t xml:space="preserve">Import / Delta Stage 2</t>
  </si>
  <si>
    <t xml:space="preserve">Vision §1.5: after mappings/views/joins are configured, a second job copies from the dump store into our generic schema at the HMI-refresh rate (when new data is ready). Invokes the mapping execution service (P02). Named job, cycle, status, crash detection. Coordinates with stage-1 so stage-2 only runs on fresh dump data.</t>
  </si>
  <si>
    <t xml:space="preserve">1) After stage-1 brings new data, stage-2 materializes it into the generic schema within the configured window. 2) Job is named, scheduled, monitored. 3) No double-processing of already-mapped rows. 4) Failure is isolated and surfaced.</t>
  </si>
  <si>
    <t xml:space="preserve">PPIQ-T116</t>
  </si>
  <si>
    <t xml:space="preserve">Extend JobDefinition for two-stage import + crash/duration telemetry (Vision §1.6)</t>
  </si>
  <si>
    <t xml:space="preserve">Jobs / Domain Model</t>
  </si>
  <si>
    <t xml:space="preserve">Extend JobDefinition/JobRunHistory to model both import stages and ML jobs uniformly: job name, type, cycle, last-run datetime, duration, status (OK/crash/timeout), next-run, backoff state. Ensure standard import, mapping, and ML jobs all flow through one job model so the Jobs Monitor (§1.6, §3.1.5) shows them together.</t>
  </si>
  <si>
    <t xml:space="preserve">1) All job types persist last-run, duration, status, next-run. 2) Timeout and crash are distinct statuses. 3) Migration applies clean; existing job rows backfilled.</t>
  </si>
  <si>
    <t xml:space="preserve">PPIQ-T117</t>
  </si>
  <si>
    <t xml:space="preserve">Jobs Monitor page — standard + ML jobs unified (Vision §1.6, §3.1.5)</t>
  </si>
  <si>
    <t xml:space="preserve">Administrator Page / Jobs Monitor</t>
  </si>
  <si>
    <t xml:space="preserve">Complete the Jobs Monitor (build on AdminJobsMonitorTab, 347 L) to show every job — stage-1 imports, stage-2 mapping, and ML learning jobs — with status (last run OK/crash/timeout), last-run datetime, duration, next-run, and a run-now/pause control. StandardTable with brand status chips; OperationProgressPanel for active runs.</t>
  </si>
  <si>
    <t xml:space="preserve">1) All job categories appear with correct status/last-run/duration/next-run. 2) Run-now triggers a job and the progress panel ticks. 3) A crashed job shows failed status + last error. 4) Standard* primitives only; visual regression baseline captured.</t>
  </si>
  <si>
    <t xml:space="preserve">PPIQ-T118</t>
  </si>
  <si>
    <t xml:space="preserve">Delta-import integration + resumability tests</t>
  </si>
  <si>
    <t xml:space="preserve">Import / Test Coverage</t>
  </si>
  <si>
    <t xml:space="preserve">Integration tests for the two-stage pipeline against seeded sources: cold full-load, incremental delta, mid-run crash + resume, schema drift handling, idempotency. Opt-in via PPIQ_RUN_CONNECTOR_INTEGRATION=1; wired to the post-deploy gate.</t>
  </si>
  <si>
    <t xml:space="preserve">1) Cold load then incremental delta imports only new rows. 2) Simulated crash resumes from last_index with no duplicates. 3) Source schema drift is detected and surfaced. 4) Suite &lt; 60s, wired to Jenkins.</t>
  </si>
  <si>
    <t xml:space="preserve">  Phase 04 — ML Engine — Scheduled Correlation Learning (Vision §3.1)   |   5 tasks   |   26 hrs</t>
  </si>
  <si>
    <t xml:space="preserve">PPIQ-T119</t>
  </si>
  <si>
    <t xml:space="preserve">Define the four ML learning job types + EnsureMlJobDefinitions (Vision §3.1.1–3.1.4)</t>
  </si>
  <si>
    <t xml:space="preserve">P04</t>
  </si>
  <si>
    <t xml:space="preserve">ML Engine / Job Definitions</t>
  </si>
  <si>
    <t xml:space="preserve">Formalize the four scheduled learning jobs: (1) process-params x defect-id correlation; (2) process-params x downtime-id; (3) process-params x KPI-id; (4) a weekly overall pass across all data. Extend the existing EnsureMlJobDefinitions/IsMlJob scaffolding into concrete JobDefinitionType entries with default off-hours schedules (daily, user-overridable) and weekly cadence for the overall job. Each is a first-class job in the unified job model (P03).</t>
  </si>
  <si>
    <t xml:space="preserve">1) The four ML jobs registered with correct default schedules (daily off-hours; weekly overall). 2) Schedules user-overridable per job. 3) Jobs appear in the Jobs Monitor. 4) IsMlJob correctly classifies each.</t>
  </si>
  <si>
    <t xml:space="preserve">PPIQ-T120</t>
  </si>
  <si>
    <t xml:space="preserve">ML learning worker — scheduled statistical correlation engine</t>
  </si>
  <si>
    <t xml:space="preserve">ML Engine / Learning Worker</t>
  </si>
  <si>
    <t xml:space="preserve">Implement the worker that runs the four jobs off-hours: pull feature vectors (FeatureEngineeringService) for all process parameters and the chosen targets (defect/downtime/KPI ids), compute statistical associations (Pearson, Spearman, point-biserial for categorical defect flags, plus a regularized regression / mutual-information rank for non-linear signal), and persist CorrelationResult with coefficient, p-value/confidence, sample size, window, strength bucket. Honest framing only — statistical correlation and suspected contributors, never 'prediction' or 'root cause' (brand voice). Long-run safety: chunked compute, checkpointing, cancellation, concurrency cap 1/job.</t>
  </si>
  <si>
    <t xml:space="preserve">1) Running a job over the demo dataset persists CorrelationResult rows with coefficient, confidence, sample size. 2) Deterministic for a fixed dataset+seed (two runs match). 3) Cancellation mid-run leaves a clean failed state, no partial-committed garbage. 4) No output uses forbidden claim language. 5) Runtime on the demo dataset is bounded and logged.</t>
  </si>
  <si>
    <t xml:space="preserve">PPIQ-T121</t>
  </si>
  <si>
    <t xml:space="preserve">Per-job scheduling, backoff &amp; training-window governance</t>
  </si>
  <si>
    <t xml:space="preserve">ML Engine / Scheduling &amp; Governance</t>
  </si>
  <si>
    <t xml:space="preserve">Add per-job off-hours scheduling with failure backoff and concurrency control, and extend MlReadinessService into label/feature governance gates: minimum sample size, label completeness, feature freshness, and a training-window selector (last week/month/year). The engine refuses to learn on insufficient/ungoverned data and reports why (preserve the no_production_prediction honesty).</t>
  </si>
  <si>
    <t xml:space="preserve">1) A job below the sample/label threshold is blocked with a clear readiness reason. 2) Backoff doubles the retry interval on consecutive failures up to a cap. 3) Window selector changes the data range used. 4) Readiness gates reflect the real governance state.</t>
  </si>
  <si>
    <t xml:space="preserve">PPIQ-T122</t>
  </si>
  <si>
    <t xml:space="preserve">Model registry lifecycle for rule-based correlation models</t>
  </si>
  <si>
    <t xml:space="preserve">ML Engine / Model Registry</t>
  </si>
  <si>
    <t xml:space="preserve">Extend ModelRegistry into a real lifecycle: register/version/activate/retire the rule-based correlation 'models' (a model = a parameterized correlation/scoring config over a feature set + window), with provenance (job, window, sample size) and an activation flag the risk scorer reads. Keep the 'Transparent rule-based quality risk scorer' baseline as version 1.</t>
  </si>
  <si>
    <t xml:space="preserve">1) A learning run can register a new model version with provenance. 2) Exactly one version per scope is active; activating a new one retires the prior. 3) Risk scoring reads the active model. 4) History is queryable for audit.</t>
  </si>
  <si>
    <t xml:space="preserve">PPIQ-T123</t>
  </si>
  <si>
    <t xml:space="preserve">ML learning engine unit + integration tests on golden datasets</t>
  </si>
  <si>
    <t xml:space="preserve">ML Engine / Test Coverage</t>
  </si>
  <si>
    <t xml:space="preserve">Tests with deterministic golden datasets where the correct correlations are known by construction (planted signal + noise). Assert the engine recovers the planted associations within tolerance, ranks them correctly, respects governance gates, and persists correct provenance. Performance test bounds the run on the standard demo size.</t>
  </si>
  <si>
    <t xml:space="preserve">1) Engine recovers planted associations and rejects pure-noise columns. 2) Ranking matches the known ground-truth order. 3) Governance gate blocks an under-sampled run. 4) Deterministic; wired to the Jenkins gate.</t>
  </si>
  <si>
    <t xml:space="preserve">  Phase 05 — ML Engine — Inspection Jobs to Generated Pages (Vision §3.2)   |   6 tasks   |   31 hrs</t>
  </si>
  <si>
    <t xml:space="preserve">PPIQ-T124</t>
  </si>
  <si>
    <t xml:space="preserve">Inspection Job domain + persistence + endpoints (back SaveInspectionJobModal)</t>
  </si>
  <si>
    <t xml:space="preserve">P05</t>
  </si>
  <si>
    <t xml:space="preserve">ML Engine / Inspection Jobs</t>
  </si>
  <si>
    <t xml:space="preserve">Vision §3.2.1: a user selects a defect/downtime/KPI id, an inspection window (last week/month/year), and names the job. Implement the InspectionJob entity + EF config + migration + endpoints (create/list/get/run/schedule/delete). Back the already-wired SaveInspectionJobModal with the real POST. Authorization + license gating (Pro Plus/Enterprise).</t>
  </si>
  <si>
    <t xml:space="preserve">1) Creating an inspection job from the modal persists it and returns an id. 2) Listing shows target, window, schedule. 3) Non-licensed tier is gated with a clear hint. 4) Audit row on create/run/schedule.</t>
  </si>
  <si>
    <t xml:space="preserve">PPIQ-T125</t>
  </si>
  <si>
    <t xml:space="preserve">Inspection Job runner — on-demand correlation analysis</t>
  </si>
  <si>
    <t xml:space="preserve">ML Engine / Inspection Runner</t>
  </si>
  <si>
    <t xml:space="preserve">Vision §3.2.2: implement the runner that executes an inspection job using the learning engine (P04) over the selected target + window and produces a ranked 'most influential parameters' result with evidence (coefficient, confidence, sample size, supporting slices). Returns a structured InspectionResult the page generator consumes. Run-now returns 202 + progress (reuse the demo-lifecycle progress pattern).</t>
  </si>
  <si>
    <t xml:space="preserve">1) Run-now over a demo target returns a ranked contributor list with evidence in bounded time. 2) Progress endpoint ticks through stages. 3) Same input+window =&gt; deterministic ranking. 4) Results persisted and linked to the job.</t>
  </si>
  <si>
    <t xml:space="preserve">PPIQ-T126</t>
  </si>
  <si>
    <t xml:space="preserve">Auto-generate analysis page from inspection result (no hardcoding)</t>
  </si>
  <si>
    <t xml:space="preserve">ML Engine / Page Generation</t>
  </si>
  <si>
    <t xml:space="preserve">Vision §3.2.2 + Track-3 golden rule: on run completion, auto-generate a dashboard page composed of real widgets bound to the result — top-contributors bar, contributor trend over the window, distribution by target, correlation matrix — using the canonical widget definitions and the page model (P07). No hardcoded page; the generator emits the same widget definitions a user could build by hand.</t>
  </si>
  <si>
    <t xml:space="preserve">1) A completed run produces a saved-page definition referencing real widgets bound to the result data. 2) Opening the page renders the widgets with live data. 3) Regenerating after a re-run updates the page in place. 4) Generated page round-trips through the page model — zero hardcoded layout.</t>
  </si>
  <si>
    <t xml:space="preserve">PPIQ-T127</t>
  </si>
  <si>
    <t xml:space="preserve">Correlation Page shell — tabbed generated pages (replace 5-line stub)</t>
  </si>
  <si>
    <t xml:space="preserve">ML Engine / Correlation Page</t>
  </si>
  <si>
    <t xml:space="preserve">Vision §3.2: replace the 5-line CorrelationPage.tsx stub with the full ML Correlation area — a StandardTabs surface where each generated inspection-job page is a tab, with run-now, a save toggle, and a schedule control (hourly/daily) per Vision §3.2.3. Standard* primitives, license gating, DataFetchBoundary states.</t>
  </si>
  <si>
    <t xml:space="preserve">1) Page lists inspection jobs as tabs; selecting one renders its generated widgets. 2) Run-now refreshes the tab via the runner with a progress panel. 3) Save persists the page; Schedule enqueues a periodic job in the Jobs Monitor. 4) Standard* primitives only; visual regression baseline captured.</t>
  </si>
  <si>
    <t xml:space="preserve">PPIQ-T128</t>
  </si>
  <si>
    <t xml:space="preserve">Schedule inspection jobs periodically + Jobs Monitor integration</t>
  </si>
  <si>
    <t xml:space="preserve">ML Engine / Scheduling</t>
  </si>
  <si>
    <t xml:space="preserve">Vision §3.2.3: allow a saved inspection job to run periodically (hourly/daily/user-defined) or on demand. Register scheduled inspection runs in the unified job model so they appear in the Jobs Monitor with status/last-run/duration, and so a periodic run regenerates the saved page.</t>
  </si>
  <si>
    <t xml:space="preserve">1) Scheduling a job enqueues a recurring run visible in the Jobs Monitor. 2) Each periodic run regenerates the page and records last-run/duration. 3) Pausing/deleting the schedule stops future runs. 4) Rate-limited to avoid overlap.</t>
  </si>
  <si>
    <t xml:space="preserve">PPIQ-T129</t>
  </si>
  <si>
    <t xml:space="preserve">E2E + integration tests for run -&gt; generate -&gt; save -&gt; schedule loop</t>
  </si>
  <si>
    <t xml:space="preserve">Playwright e2e + backend integration tests covering the full §3.2 loop: create inspection job =&gt; run-now =&gt; generated page renders contributors =&gt; save =&gt; schedule =&gt; periodic run regenerates. Assert absence of the forbidden phrase and forbidden ML claims.</t>
  </si>
  <si>
    <t xml:space="preserve">1) The full loop passes against staging. 2) Generated page shows the expected top contributor for a planted-signal demo target. 3) Forbidden-phrase and forbidden-claim assertions pass. 4) Test &lt; 120s, wired to the post-deploy gate.</t>
  </si>
  <si>
    <t xml:space="preserve">  Phase 06 — ML Engine — Suggestion &amp; Recommendation Assistant (Vision §3.3)   |   5 tasks   |   23 hrs</t>
  </si>
  <si>
    <t xml:space="preserve">PPIQ-T130</t>
  </si>
  <si>
    <t xml:space="preserve">Suggestion &amp; recommendation engine (rule-based, evidence-linked)</t>
  </si>
  <si>
    <t xml:space="preserve">P06</t>
  </si>
  <si>
    <t xml:space="preserve">ML Engine / Suggestion Engine</t>
  </si>
  <si>
    <t xml:space="preserve">Vision §3.3: synthesize ranked recommendations from learning-job outputs (P04), inspection results (P05) and data-quality findings — e.g. 'Heats with tundish superheat above X correlate with surface-defect class Y over the last 30 days (n=…, r=…); review caster practice.' Each suggestion carries confidence, sample size, and links to its supporting evidence. Strictly honest framing — suspected contributors, statistical pattern, evidence-based; never guaranteed root cause or prediction (enforced by a copy guard).</t>
  </si>
  <si>
    <t xml:space="preserve">1) The engine emits ranked suggestions, each with confidence, sample size, evidence link. 2) Suggestions update after a new learning run. 3) No suggestion uses forbidden claim language (guarded). 4) Determinism for a fixed input set.</t>
  </si>
  <si>
    <t xml:space="preserve">PPIQ-T131</t>
  </si>
  <si>
    <t xml:space="preserve">/api/suggestions endpoint + context filtering</t>
  </si>
  <si>
    <t xml:space="preserve">ML Engine / Suggestions API</t>
  </si>
  <si>
    <t xml:space="preserve">Implement GET /api/suggestions (the v3 PPIQ-T054 route, previously a stub) returning ranked recommendations, filterable by current investigation context (material/area/line/window) and license tier. ProblemDetails error paths; pagination; audit of which suggestions were surfaced.</t>
  </si>
  <si>
    <t xml:space="preserve">1) Endpoint returns ranked suggestions with reasoning + evidence links. 2) Context filters narrow results correctly. 3) Non-licensed tier is gated. 4) Integration tests cover happy/empty/filtered.</t>
  </si>
  <si>
    <t xml:space="preserve">PPIQ-T132</t>
  </si>
  <si>
    <t xml:space="preserve">Suggestions &amp; Recommendations page (assistant-style UI)</t>
  </si>
  <si>
    <t xml:space="preserve">ML Engine / Suggestions Page</t>
  </si>
  <si>
    <t xml:space="preserve">Build the /suggestions page: an assistant-style, evidence-grade list of recommendations with reasoning, confidence, sample size, and drill-through to the supporting correlation/inspection page. Standard* primitives, DataFetchBoundary states, license gating, and an honest empty state ('no strong signal yet'). Brand voice throughout.</t>
  </si>
  <si>
    <t xml:space="preserve">1) Page renders ranked recommendations with reasoning + evidence drill-through. 2) Drill-through opens the supporting analysis page. 3) Empty/loading/error states use Standard* and the 'Refreshing…' pattern. 4) Standard* primitives only; visual regression baseline captured.</t>
  </si>
  <si>
    <t xml:space="preserve">PPIQ-T133</t>
  </si>
  <si>
    <t xml:space="preserve">Brand-voice copy guard for ML / suggestion surfaces</t>
  </si>
  <si>
    <t xml:space="preserve">ML Engine / Copy Compliance</t>
  </si>
  <si>
    <t xml:space="preserve">Add a CI copy guard (extending validate-forbidden-copy.mjs) banning forbidden ML claims across ML/suggestion surfaces: 'guaranteed root cause', 'AI-powered prediction', 'production-ready AI', 'predicts'. Provide approved replacements ('suspected contributor', 'statistical correlation', 'rule-based risk scoring'). Wire to the Jenkins ForbiddenPhraseSweep stage.</t>
  </si>
  <si>
    <t xml:space="preserve">1) Introducing a forbidden ML claim anywhere fails CI with the approved replacement. 2) Existing rule-based copy passes. 3) Stage runs &lt; 5s.</t>
  </si>
  <si>
    <t xml:space="preserve">PPIQ-T134</t>
  </si>
  <si>
    <t xml:space="preserve">Suggestion ranking + evidence-linkage tests</t>
  </si>
  <si>
    <t xml:space="preserve">Tests asserting suggestion ranking order on golden inputs, evidence links resolve to the correct underlying results, context-filtering correctness, and license gating. Determinism check.</t>
  </si>
  <si>
    <t xml:space="preserve">1) Ranking matches known ground truth on golden inputs. 2) Every evidence link resolves to the correct correlation/inspection record. 3) Gating blocks under the wrong tier. 4) Deterministic; wired to the gate.</t>
  </si>
  <si>
    <t xml:space="preserve">  Phase 07 — Page Builder &amp; Widget Library (Vision §2.1–2.2)   |   5 tasks   |   30 hrs</t>
  </si>
  <si>
    <t xml:space="preserve">PPIQ-T135</t>
  </si>
  <si>
    <t xml:space="preserve">Page CRUD + /pages/{slug} dynamic load (complete v3 T054 stub)</t>
  </si>
  <si>
    <t xml:space="preserve">P07</t>
  </si>
  <si>
    <t xml:space="preserve">Page Builder / Page CRUD</t>
  </si>
  <si>
    <t xml:space="preserve">Vision §2.1.1/2.1.3: implement create/edit/delete/save of user pages, persisted per-user, and the dynamic /pages/{slug} route loading a stored page definition (backend /api/pages/{slug}, 404 on missing). This is the page model the ML page generator (P05) also emits into. Standard* primitives.</t>
  </si>
  <si>
    <t xml:space="preserve">1) Create, rename, save, delete a page; reload restores it. 2) /pages/{slug} loads a stored page; missing slug 404s. 3) Pages are per-user/owner scoped. 4) The ML-generated page round-trips through the same model.</t>
  </si>
  <si>
    <t xml:space="preserve">PPIQ-T136</t>
  </si>
  <si>
    <t xml:space="preserve">Drag-drop widget canvas + widget library</t>
  </si>
  <si>
    <t xml:space="preserve">Page Builder / Canvas &amp; Library</t>
  </si>
  <si>
    <t xml:space="preserve">Vision §2.1.2: after creating a page, present a library of all widgets (every chart type, KPI, and the sorting/filtering tools — date-time picker, list-of-values). Drag-drop widgets onto the page, arrange, then Save; editing an existing page can add/remove/rearrange widgets. Drag/resize/min/max must be correct (Vision §2.5). Reuse the existing WidgetBuilderWizard for per-widget config.</t>
  </si>
  <si>
    <t xml:space="preserve">1) Drag a widget from the library to the canvas, arrange, save; reload preserves layout. 2) Resize/min/max/move behave correctly with no overlap glitches. 3) Date-time and list filters available as widgets. 4) Standard* primitives; visual regression baseline captured.</t>
  </si>
  <si>
    <t xml:space="preserve">PPIQ-T137</t>
  </si>
  <si>
    <t xml:space="preserve">Widget edit: link to DB values + script layer in the builder</t>
  </si>
  <si>
    <t xml:space="preserve">Page Builder / Widget Config</t>
  </si>
  <si>
    <t xml:space="preserve">Vision §2.2.1–2.2.3: the selected widget has an Edit action to link it to a list of values from the canonical schema and to add a script-layer expression (e.g. bar chart grouped by shift) so users avoid bespoke endpoints. Wire the already-built widget compiler (WidgetQueryExpressionService + WidgetScriptStep) into the live builder, with schema-aware autocomplete from the canonical catalog and SafeSqlValidator on save + execute.</t>
  </si>
  <si>
    <t xml:space="preserve">1) Editing a widget links it to a canonical view's columns and a script expression. 2) Autocomplete suggests views/columns contextually. 3) Save is gated on a valid, safe expression. 4) Execution honors the second-pass SafeSqlValidator.</t>
  </si>
  <si>
    <t xml:space="preserve">PPIQ-T138</t>
  </si>
  <si>
    <t xml:space="preserve">Page persistence, ownership &amp; sharing</t>
  </si>
  <si>
    <t xml:space="preserve">Page Builder / Persistence</t>
  </si>
  <si>
    <t xml:space="preserve">Backend page store (page, owner, layout json, widget bindings, version), endpoints for CRUD + list-by-owner, optional share/visibility. Tenant-scoped. Used by P05 generated pages and P07 builder.</t>
  </si>
  <si>
    <t xml:space="preserve">1) Pages persist with layout + bindings + version. 2) List-by-owner returns the user's pages. 3) Tenant isolation enforced. 4) Round-trip preserves layout and bindings.</t>
  </si>
  <si>
    <t xml:space="preserve">PPIQ-T139</t>
  </si>
  <si>
    <t xml:space="preserve">Page builder e2e + drag/resize correctness tests</t>
  </si>
  <si>
    <t xml:space="preserve">Page Builder / Test Coverage</t>
  </si>
  <si>
    <t xml:space="preserve">Playwright e2e: create page =&gt; drag two widgets =&gt; configure one with a script expression =&gt; resize/move =&gt; save =&gt; reload renders identically. Assert no layout drift and no forbidden phrase.</t>
  </si>
  <si>
    <t xml:space="preserve">1) The build-save-reload flow renders identically (snapshot). 2) Resize/move persist exactly. 3) Forbidden-phrase assertion passes. 4) Wired to the PR gate.</t>
  </si>
  <si>
    <t xml:space="preserve">  Phase 08 — Demo Source-Database Suite at Real Scale (Vision Track 3)   |   4 tasks   |   27 hrs</t>
  </si>
  <si>
    <t xml:space="preserve">PPIQ-T140</t>
  </si>
  <si>
    <t xml:space="preserve">docker-compose.demo-sources.yml — eight source systems (loopback-bound)</t>
  </si>
  <si>
    <t xml:space="preserve">P08</t>
  </si>
  <si>
    <t xml:space="preserve">Track 3 — Demo</t>
  </si>
  <si>
    <t xml:space="preserve">Demo Sources / Compose</t>
  </si>
  <si>
    <t xml:space="preserve">Expands v3 PPIQ-T063 to the vision's actual systems. Provision: postgres-meltshop (EAF/LF), oracle-caster, oracle-hsm, mssql-pkl, mysql-downtime, mysql-parsytec (surface inspection), plus csv-drop (Yard) and excel-drop (QA) watched volumes. Every port bound to 127.0.0.1 only. First-run init scripts under Infrastructure/deploy/source-seeds/{system}/. External network so the backend reaches each by hostname.</t>
  </si>
  <si>
    <t xml:space="preserve">1) compose up -d brings all eight up healthy within the warm-up window (Oracle slow). 2) Backend reaches each by internal hostname. 3) External scan shows no source DB publicly reachable. 4) Re-run is idempotent.</t>
  </si>
  <si>
    <t xml:space="preserve">PPIQ-T141</t>
  </si>
  <si>
    <t xml:space="preserve">Coherent cross-source steel dataset at vision scale</t>
  </si>
  <si>
    <t xml:space="preserve">Demo Sources / Seed Data</t>
  </si>
  <si>
    <t xml:space="preserve">Vision Track 3: generate ~1 month / ~630 heats / ~5,600 slabs-coils / 100K+ rows of realistic, coherent data spanning all systems with full genealogy EAF-&gt;LF-&gt;CC (2-strand thin-slab)-&gt;TF-&gt;HSM-&gt;SKP-&gt;LCT/HCT/STL-&gt;PKL-&gt;GVL-&gt;Yard. Include MeltShop heat summaries + chemistry samples/results/components + additives + EAF steps/parameters; Caster heat/slab/sequence/strand/tundish/mould + samples; HSM continuation; PKL; Downtime with production-vs-equipment stoppage logic and reason taxonomy (electrical/operation/production/mechanical/hydraulic); Parsytec defects; QA sampling (every 3rd coil, up to 2/coil for difficult grades). Extend generate_synthetic_plantprocessiq.py + writers; keep total seed &lt; 2 GB.</t>
  </si>
  <si>
    <t xml:space="preserve">1) Volumes: ~630 heats, ~5,600 slabs/coils, 100K+ rows total. 2) One material (ADV_COIL4002) traces end-to-end across every system incl. a downtime and a QA sample. 3) Re-seeding is idempotent. 4) Downtime stoppage logic is realistic (short HSM stop buffered; short caster pump stop cascades to hours).</t>
  </si>
  <si>
    <t xml:space="preserve">PPIQ-T142</t>
  </si>
  <si>
    <t xml:space="preserve">Connector smoke tests vs all six live DB sources + CSV/Excel golden files</t>
  </si>
  <si>
    <t xml:space="preserve">Connectors / Smoke Tests</t>
  </si>
  <si>
    <t xml:space="preserve">Completes v3 PPIQ-T065–T069. Author/extend smoke tests for PostgreSqlConnector, OracleConnector (x2 instances), MsSqlConnector, MySqlConnector (x2), plus the existing CSV/Excel tests, against the live demo-sources containers: ListTables, DescribeTable, SamplePage(100), FullSync, compared to checked-in golden snapshots. Opt-in via PPIQ_RUN_CONNECTOR_INTEGRATION=1; wired to the post-deploy gate. Oracle gets a 90s warm-up.</t>
  </si>
  <si>
    <t xml:space="preserve">1) Each connector passes against its seeded source. 2) Each detects drift if seed data is altered. 3) Oracle warm-up handled. 4) All wired to Jenkins post-deploy and logged.</t>
  </si>
  <si>
    <t xml:space="preserve">PPIQ-T143</t>
  </si>
  <si>
    <t xml:space="preserve">Live end-to-end config demo proof (no hardcoding)</t>
  </si>
  <si>
    <t xml:space="preserve">Demo Sources / E2E Proof</t>
  </si>
  <si>
    <t xml:space="preserve">Track-3 golden-rule proof: a scripted e2e that, from the HMI only, connects each of the six DB sources + two drops, maps/joins one cross-source view, runs a delta import, builds a page with a script-layer widget, and runs an inspection job — verifying nothing is hardcoded. The canonical 'real user' path.</t>
  </si>
  <si>
    <t xml:space="preserve">1) The full from-HMI path passes against the demo-sources stack. 2) Each step verified with a concrete checkpoint. 3) No hardcoded page/widget used anywhere in the path. 4) Run completes within the demo time budget.</t>
  </si>
  <si>
    <t xml:space="preserve">  Phase 09 — Hardening Completion &amp; Resilience (Vision Track 2)   |   8 tasks   |   35 hrs</t>
  </si>
  <si>
    <t xml:space="preserve">PPIQ-T144</t>
  </si>
  <si>
    <t xml:space="preserve">HeatMapWidget for Risk Intelligence (line x shift x day)</t>
  </si>
  <si>
    <t xml:space="preserve">P09</t>
  </si>
  <si>
    <t xml:space="preserve">Widgets / Visualization</t>
  </si>
  <si>
    <t xml:space="preserve">Carries v3 PPIQ-T076. Add a heat map on Risk Intelligence: risk score by line x shift x day-of-week, green-&gt;amber-&gt;red on the brand thresholds, hover tooltip with breakdown, click-through to the materials in that cell (applies filters to Material Investigation). Data via /api/risk/heatmap. Wrap in StandardCard with loading/empty/error states.</t>
  </si>
  <si>
    <t xml:space="preserve">1) Heat map renders; colors match the chip treatment. 2) Click drilldown applies filters to Material Investigation. 3) States use Standard* primitives. 4) 30x7x24 grid renders &lt; 200ms.</t>
  </si>
  <si>
    <t xml:space="preserve">PPIQ-T145</t>
  </si>
  <si>
    <t xml:space="preserve">Live license tier toggle + app-wide override banner</t>
  </si>
  <si>
    <t xml:space="preserve">License / Tier Toggle</t>
  </si>
  <si>
    <t xml:space="preserve">Carries v3 PPIQ-T077 (backend T053 done). In Admin Preview, a StandardSelect bound to effective-tier/tier-override lets an admin demo Pro Plus features without swapping licenses; an app-shell banner shows when an override is active ('Tier override active: Pro Plus (expires in 23h 47m). Reset.'). Brand-styled. Demonstrates Vision §4.2 (features appear/disappear by tier).</t>
  </si>
  <si>
    <t xml:space="preserve">1) Toggling tier immediately re-gates features across the app. 2) Banner appears when override active; Reset clears it. 3) Switching Enterprise-&gt;Pro visibly removes gated features. 4) Audit on every toggle.</t>
  </si>
  <si>
    <t xml:space="preserve">PPIQ-T146</t>
  </si>
  <si>
    <t xml:space="preserve">Progress-percentage UI for long-running endpoints (Vision §2.1)</t>
  </si>
  <si>
    <t xml:space="preserve">Hardening / Long Calls</t>
  </si>
  <si>
    <t xml:space="preserve">For every endpoint that can be slow on large datasets (imports, ML runs, heavy analytics, PDF generation), surface a loading indicator with a progress percentage (reuse OperationProgressPanel + progress endpoints). No silent multi-second hangs anywhere a customer can see.</t>
  </si>
  <si>
    <t xml:space="preserve">1) Each heavy action shows progress %, not a bare spinner. 2) Progress reflects real backend stages. 3) No visible hang &gt; 1s without feedback. 4) e2e covers the three heaviest paths.</t>
  </si>
  <si>
    <t xml:space="preserve">PPIQ-T147</t>
  </si>
  <si>
    <t xml:space="preserve">Endpoint + SQL resilience audit (PK/FK/null/timeout) (Vision §2.2)</t>
  </si>
  <si>
    <t xml:space="preserve">Hardening / API Resilience</t>
  </si>
  <si>
    <t xml:space="preserve">Systematic pass over every current API + its SQL/joins: guard against null/missing PK-FK, enforce query timeouts, add ProblemDetails on every error path, assert no unexpected 500s under empty/edge data. Produce docs/hardening/endpoint-resilience-{date}.md listing each endpoint's edge-case handling.</t>
  </si>
  <si>
    <t xml:space="preserve">1) Every endpoint returns structured errors, never an unhandled 500, under empty/edge inputs. 2) Query timeouts enforced; no endpoint hangs. 3) Checklist documents each endpoint's edge handling. 4) Integration tests cover the top 20 endpoints' edge cases.</t>
  </si>
  <si>
    <t xml:space="preserve">PPIQ-T148</t>
  </si>
  <si>
    <t xml:space="preserve">Full action-matrix test: every control does its job (Vision §3.1.1)</t>
  </si>
  <si>
    <t xml:space="preserve">Hardening / Action Matrix</t>
  </si>
  <si>
    <t xml:space="preserve">Build the exhaustive action matrix (extend src/hardening/actionMatrix.ts): for every page and sub-page, list every button/control/hook/recall with its expected action, and a Playwright test that exercises each and asserts the proper outcome (min/max/calc/load/navigate). No dead or misbehaving control allowed.</t>
  </si>
  <si>
    <t xml:space="preserve">1) The matrix enumerates every control on every page/sub-page. 2) Each is exercised and asserted. 3) Zero dead/misbehaving controls. 4) Wired to the PR gate; a newly-added dead button fails it.</t>
  </si>
  <si>
    <t xml:space="preserve">PPIQ-T149</t>
  </si>
  <si>
    <t xml:space="preserve">Responsive + cross-browser + http/https correctness (Vision §1.6, §2.1.6)</t>
  </si>
  <si>
    <t xml:space="preserve">Hardening / Responsive</t>
  </si>
  <si>
    <t xml:space="preserve">Verify every page renders correctly at common screen sizes and re-adjusts properly across Chromium/Firefox/WebKit on both http and https. Fix layout/overflow/orientation issues. Add Playwright runs at three viewports x three browsers to the suite.</t>
  </si>
  <si>
    <t xml:space="preserve">1) No layout/overflow defects across three viewports and three browsers. 2) Works on http and https. 3) Snapshots captured as baselines. 4) Wired to the visual-regression job.</t>
  </si>
  <si>
    <t xml:space="preserve">PPIQ-T150</t>
  </si>
  <si>
    <t xml:space="preserve">Archive synthetic seeds out of production boot path</t>
  </si>
  <si>
    <t xml:space="preserve">Seeds / Hygiene</t>
  </si>
  <si>
    <t xml:space="preserve">Carries v3 PPIQ-T078. Move any synthetic/placeholder seed out of the boot path into Backend/database/seeds/demo-only/, invoked only by the demo reset job and only when tenant.is_demo = true. Any seed touching a real tenant must be explicit and approved.</t>
  </si>
  <si>
    <t xml:space="preserve">1) Grep of API startup shows zero demo-seed calls in the production boot path. 2) A fresh non-demo tenant has zero synthetic rows. 3) The demo tenant re-seeds correctly via reset. 4) Audit shows seed activity only on demo tenants.</t>
  </si>
  <si>
    <t xml:space="preserve">PPIQ-T151</t>
  </si>
  <si>
    <t xml:space="preserve">Complete Standard* contract tests</t>
  </si>
  <si>
    <t xml:space="preserve">Quality / Contract Tests</t>
  </si>
  <si>
    <t xml:space="preserve">Carries v3 PPIQ-T081. Ensure every Standard* primitive has a contract test asserting prop names/types/defaults and render shape (data-testid hooks). Fill gaps (Surface/Fields variants) beyond the existing Button/Table/Tabs tests.</t>
  </si>
  <si>
    <t xml:space="preserve">1) Contract tests exist for all Standard* primitives. 2) A non-backward-compatible prop change fails a contract test. 3) Suite &lt; 30s on every PR.</t>
  </si>
  <si>
    <t xml:space="preserve">  Phase 10 — Demo Storytelling, Personas &amp; Recording (Vision Track 3)   |   6 tasks   |   20 hrs</t>
  </si>
  <si>
    <t xml:space="preserve">PPIQ-T152</t>
  </si>
  <si>
    <t xml:space="preserve">25-step technical demo script with verification points</t>
  </si>
  <si>
    <t xml:space="preserve">P10</t>
  </si>
  <si>
    <t xml:space="preserve">Documentation</t>
  </si>
  <si>
    <t xml:space="preserve">Demo Scripts / Technical</t>
  </si>
  <si>
    <t xml:space="preserve">Carries v3 PPIQ-T070. docs/demo/technical-demo-25-steps.md: 25 steps, each with [Action],[Expected UI state],[Verification checkpoint],[Recovery line],[Backend log indicator]. Covers login, connect each source, map/join one, delta sync, Data Quality findings, save investigation, calculate risk, export PDF, run ML readiness gate, run an inspection job and view the generated page, view a suggestion, deploy a script-layer widget, view audit log, reset demo. Screenshots match the Standard*-migrated UI.</t>
  </si>
  <si>
    <t xml:space="preserve">1) 25 steps, all five fields populated. 2) Screenshots match the current UI. 3) A new SE runs it end-to-end in &lt; 40 min. 4) Each checkpoint is concrete.</t>
  </si>
  <si>
    <t xml:space="preserve">PPIQ-T153</t>
  </si>
  <si>
    <t xml:space="preserve">5-minute executive demo script with talk track</t>
  </si>
  <si>
    <t xml:space="preserve">Demo Scripts / Executive</t>
  </si>
  <si>
    <t xml:space="preserve">Carries v3 PPIQ-T071. docs/demo/executive-demo-5min.md: 4 acts (problem 60s; solution 90s; demo 2m30s — search -&gt; drilldown -&gt; calculate risk -&gt; inspection job -&gt; suggestion -&gt; PDF; close 60s). Exact words + the screen to show per act.</t>
  </si>
  <si>
    <t xml:space="preserve">1) Four acts, total 4:30–5:00 measured. 2) Deliverable from the script without rehearsal. 3) Each act references a specific page+state.</t>
  </si>
  <si>
    <t xml:space="preserve">PPIQ-T154</t>
  </si>
  <si>
    <t xml:space="preserve">Recovery lines for known fail-points</t>
  </si>
  <si>
    <t xml:space="preserve">Demo Scripts / Recovery</t>
  </si>
  <si>
    <t xml:space="preserve">Carries v3 PPIQ-T072. docs/demo/recovery-lines.md: &gt;=12 known weak points (Oracle warm-up, first connector load, ML run latency, PDF render, network hiccup, stale cache) each with a calm, confident, non-apologetic recovery line + remediation gesture, in brand voice.</t>
  </si>
  <si>
    <t xml:space="preserve">1) &gt;=12 fail-points covered. 2) Each line is calm and on-brand. 3) Founder review approves the tone.</t>
  </si>
  <si>
    <t xml:space="preserve">PPIQ-T155</t>
  </si>
  <si>
    <t xml:space="preserve">Demo persona accounts (Operator, QA Lead, Plant Manager, Admin)</t>
  </si>
  <si>
    <t xml:space="preserve">Demo Lifecycle / Personas</t>
  </si>
  <si>
    <t xml:space="preserve">Carries v3 PPIQ-T073. Seed four personas via the demo reset job with rotated credentials and tuned home pages (Operator: today's quality events; QA Lead: open investigations; Plant Manager: risk by line; Admin: system health). Role/tier restrictions enforced.</t>
  </si>
  <si>
    <t xml:space="preserve">1) After reset all four log in. 2) Each home page is tuned per spec. 3) Operator cannot reach Admin pages. 4) Credentials documented (gitignored real values, vaulted).</t>
  </si>
  <si>
    <t xml:space="preserve">PPIQ-T156</t>
  </si>
  <si>
    <t xml:space="preserve">Seed canonical demo plant layout (flat-steel, Vision Track 3)</t>
  </si>
  <si>
    <t xml:space="preserve">Demo Lifecycle / Canonical Layout</t>
  </si>
  <si>
    <t xml:space="preserve">Carries/updates v3 PPIQ-T074 to the steel-plant vision. Seed the canonical layout (EAF/LF/CC/TF/HSM/SKP/LCT/HCT/STL/PKL/GVL/Yard/Roll Shop) with realistic genealogy and per-area equipment/counters, applied via the demo reset job. Document at docs/demo/canonical-layout.md.</t>
  </si>
  <si>
    <t xml:space="preserve">1) Layout after reset matches the documented canonical plant. 2) Genealogy intact across areas. 3) Process history/quality/risk realistic per material. 4) Re-applies cleanly via reset.</t>
  </si>
  <si>
    <t xml:space="preserve">PPIQ-T157</t>
  </si>
  <si>
    <t xml:space="preserve">Record dry-run demo video + capture website screenshots</t>
  </si>
  <si>
    <t xml:space="preserve">Track 4 — Website</t>
  </si>
  <si>
    <t xml:space="preserve">Demo Recording / Website Assets</t>
  </si>
  <si>
    <t xml:space="preserve">Carries v3 PPIQ-T075. After prior phases are green, record one 5-minute executive dry-run (screen+voice) on the Standard*-migrated UI and capture 10+ 1080p screenshots (login, dashboard, material search, drilldown, risk, inspection page, suggestion, PDF, audit, reset) into Website assets.</t>
  </si>
  <si>
    <t xml:space="preserve">1) 5-min video at 1080p+. 2) 10+ screenshots at 1920x1080. 3) Website renders the new assets. 4) In-app/website visual consistency confirmed.</t>
  </si>
  <si>
    <t xml:space="preserve">  Phase 11 — Website Track — 5-Product Showcase &amp; Brand (Vision Track 4)   |   9 tasks   |   28 hrs</t>
  </si>
  <si>
    <t xml:space="preserve">PPIQ-T158</t>
  </si>
  <si>
    <t xml:space="preserve">Produce the logo asset set per brand brief</t>
  </si>
  <si>
    <t xml:space="preserve">P11</t>
  </si>
  <si>
    <t xml:space="preserve">Web</t>
  </si>
  <si>
    <t xml:space="preserve">Website / Brand Assets</t>
  </si>
  <si>
    <t xml:space="preserve">Vision §2.4: produce the full logo set — full horizontal, icon-only favicon, stacked vertical — each in full-color, dark, light, monochrome — from the connected-node concept (Electric Cyan nodes on Deep Navy). Ship optimized SVG + PNG; wire into the app header, website, and PDF reports.</t>
  </si>
  <si>
    <t xml:space="preserve">1) All variants exist as SVG+PNG within palette. 2) Favicon + app header + website + PDF header use the correct variant. 3) No drop shadows/recolors/steel-only imagery (brief 'Do Not' respected).</t>
  </si>
  <si>
    <t xml:space="preserve">PPIQ-T159</t>
  </si>
  <si>
    <t xml:space="preserve">PlantProcess IQ product page (full)</t>
  </si>
  <si>
    <t xml:space="preserve">Website / Product Page</t>
  </si>
  <si>
    <t xml:space="preserve">Vision Track 4 product 1: full PlantProcess IQ page — description, benefits, interactive graphics/screenshots, license matrix, golden-rule CTA. Evidence-grade, on-brand. Reuse the proof components already built (PricingLicenseMatrix, ProductScreenshotShowcase).</t>
  </si>
  <si>
    <t xml:space="preserve">1) Page covers description/benefits/graphics/license/CTA. 2) Uses brand grammar and post-migration screenshots. 3) CTA links to the live demo. 4) Responsive across viewports.</t>
  </si>
  <si>
    <t xml:space="preserve">PPIQ-T160</t>
  </si>
  <si>
    <t xml:space="preserve">MES product page (full)</t>
  </si>
  <si>
    <t xml:space="preserve">Vision Track 4 product 2: full Manufacturing Execution System page — description, benefits, interactive graphics, license, golden rule. Consistent brand grammar with the PPIQ page.</t>
  </si>
  <si>
    <t xml:space="preserve">1) Full MES page with all required sections. 2) Brand-consistent with PPIQ page. 3) CTA wired. 4) Responsive.</t>
  </si>
  <si>
    <t xml:space="preserve">PPIQ-T161</t>
  </si>
  <si>
    <t xml:space="preserve">QES product page (full)</t>
  </si>
  <si>
    <t xml:space="preserve">Vision Track 4 product 3: full Quality Execution System page — description, benefits, interactive graphics, license, golden rule.</t>
  </si>
  <si>
    <t xml:space="preserve">1) Full QES page with all required sections. 2) Brand-consistent. 3) CTA wired. 4) Responsive.</t>
  </si>
  <si>
    <t xml:space="preserve">PPIQ-T162</t>
  </si>
  <si>
    <t xml:space="preserve">Yard &amp; Warehouse Management product page (full)</t>
  </si>
  <si>
    <t xml:space="preserve">Vision Track 4 product 4: full Yard &amp; Warehouse Management page — description, benefits, interactive graphics, license, golden rule.</t>
  </si>
  <si>
    <t xml:space="preserve">1) Full page with all required sections. 2) Brand-consistent. 3) CTA wired. 4) Responsive.</t>
  </si>
  <si>
    <t xml:space="preserve">PPIQ-T163</t>
  </si>
  <si>
    <t xml:space="preserve">Energy Management product page (full)</t>
  </si>
  <si>
    <t xml:space="preserve">Vision Track 4 product 5: full Energy Management page — description, benefits, interactive graphics, license, golden rule.</t>
  </si>
  <si>
    <t xml:space="preserve">PPIQ-T164</t>
  </si>
  <si>
    <t xml:space="preserve">Pricing + CTA wired to lead capture &amp; demo lifecycle</t>
  </si>
  <si>
    <t xml:space="preserve">Website / Pricing &amp; CTA</t>
  </si>
  <si>
    <t xml:space="preserve">Carries v3 PPIQ-T085. Three tiers (Pro/Pro Plus/Enterprise) with a feature matrix consistent with in-app licensing; 'Book a demo' posts to /api/leads with UTM params and triggers a calendar booking flow; leads land where the founder is notified. Website CTA buttons match the in-app brand grammar.</t>
  </si>
  <si>
    <t xml:space="preserve">1) Pricing renders three tiers + feature matrix matching in-app gating. 2) Book-a-demo submits a lead and shows a booking flow. 3) Lead notification reaches the founder. 4) Brand consistency with the app.</t>
  </si>
  <si>
    <t xml:space="preserve">PPIQ-T165</t>
  </si>
  <si>
    <t xml:space="preserve">Evidence-grade screenshots + case-study snippets</t>
  </si>
  <si>
    <t xml:space="preserve">Website / Proof</t>
  </si>
  <si>
    <t xml:space="preserve">Carries v3 PPIQ-T086. Integrate the T157 screenshots into hero/features/proof with 'See it in the live demo' deep links, plus one evidence-grade case-study paragraph for the canonical plant (no exaggeration, brand voice).</t>
  </si>
  <si>
    <t xml:space="preserve">1) Hero/features/proof show post-migration UI. 2) CTAs deep-link to the page shown. 3) Case-study snippet is evidence-grade and on-brand.</t>
  </si>
  <si>
    <t xml:space="preserve">PPIQ-T166</t>
  </si>
  <si>
    <t xml:space="preserve">Brand identity consistency audit (app + website + reports)</t>
  </si>
  <si>
    <t xml:space="preserve">normal</t>
  </si>
  <si>
    <t xml:space="preserve">Website / Brand Audit</t>
  </si>
  <si>
    <t xml:space="preserve">Vision Track 4 'same brand identity everywhere': audit palette, typography (Inter / JetBrains Mono), logo usage, and tone across app, website, and PDF reports; fix any drift. Produce docs/brand/consistency-audit-{date}.md.</t>
  </si>
  <si>
    <t xml:space="preserve">1) Palette/typography/logo usage consistent across all three surfaces. 2) PDF reports use the light-mode brand header/footer. 3) Audit document lists and resolves every drift.</t>
  </si>
  <si>
    <t xml:space="preserve">  Phase 12 — Legal Templates, Runbooks &amp; Documentation   |   8 tasks   |   25.5 hrs</t>
  </si>
  <si>
    <t xml:space="preserve">PPIQ-T167</t>
  </si>
  <si>
    <t xml:space="preserve">Mutual NDA template</t>
  </si>
  <si>
    <t xml:space="preserve">P12</t>
  </si>
  <si>
    <t xml:space="preserve">Legal / NDA</t>
  </si>
  <si>
    <t xml:space="preserve">Carries v3 PPIQ-T082. docs/legal/NDA-mutual-v1.docx parameterized for {EffectiveDate}{Counterparty}{Term}: confidential-info definition, exclusions, term (default 3y), purpose limitation, return of materials, no implied license, governing law (Dusseldorf / German law default). Counsel review before first use. Plain-md version for diffing.</t>
  </si>
  <si>
    <t xml:space="preserve">1) Docx template renders with placeholders. 2) Counsel sign-off captured in docs/legal/REVIEWS.md. 3) MD diff version checked in.</t>
  </si>
  <si>
    <t xml:space="preserve">PPIQ-T168</t>
  </si>
  <si>
    <t xml:space="preserve">SOW pilot template parameterized for pilot scope</t>
  </si>
  <si>
    <t xml:space="preserve">Legal / SOW</t>
  </si>
  <si>
    <t xml:space="preserve">Carries v3 PPIQ-T083. docs/legal/SOW-pilot-v1.docx: scope (sources connected, modules enabled, success metrics), duration (default 8 weeks), price, deliverables, acceptance criteria, change-control. Aligned with the vision pricing model. Counsel review.</t>
  </si>
  <si>
    <t xml:space="preserve">1) Docx template renders with placeholders. 2) Pricing fields match the website pricing page (T164). 3) Counsel sign-off captured.</t>
  </si>
  <si>
    <t xml:space="preserve">PPIQ-T169</t>
  </si>
  <si>
    <t xml:space="preserve">DPA template aligned with GDPR / SOC 2 Type I</t>
  </si>
  <si>
    <t xml:space="preserve">Legal / DPA</t>
  </si>
  <si>
    <t xml:space="preserve">Carries v3 PPIQ-T084. docs/legal/DPA-gdpr-v1.docx: controller/processor roles, processing purposes, data categories, subprocessors (Hetzner; Anthropic only if used), security measures, breach notification (72h), audit rights, retention, deletion on termination. Counsel review.</t>
  </si>
  <si>
    <t xml:space="preserve">1) Docx template renders with placeholders. 2) Subprocessors list matches the actual production deployment. 3) Counsel sign-off captured.</t>
  </si>
  <si>
    <t xml:space="preserve">PPIQ-T170</t>
  </si>
  <si>
    <t xml:space="preserve">Deployment runbook (server, Compose, Caddy, Jenkins)</t>
  </si>
  <si>
    <t xml:space="preserve">Runbook / Deployment</t>
  </si>
  <si>
    <t xml:space="preserve">Carries v3 PPIQ-T087. docs/runbook/deployment.md: bootstrap a fresh Hetzner Ubuntu 26.04 server from zero to running PPIQ in &lt; 30 min — SSH hardening, Docker install, repo clone, .env prep, Caddy install + Caddyfile, Jenkins install + plugins + webhook, first deploy, post-deploy verification. Each step has the exact command, expected output, and failure-and-remediation note.</t>
  </si>
  <si>
    <t xml:space="preserve">1) A new engineer bootstraps a fresh server in &lt; 30 min following the runbook. 2) Every command verified live. 3) Failure modes documented with fixes.</t>
  </si>
  <si>
    <t xml:space="preserve">PPIQ-T171</t>
  </si>
  <si>
    <t xml:space="preserve">Incident-response runbook (rollback, restore, comms) + daily backup job</t>
  </si>
  <si>
    <t xml:space="preserve">Runbook / Incident Response</t>
  </si>
  <si>
    <t xml:space="preserve">Carries v3 PPIQ-T088. docs/runbook/incident-response.md: rollback to the previous container tag &lt; 5 min, restore from Postgres backup, restore from audit-log replay, customer comms templates, severity matrix, escalation. Reference the Jenkinsfile rollback path and the daily backup job — verify the latter exists; if not, build it (offsite/encrypted).</t>
  </si>
  <si>
    <t xml:space="preserve">1) Runbook covers the four scenarios with concrete commands. 2) Daily backup job exists, runs, stores backups offsite encrypted. 3) Restore tested end-to-end in a sandbox &lt; 30 min. 4) Severity matrix + comms templates approved.</t>
  </si>
  <si>
    <t xml:space="preserve">PPIQ-T172</t>
  </si>
  <si>
    <t xml:space="preserve">UI Standards onboarding for future contributors</t>
  </si>
  <si>
    <t xml:space="preserve">Documentation / Onboarding</t>
  </si>
  <si>
    <t xml:space="preserve">Carries v3 PPIQ-T089. docs/ui-standards/contributing.md: canonical import paths, the ESLint rules, how to add/extend a Standard* component without breaking the contract, how to update design tokens. Reference the Storybook URL. Worked example: add a ProgressBar primitive from scratch in &lt; 60 min.</t>
  </si>
  <si>
    <t xml:space="preserve">1) Document references all Standard* primitives. 2) Worked example is reproducible. 3) A new contributor authors a primitive PR in &lt; 60 min following the doc.</t>
  </si>
  <si>
    <t xml:space="preserve">PPIQ-T173</t>
  </si>
  <si>
    <t xml:space="preserve">Widget script grammar reference for power users</t>
  </si>
  <si>
    <t xml:space="preserve">Documentation / Widget Grammar</t>
  </si>
  <si>
    <t xml:space="preserve">Carries v3 PPIQ-T090. docs/widget-grammar/reference.md: the full grammar, every aggregate function, every filter operator, every limitation. 10+ worked examples (count by category, sum over time, top-N with rank, conditional aggregates). The explicit list of canonical schema views available. The SafeSqlValidator blocked patterns and why. Linked from the widget editor as inline help.</t>
  </si>
  <si>
    <t xml:space="preserve">1) Reference covers the full grammar. 2) 10+ worked examples each compile and execute. 3) Linked from the WidgetExpressionEditor as inline help.</t>
  </si>
  <si>
    <t xml:space="preserve">PPIQ-T174</t>
  </si>
  <si>
    <t xml:space="preserve">Tenant isolation, data retention &amp; audit-log architecture doc</t>
  </si>
  <si>
    <t xml:space="preserve">Documentation / Security Architecture</t>
  </si>
  <si>
    <t xml:space="preserve">Carries v3 PPIQ-T091. docs/architecture/security-and-isolation.md: SingleTenantPerPilot mode, tenant_id enforcement via row-level security, audit-log immutability via trigger guards, retention defaults (audit 7y, telemetry 90d, application 365d), encryption at rest/in transit, key rotation, backup encryption. Used in SOC 2 and customer security reviews; cross-references AuditLogImmutabilityTests.cs.</t>
  </si>
  <si>
    <t xml:space="preserve">1) Document covers all six topics with diagrams. 2) Cross-references AuditLogImmutabilityTests.cs as the verification proof. 3) Diagrams in mermaid, checked in as source + exported PNG. 4) Founder + counsel review for accuracy.</t>
  </si>
  <si>
    <t xml:space="preserve">How to Use This Workbook (v4)</t>
  </si>
  <si>
    <t xml:space="preserve">Relationship to v3</t>
  </si>
  <si>
    <t xml:space="preserve">This is the v4 plan. It contains only the OPEN work. v3 Phases 1–8 (tasks PPIQ-T001–T062) were validated as &gt;85% complete on 30 May 2026 and are intentionally NOT repeated here. See the companion analysis report for the phase-by-phase verdict and evidence.</t>
  </si>
  <si>
    <t xml:space="preserve">Audience</t>
  </si>
  <si>
    <t xml:space="preserve">Founder / lead developer (Karim) and any future contributor. The workbook is the single source of truth for what 'finished' means against the 4-Track Vision, now including the ML engine, the generic schema-mapping + delta-import architecture, the page builder, and the full 5-product website.</t>
  </si>
  <si>
    <t xml:space="preserve">Sheets</t>
  </si>
  <si>
    <t xml:space="preserve">1) Task List — 74 tasks grouped by 12 phases, developer-grade detail.  2) How to Use.  3) Phase Summary — effort + severity rollup per phase (formula-driven).  4) UI Standards Reference — the canonical component contract every page must conform to (unchanged, still enforced).  5) Rollups — pivot views by severity, track, module, type (formula-driven).</t>
  </si>
  <si>
    <t xml:space="preserve">Severity scale</t>
  </si>
  <si>
    <t xml:space="preserve">critical (P0, do first) &gt; very important (this sprint) &gt; important (before paid pilot) &gt; normal &gt; optional. Phase 1 closes the residual security/brand hotfixes carried over from the completed phases and must be done before any external demo.</t>
  </si>
  <si>
    <t xml:space="preserve">Tracks</t>
  </si>
  <si>
    <t xml:space="preserve">Track 1 Workflow, Track 2 Hardening, Track 3 Demo, Track 4 Website. The biggest net-new investment is the ML engine (Phases 4–6) and the schema-mapping/delta-import foundation it depends on (Phases 2–3) — the parts of the vision the earlier lists never covered.</t>
  </si>
  <si>
    <t xml:space="preserve">Module taxonomy</t>
  </si>
  <si>
    <t xml:space="preserve">App Frontend (React/TS), App Backend (.NET 9), Database (PostgreSQL 17 + EF Core), Infrastructure (Docker, Caddy, Jenkins, Hetzner), Web (marketing site), Documentation.</t>
  </si>
  <si>
    <t xml:space="preserve">Task ID format</t>
  </si>
  <si>
    <t xml:space="preserve">PPIQ-T### — continues from the v3 series and starts at PPIQ-T101 so IDs never collide with the completed T001–T091. Where a task carries forward open v3 work, its Description cites the original v3 ID (e.g. 'Carries v3 PPIQ-T076').</t>
  </si>
  <si>
    <t xml:space="preserve">P01–P12 — a fresh sequence for the v4 plan. Recommended order is strictly top-to-bottom: P01 hotfixes first; P02–P03 build the schema/import foundation; P04–P06 deliver the ML engine on that foundation; P07 the page builder; P08 the demo at scale; P09 hardening; P10 storytelling; P11 website; P12 legal/docs.</t>
  </si>
  <si>
    <t xml:space="preserve">Effort estimates</t>
  </si>
  <si>
    <t xml:space="preserve">Hours for a single experienced full-stack engineer (Karim's profile). Calendar days = hours / 6 productive hours/day. Add 25–35% buffer for review, integration, and validation. Totals are computed on the Phase Summary and Rollups sheets.</t>
  </si>
  <si>
    <t xml:space="preserve">Validation column</t>
  </si>
  <si>
    <t xml:space="preserve">Every task carries explicit verification steps. A task is not Done until every validation step passes. CI gates and Jenkins post-deploy probes enforce this automatically where possible. The forbidden phrase 'could not be loaded / could not load' and forbidden ML claims ('guaranteed root cause', 'AI-powered prediction', 'production-ready AI') must never appear in any deliverable.</t>
  </si>
  <si>
    <t xml:space="preserve">Vision alignment</t>
  </si>
  <si>
    <t xml:space="preserve">Each task is tagged to one of the four Vision tracks and to the specific vision clause it satisfies (in the Submodule/Description). Completing every task in this workbook brings the 4-Track Vision to 100% at the depth the vision specifies.</t>
  </si>
  <si>
    <t xml:space="preserve">Update cadence</t>
  </si>
  <si>
    <t xml:space="preserve">Re-audit weekly. After each phase, run the validation steps end-to-end, snapshot the workbook with a Status column appended (Done / Blocked / In Progress), and commit to docs/planning/.</t>
  </si>
  <si>
    <t xml:space="preserve">Phase Summary — effort, severity, and module distribution</t>
  </si>
  <si>
    <t xml:space="preserve">Recommended execution order: top-to-bottom. Counts and effort are computed live from the Task List sheet.</t>
  </si>
  <si>
    <t xml:space="preserve">Phase Name</t>
  </si>
  <si>
    <t xml:space="preserve">Tasks</t>
  </si>
  <si>
    <t xml:space="preserve">Critical</t>
  </si>
  <si>
    <t xml:space="preserve">Very Important</t>
  </si>
  <si>
    <t xml:space="preserve">Important</t>
  </si>
  <si>
    <t xml:space="preserve">Normal</t>
  </si>
  <si>
    <t xml:space="preserve">Effort (days)</t>
  </si>
  <si>
    <t xml:space="preserve">Carry-Forward Hotfixes &amp; Residual Closeout</t>
  </si>
  <si>
    <t xml:space="preserve">Generic Schema Mapping &amp; Canonical View Engine (Vision §1.4)</t>
  </si>
  <si>
    <t xml:space="preserve">Two-Stage Delta Import Architecture (Vision §1.1–1.6)</t>
  </si>
  <si>
    <t xml:space="preserve">ML Engine — Scheduled Correlation Learning (Vision §3.1)</t>
  </si>
  <si>
    <t xml:space="preserve">ML Engine — Inspection Jobs to Generated Pages (Vision §3.2)</t>
  </si>
  <si>
    <t xml:space="preserve">ML Engine — Suggestion &amp; Recommendation Assistant (Vision §3.3)</t>
  </si>
  <si>
    <t xml:space="preserve">Page Builder &amp; Widget Library (Vision §2.1–2.2)</t>
  </si>
  <si>
    <t xml:space="preserve">Demo Source-Database Suite at Real Scale (Vision Track 3)</t>
  </si>
  <si>
    <t xml:space="preserve">Hardening Completion &amp; Resilience (Vision Track 2)</t>
  </si>
  <si>
    <t xml:space="preserve">Demo Storytelling, Personas &amp; Recording (Vision Track 3)</t>
  </si>
  <si>
    <t xml:space="preserve">Website Track — 5-Product Showcase &amp; Brand (Vision Track 4)</t>
  </si>
  <si>
    <t xml:space="preserve">Legal Templates, Runbooks &amp; Documentation</t>
  </si>
  <si>
    <t xml:space="preserve">TOTAL</t>
  </si>
  <si>
    <t xml:space="preserve">All open phases</t>
  </si>
  <si>
    <t xml:space="preserve">Effort-days assume 6 productive engineering hours per workday. Add 25–35% buffer for review, integration, and validation cycles.</t>
  </si>
  <si>
    <t xml:space="preserve">UI Standards — Canonical Component Contract (unchanged, still enforced)</t>
  </si>
  <si>
    <t xml:space="preserve">Every interactive element across all existing AND future pages must conform. Enforced via ESLint, CI lint, code review, and Storybook.</t>
  </si>
  <si>
    <t xml:space="preserve">Component</t>
  </si>
  <si>
    <t xml:space="preserve">Canonical Path</t>
  </si>
  <si>
    <t xml:space="preserve">Variants / Modes</t>
  </si>
  <si>
    <t xml:space="preserve">Required Props</t>
  </si>
  <si>
    <t xml:space="preserve">Required States</t>
  </si>
  <si>
    <t xml:space="preserve">StandardButton</t>
  </si>
  <si>
    <t xml:space="preserve">src/components/standard/StandardButton.tsx</t>
  </si>
  <si>
    <t xml:space="preserve">primary | secondary | ghost | danger | success | icon-only</t>
  </si>
  <si>
    <t xml:space="preserve">variant, size (sm|md|lg), leadingIcon, trailingIcon, isLoading, isDisabled, fullWidth, onClick, type, ariaLabel, as ('button'|'a'), href</t>
  </si>
  <si>
    <t xml:space="preserve">default, hover, focus (4px brand-cyan ring 2px offset), active (translate-y 1px), disabled (40% opacity), loading (spinner + aria-busy)</t>
  </si>
  <si>
    <t xml:space="preserve">StandardTable</t>
  </si>
  <si>
    <t xml:space="preserve">src/components/standard/StandardTable.tsx</t>
  </si>
  <si>
    <t xml:space="preserve">client-mode | server-mode | virtualized (&gt;500 rows)</t>
  </si>
  <si>
    <t xml:space="preserve">columns (with cell renderers), data, isLoading, hasError, onRetry, totalCount, onRowClick, primaryAction, density, selectable, exportable</t>
  </si>
  <si>
    <t xml:space="preserve">loading (skeleton rows), error ('Refreshing X…' + retry), empty (illustration + CTA), populated, sorted, filtered, paginated, selected</t>
  </si>
  <si>
    <t xml:space="preserve">StandardTabs</t>
  </si>
  <si>
    <t xml:space="preserve">src/components/standard/StandardTabs.tsx</t>
  </si>
  <si>
    <t xml:space="preserve">horizontal | vertical | scroll-on-overflow</t>
  </si>
  <si>
    <t xml:space="preserve">items (id, label, icon?, badge?, content), value, onChange, orientation, lazy, urlParam</t>
  </si>
  <si>
    <t xml:space="preserve">default, active (4px brand-blue indicator), hover, disabled, overflow-scrollable, keyboard-focused</t>
  </si>
  <si>
    <t xml:space="preserve">StandardInput</t>
  </si>
  <si>
    <t xml:space="preserve">src/components/standard/StandardInput.tsx (StandardFields)</t>
  </si>
  <si>
    <t xml:space="preserve">text | email | password | number | search</t>
  </si>
  <si>
    <t xml:space="preserve">label, helperText, error, leadingIcon, trailingIcon, value, onChange, placeholder, required, disabled, isLoading, size, type</t>
  </si>
  <si>
    <t xml:space="preserve">default, focus (2px brand border), error (2px danger border + helper-text), disabled, with-value, search-clearable</t>
  </si>
  <si>
    <t xml:space="preserve">StandardSelect</t>
  </si>
  <si>
    <t xml:space="preserve">src/components/standard/StandardSelect.tsx (StandardFields)</t>
  </si>
  <si>
    <t xml:space="preserve">single | multi | searchable</t>
  </si>
  <si>
    <t xml:space="preserve">label, helperText, error, options, value, onChange, placeholder, required, disabled, size, multiple, searchable</t>
  </si>
  <si>
    <t xml:space="preserve">closed, open, searching, no-results, multi-selected (chips), keyboard-navigated</t>
  </si>
  <si>
    <t xml:space="preserve">StandardTextArea</t>
  </si>
  <si>
    <t xml:space="preserve">src/components/standard/StandardTextArea.tsx (StandardFields)</t>
  </si>
  <si>
    <t xml:space="preserve">default | code (monospace + syntax highlight)</t>
  </si>
  <si>
    <t xml:space="preserve">label, helperText, error, value, onChange, placeholder, required, disabled, rows, autoResize, language</t>
  </si>
  <si>
    <t xml:space="preserve">default, focus, error, disabled, autoresize-growing</t>
  </si>
  <si>
    <t xml:space="preserve">StandardCard</t>
  </si>
  <si>
    <t xml:space="preserve">src/components/standard/StandardSurface.tsx</t>
  </si>
  <si>
    <t xml:space="preserve">flat | raised | floating</t>
  </si>
  <si>
    <t xml:space="preserve">title, subtitle, headerActions, footerActions, elevation, children</t>
  </si>
  <si>
    <t xml:space="preserve">default, hover (raised only), with-actions, without-header</t>
  </si>
  <si>
    <t xml:space="preserve">StandardModal</t>
  </si>
  <si>
    <t xml:space="preserve">sm | md | lg | xl</t>
  </si>
  <si>
    <t xml:space="preserve">open, onClose, title, size, children, footerActions, dismissOnBackdrop, dismissOnEscape, isDirty</t>
  </si>
  <si>
    <t xml:space="preserve">open (focus-trapped), closing, dirty-blocked (no backdrop dismiss)</t>
  </si>
  <si>
    <t xml:space="preserve">StandardToast</t>
  </si>
  <si>
    <t xml:space="preserve">src/components/standard/StandardSurface.tsx (Sonner)</t>
  </si>
  <si>
    <t xml:space="preserve">info | success | warning | error | loading</t>
  </si>
  <si>
    <t xml:space="preserve">title, description, action (label + onClick), duration, dismissible, variant</t>
  </si>
  <si>
    <t xml:space="preserve">incoming (slide-in), shown (with progress bar), dismissing, stacked-overflow</t>
  </si>
  <si>
    <t xml:space="preserve">DataFetchBoundary</t>
  </si>
  <si>
    <t xml:space="preserve">src/components/standard/DataFetchBoundary.tsx</t>
  </si>
  <si>
    <t xml:space="preserve">default | with-skeleton-mirror</t>
  </si>
  <si>
    <t xml:space="preserve">isLoading, hasError, onRetry, loadingFallback, errorFallback, children</t>
  </si>
  <si>
    <t xml:space="preserve">loading ('Refreshing X…'), error ('Refreshing X…' + retry + auto-retry-5s), success (renders children)</t>
  </si>
  <si>
    <t xml:space="preserve">ErrorBoundary</t>
  </si>
  <si>
    <t xml:space="preserve">src/components/standard/ErrorBoundary.tsx</t>
  </si>
  <si>
    <t xml:space="preserve">app-level | route-level | component-level</t>
  </si>
  <si>
    <t xml:space="preserve">fallback, onError, resetKeys, children</t>
  </si>
  <si>
    <t xml:space="preserve">caught (renders fallback + logs to /diagnostics/client-error), retrying, recovered</t>
  </si>
  <si>
    <t xml:space="preserve">  FORBIDDEN PATTERNS (CI-enforced)</t>
  </si>
  <si>
    <t xml:space="preserve">Forbidden phrase</t>
  </si>
  <si>
    <t xml:space="preserve">'could not be loaded' / 'could not load'</t>
  </si>
  <si>
    <t xml:space="preserve">Use the 'Refreshing X…' pattern. Founder's #1 non-negotiable (Vision §2).</t>
  </si>
  <si>
    <t xml:space="preserve">Forbidden ML claims</t>
  </si>
  <si>
    <t xml:space="preserve">'guaranteed root cause' / 'AI-powered prediction' / 'production-ready AI' / 'predicts'</t>
  </si>
  <si>
    <t xml:space="preserve">Use 'suspected contributor' / 'statistical correlation' / 'rule-based risk scoring' (Vision Track 4 brand voice).</t>
  </si>
  <si>
    <t xml:space="preserve">Native element</t>
  </si>
  <si>
    <t xml:space="preserve">&lt;button&gt;, &lt;input&gt;, &lt;select&gt;, &lt;table&gt;, &lt;textarea&gt; in src/pages/* or src/features/*</t>
  </si>
  <si>
    <t xml:space="preserve">Use Standard* primitives. ESLint no-restricted-syntax enforces this.</t>
  </si>
  <si>
    <t xml:space="preserve">Deprecated path</t>
  </si>
  <si>
    <t xml:space="preserve">import from src/components/hardening/* or src/hardening/*</t>
  </si>
  <si>
    <t xml:space="preserve">Use src/components/standard/*. ESLint blocks reintroduction.</t>
  </si>
  <si>
    <t xml:space="preserve">Inline styling</t>
  </si>
  <si>
    <t xml:space="preserve">style={{...}} on interactive elements outside Standard* internals</t>
  </si>
  <si>
    <t xml:space="preserve">Use Standard* variant + size props.</t>
  </si>
  <si>
    <t xml:space="preserve">Rollups — by Severity, Track, Module, Type (computed live from Task List)</t>
  </si>
  <si>
    <t xml:space="preserve">By Severity</t>
  </si>
  <si>
    <t xml:space="preserve">By Track</t>
  </si>
  <si>
    <t xml:space="preserve">By Module</t>
  </si>
  <si>
    <t xml:space="preserve">By Type</t>
  </si>
  <si>
    <t xml:space="preserve">Count</t>
  </si>
  <si>
    <t xml:space="preserve">Type</t>
  </si>
  <si>
    <t xml:space="preserve">optional</t>
  </si>
</sst>
</file>

<file path=xl/styles.xml><?xml version="1.0" encoding="utf-8"?>
<styleSheet xmlns="http://schemas.openxmlformats.org/spreadsheetml/2006/main">
  <numFmts count="2">
    <numFmt numFmtId="164" formatCode="General"/>
    <numFmt numFmtId="165"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sz val="10"/>
      <color rgb="FFFFFFFF"/>
      <name val="Calibri"/>
      <family val="0"/>
      <charset val="1"/>
    </font>
    <font>
      <b val="true"/>
      <sz val="11"/>
      <color rgb="FFFFFFFF"/>
      <name val="Calibri"/>
      <family val="0"/>
      <charset val="1"/>
    </font>
    <font>
      <b val="true"/>
      <sz val="12"/>
      <color rgb="FFFFFFFF"/>
      <name val="Calibri"/>
      <family val="0"/>
      <charset val="1"/>
    </font>
    <font>
      <b val="true"/>
      <sz val="10"/>
      <color rgb="FF0B1730"/>
      <name val="Calibri"/>
      <family val="0"/>
      <charset val="1"/>
    </font>
    <font>
      <sz val="10"/>
      <name val="Calibri"/>
      <family val="0"/>
      <charset val="1"/>
    </font>
    <font>
      <b val="true"/>
      <sz val="14"/>
      <color rgb="FFFFFFFF"/>
      <name val="Cambria"/>
      <family val="0"/>
      <charset val="1"/>
    </font>
    <font>
      <b val="true"/>
      <sz val="11"/>
      <color rgb="FF0B1730"/>
      <name val="Cambria"/>
      <family val="0"/>
      <charset val="1"/>
    </font>
    <font>
      <i val="true"/>
      <sz val="11"/>
      <color rgb="FF8EA7C1"/>
      <name val="Cambria"/>
      <family val="0"/>
      <charset val="1"/>
    </font>
    <font>
      <b val="true"/>
      <sz val="11"/>
      <color rgb="FFFFFFFF"/>
      <name val="Cambria"/>
      <family val="0"/>
      <charset val="1"/>
    </font>
  </fonts>
  <fills count="7">
    <fill>
      <patternFill patternType="none"/>
    </fill>
    <fill>
      <patternFill patternType="gray125"/>
    </fill>
    <fill>
      <patternFill patternType="solid">
        <fgColor rgb="FF0B1730"/>
        <bgColor rgb="FF102A43"/>
      </patternFill>
    </fill>
    <fill>
      <patternFill patternType="solid">
        <fgColor rgb="FF102A43"/>
        <bgColor rgb="FF0B1730"/>
      </patternFill>
    </fill>
    <fill>
      <patternFill patternType="solid">
        <fgColor rgb="FFFFFFFF"/>
        <bgColor rgb="FFF4F7FB"/>
      </patternFill>
    </fill>
    <fill>
      <patternFill patternType="solid">
        <fgColor rgb="FFF4F7FB"/>
        <bgColor rgb="FFFFFFFF"/>
      </patternFill>
    </fill>
    <fill>
      <patternFill patternType="solid">
        <fgColor rgb="FFFF4D6D"/>
        <bgColor rgb="FFFF6600"/>
      </patternFill>
    </fill>
  </fills>
  <borders count="2">
    <border diagonalUp="false" diagonalDown="false">
      <left/>
      <right/>
      <top/>
      <bottom/>
      <diagonal/>
    </border>
    <border diagonalUp="false" diagonalDown="false">
      <left style="thin">
        <color rgb="FFD6E0EC"/>
      </left>
      <right style="thin">
        <color rgb="FFD6E0EC"/>
      </right>
      <top style="thin">
        <color rgb="FFD6E0EC"/>
      </top>
      <bottom style="thin">
        <color rgb="FFD6E0E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8" fillId="5" borderId="1" xfId="0" applyFont="true" applyBorder="true" applyAlignment="true" applyProtection="false">
      <alignment horizontal="center" vertical="top" textRotation="0" wrapText="tru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10" fillId="2" borderId="0" xfId="0" applyFont="true" applyBorder="true" applyAlignment="true" applyProtection="false">
      <alignment horizontal="general" vertical="center" textRotation="0" wrapText="false" indent="0" shrinkToFit="false"/>
      <protection locked="true" hidden="false"/>
    </xf>
    <xf numFmtId="164" fontId="11" fillId="5" borderId="0" xfId="0" applyFont="true" applyBorder="false" applyAlignment="true" applyProtection="false">
      <alignment horizontal="general" vertical="top" textRotation="0" wrapText="true" indent="0" shrinkToFit="false"/>
      <protection locked="true" hidden="false"/>
    </xf>
    <xf numFmtId="164" fontId="0" fillId="5" borderId="0" xfId="0" applyFont="true" applyBorder="false" applyAlignment="true" applyProtection="false">
      <alignment horizontal="general" vertical="top" textRotation="0" wrapText="true" indent="0" shrinkToFit="false"/>
      <protection locked="true" hidden="false"/>
    </xf>
    <xf numFmtId="164" fontId="11" fillId="4" borderId="0" xfId="0" applyFont="true" applyBorder="false" applyAlignment="true" applyProtection="false">
      <alignment horizontal="general" vertical="top" textRotation="0" wrapText="true" indent="0" shrinkToFit="false"/>
      <protection locked="true" hidden="false"/>
    </xf>
    <xf numFmtId="164" fontId="0" fillId="4"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0" fillId="4" borderId="1" xfId="0" applyFont="true" applyBorder="true" applyAlignment="true" applyProtection="false">
      <alignment horizontal="center" vertical="center" textRotation="0" wrapText="true" indent="0" shrinkToFit="false"/>
      <protection locked="true" hidden="false"/>
    </xf>
    <xf numFmtId="164" fontId="0" fillId="4" borderId="1" xfId="0" applyFont="true" applyBorder="true" applyAlignment="true" applyProtection="false">
      <alignment horizontal="left" vertical="center" textRotation="0" wrapText="true" indent="0" shrinkToFit="false"/>
      <protection locked="true" hidden="false"/>
    </xf>
    <xf numFmtId="164" fontId="0" fillId="5" borderId="1" xfId="0" applyFont="true" applyBorder="true" applyAlignment="true" applyProtection="false">
      <alignment horizontal="center" vertical="center" textRotation="0" wrapText="true" indent="0" shrinkToFit="false"/>
      <protection locked="true" hidden="false"/>
    </xf>
    <xf numFmtId="164" fontId="0" fillId="5" borderId="1" xfId="0" applyFont="true" applyBorder="true" applyAlignment="true" applyProtection="false">
      <alignment horizontal="left"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false" indent="0" shrinkToFit="false"/>
      <protection locked="true" hidden="false"/>
    </xf>
    <xf numFmtId="164" fontId="13" fillId="3" borderId="1" xfId="0" applyFont="true" applyBorder="true" applyAlignment="true" applyProtection="false">
      <alignment horizontal="left" vertical="center" textRotation="0" wrapText="fals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0" fillId="4"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0" fillId="5" borderId="1" xfId="0" applyFont="true" applyBorder="true" applyAlignment="true" applyProtection="false">
      <alignment horizontal="general" vertical="top" textRotation="0" wrapText="true" indent="0" shrinkToFit="false"/>
      <protection locked="true" hidden="false"/>
    </xf>
    <xf numFmtId="164" fontId="13" fillId="6" borderId="0" xfId="0" applyFont="true" applyBorder="true" applyAlignment="true" applyProtection="false">
      <alignment horizontal="general"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bottom" textRotation="0" wrapText="false" indent="0" shrinkToFit="false"/>
      <protection locked="true" hidden="false"/>
    </xf>
    <xf numFmtId="164" fontId="13" fillId="3" borderId="1" xfId="0" applyFont="true" applyBorder="true" applyAlignment="true" applyProtection="false">
      <alignment horizontal="left" vertical="bottom" textRotation="0" wrapText="false" indent="0" shrinkToFit="false"/>
      <protection locked="true" hidden="false"/>
    </xf>
    <xf numFmtId="165" fontId="13" fillId="3"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4F7FB"/>
      <rgbColor rgb="FFCCFFFF"/>
      <rgbColor rgb="FF660066"/>
      <rgbColor rgb="FFFF4D6D"/>
      <rgbColor rgb="FF0066CC"/>
      <rgbColor rgb="FFD6E0EC"/>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8EA7C1"/>
      <rgbColor rgb="FF102A43"/>
      <rgbColor rgb="FF339966"/>
      <rgbColor rgb="FF0B173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46"/>
    <col collapsed="false" customWidth="true" hidden="false" outlineLevel="0" max="3" min="3" style="0" width="9"/>
    <col collapsed="false" customWidth="true" hidden="false" outlineLevel="0" max="4" min="4" style="0" width="15"/>
    <col collapsed="false" customWidth="true" hidden="false" outlineLevel="0" max="5" min="5" style="0" width="22"/>
    <col collapsed="false" customWidth="true" hidden="false" outlineLevel="0" max="6" min="6" style="0" width="18"/>
    <col collapsed="false" customWidth="true" hidden="false" outlineLevel="0" max="7" min="7" style="0" width="27"/>
    <col collapsed="false" customWidth="true" hidden="false" outlineLevel="0" max="8" min="8" style="0" width="94"/>
    <col collapsed="false" customWidth="true" hidden="false" outlineLevel="0" max="9" min="9" style="0" width="13"/>
    <col collapsed="false" customWidth="true" hidden="false" outlineLevel="0" max="10" min="10" style="0" width="88"/>
    <col collapsed="false" customWidth="true" hidden="false" outlineLevel="0" max="11" min="11" style="0" width="11"/>
  </cols>
  <sheetData>
    <row r="1" customFormat="false" ht="25.5" hidden="false" customHeight="true" outlineLevel="0" collapsed="false">
      <c r="A1" s="1" t="s">
        <v>0</v>
      </c>
      <c r="B1" s="1"/>
      <c r="C1" s="1"/>
      <c r="D1" s="1"/>
      <c r="E1" s="1"/>
      <c r="F1" s="1"/>
      <c r="G1" s="1"/>
      <c r="H1" s="1"/>
      <c r="I1" s="1"/>
      <c r="J1" s="1"/>
      <c r="K1" s="1"/>
    </row>
    <row r="2" customFormat="false" ht="15.75" hidden="false" customHeight="true" outlineLevel="0" collapsed="false">
      <c r="A2" s="2" t="s">
        <v>1</v>
      </c>
      <c r="B2" s="2"/>
      <c r="C2" s="2"/>
      <c r="D2" s="2"/>
      <c r="E2" s="2"/>
      <c r="F2" s="2"/>
      <c r="G2" s="2"/>
      <c r="H2" s="2"/>
      <c r="I2" s="2"/>
      <c r="J2" s="2"/>
      <c r="K2" s="2"/>
    </row>
    <row r="4" customFormat="false" ht="15" hidden="false" customHeight="false" outlineLevel="0" collapsed="false">
      <c r="A4" s="3" t="s">
        <v>2</v>
      </c>
      <c r="B4" s="3" t="s">
        <v>3</v>
      </c>
      <c r="C4" s="3" t="s">
        <v>4</v>
      </c>
      <c r="D4" s="3" t="s">
        <v>5</v>
      </c>
      <c r="E4" s="3" t="s">
        <v>6</v>
      </c>
      <c r="F4" s="3" t="s">
        <v>7</v>
      </c>
      <c r="G4" s="3" t="s">
        <v>8</v>
      </c>
      <c r="H4" s="3" t="s">
        <v>9</v>
      </c>
      <c r="I4" s="3" t="s">
        <v>10</v>
      </c>
      <c r="J4" s="3" t="s">
        <v>11</v>
      </c>
      <c r="K4" s="3" t="s">
        <v>12</v>
      </c>
    </row>
    <row r="5" customFormat="false" ht="19.5" hidden="false" customHeight="true" outlineLevel="0" collapsed="false">
      <c r="A5" s="4" t="s">
        <v>13</v>
      </c>
      <c r="B5" s="4"/>
      <c r="C5" s="4"/>
      <c r="D5" s="4"/>
      <c r="E5" s="4"/>
      <c r="F5" s="4"/>
      <c r="G5" s="4"/>
      <c r="H5" s="4"/>
      <c r="I5" s="4"/>
      <c r="J5" s="4"/>
      <c r="K5" s="4"/>
    </row>
    <row r="6" customFormat="false" ht="68.65" hidden="false" customHeight="false" outlineLevel="0" collapsed="false">
      <c r="A6" s="5" t="s">
        <v>14</v>
      </c>
      <c r="B6" s="6" t="s">
        <v>15</v>
      </c>
      <c r="C6" s="7" t="s">
        <v>16</v>
      </c>
      <c r="D6" s="7" t="s">
        <v>17</v>
      </c>
      <c r="E6" s="6" t="s">
        <v>18</v>
      </c>
      <c r="F6" s="6" t="s">
        <v>19</v>
      </c>
      <c r="G6" s="6" t="s">
        <v>20</v>
      </c>
      <c r="H6" s="6" t="s">
        <v>21</v>
      </c>
      <c r="I6" s="7" t="s">
        <v>22</v>
      </c>
      <c r="J6" s="6" t="s">
        <v>23</v>
      </c>
      <c r="K6" s="7" t="n">
        <v>4</v>
      </c>
    </row>
    <row r="7" customFormat="false" ht="57.45" hidden="false" customHeight="false" outlineLevel="0" collapsed="false">
      <c r="A7" s="8" t="s">
        <v>24</v>
      </c>
      <c r="B7" s="9" t="s">
        <v>25</v>
      </c>
      <c r="C7" s="10" t="s">
        <v>16</v>
      </c>
      <c r="D7" s="10" t="s">
        <v>26</v>
      </c>
      <c r="E7" s="9" t="s">
        <v>27</v>
      </c>
      <c r="F7" s="9" t="s">
        <v>28</v>
      </c>
      <c r="G7" s="9" t="s">
        <v>29</v>
      </c>
      <c r="H7" s="9" t="s">
        <v>30</v>
      </c>
      <c r="I7" s="10" t="s">
        <v>22</v>
      </c>
      <c r="J7" s="9" t="s">
        <v>31</v>
      </c>
      <c r="K7" s="10" t="n">
        <v>2</v>
      </c>
    </row>
    <row r="8" customFormat="false" ht="57.45" hidden="false" customHeight="false" outlineLevel="0" collapsed="false">
      <c r="A8" s="5" t="s">
        <v>32</v>
      </c>
      <c r="B8" s="6" t="s">
        <v>33</v>
      </c>
      <c r="C8" s="7" t="s">
        <v>16</v>
      </c>
      <c r="D8" s="7" t="s">
        <v>17</v>
      </c>
      <c r="E8" s="6" t="s">
        <v>18</v>
      </c>
      <c r="F8" s="6" t="s">
        <v>34</v>
      </c>
      <c r="G8" s="6" t="s">
        <v>35</v>
      </c>
      <c r="H8" s="6" t="s">
        <v>36</v>
      </c>
      <c r="I8" s="7" t="s">
        <v>22</v>
      </c>
      <c r="J8" s="6" t="s">
        <v>37</v>
      </c>
      <c r="K8" s="7" t="n">
        <v>1.5</v>
      </c>
    </row>
    <row r="9" customFormat="false" ht="57.45" hidden="false" customHeight="false" outlineLevel="0" collapsed="false">
      <c r="A9" s="8" t="s">
        <v>38</v>
      </c>
      <c r="B9" s="9" t="s">
        <v>39</v>
      </c>
      <c r="C9" s="10" t="s">
        <v>16</v>
      </c>
      <c r="D9" s="10" t="s">
        <v>26</v>
      </c>
      <c r="E9" s="9" t="s">
        <v>18</v>
      </c>
      <c r="F9" s="9" t="s">
        <v>40</v>
      </c>
      <c r="G9" s="9" t="s">
        <v>41</v>
      </c>
      <c r="H9" s="9" t="s">
        <v>42</v>
      </c>
      <c r="I9" s="10" t="s">
        <v>22</v>
      </c>
      <c r="J9" s="9" t="s">
        <v>43</v>
      </c>
      <c r="K9" s="10" t="n">
        <v>2</v>
      </c>
    </row>
    <row r="10" customFormat="false" ht="46.25" hidden="false" customHeight="false" outlineLevel="0" collapsed="false">
      <c r="A10" s="5" t="s">
        <v>44</v>
      </c>
      <c r="B10" s="6" t="s">
        <v>45</v>
      </c>
      <c r="C10" s="7" t="s">
        <v>16</v>
      </c>
      <c r="D10" s="7" t="s">
        <v>46</v>
      </c>
      <c r="E10" s="6" t="s">
        <v>18</v>
      </c>
      <c r="F10" s="6" t="s">
        <v>34</v>
      </c>
      <c r="G10" s="6" t="s">
        <v>47</v>
      </c>
      <c r="H10" s="6" t="s">
        <v>48</v>
      </c>
      <c r="I10" s="7" t="s">
        <v>22</v>
      </c>
      <c r="J10" s="6" t="s">
        <v>49</v>
      </c>
      <c r="K10" s="7" t="n">
        <v>1.5</v>
      </c>
    </row>
    <row r="11" customFormat="false" ht="46.25" hidden="false" customHeight="false" outlineLevel="0" collapsed="false">
      <c r="A11" s="8" t="s">
        <v>50</v>
      </c>
      <c r="B11" s="9" t="s">
        <v>51</v>
      </c>
      <c r="C11" s="10" t="s">
        <v>16</v>
      </c>
      <c r="D11" s="10" t="s">
        <v>46</v>
      </c>
      <c r="E11" s="9" t="s">
        <v>18</v>
      </c>
      <c r="F11" s="9" t="s">
        <v>34</v>
      </c>
      <c r="G11" s="9" t="s">
        <v>52</v>
      </c>
      <c r="H11" s="9" t="s">
        <v>53</v>
      </c>
      <c r="I11" s="10" t="s">
        <v>54</v>
      </c>
      <c r="J11" s="9" t="s">
        <v>55</v>
      </c>
      <c r="K11" s="10" t="n">
        <v>2</v>
      </c>
    </row>
    <row r="12" customFormat="false" ht="19.5" hidden="false" customHeight="true" outlineLevel="0" collapsed="false">
      <c r="A12" s="4" t="s">
        <v>56</v>
      </c>
      <c r="B12" s="4"/>
      <c r="C12" s="4"/>
      <c r="D12" s="4"/>
      <c r="E12" s="4"/>
      <c r="F12" s="4"/>
      <c r="G12" s="4"/>
      <c r="H12" s="4"/>
      <c r="I12" s="4"/>
      <c r="J12" s="4"/>
      <c r="K12" s="4"/>
    </row>
    <row r="13" customFormat="false" ht="46.25" hidden="false" customHeight="false" outlineLevel="0" collapsed="false">
      <c r="A13" s="5" t="s">
        <v>57</v>
      </c>
      <c r="B13" s="6" t="s">
        <v>58</v>
      </c>
      <c r="C13" s="7" t="s">
        <v>59</v>
      </c>
      <c r="D13" s="7" t="s">
        <v>46</v>
      </c>
      <c r="E13" s="6" t="s">
        <v>27</v>
      </c>
      <c r="F13" s="6" t="s">
        <v>40</v>
      </c>
      <c r="G13" s="6" t="s">
        <v>60</v>
      </c>
      <c r="H13" s="6" t="s">
        <v>61</v>
      </c>
      <c r="I13" s="7" t="s">
        <v>62</v>
      </c>
      <c r="J13" s="6" t="s">
        <v>63</v>
      </c>
      <c r="K13" s="7" t="n">
        <v>6</v>
      </c>
    </row>
    <row r="14" customFormat="false" ht="57.45" hidden="false" customHeight="false" outlineLevel="0" collapsed="false">
      <c r="A14" s="8" t="s">
        <v>64</v>
      </c>
      <c r="B14" s="9" t="s">
        <v>65</v>
      </c>
      <c r="C14" s="10" t="s">
        <v>59</v>
      </c>
      <c r="D14" s="10" t="s">
        <v>46</v>
      </c>
      <c r="E14" s="9" t="s">
        <v>27</v>
      </c>
      <c r="F14" s="9" t="s">
        <v>19</v>
      </c>
      <c r="G14" s="9" t="s">
        <v>66</v>
      </c>
      <c r="H14" s="9" t="s">
        <v>67</v>
      </c>
      <c r="I14" s="10" t="s">
        <v>62</v>
      </c>
      <c r="J14" s="9" t="s">
        <v>68</v>
      </c>
      <c r="K14" s="10" t="n">
        <v>4</v>
      </c>
    </row>
    <row r="15" customFormat="false" ht="57.45" hidden="false" customHeight="false" outlineLevel="0" collapsed="false">
      <c r="A15" s="5" t="s">
        <v>69</v>
      </c>
      <c r="B15" s="6" t="s">
        <v>70</v>
      </c>
      <c r="C15" s="7" t="s">
        <v>59</v>
      </c>
      <c r="D15" s="7" t="s">
        <v>46</v>
      </c>
      <c r="E15" s="6" t="s">
        <v>27</v>
      </c>
      <c r="F15" s="6" t="s">
        <v>28</v>
      </c>
      <c r="G15" s="6" t="s">
        <v>71</v>
      </c>
      <c r="H15" s="6" t="s">
        <v>72</v>
      </c>
      <c r="I15" s="7" t="s">
        <v>62</v>
      </c>
      <c r="J15" s="6" t="s">
        <v>73</v>
      </c>
      <c r="K15" s="7" t="n">
        <v>10</v>
      </c>
    </row>
    <row r="16" customFormat="false" ht="46.25" hidden="false" customHeight="false" outlineLevel="0" collapsed="false">
      <c r="A16" s="8" t="s">
        <v>74</v>
      </c>
      <c r="B16" s="9" t="s">
        <v>75</v>
      </c>
      <c r="C16" s="10" t="s">
        <v>59</v>
      </c>
      <c r="D16" s="10" t="s">
        <v>46</v>
      </c>
      <c r="E16" s="9" t="s">
        <v>27</v>
      </c>
      <c r="F16" s="9" t="s">
        <v>19</v>
      </c>
      <c r="G16" s="9" t="s">
        <v>76</v>
      </c>
      <c r="H16" s="9" t="s">
        <v>77</v>
      </c>
      <c r="I16" s="10" t="s">
        <v>62</v>
      </c>
      <c r="J16" s="9" t="s">
        <v>78</v>
      </c>
      <c r="K16" s="10" t="n">
        <v>6</v>
      </c>
    </row>
    <row r="17" customFormat="false" ht="46.25" hidden="false" customHeight="false" outlineLevel="0" collapsed="false">
      <c r="A17" s="5" t="s">
        <v>79</v>
      </c>
      <c r="B17" s="6" t="s">
        <v>80</v>
      </c>
      <c r="C17" s="7" t="s">
        <v>59</v>
      </c>
      <c r="D17" s="7" t="s">
        <v>26</v>
      </c>
      <c r="E17" s="6" t="s">
        <v>27</v>
      </c>
      <c r="F17" s="6" t="s">
        <v>28</v>
      </c>
      <c r="G17" s="6" t="s">
        <v>81</v>
      </c>
      <c r="H17" s="6" t="s">
        <v>82</v>
      </c>
      <c r="I17" s="7" t="s">
        <v>62</v>
      </c>
      <c r="J17" s="6" t="s">
        <v>83</v>
      </c>
      <c r="K17" s="7" t="n">
        <v>5</v>
      </c>
    </row>
    <row r="18" customFormat="false" ht="35.05" hidden="false" customHeight="false" outlineLevel="0" collapsed="false">
      <c r="A18" s="8" t="s">
        <v>84</v>
      </c>
      <c r="B18" s="9" t="s">
        <v>85</v>
      </c>
      <c r="C18" s="10" t="s">
        <v>59</v>
      </c>
      <c r="D18" s="10" t="s">
        <v>46</v>
      </c>
      <c r="E18" s="9" t="s">
        <v>18</v>
      </c>
      <c r="F18" s="9" t="s">
        <v>19</v>
      </c>
      <c r="G18" s="9" t="s">
        <v>86</v>
      </c>
      <c r="H18" s="9" t="s">
        <v>87</v>
      </c>
      <c r="I18" s="10" t="s">
        <v>62</v>
      </c>
      <c r="J18" s="9" t="s">
        <v>88</v>
      </c>
      <c r="K18" s="10" t="n">
        <v>4</v>
      </c>
    </row>
    <row r="19" customFormat="false" ht="19.5" hidden="false" customHeight="true" outlineLevel="0" collapsed="false">
      <c r="A19" s="4" t="s">
        <v>89</v>
      </c>
      <c r="B19" s="4"/>
      <c r="C19" s="4"/>
      <c r="D19" s="4"/>
      <c r="E19" s="4"/>
      <c r="F19" s="4"/>
      <c r="G19" s="4"/>
      <c r="H19" s="4"/>
      <c r="I19" s="4"/>
      <c r="J19" s="4"/>
      <c r="K19" s="4"/>
    </row>
    <row r="20" customFormat="false" ht="46.25" hidden="false" customHeight="false" outlineLevel="0" collapsed="false">
      <c r="A20" s="5" t="s">
        <v>90</v>
      </c>
      <c r="B20" s="6" t="s">
        <v>91</v>
      </c>
      <c r="C20" s="7" t="s">
        <v>92</v>
      </c>
      <c r="D20" s="7" t="s">
        <v>46</v>
      </c>
      <c r="E20" s="6" t="s">
        <v>27</v>
      </c>
      <c r="F20" s="6" t="s">
        <v>40</v>
      </c>
      <c r="G20" s="6" t="s">
        <v>93</v>
      </c>
      <c r="H20" s="6" t="s">
        <v>94</v>
      </c>
      <c r="I20" s="7" t="s">
        <v>62</v>
      </c>
      <c r="J20" s="6" t="s">
        <v>95</v>
      </c>
      <c r="K20" s="7" t="n">
        <v>5</v>
      </c>
    </row>
    <row r="21" customFormat="false" ht="46.25" hidden="false" customHeight="false" outlineLevel="0" collapsed="false">
      <c r="A21" s="8" t="s">
        <v>96</v>
      </c>
      <c r="B21" s="9" t="s">
        <v>97</v>
      </c>
      <c r="C21" s="10" t="s">
        <v>92</v>
      </c>
      <c r="D21" s="10" t="s">
        <v>46</v>
      </c>
      <c r="E21" s="9" t="s">
        <v>27</v>
      </c>
      <c r="F21" s="9" t="s">
        <v>19</v>
      </c>
      <c r="G21" s="9" t="s">
        <v>98</v>
      </c>
      <c r="H21" s="9" t="s">
        <v>99</v>
      </c>
      <c r="I21" s="10" t="s">
        <v>62</v>
      </c>
      <c r="J21" s="9" t="s">
        <v>100</v>
      </c>
      <c r="K21" s="10" t="n">
        <v>6</v>
      </c>
    </row>
    <row r="22" customFormat="false" ht="35.05" hidden="false" customHeight="false" outlineLevel="0" collapsed="false">
      <c r="A22" s="5" t="s">
        <v>101</v>
      </c>
      <c r="B22" s="6" t="s">
        <v>102</v>
      </c>
      <c r="C22" s="7" t="s">
        <v>92</v>
      </c>
      <c r="D22" s="7" t="s">
        <v>46</v>
      </c>
      <c r="E22" s="6" t="s">
        <v>27</v>
      </c>
      <c r="F22" s="6" t="s">
        <v>19</v>
      </c>
      <c r="G22" s="6" t="s">
        <v>103</v>
      </c>
      <c r="H22" s="6" t="s">
        <v>104</v>
      </c>
      <c r="I22" s="7" t="s">
        <v>62</v>
      </c>
      <c r="J22" s="6" t="s">
        <v>105</v>
      </c>
      <c r="K22" s="7" t="n">
        <v>5</v>
      </c>
    </row>
    <row r="23" customFormat="false" ht="35.05" hidden="false" customHeight="false" outlineLevel="0" collapsed="false">
      <c r="A23" s="8" t="s">
        <v>106</v>
      </c>
      <c r="B23" s="9" t="s">
        <v>107</v>
      </c>
      <c r="C23" s="10" t="s">
        <v>92</v>
      </c>
      <c r="D23" s="10" t="s">
        <v>26</v>
      </c>
      <c r="E23" s="9" t="s">
        <v>27</v>
      </c>
      <c r="F23" s="9" t="s">
        <v>40</v>
      </c>
      <c r="G23" s="9" t="s">
        <v>108</v>
      </c>
      <c r="H23" s="9" t="s">
        <v>109</v>
      </c>
      <c r="I23" s="10" t="s">
        <v>54</v>
      </c>
      <c r="J23" s="9" t="s">
        <v>110</v>
      </c>
      <c r="K23" s="10" t="n">
        <v>3</v>
      </c>
    </row>
    <row r="24" customFormat="false" ht="35.05" hidden="false" customHeight="false" outlineLevel="0" collapsed="false">
      <c r="A24" s="5" t="s">
        <v>111</v>
      </c>
      <c r="B24" s="6" t="s">
        <v>112</v>
      </c>
      <c r="C24" s="7" t="s">
        <v>92</v>
      </c>
      <c r="D24" s="7" t="s">
        <v>46</v>
      </c>
      <c r="E24" s="6" t="s">
        <v>27</v>
      </c>
      <c r="F24" s="6" t="s">
        <v>28</v>
      </c>
      <c r="G24" s="6" t="s">
        <v>113</v>
      </c>
      <c r="H24" s="6" t="s">
        <v>114</v>
      </c>
      <c r="I24" s="7" t="s">
        <v>54</v>
      </c>
      <c r="J24" s="6" t="s">
        <v>115</v>
      </c>
      <c r="K24" s="7" t="n">
        <v>4</v>
      </c>
    </row>
    <row r="25" customFormat="false" ht="23.85" hidden="false" customHeight="false" outlineLevel="0" collapsed="false">
      <c r="A25" s="8" t="s">
        <v>116</v>
      </c>
      <c r="B25" s="9" t="s">
        <v>117</v>
      </c>
      <c r="C25" s="10" t="s">
        <v>92</v>
      </c>
      <c r="D25" s="10" t="s">
        <v>26</v>
      </c>
      <c r="E25" s="9" t="s">
        <v>18</v>
      </c>
      <c r="F25" s="9" t="s">
        <v>19</v>
      </c>
      <c r="G25" s="9" t="s">
        <v>118</v>
      </c>
      <c r="H25" s="9" t="s">
        <v>119</v>
      </c>
      <c r="I25" s="10" t="s">
        <v>62</v>
      </c>
      <c r="J25" s="9" t="s">
        <v>120</v>
      </c>
      <c r="K25" s="10" t="n">
        <v>4</v>
      </c>
    </row>
    <row r="26" customFormat="false" ht="19.5" hidden="false" customHeight="true" outlineLevel="0" collapsed="false">
      <c r="A26" s="4" t="s">
        <v>121</v>
      </c>
      <c r="B26" s="4"/>
      <c r="C26" s="4"/>
      <c r="D26" s="4"/>
      <c r="E26" s="4"/>
      <c r="F26" s="4"/>
      <c r="G26" s="4"/>
      <c r="H26" s="4"/>
      <c r="I26" s="4"/>
      <c r="J26" s="4"/>
      <c r="K26" s="4"/>
    </row>
    <row r="27" customFormat="false" ht="46.25" hidden="false" customHeight="false" outlineLevel="0" collapsed="false">
      <c r="A27" s="5" t="s">
        <v>122</v>
      </c>
      <c r="B27" s="6" t="s">
        <v>123</v>
      </c>
      <c r="C27" s="7" t="s">
        <v>124</v>
      </c>
      <c r="D27" s="7" t="s">
        <v>46</v>
      </c>
      <c r="E27" s="6" t="s">
        <v>27</v>
      </c>
      <c r="F27" s="6" t="s">
        <v>19</v>
      </c>
      <c r="G27" s="6" t="s">
        <v>125</v>
      </c>
      <c r="H27" s="6" t="s">
        <v>126</v>
      </c>
      <c r="I27" s="7" t="s">
        <v>62</v>
      </c>
      <c r="J27" s="6" t="s">
        <v>127</v>
      </c>
      <c r="K27" s="7" t="n">
        <v>3</v>
      </c>
    </row>
    <row r="28" customFormat="false" ht="68.65" hidden="false" customHeight="false" outlineLevel="0" collapsed="false">
      <c r="A28" s="8" t="s">
        <v>128</v>
      </c>
      <c r="B28" s="9" t="s">
        <v>129</v>
      </c>
      <c r="C28" s="10" t="s">
        <v>124</v>
      </c>
      <c r="D28" s="10" t="s">
        <v>46</v>
      </c>
      <c r="E28" s="9" t="s">
        <v>27</v>
      </c>
      <c r="F28" s="9" t="s">
        <v>19</v>
      </c>
      <c r="G28" s="9" t="s">
        <v>130</v>
      </c>
      <c r="H28" s="9" t="s">
        <v>131</v>
      </c>
      <c r="I28" s="10" t="s">
        <v>62</v>
      </c>
      <c r="J28" s="9" t="s">
        <v>132</v>
      </c>
      <c r="K28" s="10" t="n">
        <v>10</v>
      </c>
    </row>
    <row r="29" customFormat="false" ht="46.25" hidden="false" customHeight="false" outlineLevel="0" collapsed="false">
      <c r="A29" s="5" t="s">
        <v>133</v>
      </c>
      <c r="B29" s="6" t="s">
        <v>134</v>
      </c>
      <c r="C29" s="7" t="s">
        <v>124</v>
      </c>
      <c r="D29" s="7" t="s">
        <v>26</v>
      </c>
      <c r="E29" s="6" t="s">
        <v>27</v>
      </c>
      <c r="F29" s="6" t="s">
        <v>19</v>
      </c>
      <c r="G29" s="6" t="s">
        <v>135</v>
      </c>
      <c r="H29" s="6" t="s">
        <v>136</v>
      </c>
      <c r="I29" s="7" t="s">
        <v>54</v>
      </c>
      <c r="J29" s="6" t="s">
        <v>137</v>
      </c>
      <c r="K29" s="7" t="n">
        <v>5</v>
      </c>
    </row>
    <row r="30" customFormat="false" ht="35.05" hidden="false" customHeight="false" outlineLevel="0" collapsed="false">
      <c r="A30" s="8" t="s">
        <v>138</v>
      </c>
      <c r="B30" s="9" t="s">
        <v>139</v>
      </c>
      <c r="C30" s="10" t="s">
        <v>124</v>
      </c>
      <c r="D30" s="10" t="s">
        <v>26</v>
      </c>
      <c r="E30" s="9" t="s">
        <v>27</v>
      </c>
      <c r="F30" s="9" t="s">
        <v>40</v>
      </c>
      <c r="G30" s="9" t="s">
        <v>140</v>
      </c>
      <c r="H30" s="9" t="s">
        <v>141</v>
      </c>
      <c r="I30" s="10" t="s">
        <v>54</v>
      </c>
      <c r="J30" s="9" t="s">
        <v>142</v>
      </c>
      <c r="K30" s="10" t="n">
        <v>4</v>
      </c>
    </row>
    <row r="31" customFormat="false" ht="35.05" hidden="false" customHeight="false" outlineLevel="0" collapsed="false">
      <c r="A31" s="5" t="s">
        <v>143</v>
      </c>
      <c r="B31" s="6" t="s">
        <v>144</v>
      </c>
      <c r="C31" s="7" t="s">
        <v>124</v>
      </c>
      <c r="D31" s="7" t="s">
        <v>46</v>
      </c>
      <c r="E31" s="6" t="s">
        <v>18</v>
      </c>
      <c r="F31" s="6" t="s">
        <v>19</v>
      </c>
      <c r="G31" s="6" t="s">
        <v>145</v>
      </c>
      <c r="H31" s="6" t="s">
        <v>146</v>
      </c>
      <c r="I31" s="7" t="s">
        <v>62</v>
      </c>
      <c r="J31" s="6" t="s">
        <v>147</v>
      </c>
      <c r="K31" s="7" t="n">
        <v>4</v>
      </c>
    </row>
    <row r="32" customFormat="false" ht="19.5" hidden="false" customHeight="true" outlineLevel="0" collapsed="false">
      <c r="A32" s="4" t="s">
        <v>148</v>
      </c>
      <c r="B32" s="4"/>
      <c r="C32" s="4"/>
      <c r="D32" s="4"/>
      <c r="E32" s="4"/>
      <c r="F32" s="4"/>
      <c r="G32" s="4"/>
      <c r="H32" s="4"/>
      <c r="I32" s="4"/>
      <c r="J32" s="4"/>
      <c r="K32" s="4"/>
    </row>
    <row r="33" customFormat="false" ht="35.05" hidden="false" customHeight="false" outlineLevel="0" collapsed="false">
      <c r="A33" s="5" t="s">
        <v>149</v>
      </c>
      <c r="B33" s="6" t="s">
        <v>150</v>
      </c>
      <c r="C33" s="7" t="s">
        <v>151</v>
      </c>
      <c r="D33" s="7" t="s">
        <v>46</v>
      </c>
      <c r="E33" s="6" t="s">
        <v>27</v>
      </c>
      <c r="F33" s="6" t="s">
        <v>19</v>
      </c>
      <c r="G33" s="6" t="s">
        <v>152</v>
      </c>
      <c r="H33" s="6" t="s">
        <v>153</v>
      </c>
      <c r="I33" s="7" t="s">
        <v>62</v>
      </c>
      <c r="J33" s="6" t="s">
        <v>154</v>
      </c>
      <c r="K33" s="7" t="n">
        <v>5</v>
      </c>
    </row>
    <row r="34" customFormat="false" ht="46.25" hidden="false" customHeight="false" outlineLevel="0" collapsed="false">
      <c r="A34" s="8" t="s">
        <v>155</v>
      </c>
      <c r="B34" s="9" t="s">
        <v>156</v>
      </c>
      <c r="C34" s="10" t="s">
        <v>151</v>
      </c>
      <c r="D34" s="10" t="s">
        <v>46</v>
      </c>
      <c r="E34" s="9" t="s">
        <v>27</v>
      </c>
      <c r="F34" s="9" t="s">
        <v>19</v>
      </c>
      <c r="G34" s="9" t="s">
        <v>157</v>
      </c>
      <c r="H34" s="9" t="s">
        <v>158</v>
      </c>
      <c r="I34" s="10" t="s">
        <v>62</v>
      </c>
      <c r="J34" s="9" t="s">
        <v>159</v>
      </c>
      <c r="K34" s="10" t="n">
        <v>6</v>
      </c>
    </row>
    <row r="35" customFormat="false" ht="46.25" hidden="false" customHeight="false" outlineLevel="0" collapsed="false">
      <c r="A35" s="5" t="s">
        <v>160</v>
      </c>
      <c r="B35" s="6" t="s">
        <v>161</v>
      </c>
      <c r="C35" s="7" t="s">
        <v>151</v>
      </c>
      <c r="D35" s="7" t="s">
        <v>46</v>
      </c>
      <c r="E35" s="6" t="s">
        <v>27</v>
      </c>
      <c r="F35" s="6" t="s">
        <v>19</v>
      </c>
      <c r="G35" s="6" t="s">
        <v>162</v>
      </c>
      <c r="H35" s="6" t="s">
        <v>163</v>
      </c>
      <c r="I35" s="7" t="s">
        <v>62</v>
      </c>
      <c r="J35" s="6" t="s">
        <v>164</v>
      </c>
      <c r="K35" s="7" t="n">
        <v>6</v>
      </c>
    </row>
    <row r="36" customFormat="false" ht="35.05" hidden="false" customHeight="false" outlineLevel="0" collapsed="false">
      <c r="A36" s="8" t="s">
        <v>165</v>
      </c>
      <c r="B36" s="9" t="s">
        <v>166</v>
      </c>
      <c r="C36" s="10" t="s">
        <v>151</v>
      </c>
      <c r="D36" s="10" t="s">
        <v>46</v>
      </c>
      <c r="E36" s="9" t="s">
        <v>27</v>
      </c>
      <c r="F36" s="9" t="s">
        <v>28</v>
      </c>
      <c r="G36" s="9" t="s">
        <v>167</v>
      </c>
      <c r="H36" s="9" t="s">
        <v>168</v>
      </c>
      <c r="I36" s="10" t="s">
        <v>62</v>
      </c>
      <c r="J36" s="9" t="s">
        <v>169</v>
      </c>
      <c r="K36" s="10" t="n">
        <v>6</v>
      </c>
    </row>
    <row r="37" customFormat="false" ht="35.05" hidden="false" customHeight="false" outlineLevel="0" collapsed="false">
      <c r="A37" s="5" t="s">
        <v>170</v>
      </c>
      <c r="B37" s="6" t="s">
        <v>171</v>
      </c>
      <c r="C37" s="7" t="s">
        <v>151</v>
      </c>
      <c r="D37" s="7" t="s">
        <v>26</v>
      </c>
      <c r="E37" s="6" t="s">
        <v>27</v>
      </c>
      <c r="F37" s="6" t="s">
        <v>19</v>
      </c>
      <c r="G37" s="6" t="s">
        <v>172</v>
      </c>
      <c r="H37" s="6" t="s">
        <v>173</v>
      </c>
      <c r="I37" s="7" t="s">
        <v>54</v>
      </c>
      <c r="J37" s="6" t="s">
        <v>174</v>
      </c>
      <c r="K37" s="7" t="n">
        <v>4</v>
      </c>
    </row>
    <row r="38" customFormat="false" ht="35.05" hidden="false" customHeight="false" outlineLevel="0" collapsed="false">
      <c r="A38" s="8" t="s">
        <v>175</v>
      </c>
      <c r="B38" s="9" t="s">
        <v>176</v>
      </c>
      <c r="C38" s="10" t="s">
        <v>151</v>
      </c>
      <c r="D38" s="10" t="s">
        <v>26</v>
      </c>
      <c r="E38" s="9" t="s">
        <v>18</v>
      </c>
      <c r="F38" s="9" t="s">
        <v>28</v>
      </c>
      <c r="G38" s="9" t="s">
        <v>145</v>
      </c>
      <c r="H38" s="9" t="s">
        <v>177</v>
      </c>
      <c r="I38" s="10" t="s">
        <v>62</v>
      </c>
      <c r="J38" s="9" t="s">
        <v>178</v>
      </c>
      <c r="K38" s="10" t="n">
        <v>4</v>
      </c>
    </row>
    <row r="39" customFormat="false" ht="19.5" hidden="false" customHeight="true" outlineLevel="0" collapsed="false">
      <c r="A39" s="4" t="s">
        <v>179</v>
      </c>
      <c r="B39" s="4"/>
      <c r="C39" s="4"/>
      <c r="D39" s="4"/>
      <c r="E39" s="4"/>
      <c r="F39" s="4"/>
      <c r="G39" s="4"/>
      <c r="H39" s="4"/>
      <c r="I39" s="4"/>
      <c r="J39" s="4"/>
      <c r="K39" s="4"/>
    </row>
    <row r="40" customFormat="false" ht="57.45" hidden="false" customHeight="false" outlineLevel="0" collapsed="false">
      <c r="A40" s="5" t="s">
        <v>180</v>
      </c>
      <c r="B40" s="6" t="s">
        <v>181</v>
      </c>
      <c r="C40" s="7" t="s">
        <v>182</v>
      </c>
      <c r="D40" s="7" t="s">
        <v>46</v>
      </c>
      <c r="E40" s="6" t="s">
        <v>27</v>
      </c>
      <c r="F40" s="6" t="s">
        <v>19</v>
      </c>
      <c r="G40" s="6" t="s">
        <v>183</v>
      </c>
      <c r="H40" s="6" t="s">
        <v>184</v>
      </c>
      <c r="I40" s="7" t="s">
        <v>62</v>
      </c>
      <c r="J40" s="6" t="s">
        <v>185</v>
      </c>
      <c r="K40" s="7" t="n">
        <v>8</v>
      </c>
    </row>
    <row r="41" customFormat="false" ht="35.05" hidden="false" customHeight="false" outlineLevel="0" collapsed="false">
      <c r="A41" s="8" t="s">
        <v>186</v>
      </c>
      <c r="B41" s="9" t="s">
        <v>187</v>
      </c>
      <c r="C41" s="10" t="s">
        <v>182</v>
      </c>
      <c r="D41" s="10" t="s">
        <v>26</v>
      </c>
      <c r="E41" s="9" t="s">
        <v>27</v>
      </c>
      <c r="F41" s="9" t="s">
        <v>19</v>
      </c>
      <c r="G41" s="9" t="s">
        <v>188</v>
      </c>
      <c r="H41" s="9" t="s">
        <v>189</v>
      </c>
      <c r="I41" s="10" t="s">
        <v>62</v>
      </c>
      <c r="J41" s="9" t="s">
        <v>190</v>
      </c>
      <c r="K41" s="10" t="n">
        <v>4</v>
      </c>
    </row>
    <row r="42" customFormat="false" ht="35.05" hidden="false" customHeight="false" outlineLevel="0" collapsed="false">
      <c r="A42" s="5" t="s">
        <v>191</v>
      </c>
      <c r="B42" s="6" t="s">
        <v>192</v>
      </c>
      <c r="C42" s="7" t="s">
        <v>182</v>
      </c>
      <c r="D42" s="7" t="s">
        <v>46</v>
      </c>
      <c r="E42" s="6" t="s">
        <v>27</v>
      </c>
      <c r="F42" s="6" t="s">
        <v>28</v>
      </c>
      <c r="G42" s="6" t="s">
        <v>193</v>
      </c>
      <c r="H42" s="6" t="s">
        <v>194</v>
      </c>
      <c r="I42" s="7" t="s">
        <v>62</v>
      </c>
      <c r="J42" s="6" t="s">
        <v>195</v>
      </c>
      <c r="K42" s="7" t="n">
        <v>6</v>
      </c>
    </row>
    <row r="43" customFormat="false" ht="35.05" hidden="false" customHeight="false" outlineLevel="0" collapsed="false">
      <c r="A43" s="8" t="s">
        <v>196</v>
      </c>
      <c r="B43" s="9" t="s">
        <v>197</v>
      </c>
      <c r="C43" s="10" t="s">
        <v>182</v>
      </c>
      <c r="D43" s="10" t="s">
        <v>26</v>
      </c>
      <c r="E43" s="9" t="s">
        <v>18</v>
      </c>
      <c r="F43" s="9" t="s">
        <v>28</v>
      </c>
      <c r="G43" s="9" t="s">
        <v>198</v>
      </c>
      <c r="H43" s="9" t="s">
        <v>199</v>
      </c>
      <c r="I43" s="10" t="s">
        <v>54</v>
      </c>
      <c r="J43" s="9" t="s">
        <v>200</v>
      </c>
      <c r="K43" s="10" t="n">
        <v>2</v>
      </c>
    </row>
    <row r="44" customFormat="false" ht="23.85" hidden="false" customHeight="false" outlineLevel="0" collapsed="false">
      <c r="A44" s="5" t="s">
        <v>201</v>
      </c>
      <c r="B44" s="6" t="s">
        <v>202</v>
      </c>
      <c r="C44" s="7" t="s">
        <v>182</v>
      </c>
      <c r="D44" s="7" t="s">
        <v>26</v>
      </c>
      <c r="E44" s="6" t="s">
        <v>18</v>
      </c>
      <c r="F44" s="6" t="s">
        <v>19</v>
      </c>
      <c r="G44" s="6" t="s">
        <v>145</v>
      </c>
      <c r="H44" s="6" t="s">
        <v>203</v>
      </c>
      <c r="I44" s="7" t="s">
        <v>62</v>
      </c>
      <c r="J44" s="6" t="s">
        <v>204</v>
      </c>
      <c r="K44" s="7" t="n">
        <v>3</v>
      </c>
    </row>
    <row r="45" customFormat="false" ht="19.5" hidden="false" customHeight="true" outlineLevel="0" collapsed="false">
      <c r="A45" s="4" t="s">
        <v>205</v>
      </c>
      <c r="B45" s="4"/>
      <c r="C45" s="4"/>
      <c r="D45" s="4"/>
      <c r="E45" s="4"/>
      <c r="F45" s="4"/>
      <c r="G45" s="4"/>
      <c r="H45" s="4"/>
      <c r="I45" s="4"/>
      <c r="J45" s="4"/>
      <c r="K45" s="4"/>
    </row>
    <row r="46" customFormat="false" ht="35.05" hidden="false" customHeight="false" outlineLevel="0" collapsed="false">
      <c r="A46" s="5" t="s">
        <v>206</v>
      </c>
      <c r="B46" s="6" t="s">
        <v>207</v>
      </c>
      <c r="C46" s="7" t="s">
        <v>208</v>
      </c>
      <c r="D46" s="7" t="s">
        <v>46</v>
      </c>
      <c r="E46" s="6" t="s">
        <v>27</v>
      </c>
      <c r="F46" s="6" t="s">
        <v>28</v>
      </c>
      <c r="G46" s="6" t="s">
        <v>209</v>
      </c>
      <c r="H46" s="6" t="s">
        <v>210</v>
      </c>
      <c r="I46" s="7" t="s">
        <v>62</v>
      </c>
      <c r="J46" s="6" t="s">
        <v>211</v>
      </c>
      <c r="K46" s="7" t="n">
        <v>6</v>
      </c>
    </row>
    <row r="47" customFormat="false" ht="46.25" hidden="false" customHeight="false" outlineLevel="0" collapsed="false">
      <c r="A47" s="8" t="s">
        <v>212</v>
      </c>
      <c r="B47" s="9" t="s">
        <v>213</v>
      </c>
      <c r="C47" s="10" t="s">
        <v>208</v>
      </c>
      <c r="D47" s="10" t="s">
        <v>46</v>
      </c>
      <c r="E47" s="9" t="s">
        <v>27</v>
      </c>
      <c r="F47" s="9" t="s">
        <v>28</v>
      </c>
      <c r="G47" s="9" t="s">
        <v>214</v>
      </c>
      <c r="H47" s="9" t="s">
        <v>215</v>
      </c>
      <c r="I47" s="10" t="s">
        <v>62</v>
      </c>
      <c r="J47" s="9" t="s">
        <v>216</v>
      </c>
      <c r="K47" s="10" t="n">
        <v>10</v>
      </c>
    </row>
    <row r="48" customFormat="false" ht="46.25" hidden="false" customHeight="false" outlineLevel="0" collapsed="false">
      <c r="A48" s="5" t="s">
        <v>217</v>
      </c>
      <c r="B48" s="6" t="s">
        <v>218</v>
      </c>
      <c r="C48" s="7" t="s">
        <v>208</v>
      </c>
      <c r="D48" s="7" t="s">
        <v>46</v>
      </c>
      <c r="E48" s="6" t="s">
        <v>27</v>
      </c>
      <c r="F48" s="6" t="s">
        <v>28</v>
      </c>
      <c r="G48" s="6" t="s">
        <v>219</v>
      </c>
      <c r="H48" s="6" t="s">
        <v>220</v>
      </c>
      <c r="I48" s="7" t="s">
        <v>54</v>
      </c>
      <c r="J48" s="6" t="s">
        <v>221</v>
      </c>
      <c r="K48" s="7" t="n">
        <v>6</v>
      </c>
    </row>
    <row r="49" customFormat="false" ht="23.85" hidden="false" customHeight="false" outlineLevel="0" collapsed="false">
      <c r="A49" s="8" t="s">
        <v>222</v>
      </c>
      <c r="B49" s="9" t="s">
        <v>223</v>
      </c>
      <c r="C49" s="10" t="s">
        <v>208</v>
      </c>
      <c r="D49" s="10" t="s">
        <v>26</v>
      </c>
      <c r="E49" s="9" t="s">
        <v>27</v>
      </c>
      <c r="F49" s="9" t="s">
        <v>19</v>
      </c>
      <c r="G49" s="9" t="s">
        <v>224</v>
      </c>
      <c r="H49" s="9" t="s">
        <v>225</v>
      </c>
      <c r="I49" s="10" t="s">
        <v>62</v>
      </c>
      <c r="J49" s="9" t="s">
        <v>226</v>
      </c>
      <c r="K49" s="10" t="n">
        <v>4</v>
      </c>
    </row>
    <row r="50" customFormat="false" ht="23.85" hidden="false" customHeight="false" outlineLevel="0" collapsed="false">
      <c r="A50" s="5" t="s">
        <v>227</v>
      </c>
      <c r="B50" s="6" t="s">
        <v>228</v>
      </c>
      <c r="C50" s="7" t="s">
        <v>208</v>
      </c>
      <c r="D50" s="7" t="s">
        <v>26</v>
      </c>
      <c r="E50" s="6" t="s">
        <v>18</v>
      </c>
      <c r="F50" s="6" t="s">
        <v>28</v>
      </c>
      <c r="G50" s="6" t="s">
        <v>229</v>
      </c>
      <c r="H50" s="6" t="s">
        <v>230</v>
      </c>
      <c r="I50" s="7" t="s">
        <v>62</v>
      </c>
      <c r="J50" s="6" t="s">
        <v>231</v>
      </c>
      <c r="K50" s="7" t="n">
        <v>4</v>
      </c>
    </row>
    <row r="51" customFormat="false" ht="19.5" hidden="false" customHeight="true" outlineLevel="0" collapsed="false">
      <c r="A51" s="4" t="s">
        <v>232</v>
      </c>
      <c r="B51" s="4"/>
      <c r="C51" s="4"/>
      <c r="D51" s="4"/>
      <c r="E51" s="4"/>
      <c r="F51" s="4"/>
      <c r="G51" s="4"/>
      <c r="H51" s="4"/>
      <c r="I51" s="4"/>
      <c r="J51" s="4"/>
      <c r="K51" s="4"/>
    </row>
    <row r="52" customFormat="false" ht="46.25" hidden="false" customHeight="false" outlineLevel="0" collapsed="false">
      <c r="A52" s="5" t="s">
        <v>233</v>
      </c>
      <c r="B52" s="6" t="s">
        <v>234</v>
      </c>
      <c r="C52" s="7" t="s">
        <v>235</v>
      </c>
      <c r="D52" s="7" t="s">
        <v>46</v>
      </c>
      <c r="E52" s="6" t="s">
        <v>236</v>
      </c>
      <c r="F52" s="6" t="s">
        <v>34</v>
      </c>
      <c r="G52" s="6" t="s">
        <v>237</v>
      </c>
      <c r="H52" s="6" t="s">
        <v>238</v>
      </c>
      <c r="I52" s="7" t="s">
        <v>62</v>
      </c>
      <c r="J52" s="6" t="s">
        <v>239</v>
      </c>
      <c r="K52" s="7" t="n">
        <v>6</v>
      </c>
    </row>
    <row r="53" customFormat="false" ht="68.65" hidden="false" customHeight="false" outlineLevel="0" collapsed="false">
      <c r="A53" s="8" t="s">
        <v>240</v>
      </c>
      <c r="B53" s="9" t="s">
        <v>241</v>
      </c>
      <c r="C53" s="10" t="s">
        <v>235</v>
      </c>
      <c r="D53" s="10" t="s">
        <v>46</v>
      </c>
      <c r="E53" s="9" t="s">
        <v>236</v>
      </c>
      <c r="F53" s="9" t="s">
        <v>40</v>
      </c>
      <c r="G53" s="9" t="s">
        <v>242</v>
      </c>
      <c r="H53" s="9" t="s">
        <v>243</v>
      </c>
      <c r="I53" s="10" t="s">
        <v>62</v>
      </c>
      <c r="J53" s="9" t="s">
        <v>244</v>
      </c>
      <c r="K53" s="10" t="n">
        <v>10</v>
      </c>
    </row>
    <row r="54" customFormat="false" ht="46.25" hidden="false" customHeight="false" outlineLevel="0" collapsed="false">
      <c r="A54" s="5" t="s">
        <v>245</v>
      </c>
      <c r="B54" s="6" t="s">
        <v>246</v>
      </c>
      <c r="C54" s="7" t="s">
        <v>235</v>
      </c>
      <c r="D54" s="7" t="s">
        <v>46</v>
      </c>
      <c r="E54" s="6" t="s">
        <v>18</v>
      </c>
      <c r="F54" s="6" t="s">
        <v>19</v>
      </c>
      <c r="G54" s="6" t="s">
        <v>247</v>
      </c>
      <c r="H54" s="6" t="s">
        <v>248</v>
      </c>
      <c r="I54" s="7" t="s">
        <v>62</v>
      </c>
      <c r="J54" s="6" t="s">
        <v>249</v>
      </c>
      <c r="K54" s="7" t="n">
        <v>6</v>
      </c>
    </row>
    <row r="55" customFormat="false" ht="35.05" hidden="false" customHeight="false" outlineLevel="0" collapsed="false">
      <c r="A55" s="8" t="s">
        <v>250</v>
      </c>
      <c r="B55" s="9" t="s">
        <v>251</v>
      </c>
      <c r="C55" s="10" t="s">
        <v>235</v>
      </c>
      <c r="D55" s="10" t="s">
        <v>26</v>
      </c>
      <c r="E55" s="9" t="s">
        <v>236</v>
      </c>
      <c r="F55" s="9" t="s">
        <v>28</v>
      </c>
      <c r="G55" s="9" t="s">
        <v>252</v>
      </c>
      <c r="H55" s="9" t="s">
        <v>253</v>
      </c>
      <c r="I55" s="10" t="s">
        <v>62</v>
      </c>
      <c r="J55" s="9" t="s">
        <v>254</v>
      </c>
      <c r="K55" s="10" t="n">
        <v>5</v>
      </c>
    </row>
    <row r="56" customFormat="false" ht="19.5" hidden="false" customHeight="true" outlineLevel="0" collapsed="false">
      <c r="A56" s="4" t="s">
        <v>255</v>
      </c>
      <c r="B56" s="4"/>
      <c r="C56" s="4"/>
      <c r="D56" s="4"/>
      <c r="E56" s="4"/>
      <c r="F56" s="4"/>
      <c r="G56" s="4"/>
      <c r="H56" s="4"/>
      <c r="I56" s="4"/>
      <c r="J56" s="4"/>
      <c r="K56" s="4"/>
    </row>
    <row r="57" customFormat="false" ht="35.05" hidden="false" customHeight="false" outlineLevel="0" collapsed="false">
      <c r="A57" s="5" t="s">
        <v>256</v>
      </c>
      <c r="B57" s="6" t="s">
        <v>257</v>
      </c>
      <c r="C57" s="7" t="s">
        <v>258</v>
      </c>
      <c r="D57" s="7" t="s">
        <v>26</v>
      </c>
      <c r="E57" s="6" t="s">
        <v>18</v>
      </c>
      <c r="F57" s="6" t="s">
        <v>28</v>
      </c>
      <c r="G57" s="6" t="s">
        <v>259</v>
      </c>
      <c r="H57" s="6" t="s">
        <v>260</v>
      </c>
      <c r="I57" s="7" t="s">
        <v>62</v>
      </c>
      <c r="J57" s="6" t="s">
        <v>261</v>
      </c>
      <c r="K57" s="7" t="n">
        <v>6</v>
      </c>
    </row>
    <row r="58" customFormat="false" ht="35.05" hidden="false" customHeight="false" outlineLevel="0" collapsed="false">
      <c r="A58" s="8" t="s">
        <v>262</v>
      </c>
      <c r="B58" s="9" t="s">
        <v>263</v>
      </c>
      <c r="C58" s="10" t="s">
        <v>258</v>
      </c>
      <c r="D58" s="10" t="s">
        <v>26</v>
      </c>
      <c r="E58" s="9" t="s">
        <v>27</v>
      </c>
      <c r="F58" s="9" t="s">
        <v>28</v>
      </c>
      <c r="G58" s="9" t="s">
        <v>264</v>
      </c>
      <c r="H58" s="9" t="s">
        <v>265</v>
      </c>
      <c r="I58" s="10" t="s">
        <v>54</v>
      </c>
      <c r="J58" s="9" t="s">
        <v>266</v>
      </c>
      <c r="K58" s="10" t="n">
        <v>4</v>
      </c>
    </row>
    <row r="59" customFormat="false" ht="35.05" hidden="false" customHeight="false" outlineLevel="0" collapsed="false">
      <c r="A59" s="5" t="s">
        <v>267</v>
      </c>
      <c r="B59" s="6" t="s">
        <v>268</v>
      </c>
      <c r="C59" s="7" t="s">
        <v>258</v>
      </c>
      <c r="D59" s="7" t="s">
        <v>26</v>
      </c>
      <c r="E59" s="6" t="s">
        <v>18</v>
      </c>
      <c r="F59" s="6" t="s">
        <v>28</v>
      </c>
      <c r="G59" s="6" t="s">
        <v>269</v>
      </c>
      <c r="H59" s="6" t="s">
        <v>270</v>
      </c>
      <c r="I59" s="7" t="s">
        <v>54</v>
      </c>
      <c r="J59" s="6" t="s">
        <v>271</v>
      </c>
      <c r="K59" s="7" t="n">
        <v>4</v>
      </c>
    </row>
    <row r="60" customFormat="false" ht="35.05" hidden="false" customHeight="false" outlineLevel="0" collapsed="false">
      <c r="A60" s="8" t="s">
        <v>272</v>
      </c>
      <c r="B60" s="9" t="s">
        <v>273</v>
      </c>
      <c r="C60" s="10" t="s">
        <v>258</v>
      </c>
      <c r="D60" s="10" t="s">
        <v>46</v>
      </c>
      <c r="E60" s="9" t="s">
        <v>18</v>
      </c>
      <c r="F60" s="9" t="s">
        <v>19</v>
      </c>
      <c r="G60" s="9" t="s">
        <v>274</v>
      </c>
      <c r="H60" s="9" t="s">
        <v>275</v>
      </c>
      <c r="I60" s="10" t="s">
        <v>54</v>
      </c>
      <c r="J60" s="9" t="s">
        <v>276</v>
      </c>
      <c r="K60" s="10" t="n">
        <v>6</v>
      </c>
    </row>
    <row r="61" customFormat="false" ht="35.05" hidden="false" customHeight="false" outlineLevel="0" collapsed="false">
      <c r="A61" s="5" t="s">
        <v>277</v>
      </c>
      <c r="B61" s="6" t="s">
        <v>278</v>
      </c>
      <c r="C61" s="7" t="s">
        <v>258</v>
      </c>
      <c r="D61" s="7" t="s">
        <v>46</v>
      </c>
      <c r="E61" s="6" t="s">
        <v>18</v>
      </c>
      <c r="F61" s="6" t="s">
        <v>28</v>
      </c>
      <c r="G61" s="6" t="s">
        <v>279</v>
      </c>
      <c r="H61" s="6" t="s">
        <v>280</v>
      </c>
      <c r="I61" s="7" t="s">
        <v>62</v>
      </c>
      <c r="J61" s="6" t="s">
        <v>281</v>
      </c>
      <c r="K61" s="7" t="n">
        <v>6</v>
      </c>
    </row>
    <row r="62" customFormat="false" ht="23.85" hidden="false" customHeight="false" outlineLevel="0" collapsed="false">
      <c r="A62" s="8" t="s">
        <v>282</v>
      </c>
      <c r="B62" s="9" t="s">
        <v>283</v>
      </c>
      <c r="C62" s="10" t="s">
        <v>258</v>
      </c>
      <c r="D62" s="10" t="s">
        <v>26</v>
      </c>
      <c r="E62" s="9" t="s">
        <v>18</v>
      </c>
      <c r="F62" s="9" t="s">
        <v>28</v>
      </c>
      <c r="G62" s="9" t="s">
        <v>284</v>
      </c>
      <c r="H62" s="9" t="s">
        <v>285</v>
      </c>
      <c r="I62" s="10" t="s">
        <v>54</v>
      </c>
      <c r="J62" s="9" t="s">
        <v>286</v>
      </c>
      <c r="K62" s="10" t="n">
        <v>4</v>
      </c>
    </row>
    <row r="63" customFormat="false" ht="35.05" hidden="false" customHeight="false" outlineLevel="0" collapsed="false">
      <c r="A63" s="5" t="s">
        <v>287</v>
      </c>
      <c r="B63" s="6" t="s">
        <v>288</v>
      </c>
      <c r="C63" s="7" t="s">
        <v>258</v>
      </c>
      <c r="D63" s="7" t="s">
        <v>26</v>
      </c>
      <c r="E63" s="6" t="s">
        <v>18</v>
      </c>
      <c r="F63" s="6" t="s">
        <v>40</v>
      </c>
      <c r="G63" s="6" t="s">
        <v>289</v>
      </c>
      <c r="H63" s="6" t="s">
        <v>290</v>
      </c>
      <c r="I63" s="7" t="s">
        <v>22</v>
      </c>
      <c r="J63" s="6" t="s">
        <v>291</v>
      </c>
      <c r="K63" s="7" t="n">
        <v>2</v>
      </c>
    </row>
    <row r="64" customFormat="false" ht="23.85" hidden="false" customHeight="false" outlineLevel="0" collapsed="false">
      <c r="A64" s="8" t="s">
        <v>292</v>
      </c>
      <c r="B64" s="9" t="s">
        <v>293</v>
      </c>
      <c r="C64" s="10" t="s">
        <v>258</v>
      </c>
      <c r="D64" s="10" t="s">
        <v>26</v>
      </c>
      <c r="E64" s="9" t="s">
        <v>18</v>
      </c>
      <c r="F64" s="9" t="s">
        <v>28</v>
      </c>
      <c r="G64" s="9" t="s">
        <v>294</v>
      </c>
      <c r="H64" s="9" t="s">
        <v>295</v>
      </c>
      <c r="I64" s="10" t="s">
        <v>62</v>
      </c>
      <c r="J64" s="9" t="s">
        <v>296</v>
      </c>
      <c r="K64" s="10" t="n">
        <v>3</v>
      </c>
    </row>
    <row r="65" customFormat="false" ht="19.5" hidden="false" customHeight="true" outlineLevel="0" collapsed="false">
      <c r="A65" s="4" t="s">
        <v>297</v>
      </c>
      <c r="B65" s="4"/>
      <c r="C65" s="4"/>
      <c r="D65" s="4"/>
      <c r="E65" s="4"/>
      <c r="F65" s="4"/>
      <c r="G65" s="4"/>
      <c r="H65" s="4"/>
      <c r="I65" s="4"/>
      <c r="J65" s="4"/>
      <c r="K65" s="4"/>
    </row>
    <row r="66" customFormat="false" ht="57.45" hidden="false" customHeight="false" outlineLevel="0" collapsed="false">
      <c r="A66" s="5" t="s">
        <v>298</v>
      </c>
      <c r="B66" s="6" t="s">
        <v>299</v>
      </c>
      <c r="C66" s="7" t="s">
        <v>300</v>
      </c>
      <c r="D66" s="7" t="s">
        <v>46</v>
      </c>
      <c r="E66" s="6" t="s">
        <v>236</v>
      </c>
      <c r="F66" s="6" t="s">
        <v>301</v>
      </c>
      <c r="G66" s="6" t="s">
        <v>302</v>
      </c>
      <c r="H66" s="6" t="s">
        <v>303</v>
      </c>
      <c r="I66" s="7" t="s">
        <v>62</v>
      </c>
      <c r="J66" s="6" t="s">
        <v>304</v>
      </c>
      <c r="K66" s="7" t="n">
        <v>4</v>
      </c>
    </row>
    <row r="67" customFormat="false" ht="23.85" hidden="false" customHeight="false" outlineLevel="0" collapsed="false">
      <c r="A67" s="8" t="s">
        <v>305</v>
      </c>
      <c r="B67" s="9" t="s">
        <v>306</v>
      </c>
      <c r="C67" s="10" t="s">
        <v>300</v>
      </c>
      <c r="D67" s="10" t="s">
        <v>46</v>
      </c>
      <c r="E67" s="9" t="s">
        <v>236</v>
      </c>
      <c r="F67" s="9" t="s">
        <v>301</v>
      </c>
      <c r="G67" s="9" t="s">
        <v>307</v>
      </c>
      <c r="H67" s="9" t="s">
        <v>308</v>
      </c>
      <c r="I67" s="10" t="s">
        <v>62</v>
      </c>
      <c r="J67" s="9" t="s">
        <v>309</v>
      </c>
      <c r="K67" s="10" t="n">
        <v>3</v>
      </c>
    </row>
    <row r="68" customFormat="false" ht="35.05" hidden="false" customHeight="false" outlineLevel="0" collapsed="false">
      <c r="A68" s="5" t="s">
        <v>310</v>
      </c>
      <c r="B68" s="6" t="s">
        <v>311</v>
      </c>
      <c r="C68" s="7" t="s">
        <v>300</v>
      </c>
      <c r="D68" s="7" t="s">
        <v>26</v>
      </c>
      <c r="E68" s="6" t="s">
        <v>236</v>
      </c>
      <c r="F68" s="6" t="s">
        <v>301</v>
      </c>
      <c r="G68" s="6" t="s">
        <v>312</v>
      </c>
      <c r="H68" s="6" t="s">
        <v>313</v>
      </c>
      <c r="I68" s="7" t="s">
        <v>62</v>
      </c>
      <c r="J68" s="6" t="s">
        <v>314</v>
      </c>
      <c r="K68" s="7" t="n">
        <v>2</v>
      </c>
    </row>
    <row r="69" customFormat="false" ht="35.05" hidden="false" customHeight="false" outlineLevel="0" collapsed="false">
      <c r="A69" s="8" t="s">
        <v>315</v>
      </c>
      <c r="B69" s="9" t="s">
        <v>316</v>
      </c>
      <c r="C69" s="10" t="s">
        <v>300</v>
      </c>
      <c r="D69" s="10" t="s">
        <v>46</v>
      </c>
      <c r="E69" s="9" t="s">
        <v>236</v>
      </c>
      <c r="F69" s="9" t="s">
        <v>40</v>
      </c>
      <c r="G69" s="9" t="s">
        <v>317</v>
      </c>
      <c r="H69" s="9" t="s">
        <v>318</v>
      </c>
      <c r="I69" s="10" t="s">
        <v>62</v>
      </c>
      <c r="J69" s="9" t="s">
        <v>319</v>
      </c>
      <c r="K69" s="10" t="n">
        <v>3</v>
      </c>
    </row>
    <row r="70" customFormat="false" ht="35.05" hidden="false" customHeight="false" outlineLevel="0" collapsed="false">
      <c r="A70" s="5" t="s">
        <v>320</v>
      </c>
      <c r="B70" s="6" t="s">
        <v>321</v>
      </c>
      <c r="C70" s="7" t="s">
        <v>300</v>
      </c>
      <c r="D70" s="7" t="s">
        <v>46</v>
      </c>
      <c r="E70" s="6" t="s">
        <v>236</v>
      </c>
      <c r="F70" s="6" t="s">
        <v>40</v>
      </c>
      <c r="G70" s="6" t="s">
        <v>322</v>
      </c>
      <c r="H70" s="6" t="s">
        <v>323</v>
      </c>
      <c r="I70" s="7" t="s">
        <v>62</v>
      </c>
      <c r="J70" s="6" t="s">
        <v>324</v>
      </c>
      <c r="K70" s="7" t="n">
        <v>4</v>
      </c>
    </row>
    <row r="71" customFormat="false" ht="35.05" hidden="false" customHeight="false" outlineLevel="0" collapsed="false">
      <c r="A71" s="8" t="s">
        <v>325</v>
      </c>
      <c r="B71" s="9" t="s">
        <v>326</v>
      </c>
      <c r="C71" s="10" t="s">
        <v>300</v>
      </c>
      <c r="D71" s="10" t="s">
        <v>26</v>
      </c>
      <c r="E71" s="9" t="s">
        <v>327</v>
      </c>
      <c r="F71" s="9" t="s">
        <v>301</v>
      </c>
      <c r="G71" s="9" t="s">
        <v>328</v>
      </c>
      <c r="H71" s="9" t="s">
        <v>329</v>
      </c>
      <c r="I71" s="10" t="s">
        <v>62</v>
      </c>
      <c r="J71" s="9" t="s">
        <v>330</v>
      </c>
      <c r="K71" s="10" t="n">
        <v>4</v>
      </c>
    </row>
    <row r="72" customFormat="false" ht="19.5" hidden="false" customHeight="true" outlineLevel="0" collapsed="false">
      <c r="A72" s="4" t="s">
        <v>331</v>
      </c>
      <c r="B72" s="4"/>
      <c r="C72" s="4"/>
      <c r="D72" s="4"/>
      <c r="E72" s="4"/>
      <c r="F72" s="4"/>
      <c r="G72" s="4"/>
      <c r="H72" s="4"/>
      <c r="I72" s="4"/>
      <c r="J72" s="4"/>
      <c r="K72" s="4"/>
    </row>
    <row r="73" customFormat="false" ht="35.05" hidden="false" customHeight="false" outlineLevel="0" collapsed="false">
      <c r="A73" s="5" t="s">
        <v>332</v>
      </c>
      <c r="B73" s="6" t="s">
        <v>333</v>
      </c>
      <c r="C73" s="7" t="s">
        <v>334</v>
      </c>
      <c r="D73" s="7" t="s">
        <v>26</v>
      </c>
      <c r="E73" s="6" t="s">
        <v>327</v>
      </c>
      <c r="F73" s="6" t="s">
        <v>335</v>
      </c>
      <c r="G73" s="6" t="s">
        <v>336</v>
      </c>
      <c r="H73" s="6" t="s">
        <v>337</v>
      </c>
      <c r="I73" s="7" t="s">
        <v>62</v>
      </c>
      <c r="J73" s="6" t="s">
        <v>338</v>
      </c>
      <c r="K73" s="7" t="n">
        <v>3</v>
      </c>
    </row>
    <row r="74" customFormat="false" ht="35.05" hidden="false" customHeight="false" outlineLevel="0" collapsed="false">
      <c r="A74" s="8" t="s">
        <v>339</v>
      </c>
      <c r="B74" s="9" t="s">
        <v>340</v>
      </c>
      <c r="C74" s="10" t="s">
        <v>334</v>
      </c>
      <c r="D74" s="10" t="s">
        <v>46</v>
      </c>
      <c r="E74" s="9" t="s">
        <v>327</v>
      </c>
      <c r="F74" s="9" t="s">
        <v>335</v>
      </c>
      <c r="G74" s="9" t="s">
        <v>341</v>
      </c>
      <c r="H74" s="9" t="s">
        <v>342</v>
      </c>
      <c r="I74" s="10" t="s">
        <v>62</v>
      </c>
      <c r="J74" s="9" t="s">
        <v>343</v>
      </c>
      <c r="K74" s="10" t="n">
        <v>4</v>
      </c>
    </row>
    <row r="75" customFormat="false" ht="23.85" hidden="false" customHeight="false" outlineLevel="0" collapsed="false">
      <c r="A75" s="5" t="s">
        <v>344</v>
      </c>
      <c r="B75" s="6" t="s">
        <v>345</v>
      </c>
      <c r="C75" s="7" t="s">
        <v>334</v>
      </c>
      <c r="D75" s="7" t="s">
        <v>26</v>
      </c>
      <c r="E75" s="6" t="s">
        <v>327</v>
      </c>
      <c r="F75" s="6" t="s">
        <v>335</v>
      </c>
      <c r="G75" s="6" t="s">
        <v>341</v>
      </c>
      <c r="H75" s="6" t="s">
        <v>346</v>
      </c>
      <c r="I75" s="7" t="s">
        <v>62</v>
      </c>
      <c r="J75" s="6" t="s">
        <v>347</v>
      </c>
      <c r="K75" s="7" t="n">
        <v>3</v>
      </c>
    </row>
    <row r="76" customFormat="false" ht="15" hidden="false" customHeight="false" outlineLevel="0" collapsed="false">
      <c r="A76" s="8" t="s">
        <v>348</v>
      </c>
      <c r="B76" s="9" t="s">
        <v>349</v>
      </c>
      <c r="C76" s="10" t="s">
        <v>334</v>
      </c>
      <c r="D76" s="10" t="s">
        <v>26</v>
      </c>
      <c r="E76" s="9" t="s">
        <v>327</v>
      </c>
      <c r="F76" s="9" t="s">
        <v>335</v>
      </c>
      <c r="G76" s="9" t="s">
        <v>341</v>
      </c>
      <c r="H76" s="9" t="s">
        <v>350</v>
      </c>
      <c r="I76" s="10" t="s">
        <v>62</v>
      </c>
      <c r="J76" s="9" t="s">
        <v>351</v>
      </c>
      <c r="K76" s="10" t="n">
        <v>3</v>
      </c>
    </row>
    <row r="77" customFormat="false" ht="23.85" hidden="false" customHeight="false" outlineLevel="0" collapsed="false">
      <c r="A77" s="5" t="s">
        <v>352</v>
      </c>
      <c r="B77" s="6" t="s">
        <v>353</v>
      </c>
      <c r="C77" s="7" t="s">
        <v>334</v>
      </c>
      <c r="D77" s="7" t="s">
        <v>26</v>
      </c>
      <c r="E77" s="6" t="s">
        <v>327</v>
      </c>
      <c r="F77" s="6" t="s">
        <v>335</v>
      </c>
      <c r="G77" s="6" t="s">
        <v>341</v>
      </c>
      <c r="H77" s="6" t="s">
        <v>354</v>
      </c>
      <c r="I77" s="7" t="s">
        <v>62</v>
      </c>
      <c r="J77" s="6" t="s">
        <v>355</v>
      </c>
      <c r="K77" s="7" t="n">
        <v>3</v>
      </c>
    </row>
    <row r="78" customFormat="false" ht="15" hidden="false" customHeight="false" outlineLevel="0" collapsed="false">
      <c r="A78" s="8" t="s">
        <v>356</v>
      </c>
      <c r="B78" s="9" t="s">
        <v>357</v>
      </c>
      <c r="C78" s="10" t="s">
        <v>334</v>
      </c>
      <c r="D78" s="10" t="s">
        <v>26</v>
      </c>
      <c r="E78" s="9" t="s">
        <v>327</v>
      </c>
      <c r="F78" s="9" t="s">
        <v>335</v>
      </c>
      <c r="G78" s="9" t="s">
        <v>341</v>
      </c>
      <c r="H78" s="9" t="s">
        <v>358</v>
      </c>
      <c r="I78" s="10" t="s">
        <v>62</v>
      </c>
      <c r="J78" s="9" t="s">
        <v>355</v>
      </c>
      <c r="K78" s="10" t="n">
        <v>3</v>
      </c>
    </row>
    <row r="79" customFormat="false" ht="35.05" hidden="false" customHeight="false" outlineLevel="0" collapsed="false">
      <c r="A79" s="5" t="s">
        <v>359</v>
      </c>
      <c r="B79" s="6" t="s">
        <v>360</v>
      </c>
      <c r="C79" s="7" t="s">
        <v>334</v>
      </c>
      <c r="D79" s="7" t="s">
        <v>26</v>
      </c>
      <c r="E79" s="6" t="s">
        <v>327</v>
      </c>
      <c r="F79" s="6" t="s">
        <v>335</v>
      </c>
      <c r="G79" s="6" t="s">
        <v>361</v>
      </c>
      <c r="H79" s="6" t="s">
        <v>362</v>
      </c>
      <c r="I79" s="7" t="s">
        <v>54</v>
      </c>
      <c r="J79" s="6" t="s">
        <v>363</v>
      </c>
      <c r="K79" s="7" t="n">
        <v>4</v>
      </c>
    </row>
    <row r="80" customFormat="false" ht="23.85" hidden="false" customHeight="false" outlineLevel="0" collapsed="false">
      <c r="A80" s="8" t="s">
        <v>364</v>
      </c>
      <c r="B80" s="9" t="s">
        <v>365</v>
      </c>
      <c r="C80" s="10" t="s">
        <v>334</v>
      </c>
      <c r="D80" s="10" t="s">
        <v>26</v>
      </c>
      <c r="E80" s="9" t="s">
        <v>327</v>
      </c>
      <c r="F80" s="9" t="s">
        <v>335</v>
      </c>
      <c r="G80" s="9" t="s">
        <v>366</v>
      </c>
      <c r="H80" s="9" t="s">
        <v>367</v>
      </c>
      <c r="I80" s="10" t="s">
        <v>54</v>
      </c>
      <c r="J80" s="9" t="s">
        <v>368</v>
      </c>
      <c r="K80" s="10" t="n">
        <v>3</v>
      </c>
    </row>
    <row r="81" customFormat="false" ht="23.85" hidden="false" customHeight="false" outlineLevel="0" collapsed="false">
      <c r="A81" s="5" t="s">
        <v>369</v>
      </c>
      <c r="B81" s="6" t="s">
        <v>370</v>
      </c>
      <c r="C81" s="7" t="s">
        <v>334</v>
      </c>
      <c r="D81" s="7" t="s">
        <v>371</v>
      </c>
      <c r="E81" s="6" t="s">
        <v>327</v>
      </c>
      <c r="F81" s="6" t="s">
        <v>335</v>
      </c>
      <c r="G81" s="6" t="s">
        <v>372</v>
      </c>
      <c r="H81" s="6" t="s">
        <v>373</v>
      </c>
      <c r="I81" s="7" t="s">
        <v>54</v>
      </c>
      <c r="J81" s="6" t="s">
        <v>374</v>
      </c>
      <c r="K81" s="7" t="n">
        <v>2</v>
      </c>
    </row>
    <row r="82" customFormat="false" ht="19.5" hidden="false" customHeight="true" outlineLevel="0" collapsed="false">
      <c r="A82" s="4" t="s">
        <v>375</v>
      </c>
      <c r="B82" s="4"/>
      <c r="C82" s="4"/>
      <c r="D82" s="4"/>
      <c r="E82" s="4"/>
      <c r="F82" s="4"/>
      <c r="G82" s="4"/>
      <c r="H82" s="4"/>
      <c r="I82" s="4"/>
      <c r="J82" s="4"/>
      <c r="K82" s="4"/>
    </row>
    <row r="83" customFormat="false" ht="35.05" hidden="false" customHeight="false" outlineLevel="0" collapsed="false">
      <c r="A83" s="5" t="s">
        <v>376</v>
      </c>
      <c r="B83" s="6" t="s">
        <v>377</v>
      </c>
      <c r="C83" s="7" t="s">
        <v>378</v>
      </c>
      <c r="D83" s="7" t="s">
        <v>26</v>
      </c>
      <c r="E83" s="6" t="s">
        <v>327</v>
      </c>
      <c r="F83" s="6" t="s">
        <v>301</v>
      </c>
      <c r="G83" s="6" t="s">
        <v>379</v>
      </c>
      <c r="H83" s="6" t="s">
        <v>380</v>
      </c>
      <c r="I83" s="7" t="s">
        <v>62</v>
      </c>
      <c r="J83" s="6" t="s">
        <v>381</v>
      </c>
      <c r="K83" s="7" t="n">
        <v>2</v>
      </c>
    </row>
    <row r="84" customFormat="false" ht="35.05" hidden="false" customHeight="false" outlineLevel="0" collapsed="false">
      <c r="A84" s="8" t="s">
        <v>382</v>
      </c>
      <c r="B84" s="9" t="s">
        <v>383</v>
      </c>
      <c r="C84" s="10" t="s">
        <v>378</v>
      </c>
      <c r="D84" s="10" t="s">
        <v>26</v>
      </c>
      <c r="E84" s="9" t="s">
        <v>327</v>
      </c>
      <c r="F84" s="9" t="s">
        <v>301</v>
      </c>
      <c r="G84" s="9" t="s">
        <v>384</v>
      </c>
      <c r="H84" s="9" t="s">
        <v>385</v>
      </c>
      <c r="I84" s="10" t="s">
        <v>62</v>
      </c>
      <c r="J84" s="9" t="s">
        <v>386</v>
      </c>
      <c r="K84" s="10" t="n">
        <v>2.5</v>
      </c>
    </row>
    <row r="85" customFormat="false" ht="35.05" hidden="false" customHeight="false" outlineLevel="0" collapsed="false">
      <c r="A85" s="5" t="s">
        <v>387</v>
      </c>
      <c r="B85" s="6" t="s">
        <v>388</v>
      </c>
      <c r="C85" s="7" t="s">
        <v>378</v>
      </c>
      <c r="D85" s="7" t="s">
        <v>26</v>
      </c>
      <c r="E85" s="6" t="s">
        <v>327</v>
      </c>
      <c r="F85" s="6" t="s">
        <v>301</v>
      </c>
      <c r="G85" s="6" t="s">
        <v>389</v>
      </c>
      <c r="H85" s="6" t="s">
        <v>390</v>
      </c>
      <c r="I85" s="7" t="s">
        <v>62</v>
      </c>
      <c r="J85" s="6" t="s">
        <v>391</v>
      </c>
      <c r="K85" s="7" t="n">
        <v>2.5</v>
      </c>
    </row>
    <row r="86" customFormat="false" ht="46.25" hidden="false" customHeight="false" outlineLevel="0" collapsed="false">
      <c r="A86" s="8" t="s">
        <v>392</v>
      </c>
      <c r="B86" s="9" t="s">
        <v>393</v>
      </c>
      <c r="C86" s="10" t="s">
        <v>378</v>
      </c>
      <c r="D86" s="10" t="s">
        <v>26</v>
      </c>
      <c r="E86" s="9" t="s">
        <v>18</v>
      </c>
      <c r="F86" s="9" t="s">
        <v>301</v>
      </c>
      <c r="G86" s="9" t="s">
        <v>394</v>
      </c>
      <c r="H86" s="9" t="s">
        <v>395</v>
      </c>
      <c r="I86" s="10" t="s">
        <v>62</v>
      </c>
      <c r="J86" s="9" t="s">
        <v>396</v>
      </c>
      <c r="K86" s="10" t="n">
        <v>4</v>
      </c>
    </row>
    <row r="87" customFormat="false" ht="35.05" hidden="false" customHeight="false" outlineLevel="0" collapsed="false">
      <c r="A87" s="5" t="s">
        <v>397</v>
      </c>
      <c r="B87" s="6" t="s">
        <v>398</v>
      </c>
      <c r="C87" s="7" t="s">
        <v>378</v>
      </c>
      <c r="D87" s="7" t="s">
        <v>26</v>
      </c>
      <c r="E87" s="6" t="s">
        <v>18</v>
      </c>
      <c r="F87" s="6" t="s">
        <v>301</v>
      </c>
      <c r="G87" s="6" t="s">
        <v>399</v>
      </c>
      <c r="H87" s="6" t="s">
        <v>400</v>
      </c>
      <c r="I87" s="7" t="s">
        <v>62</v>
      </c>
      <c r="J87" s="6" t="s">
        <v>401</v>
      </c>
      <c r="K87" s="7" t="n">
        <v>5</v>
      </c>
    </row>
    <row r="88" customFormat="false" ht="35.05" hidden="false" customHeight="false" outlineLevel="0" collapsed="false">
      <c r="A88" s="8" t="s">
        <v>402</v>
      </c>
      <c r="B88" s="9" t="s">
        <v>403</v>
      </c>
      <c r="C88" s="10" t="s">
        <v>378</v>
      </c>
      <c r="D88" s="10" t="s">
        <v>26</v>
      </c>
      <c r="E88" s="9" t="s">
        <v>18</v>
      </c>
      <c r="F88" s="9" t="s">
        <v>301</v>
      </c>
      <c r="G88" s="9" t="s">
        <v>404</v>
      </c>
      <c r="H88" s="9" t="s">
        <v>405</v>
      </c>
      <c r="I88" s="10" t="s">
        <v>62</v>
      </c>
      <c r="J88" s="9" t="s">
        <v>406</v>
      </c>
      <c r="K88" s="10" t="n">
        <v>2.5</v>
      </c>
    </row>
    <row r="89" customFormat="false" ht="46.25" hidden="false" customHeight="false" outlineLevel="0" collapsed="false">
      <c r="A89" s="5" t="s">
        <v>407</v>
      </c>
      <c r="B89" s="6" t="s">
        <v>408</v>
      </c>
      <c r="C89" s="7" t="s">
        <v>378</v>
      </c>
      <c r="D89" s="7" t="s">
        <v>26</v>
      </c>
      <c r="E89" s="6" t="s">
        <v>27</v>
      </c>
      <c r="F89" s="6" t="s">
        <v>301</v>
      </c>
      <c r="G89" s="6" t="s">
        <v>409</v>
      </c>
      <c r="H89" s="6" t="s">
        <v>410</v>
      </c>
      <c r="I89" s="7" t="s">
        <v>62</v>
      </c>
      <c r="J89" s="6" t="s">
        <v>411</v>
      </c>
      <c r="K89" s="7" t="n">
        <v>3</v>
      </c>
    </row>
    <row r="90" customFormat="false" ht="46.25" hidden="false" customHeight="false" outlineLevel="0" collapsed="false">
      <c r="A90" s="8" t="s">
        <v>412</v>
      </c>
      <c r="B90" s="9" t="s">
        <v>413</v>
      </c>
      <c r="C90" s="10" t="s">
        <v>378</v>
      </c>
      <c r="D90" s="10" t="s">
        <v>26</v>
      </c>
      <c r="E90" s="9" t="s">
        <v>18</v>
      </c>
      <c r="F90" s="9" t="s">
        <v>301</v>
      </c>
      <c r="G90" s="9" t="s">
        <v>414</v>
      </c>
      <c r="H90" s="9" t="s">
        <v>415</v>
      </c>
      <c r="I90" s="10" t="s">
        <v>62</v>
      </c>
      <c r="J90" s="9" t="s">
        <v>416</v>
      </c>
      <c r="K90" s="10" t="n">
        <v>4</v>
      </c>
    </row>
  </sheetData>
  <mergeCells count="14">
    <mergeCell ref="A1:K1"/>
    <mergeCell ref="A2:K2"/>
    <mergeCell ref="A5:K5"/>
    <mergeCell ref="A12:K12"/>
    <mergeCell ref="A19:K19"/>
    <mergeCell ref="A26:K26"/>
    <mergeCell ref="A32:K32"/>
    <mergeCell ref="A39:K39"/>
    <mergeCell ref="A45:K45"/>
    <mergeCell ref="A51:K51"/>
    <mergeCell ref="A56:K56"/>
    <mergeCell ref="A65:K65"/>
    <mergeCell ref="A72:K72"/>
    <mergeCell ref="A82:K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18"/>
  </cols>
  <sheetData>
    <row r="1" customFormat="false" ht="24" hidden="false" customHeight="true" outlineLevel="0" collapsed="false">
      <c r="A1" s="11" t="s">
        <v>417</v>
      </c>
      <c r="B1" s="11"/>
    </row>
    <row r="3" customFormat="false" ht="28.35" hidden="false" customHeight="false" outlineLevel="0" collapsed="false">
      <c r="A3" s="12" t="s">
        <v>418</v>
      </c>
      <c r="B3" s="13" t="s">
        <v>419</v>
      </c>
    </row>
    <row r="4" customFormat="false" ht="41.75" hidden="false" customHeight="false" outlineLevel="0" collapsed="false">
      <c r="A4" s="14" t="s">
        <v>420</v>
      </c>
      <c r="B4" s="15" t="s">
        <v>421</v>
      </c>
    </row>
    <row r="5" customFormat="false" ht="41.75" hidden="false" customHeight="false" outlineLevel="0" collapsed="false">
      <c r="A5" s="12" t="s">
        <v>422</v>
      </c>
      <c r="B5" s="13" t="s">
        <v>423</v>
      </c>
    </row>
    <row r="6" customFormat="false" ht="28.35" hidden="false" customHeight="false" outlineLevel="0" collapsed="false">
      <c r="A6" s="14" t="s">
        <v>424</v>
      </c>
      <c r="B6" s="15" t="s">
        <v>425</v>
      </c>
    </row>
    <row r="7" customFormat="false" ht="28.35" hidden="false" customHeight="false" outlineLevel="0" collapsed="false">
      <c r="A7" s="12" t="s">
        <v>426</v>
      </c>
      <c r="B7" s="13" t="s">
        <v>427</v>
      </c>
    </row>
    <row r="8" customFormat="false" ht="28.35" hidden="false" customHeight="false" outlineLevel="0" collapsed="false">
      <c r="A8" s="14" t="s">
        <v>428</v>
      </c>
      <c r="B8" s="15" t="s">
        <v>429</v>
      </c>
    </row>
    <row r="9" customFormat="false" ht="28.35" hidden="false" customHeight="false" outlineLevel="0" collapsed="false">
      <c r="A9" s="12" t="s">
        <v>430</v>
      </c>
      <c r="B9" s="13" t="s">
        <v>431</v>
      </c>
    </row>
    <row r="10" customFormat="false" ht="41.75" hidden="false" customHeight="false" outlineLevel="0" collapsed="false">
      <c r="A10" s="14" t="s">
        <v>4</v>
      </c>
      <c r="B10" s="15" t="s">
        <v>432</v>
      </c>
    </row>
    <row r="11" customFormat="false" ht="28.35" hidden="false" customHeight="false" outlineLevel="0" collapsed="false">
      <c r="A11" s="12" t="s">
        <v>433</v>
      </c>
      <c r="B11" s="13" t="s">
        <v>434</v>
      </c>
    </row>
    <row r="12" customFormat="false" ht="41.75" hidden="false" customHeight="false" outlineLevel="0" collapsed="false">
      <c r="A12" s="14" t="s">
        <v>435</v>
      </c>
      <c r="B12" s="15" t="s">
        <v>436</v>
      </c>
    </row>
    <row r="13" customFormat="false" ht="28.35" hidden="false" customHeight="false" outlineLevel="0" collapsed="false">
      <c r="A13" s="12" t="s">
        <v>437</v>
      </c>
      <c r="B13" s="13" t="s">
        <v>438</v>
      </c>
    </row>
    <row r="14" customFormat="false" ht="28.35" hidden="false" customHeight="false" outlineLevel="0" collapsed="false">
      <c r="A14" s="14" t="s">
        <v>439</v>
      </c>
      <c r="B14" s="15" t="s">
        <v>440</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52"/>
    <col collapsed="false" customWidth="true" hidden="false" outlineLevel="0" max="3" min="3" style="0" width="8"/>
    <col collapsed="false" customWidth="true" hidden="false" outlineLevel="0" max="4" min="4" style="0" width="10"/>
    <col collapsed="false" customWidth="true" hidden="false" outlineLevel="0" max="5" min="5" style="0" width="16"/>
    <col collapsed="false" customWidth="true" hidden="false" outlineLevel="0" max="6" min="6" style="0" width="12"/>
    <col collapsed="false" customWidth="true" hidden="false" outlineLevel="0" max="7" min="7" style="0" width="10"/>
    <col collapsed="false" customWidth="true" hidden="false" outlineLevel="0" max="9" min="8" style="0" width="12"/>
  </cols>
  <sheetData>
    <row r="1" customFormat="false" ht="24" hidden="false" customHeight="true" outlineLevel="0" collapsed="false">
      <c r="A1" s="11" t="s">
        <v>441</v>
      </c>
      <c r="B1" s="11"/>
      <c r="C1" s="11"/>
      <c r="D1" s="11"/>
      <c r="E1" s="11"/>
      <c r="F1" s="11"/>
      <c r="G1" s="11"/>
      <c r="H1" s="11"/>
      <c r="I1" s="11"/>
    </row>
    <row r="2" customFormat="false" ht="15" hidden="false" customHeight="false" outlineLevel="0" collapsed="false">
      <c r="A2" s="16" t="s">
        <v>442</v>
      </c>
    </row>
    <row r="3" customFormat="false" ht="28.35" hidden="false" customHeight="false" outlineLevel="0" collapsed="false">
      <c r="A3" s="17" t="s">
        <v>4</v>
      </c>
      <c r="B3" s="17" t="s">
        <v>443</v>
      </c>
      <c r="C3" s="17" t="s">
        <v>444</v>
      </c>
      <c r="D3" s="17" t="s">
        <v>445</v>
      </c>
      <c r="E3" s="17" t="s">
        <v>446</v>
      </c>
      <c r="F3" s="17" t="s">
        <v>447</v>
      </c>
      <c r="G3" s="17" t="s">
        <v>448</v>
      </c>
      <c r="H3" s="17" t="s">
        <v>12</v>
      </c>
      <c r="I3" s="17" t="s">
        <v>449</v>
      </c>
    </row>
    <row r="4" customFormat="false" ht="15" hidden="false" customHeight="false" outlineLevel="0" collapsed="false">
      <c r="A4" s="18" t="s">
        <v>16</v>
      </c>
      <c r="B4" s="19" t="s">
        <v>450</v>
      </c>
      <c r="C4" s="18" t="n">
        <f aca="false">COUNTIF('Task List'!$C$6:$C$90,A4)</f>
        <v>6</v>
      </c>
      <c r="D4" s="18" t="n">
        <f aca="false">COUNTIFS('Task List'!$C$6:$C$90,A4,'Task List'!$D$6:$D$90,"critical")</f>
        <v>2</v>
      </c>
      <c r="E4" s="18" t="n">
        <f aca="false">COUNTIFS('Task List'!$C$6:$C$90,A4,'Task List'!$D$6:$D$90,"very important")</f>
        <v>2</v>
      </c>
      <c r="F4" s="18" t="n">
        <f aca="false">COUNTIFS('Task List'!$C$6:$C$90,A4,'Task List'!$D$6:$D$90,"important")</f>
        <v>2</v>
      </c>
      <c r="G4" s="18" t="n">
        <f aca="false">COUNTIFS('Task List'!$C$6:$C$90,A4,'Task List'!$D$6:$D$90,"normal")</f>
        <v>0</v>
      </c>
      <c r="H4" s="18" t="n">
        <f aca="false">SUMIF('Task List'!$C$6:$C$90,A4,'Task List'!$K$6:$K$90)</f>
        <v>13</v>
      </c>
      <c r="I4" s="18" t="n">
        <f aca="false">H4/6</f>
        <v>2.16666666666667</v>
      </c>
    </row>
    <row r="5" customFormat="false" ht="28.35" hidden="false" customHeight="false" outlineLevel="0" collapsed="false">
      <c r="A5" s="20" t="s">
        <v>59</v>
      </c>
      <c r="B5" s="21" t="s">
        <v>451</v>
      </c>
      <c r="C5" s="20" t="n">
        <f aca="false">COUNTIF('Task List'!$C$6:$C$90,A5)</f>
        <v>6</v>
      </c>
      <c r="D5" s="20" t="n">
        <f aca="false">COUNTIFS('Task List'!$C$6:$C$90,A5,'Task List'!$D$6:$D$90,"critical")</f>
        <v>0</v>
      </c>
      <c r="E5" s="20" t="n">
        <f aca="false">COUNTIFS('Task List'!$C$6:$C$90,A5,'Task List'!$D$6:$D$90,"very important")</f>
        <v>5</v>
      </c>
      <c r="F5" s="20" t="n">
        <f aca="false">COUNTIFS('Task List'!$C$6:$C$90,A5,'Task List'!$D$6:$D$90,"important")</f>
        <v>1</v>
      </c>
      <c r="G5" s="20" t="n">
        <f aca="false">COUNTIFS('Task List'!$C$6:$C$90,A5,'Task List'!$D$6:$D$90,"normal")</f>
        <v>0</v>
      </c>
      <c r="H5" s="20" t="n">
        <f aca="false">SUMIF('Task List'!$C$6:$C$90,A5,'Task List'!$K$6:$K$90)</f>
        <v>35</v>
      </c>
      <c r="I5" s="20" t="n">
        <f aca="false">H5/6</f>
        <v>5.83333333333333</v>
      </c>
    </row>
    <row r="6" customFormat="false" ht="15" hidden="false" customHeight="false" outlineLevel="0" collapsed="false">
      <c r="A6" s="18" t="s">
        <v>92</v>
      </c>
      <c r="B6" s="19" t="s">
        <v>452</v>
      </c>
      <c r="C6" s="18" t="n">
        <f aca="false">COUNTIF('Task List'!$C$6:$C$90,A6)</f>
        <v>6</v>
      </c>
      <c r="D6" s="18" t="n">
        <f aca="false">COUNTIFS('Task List'!$C$6:$C$90,A6,'Task List'!$D$6:$D$90,"critical")</f>
        <v>0</v>
      </c>
      <c r="E6" s="18" t="n">
        <f aca="false">COUNTIFS('Task List'!$C$6:$C$90,A6,'Task List'!$D$6:$D$90,"very important")</f>
        <v>4</v>
      </c>
      <c r="F6" s="18" t="n">
        <f aca="false">COUNTIFS('Task List'!$C$6:$C$90,A6,'Task List'!$D$6:$D$90,"important")</f>
        <v>2</v>
      </c>
      <c r="G6" s="18" t="n">
        <f aca="false">COUNTIFS('Task List'!$C$6:$C$90,A6,'Task List'!$D$6:$D$90,"normal")</f>
        <v>0</v>
      </c>
      <c r="H6" s="18" t="n">
        <f aca="false">SUMIF('Task List'!$C$6:$C$90,A6,'Task List'!$K$6:$K$90)</f>
        <v>27</v>
      </c>
      <c r="I6" s="18" t="n">
        <f aca="false">H6/6</f>
        <v>4.5</v>
      </c>
    </row>
    <row r="7" customFormat="false" ht="15" hidden="false" customHeight="false" outlineLevel="0" collapsed="false">
      <c r="A7" s="20" t="s">
        <v>124</v>
      </c>
      <c r="B7" s="21" t="s">
        <v>453</v>
      </c>
      <c r="C7" s="20" t="n">
        <f aca="false">COUNTIF('Task List'!$C$6:$C$90,A7)</f>
        <v>5</v>
      </c>
      <c r="D7" s="20" t="n">
        <f aca="false">COUNTIFS('Task List'!$C$6:$C$90,A7,'Task List'!$D$6:$D$90,"critical")</f>
        <v>0</v>
      </c>
      <c r="E7" s="20" t="n">
        <f aca="false">COUNTIFS('Task List'!$C$6:$C$90,A7,'Task List'!$D$6:$D$90,"very important")</f>
        <v>3</v>
      </c>
      <c r="F7" s="20" t="n">
        <f aca="false">COUNTIFS('Task List'!$C$6:$C$90,A7,'Task List'!$D$6:$D$90,"important")</f>
        <v>2</v>
      </c>
      <c r="G7" s="20" t="n">
        <f aca="false">COUNTIFS('Task List'!$C$6:$C$90,A7,'Task List'!$D$6:$D$90,"normal")</f>
        <v>0</v>
      </c>
      <c r="H7" s="20" t="n">
        <f aca="false">SUMIF('Task List'!$C$6:$C$90,A7,'Task List'!$K$6:$K$90)</f>
        <v>26</v>
      </c>
      <c r="I7" s="20" t="n">
        <f aca="false">H7/6</f>
        <v>4.33333333333333</v>
      </c>
    </row>
    <row r="8" customFormat="false" ht="28.35" hidden="false" customHeight="false" outlineLevel="0" collapsed="false">
      <c r="A8" s="18" t="s">
        <v>151</v>
      </c>
      <c r="B8" s="19" t="s">
        <v>454</v>
      </c>
      <c r="C8" s="18" t="n">
        <f aca="false">COUNTIF('Task List'!$C$6:$C$90,A8)</f>
        <v>6</v>
      </c>
      <c r="D8" s="18" t="n">
        <f aca="false">COUNTIFS('Task List'!$C$6:$C$90,A8,'Task List'!$D$6:$D$90,"critical")</f>
        <v>0</v>
      </c>
      <c r="E8" s="18" t="n">
        <f aca="false">COUNTIFS('Task List'!$C$6:$C$90,A8,'Task List'!$D$6:$D$90,"very important")</f>
        <v>4</v>
      </c>
      <c r="F8" s="18" t="n">
        <f aca="false">COUNTIFS('Task List'!$C$6:$C$90,A8,'Task List'!$D$6:$D$90,"important")</f>
        <v>2</v>
      </c>
      <c r="G8" s="18" t="n">
        <f aca="false">COUNTIFS('Task List'!$C$6:$C$90,A8,'Task List'!$D$6:$D$90,"normal")</f>
        <v>0</v>
      </c>
      <c r="H8" s="18" t="n">
        <f aca="false">SUMIF('Task List'!$C$6:$C$90,A8,'Task List'!$K$6:$K$90)</f>
        <v>31</v>
      </c>
      <c r="I8" s="18" t="n">
        <f aca="false">H8/6</f>
        <v>5.16666666666667</v>
      </c>
    </row>
    <row r="9" customFormat="false" ht="28.35" hidden="false" customHeight="false" outlineLevel="0" collapsed="false">
      <c r="A9" s="20" t="s">
        <v>182</v>
      </c>
      <c r="B9" s="21" t="s">
        <v>455</v>
      </c>
      <c r="C9" s="20" t="n">
        <f aca="false">COUNTIF('Task List'!$C$6:$C$90,A9)</f>
        <v>5</v>
      </c>
      <c r="D9" s="20" t="n">
        <f aca="false">COUNTIFS('Task List'!$C$6:$C$90,A9,'Task List'!$D$6:$D$90,"critical")</f>
        <v>0</v>
      </c>
      <c r="E9" s="20" t="n">
        <f aca="false">COUNTIFS('Task List'!$C$6:$C$90,A9,'Task List'!$D$6:$D$90,"very important")</f>
        <v>2</v>
      </c>
      <c r="F9" s="20" t="n">
        <f aca="false">COUNTIFS('Task List'!$C$6:$C$90,A9,'Task List'!$D$6:$D$90,"important")</f>
        <v>3</v>
      </c>
      <c r="G9" s="20" t="n">
        <f aca="false">COUNTIFS('Task List'!$C$6:$C$90,A9,'Task List'!$D$6:$D$90,"normal")</f>
        <v>0</v>
      </c>
      <c r="H9" s="20" t="n">
        <f aca="false">SUMIF('Task List'!$C$6:$C$90,A9,'Task List'!$K$6:$K$90)</f>
        <v>23</v>
      </c>
      <c r="I9" s="20" t="n">
        <f aca="false">H9/6</f>
        <v>3.83333333333333</v>
      </c>
    </row>
    <row r="10" customFormat="false" ht="15" hidden="false" customHeight="false" outlineLevel="0" collapsed="false">
      <c r="A10" s="18" t="s">
        <v>208</v>
      </c>
      <c r="B10" s="19" t="s">
        <v>456</v>
      </c>
      <c r="C10" s="18" t="n">
        <f aca="false">COUNTIF('Task List'!$C$6:$C$90,A10)</f>
        <v>5</v>
      </c>
      <c r="D10" s="18" t="n">
        <f aca="false">COUNTIFS('Task List'!$C$6:$C$90,A10,'Task List'!$D$6:$D$90,"critical")</f>
        <v>0</v>
      </c>
      <c r="E10" s="18" t="n">
        <f aca="false">COUNTIFS('Task List'!$C$6:$C$90,A10,'Task List'!$D$6:$D$90,"very important")</f>
        <v>3</v>
      </c>
      <c r="F10" s="18" t="n">
        <f aca="false">COUNTIFS('Task List'!$C$6:$C$90,A10,'Task List'!$D$6:$D$90,"important")</f>
        <v>2</v>
      </c>
      <c r="G10" s="18" t="n">
        <f aca="false">COUNTIFS('Task List'!$C$6:$C$90,A10,'Task List'!$D$6:$D$90,"normal")</f>
        <v>0</v>
      </c>
      <c r="H10" s="18" t="n">
        <f aca="false">SUMIF('Task List'!$C$6:$C$90,A10,'Task List'!$K$6:$K$90)</f>
        <v>30</v>
      </c>
      <c r="I10" s="18" t="n">
        <f aca="false">H10/6</f>
        <v>5</v>
      </c>
    </row>
    <row r="11" customFormat="false" ht="15" hidden="false" customHeight="false" outlineLevel="0" collapsed="false">
      <c r="A11" s="20" t="s">
        <v>235</v>
      </c>
      <c r="B11" s="21" t="s">
        <v>457</v>
      </c>
      <c r="C11" s="20" t="n">
        <f aca="false">COUNTIF('Task List'!$C$6:$C$90,A11)</f>
        <v>4</v>
      </c>
      <c r="D11" s="20" t="n">
        <f aca="false">COUNTIFS('Task List'!$C$6:$C$90,A11,'Task List'!$D$6:$D$90,"critical")</f>
        <v>0</v>
      </c>
      <c r="E11" s="20" t="n">
        <f aca="false">COUNTIFS('Task List'!$C$6:$C$90,A11,'Task List'!$D$6:$D$90,"very important")</f>
        <v>3</v>
      </c>
      <c r="F11" s="20" t="n">
        <f aca="false">COUNTIFS('Task List'!$C$6:$C$90,A11,'Task List'!$D$6:$D$90,"important")</f>
        <v>1</v>
      </c>
      <c r="G11" s="20" t="n">
        <f aca="false">COUNTIFS('Task List'!$C$6:$C$90,A11,'Task List'!$D$6:$D$90,"normal")</f>
        <v>0</v>
      </c>
      <c r="H11" s="20" t="n">
        <f aca="false">SUMIF('Task List'!$C$6:$C$90,A11,'Task List'!$K$6:$K$90)</f>
        <v>27</v>
      </c>
      <c r="I11" s="20" t="n">
        <f aca="false">H11/6</f>
        <v>4.5</v>
      </c>
    </row>
    <row r="12" customFormat="false" ht="15" hidden="false" customHeight="false" outlineLevel="0" collapsed="false">
      <c r="A12" s="18" t="s">
        <v>258</v>
      </c>
      <c r="B12" s="19" t="s">
        <v>458</v>
      </c>
      <c r="C12" s="18" t="n">
        <f aca="false">COUNTIF('Task List'!$C$6:$C$90,A12)</f>
        <v>8</v>
      </c>
      <c r="D12" s="18" t="n">
        <f aca="false">COUNTIFS('Task List'!$C$6:$C$90,A12,'Task List'!$D$6:$D$90,"critical")</f>
        <v>0</v>
      </c>
      <c r="E12" s="18" t="n">
        <f aca="false">COUNTIFS('Task List'!$C$6:$C$90,A12,'Task List'!$D$6:$D$90,"very important")</f>
        <v>2</v>
      </c>
      <c r="F12" s="18" t="n">
        <f aca="false">COUNTIFS('Task List'!$C$6:$C$90,A12,'Task List'!$D$6:$D$90,"important")</f>
        <v>6</v>
      </c>
      <c r="G12" s="18" t="n">
        <f aca="false">COUNTIFS('Task List'!$C$6:$C$90,A12,'Task List'!$D$6:$D$90,"normal")</f>
        <v>0</v>
      </c>
      <c r="H12" s="18" t="n">
        <f aca="false">SUMIF('Task List'!$C$6:$C$90,A12,'Task List'!$K$6:$K$90)</f>
        <v>35</v>
      </c>
      <c r="I12" s="18" t="n">
        <f aca="false">H12/6</f>
        <v>5.83333333333333</v>
      </c>
    </row>
    <row r="13" customFormat="false" ht="15" hidden="false" customHeight="false" outlineLevel="0" collapsed="false">
      <c r="A13" s="20" t="s">
        <v>300</v>
      </c>
      <c r="B13" s="21" t="s">
        <v>459</v>
      </c>
      <c r="C13" s="20" t="n">
        <f aca="false">COUNTIF('Task List'!$C$6:$C$90,A13)</f>
        <v>6</v>
      </c>
      <c r="D13" s="20" t="n">
        <f aca="false">COUNTIFS('Task List'!$C$6:$C$90,A13,'Task List'!$D$6:$D$90,"critical")</f>
        <v>0</v>
      </c>
      <c r="E13" s="20" t="n">
        <f aca="false">COUNTIFS('Task List'!$C$6:$C$90,A13,'Task List'!$D$6:$D$90,"very important")</f>
        <v>4</v>
      </c>
      <c r="F13" s="20" t="n">
        <f aca="false">COUNTIFS('Task List'!$C$6:$C$90,A13,'Task List'!$D$6:$D$90,"important")</f>
        <v>2</v>
      </c>
      <c r="G13" s="20" t="n">
        <f aca="false">COUNTIFS('Task List'!$C$6:$C$90,A13,'Task List'!$D$6:$D$90,"normal")</f>
        <v>0</v>
      </c>
      <c r="H13" s="20" t="n">
        <f aca="false">SUMIF('Task List'!$C$6:$C$90,A13,'Task List'!$K$6:$K$90)</f>
        <v>20</v>
      </c>
      <c r="I13" s="20" t="n">
        <f aca="false">H13/6</f>
        <v>3.33333333333333</v>
      </c>
    </row>
    <row r="14" customFormat="false" ht="28.35" hidden="false" customHeight="false" outlineLevel="0" collapsed="false">
      <c r="A14" s="18" t="s">
        <v>334</v>
      </c>
      <c r="B14" s="19" t="s">
        <v>460</v>
      </c>
      <c r="C14" s="18" t="n">
        <f aca="false">COUNTIF('Task List'!$C$6:$C$90,A14)</f>
        <v>9</v>
      </c>
      <c r="D14" s="18" t="n">
        <f aca="false">COUNTIFS('Task List'!$C$6:$C$90,A14,'Task List'!$D$6:$D$90,"critical")</f>
        <v>0</v>
      </c>
      <c r="E14" s="18" t="n">
        <f aca="false">COUNTIFS('Task List'!$C$6:$C$90,A14,'Task List'!$D$6:$D$90,"very important")</f>
        <v>1</v>
      </c>
      <c r="F14" s="18" t="n">
        <f aca="false">COUNTIFS('Task List'!$C$6:$C$90,A14,'Task List'!$D$6:$D$90,"important")</f>
        <v>7</v>
      </c>
      <c r="G14" s="18" t="n">
        <f aca="false">COUNTIFS('Task List'!$C$6:$C$90,A14,'Task List'!$D$6:$D$90,"normal")</f>
        <v>1</v>
      </c>
      <c r="H14" s="18" t="n">
        <f aca="false">SUMIF('Task List'!$C$6:$C$90,A14,'Task List'!$K$6:$K$90)</f>
        <v>28</v>
      </c>
      <c r="I14" s="18" t="n">
        <f aca="false">H14/6</f>
        <v>4.66666666666667</v>
      </c>
    </row>
    <row r="15" customFormat="false" ht="15" hidden="false" customHeight="false" outlineLevel="0" collapsed="false">
      <c r="A15" s="20" t="s">
        <v>378</v>
      </c>
      <c r="B15" s="21" t="s">
        <v>461</v>
      </c>
      <c r="C15" s="20" t="n">
        <f aca="false">COUNTIF('Task List'!$C$6:$C$90,A15)</f>
        <v>8</v>
      </c>
      <c r="D15" s="20" t="n">
        <f aca="false">COUNTIFS('Task List'!$C$6:$C$90,A15,'Task List'!$D$6:$D$90,"critical")</f>
        <v>0</v>
      </c>
      <c r="E15" s="20" t="n">
        <f aca="false">COUNTIFS('Task List'!$C$6:$C$90,A15,'Task List'!$D$6:$D$90,"very important")</f>
        <v>0</v>
      </c>
      <c r="F15" s="20" t="n">
        <f aca="false">COUNTIFS('Task List'!$C$6:$C$90,A15,'Task List'!$D$6:$D$90,"important")</f>
        <v>8</v>
      </c>
      <c r="G15" s="20" t="n">
        <f aca="false">COUNTIFS('Task List'!$C$6:$C$90,A15,'Task List'!$D$6:$D$90,"normal")</f>
        <v>0</v>
      </c>
      <c r="H15" s="20" t="n">
        <f aca="false">SUMIF('Task List'!$C$6:$C$90,A15,'Task List'!$K$6:$K$90)</f>
        <v>25.5</v>
      </c>
      <c r="I15" s="20" t="n">
        <f aca="false">H15/6</f>
        <v>4.25</v>
      </c>
    </row>
    <row r="16" customFormat="false" ht="15" hidden="false" customHeight="false" outlineLevel="0" collapsed="false">
      <c r="A16" s="22" t="s">
        <v>462</v>
      </c>
      <c r="B16" s="23" t="s">
        <v>463</v>
      </c>
      <c r="C16" s="22" t="n">
        <f aca="false">SUM(C4:C15)</f>
        <v>74</v>
      </c>
      <c r="D16" s="22" t="n">
        <f aca="false">SUM(D4:D15)</f>
        <v>2</v>
      </c>
      <c r="E16" s="22" t="n">
        <f aca="false">SUM(E4:E15)</f>
        <v>33</v>
      </c>
      <c r="F16" s="22" t="n">
        <f aca="false">SUM(F4:F15)</f>
        <v>38</v>
      </c>
      <c r="G16" s="22" t="n">
        <f aca="false">SUM(G4:G15)</f>
        <v>1</v>
      </c>
      <c r="H16" s="22" t="n">
        <f aca="false">SUM(H4:H15)</f>
        <v>320.5</v>
      </c>
      <c r="I16" s="22" t="n">
        <f aca="false">H16/6</f>
        <v>53.4166666666667</v>
      </c>
    </row>
    <row r="18" customFormat="false" ht="15" hidden="false" customHeight="false" outlineLevel="0" collapsed="false">
      <c r="A18" s="16" t="s">
        <v>464</v>
      </c>
    </row>
  </sheetData>
  <mergeCells count="1">
    <mergeCell ref="A1:I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46"/>
    <col collapsed="false" customWidth="true" hidden="false" outlineLevel="0" max="3" min="3" style="0" width="40"/>
    <col collapsed="false" customWidth="true" hidden="false" outlineLevel="0" max="5" min="4" style="0" width="52"/>
  </cols>
  <sheetData>
    <row r="1" customFormat="false" ht="24" hidden="false" customHeight="true" outlineLevel="0" collapsed="false">
      <c r="A1" s="11" t="s">
        <v>465</v>
      </c>
      <c r="B1" s="11"/>
      <c r="C1" s="11"/>
      <c r="D1" s="11"/>
      <c r="E1" s="11"/>
    </row>
    <row r="2" customFormat="false" ht="15" hidden="false" customHeight="false" outlineLevel="0" collapsed="false">
      <c r="A2" s="16" t="s">
        <v>466</v>
      </c>
    </row>
    <row r="3" customFormat="false" ht="15" hidden="false" customHeight="false" outlineLevel="0" collapsed="false">
      <c r="A3" s="17" t="s">
        <v>467</v>
      </c>
      <c r="B3" s="17" t="s">
        <v>468</v>
      </c>
      <c r="C3" s="17" t="s">
        <v>469</v>
      </c>
      <c r="D3" s="17" t="s">
        <v>470</v>
      </c>
      <c r="E3" s="17" t="s">
        <v>471</v>
      </c>
    </row>
    <row r="4" customFormat="false" ht="41.75" hidden="false" customHeight="false" outlineLevel="0" collapsed="false">
      <c r="A4" s="24" t="s">
        <v>472</v>
      </c>
      <c r="B4" s="25" t="s">
        <v>473</v>
      </c>
      <c r="C4" s="25" t="s">
        <v>474</v>
      </c>
      <c r="D4" s="25" t="s">
        <v>475</v>
      </c>
      <c r="E4" s="25" t="s">
        <v>476</v>
      </c>
    </row>
    <row r="5" customFormat="false" ht="41.75" hidden="false" customHeight="false" outlineLevel="0" collapsed="false">
      <c r="A5" s="26" t="s">
        <v>477</v>
      </c>
      <c r="B5" s="27" t="s">
        <v>478</v>
      </c>
      <c r="C5" s="27" t="s">
        <v>479</v>
      </c>
      <c r="D5" s="27" t="s">
        <v>480</v>
      </c>
      <c r="E5" s="27" t="s">
        <v>481</v>
      </c>
    </row>
    <row r="6" customFormat="false" ht="28.35" hidden="false" customHeight="false" outlineLevel="0" collapsed="false">
      <c r="A6" s="24" t="s">
        <v>482</v>
      </c>
      <c r="B6" s="25" t="s">
        <v>483</v>
      </c>
      <c r="C6" s="25" t="s">
        <v>484</v>
      </c>
      <c r="D6" s="25" t="s">
        <v>485</v>
      </c>
      <c r="E6" s="25" t="s">
        <v>486</v>
      </c>
    </row>
    <row r="7" customFormat="false" ht="41.75" hidden="false" customHeight="false" outlineLevel="0" collapsed="false">
      <c r="A7" s="26" t="s">
        <v>487</v>
      </c>
      <c r="B7" s="27" t="s">
        <v>488</v>
      </c>
      <c r="C7" s="27" t="s">
        <v>489</v>
      </c>
      <c r="D7" s="27" t="s">
        <v>490</v>
      </c>
      <c r="E7" s="27" t="s">
        <v>491</v>
      </c>
    </row>
    <row r="8" customFormat="false" ht="28.35" hidden="false" customHeight="false" outlineLevel="0" collapsed="false">
      <c r="A8" s="24" t="s">
        <v>492</v>
      </c>
      <c r="B8" s="25" t="s">
        <v>493</v>
      </c>
      <c r="C8" s="25" t="s">
        <v>494</v>
      </c>
      <c r="D8" s="25" t="s">
        <v>495</v>
      </c>
      <c r="E8" s="25" t="s">
        <v>496</v>
      </c>
    </row>
    <row r="9" customFormat="false" ht="28.35" hidden="false" customHeight="false" outlineLevel="0" collapsed="false">
      <c r="A9" s="26" t="s">
        <v>497</v>
      </c>
      <c r="B9" s="27" t="s">
        <v>498</v>
      </c>
      <c r="C9" s="27" t="s">
        <v>499</v>
      </c>
      <c r="D9" s="27" t="s">
        <v>500</v>
      </c>
      <c r="E9" s="27" t="s">
        <v>501</v>
      </c>
    </row>
    <row r="10" customFormat="false" ht="28.35" hidden="false" customHeight="false" outlineLevel="0" collapsed="false">
      <c r="A10" s="24" t="s">
        <v>502</v>
      </c>
      <c r="B10" s="25" t="s">
        <v>503</v>
      </c>
      <c r="C10" s="25" t="s">
        <v>504</v>
      </c>
      <c r="D10" s="25" t="s">
        <v>505</v>
      </c>
      <c r="E10" s="25" t="s">
        <v>506</v>
      </c>
    </row>
    <row r="11" customFormat="false" ht="28.35" hidden="false" customHeight="false" outlineLevel="0" collapsed="false">
      <c r="A11" s="26" t="s">
        <v>507</v>
      </c>
      <c r="B11" s="27" t="s">
        <v>503</v>
      </c>
      <c r="C11" s="27" t="s">
        <v>508</v>
      </c>
      <c r="D11" s="27" t="s">
        <v>509</v>
      </c>
      <c r="E11" s="27" t="s">
        <v>510</v>
      </c>
    </row>
    <row r="12" customFormat="false" ht="28.35" hidden="false" customHeight="false" outlineLevel="0" collapsed="false">
      <c r="A12" s="24" t="s">
        <v>511</v>
      </c>
      <c r="B12" s="25" t="s">
        <v>512</v>
      </c>
      <c r="C12" s="25" t="s">
        <v>513</v>
      </c>
      <c r="D12" s="25" t="s">
        <v>514</v>
      </c>
      <c r="E12" s="25" t="s">
        <v>515</v>
      </c>
    </row>
    <row r="13" customFormat="false" ht="28.35" hidden="false" customHeight="false" outlineLevel="0" collapsed="false">
      <c r="A13" s="26" t="s">
        <v>516</v>
      </c>
      <c r="B13" s="27" t="s">
        <v>517</v>
      </c>
      <c r="C13" s="27" t="s">
        <v>518</v>
      </c>
      <c r="D13" s="27" t="s">
        <v>519</v>
      </c>
      <c r="E13" s="27" t="s">
        <v>520</v>
      </c>
    </row>
    <row r="14" customFormat="false" ht="28.35" hidden="false" customHeight="false" outlineLevel="0" collapsed="false">
      <c r="A14" s="24" t="s">
        <v>521</v>
      </c>
      <c r="B14" s="25" t="s">
        <v>522</v>
      </c>
      <c r="C14" s="25" t="s">
        <v>523</v>
      </c>
      <c r="D14" s="25" t="s">
        <v>524</v>
      </c>
      <c r="E14" s="25" t="s">
        <v>525</v>
      </c>
    </row>
    <row r="16" customFormat="false" ht="15" hidden="false" customHeight="false" outlineLevel="0" collapsed="false">
      <c r="A16" s="28" t="s">
        <v>526</v>
      </c>
      <c r="B16" s="28"/>
      <c r="C16" s="28"/>
      <c r="D16" s="28"/>
      <c r="E16" s="28"/>
    </row>
    <row r="17" customFormat="false" ht="15" hidden="false" customHeight="true" outlineLevel="0" collapsed="false">
      <c r="A17" s="26" t="s">
        <v>527</v>
      </c>
      <c r="B17" s="27" t="s">
        <v>528</v>
      </c>
      <c r="C17" s="27" t="s">
        <v>529</v>
      </c>
      <c r="D17" s="27"/>
      <c r="E17" s="27"/>
    </row>
    <row r="18" customFormat="false" ht="28.35" hidden="false" customHeight="true" outlineLevel="0" collapsed="false">
      <c r="A18" s="24" t="s">
        <v>530</v>
      </c>
      <c r="B18" s="25" t="s">
        <v>531</v>
      </c>
      <c r="C18" s="25" t="s">
        <v>532</v>
      </c>
      <c r="D18" s="25"/>
      <c r="E18" s="25"/>
    </row>
    <row r="19" customFormat="false" ht="28.35" hidden="false" customHeight="true" outlineLevel="0" collapsed="false">
      <c r="A19" s="26" t="s">
        <v>533</v>
      </c>
      <c r="B19" s="27" t="s">
        <v>534</v>
      </c>
      <c r="C19" s="27" t="s">
        <v>535</v>
      </c>
      <c r="D19" s="27"/>
      <c r="E19" s="27"/>
    </row>
    <row r="20" customFormat="false" ht="28.35" hidden="false" customHeight="true" outlineLevel="0" collapsed="false">
      <c r="A20" s="24" t="s">
        <v>536</v>
      </c>
      <c r="B20" s="25" t="s">
        <v>537</v>
      </c>
      <c r="C20" s="25" t="s">
        <v>538</v>
      </c>
      <c r="D20" s="25"/>
      <c r="E20" s="25"/>
    </row>
    <row r="21" customFormat="false" ht="28.35" hidden="false" customHeight="true" outlineLevel="0" collapsed="false">
      <c r="A21" s="26" t="s">
        <v>539</v>
      </c>
      <c r="B21" s="27" t="s">
        <v>540</v>
      </c>
      <c r="C21" s="27" t="s">
        <v>541</v>
      </c>
      <c r="D21" s="27"/>
      <c r="E21" s="27"/>
    </row>
  </sheetData>
  <mergeCells count="7">
    <mergeCell ref="A1:E1"/>
    <mergeCell ref="A16:E16"/>
    <mergeCell ref="C17:E17"/>
    <mergeCell ref="C18:E18"/>
    <mergeCell ref="C19:E19"/>
    <mergeCell ref="C20:E20"/>
    <mergeCell ref="C21:E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8"/>
    <col collapsed="false" customWidth="true" hidden="false" outlineLevel="0" max="3" min="3" style="0" width="12"/>
    <col collapsed="false" customWidth="true" hidden="false" outlineLevel="0" max="4" min="4" style="0" width="3"/>
    <col collapsed="false" customWidth="true" hidden="false" outlineLevel="0" max="5" min="5" style="0" width="22"/>
    <col collapsed="false" customWidth="true" hidden="false" outlineLevel="0" max="6" min="6" style="0" width="8"/>
    <col collapsed="false" customWidth="true" hidden="false" outlineLevel="0" max="7" min="7" style="0" width="12"/>
    <col collapsed="false" customWidth="true" hidden="false" outlineLevel="0" max="8" min="8" style="0" width="3"/>
    <col collapsed="false" customWidth="true" hidden="false" outlineLevel="0" max="9" min="9" style="0" width="16"/>
    <col collapsed="false" customWidth="true" hidden="false" outlineLevel="0" max="10" min="10" style="0" width="8"/>
    <col collapsed="false" customWidth="true" hidden="false" outlineLevel="0" max="11" min="11" style="0" width="12"/>
    <col collapsed="false" customWidth="true" hidden="false" outlineLevel="0" max="12" min="12" style="0" width="3"/>
    <col collapsed="false" customWidth="true" hidden="false" outlineLevel="0" max="13" min="13" style="0" width="14"/>
    <col collapsed="false" customWidth="true" hidden="false" outlineLevel="0" max="14" min="14" style="0" width="12"/>
  </cols>
  <sheetData>
    <row r="1" customFormat="false" ht="24" hidden="false" customHeight="true" outlineLevel="0" collapsed="false">
      <c r="A1" s="11" t="s">
        <v>542</v>
      </c>
      <c r="B1" s="11"/>
      <c r="C1" s="11"/>
      <c r="D1" s="11"/>
      <c r="E1" s="11"/>
      <c r="F1" s="11"/>
      <c r="G1" s="11"/>
      <c r="H1" s="11"/>
      <c r="I1" s="11"/>
      <c r="J1" s="11"/>
      <c r="K1" s="11"/>
      <c r="L1" s="11"/>
      <c r="M1" s="11"/>
      <c r="N1" s="11"/>
    </row>
    <row r="2" customFormat="false" ht="15" hidden="false" customHeight="false" outlineLevel="0" collapsed="false">
      <c r="A2" s="29" t="s">
        <v>543</v>
      </c>
      <c r="E2" s="29" t="s">
        <v>544</v>
      </c>
      <c r="I2" s="29" t="s">
        <v>545</v>
      </c>
      <c r="M2" s="29" t="s">
        <v>546</v>
      </c>
    </row>
    <row r="3" customFormat="false" ht="15" hidden="false" customHeight="false" outlineLevel="0" collapsed="false">
      <c r="A3" s="30" t="s">
        <v>5</v>
      </c>
      <c r="B3" s="30" t="s">
        <v>547</v>
      </c>
      <c r="C3" s="30" t="s">
        <v>12</v>
      </c>
      <c r="E3" s="30" t="s">
        <v>6</v>
      </c>
      <c r="F3" s="30" t="s">
        <v>547</v>
      </c>
      <c r="G3" s="30" t="s">
        <v>12</v>
      </c>
      <c r="I3" s="30" t="s">
        <v>7</v>
      </c>
      <c r="J3" s="30" t="s">
        <v>547</v>
      </c>
      <c r="K3" s="30" t="s">
        <v>12</v>
      </c>
      <c r="M3" s="30" t="s">
        <v>548</v>
      </c>
      <c r="N3" s="30" t="s">
        <v>547</v>
      </c>
      <c r="O3" s="30" t="s">
        <v>12</v>
      </c>
    </row>
    <row r="4" customFormat="false" ht="15" hidden="false" customHeight="false" outlineLevel="0" collapsed="false">
      <c r="A4" s="19" t="s">
        <v>17</v>
      </c>
      <c r="B4" s="18" t="n">
        <f aca="false">COUNTIF('Task List'!$D$6:$D$90,A4)</f>
        <v>2</v>
      </c>
      <c r="C4" s="18" t="n">
        <f aca="false">SUMIF('Task List'!$D$6:$D$90,A4,'Task List'!$K$6:$K$90)</f>
        <v>5.5</v>
      </c>
      <c r="E4" s="19" t="s">
        <v>27</v>
      </c>
      <c r="F4" s="18" t="n">
        <f aca="false">COUNTIF('Task List'!$E$6:$E$90,E4)</f>
        <v>29</v>
      </c>
      <c r="G4" s="18" t="n">
        <f aca="false">SUMIF('Task List'!$E$6:$E$90,E4,'Task List'!$K$6:$K$90)</f>
        <v>156</v>
      </c>
      <c r="I4" s="19" t="s">
        <v>28</v>
      </c>
      <c r="J4" s="18" t="n">
        <f aca="false">COUNTIF('Task List'!$F$6:$F$90,I4)</f>
        <v>19</v>
      </c>
      <c r="K4" s="18" t="n">
        <f aca="false">SUMIF('Task List'!$F$6:$F$90,I4,'Task List'!$K$6:$K$90)</f>
        <v>97</v>
      </c>
      <c r="M4" s="19" t="s">
        <v>62</v>
      </c>
      <c r="N4" s="18" t="n">
        <f aca="false">COUNTIF('Task List'!$I$6:$I$90,M4)</f>
        <v>53</v>
      </c>
      <c r="O4" s="18" t="n">
        <f aca="false">SUMIF('Task List'!$I$6:$I$90,M4,'Task List'!$K$6:$K$90)</f>
        <v>250.5</v>
      </c>
    </row>
    <row r="5" customFormat="false" ht="15" hidden="false" customHeight="false" outlineLevel="0" collapsed="false">
      <c r="A5" s="21" t="s">
        <v>46</v>
      </c>
      <c r="B5" s="20" t="n">
        <f aca="false">COUNTIF('Task List'!$D$6:$D$90,A5)</f>
        <v>33</v>
      </c>
      <c r="C5" s="20" t="n">
        <f aca="false">SUMIF('Task List'!$D$6:$D$90,A5,'Task List'!$K$6:$K$90)</f>
        <v>181.5</v>
      </c>
      <c r="E5" s="21" t="s">
        <v>18</v>
      </c>
      <c r="F5" s="20" t="n">
        <f aca="false">COUNTIF('Task List'!$E$6:$E$90,E5)</f>
        <v>24</v>
      </c>
      <c r="G5" s="20" t="n">
        <f aca="false">SUMIF('Task List'!$E$6:$E$90,E5,'Task List'!$K$6:$K$90)</f>
        <v>88.5</v>
      </c>
      <c r="I5" s="21" t="s">
        <v>19</v>
      </c>
      <c r="J5" s="20" t="n">
        <f aca="false">COUNTIF('Task List'!$F$6:$F$90,I5)</f>
        <v>21</v>
      </c>
      <c r="K5" s="20" t="n">
        <f aca="false">SUMIF('Task List'!$F$6:$F$90,I5,'Task List'!$K$6:$K$90)</f>
        <v>107</v>
      </c>
      <c r="M5" s="21" t="s">
        <v>54</v>
      </c>
      <c r="N5" s="20" t="n">
        <f aca="false">COUNTIF('Task List'!$I$6:$I$90,M5)</f>
        <v>15</v>
      </c>
      <c r="O5" s="20" t="n">
        <f aca="false">SUMIF('Task List'!$I$6:$I$90,M5,'Task List'!$K$6:$K$90)</f>
        <v>57</v>
      </c>
    </row>
    <row r="6" customFormat="false" ht="15" hidden="false" customHeight="false" outlineLevel="0" collapsed="false">
      <c r="A6" s="19" t="s">
        <v>26</v>
      </c>
      <c r="B6" s="18" t="n">
        <f aca="false">COUNTIF('Task List'!$D$6:$D$90,A6)</f>
        <v>38</v>
      </c>
      <c r="C6" s="18" t="n">
        <f aca="false">SUMIF('Task List'!$D$6:$D$90,A6,'Task List'!$K$6:$K$90)</f>
        <v>131.5</v>
      </c>
      <c r="E6" s="19" t="s">
        <v>236</v>
      </c>
      <c r="F6" s="18" t="n">
        <f aca="false">COUNTIF('Task List'!$E$6:$E$90,E6)</f>
        <v>8</v>
      </c>
      <c r="G6" s="18" t="n">
        <f aca="false">SUMIF('Task List'!$E$6:$E$90,E6,'Task List'!$K$6:$K$90)</f>
        <v>37</v>
      </c>
      <c r="I6" s="19" t="s">
        <v>40</v>
      </c>
      <c r="J6" s="18" t="n">
        <f aca="false">COUNTIF('Task List'!$F$6:$F$90,I6)</f>
        <v>9</v>
      </c>
      <c r="K6" s="18" t="n">
        <f aca="false">SUMIF('Task List'!$F$6:$F$90,I6,'Task List'!$K$6:$K$90)</f>
        <v>39</v>
      </c>
      <c r="M6" s="19" t="s">
        <v>22</v>
      </c>
      <c r="N6" s="18" t="n">
        <f aca="false">COUNTIF('Task List'!$I$6:$I$90,M6)</f>
        <v>6</v>
      </c>
      <c r="O6" s="18" t="n">
        <f aca="false">SUMIF('Task List'!$I$6:$I$90,M6,'Task List'!$K$6:$K$90)</f>
        <v>13</v>
      </c>
    </row>
    <row r="7" customFormat="false" ht="15" hidden="false" customHeight="false" outlineLevel="0" collapsed="false">
      <c r="A7" s="21" t="s">
        <v>371</v>
      </c>
      <c r="B7" s="20" t="n">
        <f aca="false">COUNTIF('Task List'!$D$6:$D$90,A7)</f>
        <v>1</v>
      </c>
      <c r="C7" s="20" t="n">
        <f aca="false">SUMIF('Task List'!$D$6:$D$90,A7,'Task List'!$K$6:$K$90)</f>
        <v>2</v>
      </c>
      <c r="E7" s="21" t="s">
        <v>327</v>
      </c>
      <c r="F7" s="20" t="n">
        <f aca="false">COUNTIF('Task List'!$E$6:$E$90,E7)</f>
        <v>13</v>
      </c>
      <c r="G7" s="20" t="n">
        <f aca="false">SUMIF('Task List'!$E$6:$E$90,E7,'Task List'!$K$6:$K$90)</f>
        <v>39</v>
      </c>
      <c r="I7" s="21" t="s">
        <v>34</v>
      </c>
      <c r="J7" s="20" t="n">
        <f aca="false">COUNTIF('Task List'!$F$6:$F$90,I7)</f>
        <v>4</v>
      </c>
      <c r="K7" s="20" t="n">
        <f aca="false">SUMIF('Task List'!$F$6:$F$90,I7,'Task List'!$K$6:$K$90)</f>
        <v>11</v>
      </c>
      <c r="M7" s="31" t="s">
        <v>462</v>
      </c>
      <c r="N7" s="32" t="n">
        <f aca="false">SUM(N4:N6)</f>
        <v>74</v>
      </c>
      <c r="O7" s="32" t="n">
        <f aca="false">SUM(O4:O6)</f>
        <v>320.5</v>
      </c>
    </row>
    <row r="8" customFormat="false" ht="15" hidden="false" customHeight="false" outlineLevel="0" collapsed="false">
      <c r="A8" s="19" t="s">
        <v>549</v>
      </c>
      <c r="B8" s="18" t="n">
        <f aca="false">COUNTIF('Task List'!$D$6:$D$90,A8)</f>
        <v>0</v>
      </c>
      <c r="C8" s="18" t="n">
        <f aca="false">SUMIF('Task List'!$D$6:$D$90,A8,'Task List'!$K$6:$K$90)</f>
        <v>0</v>
      </c>
      <c r="E8" s="31" t="s">
        <v>462</v>
      </c>
      <c r="F8" s="32" t="n">
        <f aca="false">SUM(F4:F7)</f>
        <v>74</v>
      </c>
      <c r="G8" s="32" t="n">
        <f aca="false">SUM(G4:G7)</f>
        <v>320.5</v>
      </c>
      <c r="I8" s="19" t="s">
        <v>335</v>
      </c>
      <c r="J8" s="18" t="n">
        <f aca="false">COUNTIF('Task List'!$F$6:$F$90,I8)</f>
        <v>9</v>
      </c>
      <c r="K8" s="18" t="n">
        <f aca="false">SUMIF('Task List'!$F$6:$F$90,I8,'Task List'!$K$6:$K$90)</f>
        <v>28</v>
      </c>
    </row>
    <row r="9" customFormat="false" ht="15" hidden="false" customHeight="false" outlineLevel="0" collapsed="false">
      <c r="A9" s="31" t="s">
        <v>462</v>
      </c>
      <c r="B9" s="32" t="n">
        <f aca="false">SUM(B4:B8)</f>
        <v>74</v>
      </c>
      <c r="C9" s="32" t="n">
        <f aca="false">SUM(C4:C8)</f>
        <v>320.5</v>
      </c>
      <c r="I9" s="21" t="s">
        <v>301</v>
      </c>
      <c r="J9" s="20" t="n">
        <f aca="false">COUNTIF('Task List'!$F$6:$F$90,I9)</f>
        <v>12</v>
      </c>
      <c r="K9" s="20" t="n">
        <f aca="false">SUMIF('Task List'!$F$6:$F$90,I9,'Task List'!$K$6:$K$90)</f>
        <v>38.5</v>
      </c>
    </row>
    <row r="10" customFormat="false" ht="15" hidden="false" customHeight="false" outlineLevel="0" collapsed="false">
      <c r="I10" s="31" t="s">
        <v>462</v>
      </c>
      <c r="J10" s="32" t="n">
        <f aca="false">SUM(J4:J9)</f>
        <v>74</v>
      </c>
      <c r="K10" s="32" t="n">
        <f aca="false">SUM(K4:K9)</f>
        <v>320.5</v>
      </c>
    </row>
  </sheetData>
  <mergeCells count="1">
    <mergeCell ref="A1:N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2026-05-30T10:41:37Z</dcterms:created>
  <dc:creator>openpyxl</dc:creator>
  <dc:description/>
  <dc:language>en-US</dc:language>
  <cp:lastModifiedBy/>
  <dcterms:modified xsi:type="dcterms:W3CDTF">2026-05-30T10:41:37Z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