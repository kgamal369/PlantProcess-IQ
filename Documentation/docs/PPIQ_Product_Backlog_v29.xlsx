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 Board Laws" sheetId="1" state="visible" r:id="rId3"/>
    <sheet name="M1 Board" sheetId="2" state="visible" r:id="rId4"/>
    <sheet name="M2 Board" sheetId="3" state="visible" r:id="rId5"/>
    <sheet name="M3 Board"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<sst xmlns="http://schemas.openxmlformats.org/spreadsheetml/2006/main" count="613" uniqueCount="378">
  <si>
    <t xml:space="preserve">PPIQ PRODUCT BACKLOG v29 - 25-JUL-2026</t>
  </si>
  <si>
    <t xml:space="preserve">WHAT CHANGED FROM v28</t>
  </si>
  <si>
    <t xml:space="preserve">Two inputs. First, Constitution v3.0 replaced Part II.6 in full with the shared authoring shell ruling, which created a whole phase of work that v28 did not contain. Second, the 25-Jul interaction review established that the previous M1 scope tested the rehearsed path rather than the product in a customer's hands, and produced a standing audit method that is now a task in its own right.</t>
  </si>
  <si>
    <t xml:space="preserve">THE AUDIT CONCEPT, ADOPTED 25-JUL</t>
  </si>
  <si>
    <t xml:space="preserve">Every element is now examined through three lenses, not one. LENS 1 SURROUNDING: the function works, but does everything around it work - the button beside it, the resize, the orientation, the drag-drop. LENS 2 PRESENTATION: it works, but does it look like a product a large company pays thousands of euro a month for - grouping, folding, alignment, density. LENS 3 DEEP WIRING: it looks present and correct, but is the wiring right, is the dropdown dynamically populated, does the save reach the right place. A pass that only asks 'did the function run' is not an audit; it is a smoke test.</t>
  </si>
  <si>
    <t xml:space="preserve">THE HOSTILE-HANDS PRINCIPLE</t>
  </si>
  <si>
    <t xml:space="preserve">The demo path is tested by walking it. The PRODUCT is tested by handing the mouse to someone trying to break it. These are different exercises and both are now scheduled. Every control the customer can reach is in scope, not only the controls on the rehearsed path.</t>
  </si>
  <si>
    <t xml:space="preserve">LAW 1 - ONLY OPEN WORK EXISTS</t>
  </si>
  <si>
    <t xml:space="preserve">Done tasks are deleted, never archived. History lives in git and in the retired backlog files.</t>
  </si>
  <si>
    <t xml:space="preserve">LAW 2 - NO PARTIAL STATUS</t>
  </si>
  <si>
    <t xml:space="preserve">A partially finished task is rewritten as its remaining part only, with the estimate recalculated for that remainder.</t>
  </si>
  <si>
    <t xml:space="preserve">LAW 3 - IDS RESTART, SEQUENTIAL, PRIORITY-ORDERED</t>
  </si>
  <si>
    <t xml:space="preserve">IDs count from 01 with no gaps. Within a phase a lower number means higher priority. v28 IDs are retired; lineage is in the Origin column.</t>
  </si>
  <si>
    <t xml:space="preserve">LAW 4 - PHASES ARE P1..Pn</t>
  </si>
  <si>
    <t xml:space="preserve">No phase exists without a sequence number.</t>
  </si>
  <si>
    <t xml:space="preserve">LAW 5 - PHASE SIZE 40-65 HOURS, CRITICAL FIRST</t>
  </si>
  <si>
    <t xml:space="preserve">LAW 6 - EVERY PHASE ENDS PUSHABLE</t>
  </si>
  <si>
    <t xml:space="preserve">Trunk non-broken: tsc -b, the architecture suite and dotnet build all green, no half-wired feature reachable from the UI.</t>
  </si>
  <si>
    <t xml:space="preserve">LAW 7 - JUNIOR-READY TEXT</t>
  </si>
  <si>
    <t xml:space="preserve">Every description and validation is executable by a developer with zero project background.</t>
  </si>
  <si>
    <t xml:space="preserve">M1 / M2 SPLIT RULE</t>
  </si>
  <si>
    <t xml:space="preserve">M1 = everything required for the customer presentation. M2 = everything not required for it: users, roles, licensing, deployment and infrastructure, schema correction, retiring the old engine, hardening and enhancement.</t>
  </si>
  <si>
    <t xml:space="preserve">PHASE MAP</t>
  </si>
  <si>
    <t xml:space="preserve">M1-P1 Verification, Audit &amp; Demo Lock (63h) -&gt; M1-P2 Impress Beats (42h) -&gt; PRESENTATION. M2-P1 Engine Truth &amp; Data Correctness (52h). M2-P2 Users, Licensing &amp; Value (54h). M2-P3 Infrastructure &amp; Deployment (56h). M2-P4 THE AUTHORING SHELL (56h, new in v29, from Constitution v3 Part II.6). M2-P5 Surfaces &amp; Catalogue (50h). M2-P6 Hygiene, Debt &amp; Documentation (48h). M3-P1 Market Proof (44h). TOTAL OPEN: 465h across 58 tasks.</t>
  </si>
  <si>
    <t xml:space="preserve">OWNER KEY</t>
  </si>
  <si>
    <t xml:space="preserve">Claude = delivered as a PowerShell apply pack you run. Karim = only you can do it (browser, rehearsal, server). Both = pack plus your verification.</t>
  </si>
  <si>
    <t xml:space="preserve">STANDING GATES</t>
  </si>
  <si>
    <t xml:space="preserve">Frontend: node node_modules/typescript/bin/tsc -b AND the architecture suite. Backend: dotnet build with the API STOPPED.</t>
  </si>
  <si>
    <t xml:space="preserve">PACK CONTRACT</t>
  </si>
  <si>
    <t xml:space="preserve">preflight -&gt; report (hash, timestamp, non-ASCII count, line-ending convention) -&gt; anchor verify with diagnosis -&gt; backup -&gt; apply -&gt; on-disk self-check -&gt; gate -&gt; auto-revert. Plus -ReportOnly and -Revert.</t>
  </si>
  <si>
    <t xml:space="preserve">ORIGIN COLUMN</t>
  </si>
  <si>
    <t xml:space="preserve">Where a task came from: a retired v28 ID, a Constitution v3 clause, or the 25-Jul diagnostic that produced it. Green ID = new in v29. Amber ID = rewritten remainder.</t>
  </si>
  <si>
    <t xml:space="preserve">DELETED FROM v28 AND WHY</t>
  </si>
  <si>
    <t xml:space="preserve">Nothing reached the done bar. Three tasks were rewritten because the 25-Jul findings changed what they mean: v28 M1-07 add-widget entry, v28 M2-21 ML authoring surface, v28 M2-25 canvas at spec. All three are now governed by Constitution v3 Part II.6 rather than by their own local descriptions.</t>
  </si>
  <si>
    <t xml:space="preserve">ID</t>
  </si>
  <si>
    <t xml:space="preserve">Phase</t>
  </si>
  <si>
    <t xml:space="preserve">Task</t>
  </si>
  <si>
    <t xml:space="preserve">Priority</t>
  </si>
  <si>
    <t xml:space="preserve">Type</t>
  </si>
  <si>
    <t xml:space="preserve">Owner</t>
  </si>
  <si>
    <t xml:space="preserve">Est h</t>
  </si>
  <si>
    <t xml:space="preserve">Origin</t>
  </si>
  <si>
    <t xml:space="preserve">Description (junior-ready)</t>
  </si>
  <si>
    <t xml:space="preserve">Validation / acceptance (junior-ready)</t>
  </si>
  <si>
    <t xml:space="preserve">M1-P1</t>
  </si>
  <si>
    <t xml:space="preserve">M1-P1  VERIFICATION, AUDIT &amp; DEMO LOCK - 63h. Ends with: every control on every demo surface classified, every scene walked, every cut written down, trunk pushed.</t>
  </si>
  <si>
    <t xml:space="preserve">M1-01</t>
  </si>
  <si>
    <t xml:space="preserve">Push the trunk to origin</t>
  </si>
  <si>
    <t xml:space="preserve">Critical</t>
  </si>
  <si>
    <t xml:space="preserve">execution</t>
  </si>
  <si>
    <t xml:space="preserve">Karim</t>
  </si>
  <si>
    <t xml:space="preserve">v28 M1-01</t>
  </si>
  <si>
    <t xml:space="preserve">Ten commits sit on the laptop only, including every fix made on 25-Jul. The demo runs locally so the server is not needed, but an unpushed laptop is a single point of failure for a day of work. Run: git push origin main. If the push is rejected because the server pipeline would deploy older code paths, push to a dated branch instead: git push origin main:backup/25jul-demo.</t>
  </si>
  <si>
    <t xml:space="preserve">git status reports the branch up to date with origin, or the backup branch is visible on GitHub.</t>
  </si>
  <si>
    <t xml:space="preserve">M1-02</t>
  </si>
  <si>
    <t xml:space="preserve">Exhaustive control audit of every demo surface</t>
  </si>
  <si>
    <t xml:space="preserve">audit</t>
  </si>
  <si>
    <t xml:space="preserve">Both</t>
  </si>
  <si>
    <t xml:space="preserve">25-Jul audit concept, NEW</t>
  </si>
  <si>
    <t xml:space="preserve">THIS IS THE AUDIT THE PREVIOUS SCOPE DID NOT CONTAIN. Earlier reviews tested whether the rehearsed path worked. This one classifies EVERY interactive element on every surface the customer can reach. The raw material already exists: the repository snapshot carries a generated inventory of 297 controls, each row naming the file, the line, the control type and a detected handler, of which 68 currently read not-detected. Claude produces a PowerShell diagnostic that joins that inventory to the route table and emits one row per control with: page, route, control label, control type, and a classification of HAS HANDLER, NO HANDLER meaning a dead control, LICENCE-GATED meaning it renders a refusal card at the demo tier, or UNMOUNTED meaning the component exists and is reachable from no page. Sorted so that controls on the demo path come first.</t>
  </si>
  <si>
    <t xml:space="preserve">A matrix exists covering all 297 controls with no row unclassified. Every control on a demo-path surface is either HAS HANDLER, or it is listed in the cut register of M1-06, or it is fixed in M1-07. The count of dead controls on the demo path is zero. The diagnostic is re-runnable, because this becomes the standing audit method rather than a one-off.</t>
  </si>
  <si>
    <t xml:space="preserve">M1-03</t>
  </si>
  <si>
    <t xml:space="preserve">Hostile-hands protocol: the customer takes the mouse</t>
  </si>
  <si>
    <t xml:space="preserve">Walking the demo path proves the path. It does not prove the product. Claude writes an adversarial script of things a sceptical plant engineer will actually try, and Karim executes it as if he were that engineer. Known entries from the 25-Jul session, each to be attempted and graded: wire two blocks that should not connect and confirm a stated error rather than silent acceptance; press every maximise, minimise and resize control on every widget; drag a widget to a new grid position and reload; click a pie slice and a bar segment and confirm the page cross-filters; open every dropdown on the connections form and confirm its options came from live data rather than a hardcoded list; change a chart's grouping from one dimension to another and observe whether the server accepts the new dimension; ask the assistant a question outside its evidence and judge whether the answer is within a sane range for the question; and click into every page reachable from the left navigation, not only the ones on the script.</t>
  </si>
  <si>
    <t xml:space="preserve">Every line of the protocol is attempted and graded pass, fail or cut. Failures on the demo path become M1-07 scope. Failures off the demo path are either removed from the navigation for the demo or entered in the cut register. The protocol document survives the demo and becomes the template for the post-demo audit.</t>
  </si>
  <si>
    <t xml:space="preserve">M1-04</t>
  </si>
  <si>
    <t xml:space="preserve">Refuse illegal wiring on the preparation canvas</t>
  </si>
  <si>
    <t xml:space="preserve">feature</t>
  </si>
  <si>
    <t xml:space="preserve">Claude</t>
  </si>
  <si>
    <t xml:space="preserve">Constitution v3 II.6.6, NEW</t>
  </si>
  <si>
    <t xml:space="preserve">MEASURED DEFECT AND THE HIGHEST-VALUE SMALL FIX IN THE AUTHORING LAYER. VisualJoinCanvasPage implements its connection handler as an unconditional addEdge with no validity check whatsoever. Every wire between every pair of ports is accepted today; the port colours are decoration, not enforcement. Constitution v3 II.6.6 rules that an illegal wire is rejected at drag time with a stated reason. Implement isValidConnection on the canvas, enforcing the S1 rules: a dataset may not connect to a value input or the reverse; a node's required inputs must all be present; no cycles; and two tables may not be compared with no join declared between them. Rejection surfaces a written sentence, not a silent no-op, because the sentence is how a non-programmer learns the tool.</t>
  </si>
  <si>
    <t xml:space="preserve">Attempt each illegal case on /prep/canvas and confirm the wire is refused AND a sentence naming the rule appears. Attempt the legal cases and confirm they still connect. This is the control the customer's engineer will test; it must not fail in the room.</t>
  </si>
  <si>
    <t xml:space="preserve">M1-05</t>
  </si>
  <si>
    <t xml:space="preserve">Diagnose the zero-row widgets, then fix or remove each one</t>
  </si>
  <si>
    <t xml:space="preserve">defect fix</t>
  </si>
  <si>
    <t xml:space="preserve">v28 M1-02</t>
  </si>
  <si>
    <t xml:space="preserve">Roughly half of widget queries on the demo workspaces return zero rows and this has never been diagnosed. A page of eight widgets where four are empty reads as a broken product. For every widget on the demo workspaces, capture the widget query request and its row count. For each empty one decide and record: the dimension or measure has no data for the current filter, so widen it; the definition is invalid against the server registry, so repoint it; or it is genuinely empty and is removed from the page. Claude supplies a PowerShell diagnostic listing every saved widget definition with its dimension, measure and a live row count from the same endpoint the interface calls.</t>
  </si>
  <si>
    <t xml:space="preserve">A table exists listing every widget on the demo pages with its live row count. Zero widgets on the demo path return zero rows, either because they were fixed or because they were removed. A curated page where every widget carries data is the acceptance, not a full page half empty.</t>
  </si>
  <si>
    <t xml:space="preserve">M1-06</t>
  </si>
  <si>
    <t xml:space="preserve">Write the cut register, including the authoring-surface sentences</t>
  </si>
  <si>
    <t xml:space="preserve">content</t>
  </si>
  <si>
    <t xml:space="preserve">v28 M1-05, extended</t>
  </si>
  <si>
    <t xml:space="preserve">A cut that is written down is a decision; a cut that is not is an omission that surfaces as hesitation. One page listing every removed item, why, and the single sentence that covers it if asked. Known entries: the login scene is not shown; licence tier switching is not built and there is no tier-to-feature matrix for it to be built from; this dataset has never cleared the readiness gate so no finished correlation can be shown; citations expand a provenance handle and do not navigate to a source row; the assistant does not reliably refuse a predictive question. ADDED IN v29 from the 25-Jul findings: widget data binding through the authoring shell does not exist, so the sentence is that widget definitions are stored as versions and the authoring studio mounts in the pilot; and the SQL mode of the authoring shell does not exist on any surface, so if the customer asks to open a SQL tab the honest answer is that it is pilot scope.</t>
  </si>
  <si>
    <t xml:space="preserve">The register exists with one line per cut and one spoken sentence per cut. Every sentence is rehearsed at least once in M1-14. No cut item is mentioned unless the customer raises it first.</t>
  </si>
  <si>
    <t xml:space="preserve">M1-07</t>
  </si>
  <si>
    <t xml:space="preserve">Defect buffer: fix everything the audits and the pass surfaced</t>
  </si>
  <si>
    <t xml:space="preserve">v28 M1-06, extended</t>
  </si>
  <si>
    <t xml:space="preserve">Reserved capacity. Every dead control from M1-02, every failure from the hostile-hands protocol in M1-03, and every X from the consolidated pass in M1-08 becomes a targeted apply pack. Known candidates carried from 25-Jul: associative fields showing n/a need their dimensionCode renamed to the registry name in src\state\associativeFields.ts; a widget dimension may be missing from src\state\widgetSelectionMap.ts; the Material Mix donut returned a 14x14 surface after resize and was never re-measured.</t>
  </si>
  <si>
    <t xml:space="preserve">Re-run only the failed lines, not the whole audit. Every previously failing control on the demo path passes or is removed from the demo path. Gates green. One commit per fix naming the audit line it closes.</t>
  </si>
  <si>
    <t xml:space="preserve">M1-08</t>
  </si>
  <si>
    <t xml:space="preserve">Run the consolidated test pass end to end</t>
  </si>
  <si>
    <t xml:space="preserve">validation</t>
  </si>
  <si>
    <t xml:space="preserve">v28 M1-04</t>
  </si>
  <si>
    <t xml:space="preserve">Execute PPIQ_Consolidated_Test_Pass.md in one sitting: the demo path, workspace interactions, the associative panel with its psql truth-check, both canvases, the chart types, the findings page and the website. PRECONDITION THAT IS NOT OPTIONAL: the API must be started with -Profile presentation. The default -Profile local points at ppiq_app where every result row is tenant-NULL and invisible, which reproduces an empty findings page regardless of any code fix. Grade every line P, B or X.</t>
  </si>
  <si>
    <t xml:space="preserve">The checklist is fully graded and saved with screenshots. Every X carries a one-line defect note which becomes M1-07 scope. The psql truth-checks are filled with matching numbers or the mismatch is noted. Build zero errors, architecture suite green.</t>
  </si>
  <si>
    <t xml:space="preserve">M1-09</t>
  </si>
  <si>
    <t xml:space="preserve">Browser-verify the three scene packs applied on 25-Jul</t>
  </si>
  <si>
    <t xml:space="preserve">v28 M1-03</t>
  </si>
  <si>
    <t xml:space="preserve">Three packs were applied and gated on 25-Jul and none of their output has been seen in a browser. Scene 10 supervisor: report text wraps, the disclosure chevron rotates, the date reads as a date. Scene 11 assistant: type a question and press Enter, ask 'Which source systems are registered?' and confirm a cited answer, then stop the API and ask again and confirm a RED 'Request failed' and NOT an amber 'Insufficient evidence'. Scene 12 website: run npm run dev in Website\PlantProcess.Website and walk rows 12.2 to 12.5.</t>
  </si>
  <si>
    <t xml:space="preserve">All three scenes walked with screenshots. Any scene that looks wrong is reverted with its pack's -Revert switch and written into the cut register. The stop-the-API honesty check is performed once and its result recorded.</t>
  </si>
  <si>
    <t xml:space="preserve">M1-10</t>
  </si>
  <si>
    <t xml:space="preserve">Confirm the type-3 AI and ML page exists and carries data</t>
  </si>
  <si>
    <t xml:space="preserve">High</t>
  </si>
  <si>
    <t xml:space="preserve">v28 M1-08</t>
  </si>
  <si>
    <t xml:space="preserve">The presentation shows one premade page per analysis type. Type 1 raw data and type 2 statistics are present in the database scripts. The type-3 page, expected as MODEL_INSIGHTS, was NOT found in the scripts or the seed during the 25-Jul review. Establish whether it exists as a dashboard definition and whether its widgets return rows. If it does not exist, either create it from existing machinery or reduce the presentation to two page types and record that in the cut register.</t>
  </si>
  <si>
    <t xml:space="preserve">Either the type-3 page opens with widgets carrying data, or the cut register states that two page types are shown and the third is pilot scope. No page is shown that renders empty.</t>
  </si>
  <si>
    <t xml:space="preserve">M1-11</t>
  </si>
  <si>
    <t xml:space="preserve">Audit the alerting surface, the fifth authoring page</t>
  </si>
  <si>
    <t xml:space="preserve">v28 M1-09</t>
  </si>
  <si>
    <t xml:space="preserve">The presentation demonstrates the authoring surfaces. The fifth, plant data log and alerting, is routed at /alerting and has NEVER been reviewed at any depth. Apply the three-lens method of the READ ME: does the function work; is the styling on the token set; and is the wiring real, meaning are dropdowns dynamically populated from live data rather than hardcoded, and does a saved rule actually evaluate.</t>
  </si>
  <si>
    <t xml:space="preserve">A written finding list exists for /alerting with each item classed as demo-blocking or not. Demo-blocking items enter M1-07. If the page cannot be made presentable in the time available, it enters the cut register and the presentation demonstrates fewer surfaces, stated honestly.</t>
  </si>
  <si>
    <t xml:space="preserve">M1-12</t>
  </si>
  <si>
    <t xml:space="preserve">Reorder the authoring narrative to lead with data preparation</t>
  </si>
  <si>
    <t xml:space="preserve">25-Jul finding, NEW</t>
  </si>
  <si>
    <t xml:space="preserve">The current plan opens the low-code story with widget binding, which is the one authoring surface that does not exist: its only mechanism is an unmounted, licence-gated text area accepting a key-value script, and calling a script text area no-code in front of an engineer is the exact failure the presenter fears. The data preparation canvas is the opposite case: a real typed-port node canvas with a minimap, column dragging and versioned publishing, reviewed as the best-built surface in the product. Restructure the walk so the authoring story opens on the preparation canvas and is demonstrated there fully and confidently, with widget authoring covered by the one scripted sentence from M1-06.</t>
  </si>
  <si>
    <t xml:space="preserve">The rehearsal order opens the authoring segment on the preparation canvas. The presenter does not open a workspace looking for an Add-widget control, because there is not one. The scripted sentence is spoken once and the topic is not reopened.</t>
  </si>
  <si>
    <t xml:space="preserve">M1-13</t>
  </si>
  <si>
    <t xml:space="preserve">Deck upgrade: replace design badges with live screenshots</t>
  </si>
  <si>
    <t xml:space="preserve">v28 M1-10</t>
  </si>
  <si>
    <t xml:space="preserve">Three deck slides carried a Pilot Milestone - Design badge for canvas, associative and catalogue. All three are now real. Rebuild those slides with screenshots from the certified pass: the join canvas with a wired cross-source join and a preview table, the associative panel mid-selection with the three states visible, and a pareto plus heatmap pair on a workspace. Add one slide for the readiness gate using the M1-15 panel. Re-run the honesty lint: every claim slide names a run id, a batch id or a screenshot.</t>
  </si>
  <si>
    <t xml:space="preserve">The deck walk matches the rehearsal order exactly. The three former vision slides carry real product screenshots dated from the certified pass. Honesty lint green: zero claims without an evidence artifact.</t>
  </si>
  <si>
    <t xml:space="preserve">M1-14</t>
  </si>
  <si>
    <t xml:space="preserve">Dress rehearsal twice with the contingency card</t>
  </si>
  <si>
    <t xml:space="preserve">v28 M1-11</t>
  </si>
  <si>
    <t xml:space="preserve">Run the full meeting script twice, timed, on the presentation database, in the M1-12 order. Opening frame, disclosure sentence, connections, live registration, genealogy walk, workspaces with drag and cross-filter and associative selection and a chart-type switch, the preparation canvas including a deliberately illegal wire to show the refusal, the analysis toolbox with the readiness gate and the honest-abstain sentence, findings, the assistant with a cited answer, then the website close. Target under 40 minutes. The contingency card carries one line per step for source-down, API-down and widget-dead. No code changes after run two.</t>
  </si>
  <si>
    <t xml:space="preserve">Two timed runs logged under 40 minutes each. Run two shows zero red banners. The contingency card exists with a line per step. Every sentence from the cut register has been spoken aloud at least once. The illegal-wire refusal is rehearsed as a deliberate beat, not discovered live.</t>
  </si>
  <si>
    <t xml:space="preserve">M1-P1 subtotal</t>
  </si>
  <si>
    <t xml:space="preserve">M1-P2</t>
  </si>
  <si>
    <t xml:space="preserve">M1-P2  IMPRESS BEATS - 42h. Ends with: four new beats live, deck rebuilt on live screenshots. Do NOT start until M1-P1 is green.</t>
  </si>
  <si>
    <t xml:space="preserve">M1-15</t>
  </si>
  <si>
    <t xml:space="preserve">Live readiness-gate panel: make the honest engine visible</t>
  </si>
  <si>
    <t xml:space="preserve">v28 M1-12</t>
  </si>
  <si>
    <t xml:space="preserve">The single most valuable impress item, because the engine has never completed a run and the abstention IS the beat. The backend already exposes everything needed: GET /api/analytics/advanced/readiness/gates returns state, canRun, readyCount, partialCount, blockedCount and a gates array carrying gateCode, title, state, reason and an evidence string. Build src\components\analysis\GateReadinessPanel.tsx: one row per dimension with a bucketed CSS-class bar (NO inline style objects, the UI ratchet forbids them), a status chip READY green #2ce6a2 / PARTIAL amber #ffb020 / BLOCKED red #ff4d6d, the measured value against its threshold, and the verdict sentence with the run id. Mount it on the analysis toolbox above the run button, refetching when outcome, grain or window change. Expect on defect.rate_per_m2: four green and one red at 46.5 percent completeness against an 85 percent bar, with 2,441 independent heats and 91,417 outcome events.</t>
  </si>
  <si>
    <t xml:space="preserve">The panel renders one bar per dimension with live numbers and refetches on change. On defect.rate_per_m2 it shows four green and one red naming field completeness. The demo sentence 'watch it refuse, and watch it tell you exactly why' now has a picture. Gates green, no inline styles.</t>
  </si>
  <si>
    <t xml:space="preserve">M1-16</t>
  </si>
  <si>
    <t xml:space="preserve">Canvas layer two: Filter and Derive nodes</t>
  </si>
  <si>
    <t xml:space="preserve">v28 M1-15, promoted</t>
  </si>
  <si>
    <t xml:space="preserve">PROMOTED IN v29 because M1-12 makes the preparation canvas the opening act of the authoring story, so it must show real transformation rather than joins alone. Add two node kinds to the palette. FILTER carries a column picker fed from the connected dataset, an operator select limited to a whitelist, and a value input. DERIVE carries a new column name and an expression built from a numeric column picker, an arithmetic operator, and a second column or constant. No free-text SQL anywhere. The graph payload gains filters and derived arrays. Backend, in VisualMapperEndpoints.cs BuildSafeSelect: filters become parameterised WHERE predicates with values ALWAYS as Npgsql parameters and never concatenated, operators from a whitelist, columns validated against the dataset catalogue; derived columns become safe SELECT expressions. Anything outside the whitelist is rejected with a recorded rejected_by_safe_sql dry-run row. Per Constitution v3 II.6.5 the comparison lives inside the Filter node, not as a free block on the board.</t>
  </si>
  <si>
    <t xml:space="preserve">On /prep/canvas wire two tables, add a FILTER and confirm the preview row count drops in line with a psql count using the same predicate. Add a DERIVE and confirm the preview shows the new column with correct values. A hand-crafted bad payload returns the safe-sql rejection and writes the dry-run row. Publish produces a version row containing filters and derived.</t>
  </si>
  <si>
    <t xml:space="preserve">M1-17</t>
  </si>
  <si>
    <t xml:space="preserve">Finding to genealogy thread jump</t>
  </si>
  <si>
    <t xml:space="preserve">v28 M1-13</t>
  </si>
  <si>
    <t xml:space="preserve">Close the story loop: a correlation finding about a material jumps into the genealogy walk. Make each findings row clickable, navigating to the existing genealogy route with the query prefilled. Reuse the route that exists; do not invent one. If the finding carries a feature key, show it as a subtitle on the genealogy header via location state. Row must be keyboard accessible. DEPENDENCY: the findings page is empty on this dataset until an analysis completes, so this beat is rehearsed against existing rows or deferred with M2-06.</t>
  </si>
  <si>
    <t xml:space="preserve">Click any finding row: genealogy opens with the search prefilled and results shown; back returns to findings with scroll position intact. One rehearsed sentence: finding, click, lineage on screen in under five seconds.</t>
  </si>
  <si>
    <t xml:space="preserve">M1-18</t>
  </si>
  <si>
    <t xml:space="preserve">True XY scatter: parameter against outcome point cloud</t>
  </si>
  <si>
    <t xml:space="preserve">v28 M1-14</t>
  </si>
  <si>
    <t xml:space="preserve">The current scatter is category-versus-measure. Build the real thing: pick parameter X and outcome Y and see the point cloud at canonical grain. Backend: GET /api/analytics/advanced/scatter?xKey=&amp;yKey=&amp;grain=&amp;windowDays=&amp;limit= in a new file under Backend\PlantProcess.Api\Endpoints\Analytics\, following AdvancedResultsEndpoints.cs for auth and tenant pattern, joining feature values for xKey and yKey per material unit, default LIMIT 2000, both keys validated against the feature catalogue with a 400 listing valid keys on an unknown key, never free-text SQL. Register the route prefix in PlantAccessControl.cs. Frontend: src\components\analysis\XyScatter.tsx using a recharts ScatterChart with numeric axes, density-friendly dot size, a client-side least-squares trend line, and axis pickers fed from the feature catalogue.</t>
  </si>
  <si>
    <t xml:space="preserve">Pick a process parameter as X and an outcome as Y: a genuine point cloud renders with a trend line, swapping keys refetches, and an unknown key returns the 400 listing valid keys which demonstrates the safety story. A psql spot-check confirms the point count. All gates green.</t>
  </si>
  <si>
    <t xml:space="preserve">M1-19</t>
  </si>
  <si>
    <t xml:space="preserve">Associative tri-state inside the real filter dropdowns</t>
  </si>
  <si>
    <t xml:space="preserve">Medium</t>
  </si>
  <si>
    <t xml:space="preserve">v28 M1-16</t>
  </si>
  <si>
    <t xml:space="preserve">The associative panel proves the engine; this puts the same three states inside the filter bar users already touch. For each dropdown whose field exists in src\state\associativeFields.ts, read value states from AssociativeContext through a useAssociativeStates(fieldKey) helper returning the map or null when the provider is absent, and style options: selected green, possible normal, excluded greyed and struck. Excluded values stay selectable because pivoting to them is correct associative behaviour. Native option styling is limited, so an acceptable first version is a text prefix for excluded options plus colour where the browser honours it. Do NOT replace the select with a custom widget in this task.</t>
  </si>
  <si>
    <t xml:space="preserve">With one material selected, open the defect dropdown: impossible defects are visibly de-emphasised. Picking an excluded value pivots the selection exactly as the panel chips do. Toggling the associative view off restores plain dropdowns. Architecture suite stays green.</t>
  </si>
  <si>
    <t xml:space="preserve">M1-20</t>
  </si>
  <si>
    <t xml:space="preserve">Phase push and demo freeze</t>
  </si>
  <si>
    <t xml:space="preserve">v28 M1-18</t>
  </si>
  <si>
    <t xml:space="preserve">Close M1: all gates green, commit with the message M1 demo lock, push. Then freeze. No code change after this point except a defect that stops the rehearsed path, and any such change is re-walked before the room.</t>
  </si>
  <si>
    <t xml:space="preserve">Trunk pushed. A fresh clone builds green: npm ci, tsc -b, architecture suite, dotnet build. The demo path is walked once more after the freeze.</t>
  </si>
  <si>
    <t xml:space="preserve">M1-P2 subtotal</t>
  </si>
  <si>
    <t xml:space="preserve">M2-P1</t>
  </si>
  <si>
    <t xml:space="preserve">M2-P1  ENGINE TRUTH &amp; DATA CORRECTNESS - 52h. Ends with: the engine completes a governed run, and the registry, the grain and the outcome columns all agree.</t>
  </si>
  <si>
    <t xml:space="preserve">M2-01</t>
  </si>
  <si>
    <t xml:space="preserve">Grain assignment in the ML refresh routine</t>
  </si>
  <si>
    <t xml:space="preserve">engine</t>
  </si>
  <si>
    <t xml:space="preserve">v28 M2-01</t>
  </si>
  <si>
    <t xml:space="preserve">MEASURED ROOT CAUSE. defect.rate_per_m2 blocks on required-field completeness at 46.5 percent against an 85 percent bar. The gap is two clean cohorts, 99.9 percent of the miss: 18,074 slab-native sample keys and 2,441 heat-native sample keys sit in the coil-grain outcome set with ZERO matching feature rows, while 17,823 coil-native keys have 17,820. Completeness is computed in NpgsqlFeatureVectorLoader as the share of outcome effective_sample_key values also present in ml_feature_values at the same grain, so this is join coverage, not data quality. The fix is NOT a manual UPDATE: ml_outcome_values is DELETEd and re-INSERTed by a refresh routine with source_system PPIQ-ML-Refresh whose INSERT assigns grain itself and would silently overwrite any hand correction. Correct the grain assignment inside that routine so a row is attributed to a canonical grain only when features exist at that grain for that sample.</t>
  </si>
  <si>
    <t xml:space="preserve">Re-run the refresh, then GET the readiness gates for defect.rate_per_m2 at grain coil, window 3650. Completeness reads 95 percent or above and the verdict is Ready. A second refresh does not change the result, proving the fix is in the routine not the rows.</t>
  </si>
  <si>
    <t xml:space="preserve">M2-02</t>
  </si>
  <si>
    <t xml:space="preserve">Typed outcome reading: the ordinal column is never read</t>
  </si>
  <si>
    <t xml:space="preserve">v28 M2-02</t>
  </si>
  <si>
    <t xml:space="preserve">MEASURED ENGINE DEFECT, not a data problem. defect.severity blocks on minority-class balance at 0.0 percent, yet severity_value carries Minor 28,578, Major 14,278, Critical 6,422 plus lowercase duplicates and singletons. The loader SQL selects only effective_sample_key, numeric_value, category_value and heat_id. It NEVER reads severity_value. MapOutcome sends ordinal to Categorical, MinorityFraction groups on Category, every row has Category null, one group is formed, and the function returns 0.0. Fix the loader to read the column matching the outcome's declared statistical type. Include vocabulary normalisation as part of import rather than analysis: two scales are mixed in one column, casing duplicates exist, and a singleton would still drag the minority to 0.002 percent after the loader is corrected. Report surviving singletons as a data-quality issue rather than dropping them silently.</t>
  </si>
  <si>
    <t xml:space="preserve">GET the readiness gates for defect.severity: minority-class balance reads at or above 10 percent computed from the real distribution, and the reason names the actual minority class. A unit test covers each declared outcome type reading its correct column. No gate threshold is changed.</t>
  </si>
  <si>
    <t xml:space="preserve">M2-03</t>
  </si>
  <si>
    <t xml:space="preserve">Registry authority: no result under an undeclared key</t>
  </si>
  <si>
    <t xml:space="preserve">v28 M2-03</t>
  </si>
  <si>
    <t xml:space="preserve">MEASURED DIVERGENCE. ml_outcome_definitions declares eight active outcomes. The results table holds 320 rows of which 260, being 81 percent, sit under five keys the registry does not declare: quality.defect_hold_binary 112, quality.defect_rate_per_m2 70, downtime.equipment_stoppage_min 30, downtime.production_stoppage_min 30, downtime.cascade_amplified_flag 18. The rename pattern is visible: registry defect.rate_per_m2 against results quality.defect_rate_per_m2. Make the registry the sole authority: an engine may not write a result under a key the registry does not declare, and a rename is a migration that moves the registry entry, the stored results and every reference together. Decide the disposition of the 260 orphans explicitly: migrate or delete as retired history. Do not leave them.</t>
  </si>
  <si>
    <t xml:space="preserve">A gate asserts that the set of distinct outcome_key values in ml_correlation_results_v2 is a subset of the active registry keys, returning zero orphans. The gate is falsified once, seen red, before it is trusted.</t>
  </si>
  <si>
    <t xml:space="preserve">M2-04</t>
  </si>
  <si>
    <t xml:space="preserve">Retire the superseded correlation engines</t>
  </si>
  <si>
    <t xml:space="preserve">cleanup</t>
  </si>
  <si>
    <t xml:space="preserve">v28 M2-04</t>
  </si>
  <si>
    <t xml:space="preserve">THREE implementations of one capability are registered: DotNetAdvancedCorrelationEngine (gated, default), PostgresCorrelationComputeEngine (previous generation, selected only when Analytics:AdvancedEngine:Enabled is false, and that flag is not overridden anywhere), and ManagedStatisticalComputeEngine (a keyed service selectable per request). A fourth key appears in the stored evidence of the 320 rows with no C# class: it is the Postgres SQL function's own key, so those rows were written by running the function directly. The Postgres path does not call the readiness gate and anchors its window to now(). It is not reachable as configured, so this is cleanup and not an emergency, but it violates the rule that one capability has one implementation. Delete the retired engine and its SQL function, decide whether the managed engine stays, and remove the selection flag.</t>
  </si>
  <si>
    <t xml:space="preserve">Exactly one implementation of ICorrelationComputeEngine is registered. The retired class and SQL function are deleted. An architecture test asserts the count and is falsified once. dotnet build green; readiness and run endpoints behave identically.</t>
  </si>
  <si>
    <t xml:space="preserve">M2-05</t>
  </si>
  <si>
    <t xml:space="preserve">Window anchoring: dataset maximum, never wall clock</t>
  </si>
  <si>
    <t xml:space="preserve">v28 M2-05</t>
  </si>
  <si>
    <t xml:space="preserve">A window anchored to the current time returns nothing on a historical dataset and does so with no error, which makes it one of the most expensive possible defects because it looks like an absence of signal rather than an absence of data. NpgsqlFeatureVectorLoader comments that its window is relative to the maximum observed timestamp, but the retired Postgres function anchors to now() and other paths have not been checked. Audit every place a window is applied. Where a wall-clock anchor is genuinely wanted it becomes an explicit named user-visible option, never a default.</t>
  </si>
  <si>
    <t xml:space="preserve">Every window application is anchored to the dataset maximum or carries an explicit opt-in flag. A test plants data entirely in the past and confirms a run still finds it.</t>
  </si>
  <si>
    <t xml:space="preserve">M2-06</t>
  </si>
  <si>
    <t xml:space="preserve">Engine ceiling: reach a completed run with a citable metric</t>
  </si>
  <si>
    <t xml:space="preserve">v28 M2-06</t>
  </si>
  <si>
    <t xml:space="preserve">Roughly 45 runs are on record and every one is blocked for a named, correct reason; the three data-bearing outcomes block on exactly the causes addressed by M2-01 and M2-02. There is no hidden wall. After those two land, run a governed analysis on defect.rate_per_m2 and on defect.severity, confirm each completes, and surface the full reason list in the result payload rather than the message-only field NpgsqlAdvancedResultWriter currently keeps. With completed runs, compute the citable headline metric fresh and store the run id beside it. The deck may use the number only with that run id printed.</t>
  </si>
  <si>
    <t xml:space="preserve">A governed run reaches status Completed on the presentation database and findings gain new rows. The readiness panel shows every dimension green for that run. The citable metric exists as a number plus its run id. The blocked path still works, proved by shrinking the window until it refuses.</t>
  </si>
  <si>
    <t xml:space="preserve">M2-07</t>
  </si>
  <si>
    <t xml:space="preserve">Rename the canonical grain away from steel vocabulary</t>
  </si>
  <si>
    <t xml:space="preserve">v28 M2-07</t>
  </si>
  <si>
    <t xml:space="preserve">The canonical grain is named coil and currently carries native grains for slab, heat, cast, packaged lot, raw material, aluminium roll, aluminium cast, aluminium billet, compound batch, tyre unit, customer roll, batch and lot. That absorption is genuine proof of Rule 1 and is a strength. The name is a Rule 1 violation: one industry's product form labelling another industry's unit. Rename the canonical grain to an industry-neutral identifier across the registry, the outcome and feature stores, the API defaults and the interface, preserving native_grain untouched as evidence of origin.</t>
  </si>
  <si>
    <t xml:space="preserve">No industry-specific grain name appears as a canonical grain identifier anywhere. native_grain values are unchanged. Readiness and run results are identical before and after, proving the rename is a rename.</t>
  </si>
  <si>
    <t xml:space="preserve">M2-P1 subtotal</t>
  </si>
  <si>
    <t xml:space="preserve">M2-P2</t>
  </si>
  <si>
    <t xml:space="preserve">M2-P2  USERS, LICENSING &amp; VALUE - 54h. Ends with: tier switching visibly changes the product, and a finding converts to a defensible euro range.</t>
  </si>
  <si>
    <t xml:space="preserve">M2-08</t>
  </si>
  <si>
    <t xml:space="preserve">Tier-to-feature matrix: the missing specification</t>
  </si>
  <si>
    <t xml:space="preserve">spec</t>
  </si>
  <si>
    <t xml:space="preserve">v28 M2-08</t>
  </si>
  <si>
    <t xml:space="preserve">BLOCKS M2-10 AND CANNOT BE SKIPPED. Rule 5.2 requires demonstrating that switching licence tier makes features visibly appear and disappear. That feature cannot be built because no tier-to-feature matrix exists: four tiers are defined with limits and prices, but nothing states which capability belongs to which tier. Author the matrix as a first-class artifact: every gateable capability as a row, four tiers as columns, yes or no in each cell, plus numeric caps for users, sources, jobs and dashboards. Derive it from the constitution's five layers of assistance and the connector gating already implemented. INCLUDE THE AUTHORING SHELL: Constitution v3 II.6.2 rules that neither mode may be gated where the other is not, so the matrix must not place SQL mode and block mode on different tiers.</t>
  </si>
  <si>
    <t xml:space="preserve">The matrix exists as a committed document with every capability assigned and none unassigned. The connector gating already in the product matches its row. Block mode and SQL mode carry the same tier.</t>
  </si>
  <si>
    <t xml:space="preserve">M2-09</t>
  </si>
  <si>
    <t xml:space="preserve">Users, roles and licensing administration</t>
  </si>
  <si>
    <t xml:space="preserve">v28 M2-09</t>
  </si>
  <si>
    <t xml:space="preserve">The product runs on one bootstrap admin. Build the admin surface for real installs. Backend: add endpoints under /api/admin/users for list, create, deactivate, reset password and role assignment from a fixed catalogue of Admin, Engineer and Viewer mapping to existing permission strings; add a licences table with seats, expiry and plan, and a middleware check returning honest messaging when exceeded. Frontend: an Admin Users page using StandardP2 primitives, and a licence card showing seats used against total plus expiry. Deny by default: every new route enters the access matrix behind an admin.users permission.</t>
  </si>
  <si>
    <t xml:space="preserve">Create a Viewer through the interface and log in as them: the analysis run control is absent or disabled, the compute endpoint returns 403, the admin page is invisible. The licence card shows correct counts. Setting seats below the current user count shows the honest limit message without breaking login.</t>
  </si>
  <si>
    <t xml:space="preserve">M2-10</t>
  </si>
  <si>
    <t xml:space="preserve">Live tier switching, the Rule 5.2 demonstration</t>
  </si>
  <si>
    <t xml:space="preserve">v28 M2-10</t>
  </si>
  <si>
    <t xml:space="preserve">Implement the M2-08 matrix as runtime entitlement so switching tier visibly adds and removes capability in the running product. Enforcement is at the endpoint layer from the signed token, and the interface hides or disables rather than only erroring on invocation. An entitlement check that accepts a client-supplied tier override must continue to ignore it.</t>
  </si>
  <si>
    <t xml:space="preserve">Switch from Enterprise to Pro in a demonstration: features disappear from the interface, not merely fail when clicked. Switch back and they return. The change is driven by a signed token, not an editable row. A test asserts every matrix row is enforced.</t>
  </si>
  <si>
    <t xml:space="preserve">M2-11</t>
  </si>
  <si>
    <t xml:space="preserve">The value engine: a finding becomes a defensible euro range</t>
  </si>
  <si>
    <t xml:space="preserve">v28 M2-11</t>
  </si>
  <si>
    <t xml:space="preserve">NAMED IN THE DOCTRINE AS THE LARGEST DOCTRINE-TO-BUILD GAP, and the reason the economic-buyer score cannot rise with M1 work. Every finding, prediction and suggestion converts to a quantified economic consequence. Requirements: a per-tenant cost table supplies every economic input and nothing is hardcoded; the result is a bounded range and never a point estimate; every input is drillable to the data that produced it; the engine abstains rather than inventing a number when inputs are insufficient, governed exactly as an analytical abstention; and downtime is modelled as two distinct quantities, equipment-stopped minutes and production-impact minutes, with the correct one used per calculation. PREREQUISITE: the formula referenced in rules.txt as section 7.5 was not present in any shared document and must be supplied or authored before this task starts.</t>
  </si>
  <si>
    <t xml:space="preserve">A finding on the reference dataset reproduces a bounded euro range stable across runs, every input drillable to source rows. Removing a cost-table input causes an abstention with a named reason rather than a silent default. The two downtime quantities are distinguishable in the output.</t>
  </si>
  <si>
    <t xml:space="preserve">M2-12</t>
  </si>
  <si>
    <t xml:space="preserve">Role-scoped view and edit, verified by walking each role</t>
  </si>
  <si>
    <t xml:space="preserve">v28 M2-12</t>
  </si>
  <si>
    <t xml:space="preserve">Roles exist but the difference between what each role sees and may edit has never been verified on this build. Walk the product as each role and record, per page, whether it is visible and whether it is editable. Fix every case where a role reaches a page or control outside its scope. Deny by default means a new page is invisible until explicitly granted, so the audit also confirms recently added routes carry their matrix entries.</t>
  </si>
  <si>
    <t xml:space="preserve">A matrix of role against page against view or edit, filled by walking. No role reaches a page or control outside its scope. Every route added since the last audit has a matrix entry.</t>
  </si>
  <si>
    <t xml:space="preserve">M2-13</t>
  </si>
  <si>
    <t xml:space="preserve">Phase push and regression pass</t>
  </si>
  <si>
    <t xml:space="preserve">v28 M2-13</t>
  </si>
  <si>
    <t xml:space="preserve">Run the checklist sections covering users, entitlement, engine-completed runs and value, fix or note, then commit and push. Verify a clean clone builds.</t>
  </si>
  <si>
    <t xml:space="preserve">Checklist delta graded with zero blocking items. Push complete. A fresh clone passes npm ci, tsc -b, architecture suite and dotnet build.</t>
  </si>
  <si>
    <t xml:space="preserve">M2-P2 subtotal</t>
  </si>
  <si>
    <t xml:space="preserve">M2-P3</t>
  </si>
  <si>
    <t xml:space="preserve">M2-P3  INFRASTRUCTURE &amp; DEPLOYMENT - 56h. Ends with: a reproducible deploy from CI, and every sizing claim traced to a measured run.</t>
  </si>
  <si>
    <t xml:space="preserve">M2-14</t>
  </si>
  <si>
    <t xml:space="preserve">CI truth gates: tests execute, never enumerate</t>
  </si>
  <si>
    <t xml:space="preserve">infra</t>
  </si>
  <si>
    <t xml:space="preserve">v28 M2-14</t>
  </si>
  <si>
    <t xml:space="preserve">package.json phase9:matrix invokes playwright with --list, which enumerates rather than executes. The finding the audit itself missed: tools/ci/validate-real-ui-gates.cjs, the guard that FORBIDS --list, is invoked by nothing, and would fail if it were, because it requires the Jenkinsfile to contain three npm test commands and the Jenkinsfile contains none of them. Stage five runs a shell script that ends at npm run e2e. So the visual-regression and accessibility suites execute in no pipeline at all. Replace every discovery-only invocation with real execution, wire the guard into the pipeline, and extend the truth-gate test to scan the pipeline files themselves.</t>
  </si>
  <si>
    <t xml:space="preserve">A pipeline run shows real execution counts for the unit, architecture and smoke stages. Deliberately breaking one architecture rule in a branch fails the pipeline. A repository search for discovery-only invocations returns only the guard's own forbidden-string list.</t>
  </si>
  <si>
    <t xml:space="preserve">M2-15</t>
  </si>
  <si>
    <t xml:space="preserve">Unskip the backend suite</t>
  </si>
  <si>
    <t xml:space="preserve">v28 M2-15</t>
  </si>
  <si>
    <t xml:space="preserve">The backend suite reports PASS with 66 passed, 91 skipped and 157 total, meaning 58 percent is skipped, including the entire connector truth-contract family. A suite that skips the majority of its cases is a green light with no information in it. Establish why each family is skipped, expected to be a missing live database or containers, provide those in the test environment, and register any genuinely environment-bound skip in a ledger with a justification. Skipping is allowed; unregistered skipping is not.</t>
  </si>
  <si>
    <t xml:space="preserve">The skipped count falls to the registered ledger entries only. The connector truth contracts execute. The ledger exists and every entry names why and what would let it run.</t>
  </si>
  <si>
    <t xml:space="preserve">M2-16</t>
  </si>
  <si>
    <t xml:space="preserve">Read and disposition the static contract audit</t>
  </si>
  <si>
    <t xml:space="preserve">v28 M2-16</t>
  </si>
  <si>
    <t xml:space="preserve">The static contract audit reports PASS while carrying five CRITICAL and four HIGH findings, because the script exits zero regardless of what it finds. Its output has never been opened. Read it, disposition every finding as fix, accept with a written justification, or reject as a false positive, then make the exit code reflect its own findings so it can never again report pass while carrying criticals.</t>
  </si>
  <si>
    <t xml:space="preserve">Every critical and high finding carries a disposition. The script exits non-zero when a critical is present, proved by leaving one in place and observing the failure.</t>
  </si>
  <si>
    <t xml:space="preserve">M2-17</t>
  </si>
  <si>
    <t xml:space="preserve">Fix the sweep's stderr trap</t>
  </si>
  <si>
    <t xml:space="preserve">v28 M2-17</t>
  </si>
  <si>
    <t xml:space="preserve">The pre-certification sweep wraps every command under an error preference of Stop, so any tool that writes to stderr is recorded as a failure regardless of its real exit code. This produced three false failures in one run, including a frontend build that had succeeded and failed only on a chunk-size warning. Change the runner to Continue and judge purely by exit code.</t>
  </si>
  <si>
    <t xml:space="preserve">Re-run the sweep: the three previously false failures pass. A genuinely failing command still fails. The change is a single-line diff.</t>
  </si>
  <si>
    <t xml:space="preserve">M2-18</t>
  </si>
  <si>
    <t xml:space="preserve">Config hygiene: no hardcoded host, no bootstrap admin in shipped profiles</t>
  </si>
  <si>
    <t xml:space="preserve">v28 M2-18</t>
  </si>
  <si>
    <t xml:space="preserve">Fifteen hardcoded references to the staging address appear across deploy scripts and documentation, and the bootstrap admin flag is true in both the local and presentation profiles. Parameterise everything through one public-host variable consumed by the smoke, runtime-env, exposure-verification and acceptance scripts, with documentation keeping one clearly marked example. The bootstrap admin is allowed only in the local profile; presentation and any customer profile set it false with a first-run admin-creation path using a one-time setup token printed to the server log. Also remove the duplicated connection-string declaration present twice in both profile files.</t>
  </si>
  <si>
    <t xml:space="preserve">A search for the address returns only the single documented example. Starting on the presentation profile has no bootstrap admin and the first-run flow creates the initial admin. The acceptance script runs against a host passed as a parameter. Each profile declares its connection string once.</t>
  </si>
  <si>
    <t xml:space="preserve">M2-19</t>
  </si>
  <si>
    <t xml:space="preserve">Docker, Jenkins and the cloud deployment path</t>
  </si>
  <si>
    <t xml:space="preserve">v28 M2-19</t>
  </si>
  <si>
    <t xml:space="preserve">Make the deploy reproducible: compose for api, frontend and postgres with named volumes and health checks; the database initialised by the rebuild script chain on first boot; pipeline stages of build, test, image build, push, deploy and post-deploy smoke against the parameterised host. Secrets by environment, never in the repository. Karim provides server access and runs the first supervised deploy. Carry forward the two known debts: the reverse-proxy configuration references stale container targets and its host source file was deleted, so it must not be recreated until a persistent corrected configuration exists; and the vector extension is unavailable in the running instance, which limits assistant retrieval to the extractive baseline.</t>
  </si>
  <si>
    <t xml:space="preserve">From a clean server one pipeline run produces a reachable application over https, the smoke passes, and the journey rail shows honest fresh-install pending states. A second run is idempotent. A runbook covers rollback to the previous image tag.</t>
  </si>
  <si>
    <t xml:space="preserve">M2-20</t>
  </si>
  <si>
    <t xml:space="preserve">Measure what the sizing doctrine claims</t>
  </si>
  <si>
    <t xml:space="preserve">v28 M2-20</t>
  </si>
  <si>
    <t xml:space="preserve">THIS PERSONA SCORES LOWEST BECAUSE NOTHING IN IT HAS BEEN MEASURED. Every figure in the sizing doctrine is an estimate, the hundred-job concurrency claim has never been tested, backup and restore have never been drilled. Estimates presented as measurements are an automatic failure for this reviewer. Build a load rig: define one hundred jobs across the import, analysis and machine-learning pools, run them concurrently against the bounded-parallelism executor, record throughput, queue depth, statement timeouts and peak memory. Run one restore drill and time it. Replace every sizing figure with a measured number or mark it explicitly as an estimate.</t>
  </si>
  <si>
    <t xml:space="preserve">A measurement report exists with real numbers for concurrency, throughput and resource use at reference dataset size. A restore drill is completed and timed. Every sizing table figure traces to a run or is labelled an estimate.</t>
  </si>
  <si>
    <t xml:space="preserve">M2-P3 subtotal</t>
  </si>
  <si>
    <t xml:space="preserve">M2-P4</t>
  </si>
  <si>
    <t xml:space="preserve">M2-P4  THE AUTHORING SHELL - 56h. NEW PHASE in v29, governed by Constitution v3 Part II.6. Ends with: one shell, two modes, widget binding through it, and illegal wiring refused on every surface.</t>
  </si>
  <si>
    <t xml:space="preserve">M2-21</t>
  </si>
  <si>
    <t xml:space="preserve">The shell foundation: one surface, two modes, tree, palette, debug log</t>
  </si>
  <si>
    <t xml:space="preserve">Constitution v3 II.6.1-6.3, NEW</t>
  </si>
  <si>
    <t xml:space="preserve">THE CORE OF THE NEW PHASE. Constitution v3 II.6.1 rules that there is ONE authoring shell whose left panel, palette, board semantics and validator are parameterised by which of five purposes it was opened for, not five surfaces that resemble each other. Build that shell as a single component. TOP: the mode toggle of II.6.2, always present, offering block-and-wiring and SQL, with neither gated where the other is not. LEFT: the three-level unfolding tree of II.6.3, schema then table then attribute with its type, dragging all attributes at once or one by one; for S1 only it presents two schema groups, staging and plant. The tree lists only what the customer owns - emulated-source schemas, staging residue and platform infrastructure are never shown, because a schema named after an emulated source appearing in a customer's tree is a Rule 1 violation the customer can see. RIGHT: the grouped searchable palette. BOTTOM: the debug log with error, warning and success, each carrying a written description; a red outline with no sentence beside it is a failure of this specification, not a styling gap. CENTRE: the board. Then migrate the existing preparation canvas to sit inside the shell as purpose S1.</t>
  </si>
  <si>
    <t xml:space="preserve">The shell opens for S1 and the existing canvas behaves exactly as before inside it. The toggle is present. The tree unfolds three levels and drags both ways. No emulated-source schema appears in the tree at any tier. Every rejection and every successful run writes a described line to the debug log. The architecture suite is green and no inline styles were introduced.</t>
  </si>
  <si>
    <t xml:space="preserve">M2-22</t>
  </si>
  <si>
    <t xml:space="preserve">Widget authoring through the shell: the only door</t>
  </si>
  <si>
    <t xml:space="preserve">Constitution v3 II.6.7, NEW</t>
  </si>
  <si>
    <t xml:space="preserve">CLOSES A QUESTION THE PRODUCT HAD NEVER ANSWERED: how a user selects the dataset a widget displays. Measured today: there is no such surface. The only binding mechanism is a plain text area accepting a key-value script of the form source=, measure=, group_by=, limit=, gated behind ProPlus and reachable from no control; the widget card's Edit action shares its handler with Rename; and the script panel's default example hardcodes a specific view name carrying a phase code, which breaks both the naming rule and Rule 1. Per II.6.7 the shell opens in S2 mode in three cases: editing an existing widget, dragging a new widget onto an existing page, and adding a widget to a new empty page. In every case it opens with the widget's CURRENT DEFINITION ALREADY LOADED so the user edits rather than starts from nothing. On save the definition is versioned like any other. There is no second door. Delete the hardcoded example view name in the same change.</t>
  </si>
  <si>
    <t xml:space="preserve">From a workspace, add a widget with no code: the shell opens in S2 mode, the user picks a table and columns from the tree, wires a grouping, runs, sees rows, saves, and the widget renders on the page with that data and survives reload. Edit that widget: the shell reopens with its definition loaded, not blank. No hardcoded view name remains in the source.</t>
  </si>
  <si>
    <t xml:space="preserve">M2-23</t>
  </si>
  <si>
    <t xml:space="preserve">SQL mode on every surface</t>
  </si>
  <si>
    <t xml:space="preserve">Constitution v3 II.6.4, NEW</t>
  </si>
  <si>
    <t xml:space="preserve">Constitution v3 II.6.4: in SQL mode the right palette is HIDDEN ENTIRELY, not disabled; the left tree is unchanged because a SQL author needs it more than a block author does; the debug log is unchanged and now describes the SQL; the board becomes a SQL editor; Run shows the returned rows below; and a correct result saves as a named, versioned file of the same artifact class as a block definition. Enforce the dual-mode contract of Part III.14.4 at the switch: visual-to-SQL is a deterministic view that never alters the definition; switching a visual definition INTO SQL authoring forks it, detaching the graph as read-only history with the user warned first; and SQL-to-visual reconstruction is offered only for the parseable subset, with the tool staying in SQL mode and saying so in the debug log for window functions, vendor syntax, correlated subqueries and common table expressions. Execution goes through the existing safe-SQL validator; nothing bypasses it.</t>
  </si>
  <si>
    <t xml:space="preserve">Toggle to SQL on each surface: the palette disappears, the tree remains, a valid statement runs and shows rows, an invalid one produces a described error in the debug log rather than a toast, and a correct result saves as a version. A dangerous statement is refused by the validator and the refusal is recorded. Forking from visual warns before it detaches the graph, and the graph is still retrievable afterwards.</t>
  </si>
  <si>
    <t xml:space="preserve">M2-24</t>
  </si>
  <si>
    <t xml:space="preserve">Full wiring legality, enumerated per surface</t>
  </si>
  <si>
    <t xml:space="preserve">M1-04 fixes the S1 canvas quickly for the demo. This task completes the rule across the shell as II.6.6 states it, with the illegal set enumerated per surface because board semantics differ by purpose per II.6.5. ON S1, where a wire carries a dataset: a dataset connected to a value input or the reverse; an unconnected required input; a cycle; and two tables compared with no join declared between them, which is the mistake a plant engineer will actually make and must be named in the message. ON S2 TO S5, where one prepared dataset gives a single row context and a wire may carry a value: a column type that does not accept the operation such as text into arithmetic; a referenced column absent from the prepared dataset; and an aggregate used outside an aggregation context. Every rejection is at drag time and every rejection writes a sentence to the debug log.</t>
  </si>
  <si>
    <t xml:space="preserve">For each surface, attempt every enumerated illegal case and confirm refusal plus a named reason. Attempt the legal cases and confirm they connect. A test enumerates the illegal set per surface so the rule cannot silently regress.</t>
  </si>
  <si>
    <t xml:space="preserve">M2-P4 subtotal</t>
  </si>
  <si>
    <t xml:space="preserve">M2-P5</t>
  </si>
  <si>
    <t xml:space="preserve">M2-P5  SURFACES &amp; CATALOGUE - 50h. Ends with: every authoring purpose registered against the shell, the supervisor closing its loop, and the chart catalogue complete.</t>
  </si>
  <si>
    <t xml:space="preserve">M2-25</t>
  </si>
  <si>
    <t xml:space="preserve">Machine-learning authoring as a shell purpose</t>
  </si>
  <si>
    <t xml:space="preserve">v28 M2-21, rescoped by Constitution v3 II.6.1</t>
  </si>
  <si>
    <t xml:space="preserve">RESCOPED. v28 called for a separate ML authoring surface. Constitution v3 II.6.1 rules that S4 is not a separate surface at all: it is the same shell opened for a different purpose, differing only in the palette presented, which for S4 is model and feature blocks. Build it as a purpose registration against the M2-21 shell rather than as new UI. Feature selection reads from the registry. The governed job binding, schedule and monitor are the same as every other job. Licence-gated to the higher tiers per the M2-08 matrix.</t>
  </si>
  <si>
    <t xml:space="preserve">A user composes a model-based analysis with no code through the same shell they used for preparation, binds it to a job, and sees it scheduled and monitored beside every other job. Nothing about the shell chrome differs from S1 except the palette. Licence gating is enforced from the signed token.</t>
  </si>
  <si>
    <t xml:space="preserve">M2-26</t>
  </si>
  <si>
    <t xml:space="preserve">Harden the alerting surface to product grade</t>
  </si>
  <si>
    <t xml:space="preserve">v28 M2-22, plus M1-11 findings</t>
  </si>
  <si>
    <t xml:space="preserve">Rule authoring exists on the alerting page and it has never been reviewed at depth until M1-11. Register it as shell purpose S5 with condition and action blocks. Add scheduled evaluation as a hosted background service running rules every N minutes and writing plant-data-log rows, with per-rule enable and disable and a last-run status in the interface. Fold in every finding from M1-11. Delivery grows from the in-app log toward email and webhook with an acknowledgement workflow.</t>
  </si>
  <si>
    <t xml:space="preserve">Create two rules through the shell and wait one scheduler cycle: the log gains rows and the list renders them with timestamps. Disabling a rule stops it. Every M1-11 finding is fixed or explicitly accepted.</t>
  </si>
  <si>
    <t xml:space="preserve">M2-27</t>
  </si>
  <si>
    <t xml:space="preserve">Supervisor v1: the weekly loop with its guardrails</t>
  </si>
  <si>
    <t xml:space="preserve">v28 M2-23</t>
  </si>
  <si>
    <t xml:space="preserve">The supervisor is read-only v0 with an honest empty state, and its page already states its own guardrail in the interface. Build v1: a weekly job reading the latest findings and writing one knowledge-base row summarising them with the top finding, its effect and its run id. Then the constitutional guardrails, which are not optional: it may adjust job configurations, feature windows and thresholds within configured bounds; it may NEVER weaken a readiness gate, refusal logic or an evidence requirement; every adjustment is a provenance row carrying job, parameter, before, after, justification and evidence handle; a dry-run mode exists and is the default for any new adjustment class; and a known-answer drift test, where drift is injected and the supervisor is required to correct it, gates its release.</t>
  </si>
  <si>
    <t xml:space="preserve">The supervisor page shows a real generated report citing an actual run id, and the honest none-yet report on an empty finding set. Every adjustment writes a provenance row. A test proves the supervisor cannot lower a readiness threshold. The drift test passes.</t>
  </si>
  <si>
    <t xml:space="preserve">M2-28</t>
  </si>
  <si>
    <t xml:space="preserve">Full chart catalogue: box plot, gauge, waterfall, combo</t>
  </si>
  <si>
    <t xml:space="preserve">v28 M2-24</t>
  </si>
  <si>
    <t xml:space="preserve">Complete the workspace catalogue on the existing chart foundation. Box plot needs quartiles, so add a statistics mode to the widget query or a dedicated endpoint computing minimum, lower quartile, median, upper quartile and maximum per dimension server-side. Gauge is a single value against target bands using SVG arcs with CSS classes. Waterfall renders signed contributions from a dimension query. Combo is a bar plus line dual measure and requires the query to accept a secondary measure, extending the DTO, the validation service and the registry compatibility rules. Each type needs a registry entry, a switcher availability rule, a selection contract, and no inline styles.</t>
  </si>
  <si>
    <t xml:space="preserve">Each type renders from a saved definition, responds to clicks per its dimension, respects the safety registry so incompatible measures are absent from the switcher, and persists after reload. Box-plot numbers match a psql percentile spot-check.</t>
  </si>
  <si>
    <t xml:space="preserve">M2-29</t>
  </si>
  <si>
    <t xml:space="preserve">Canvas templates and mockup parity</t>
  </si>
  <si>
    <t xml:space="preserve">v28 M2-25 remainder</t>
  </si>
  <si>
    <t xml:space="preserve">REDUCED. SQL mode moved to M2-23 and wiring legality to M2-24, both governed by Constitution v3. What remains here: the templates gallery to list, instantiate and delete; keyboard and touch polish for edge deletion, node duplication and fit-to-view; and a side-by-side review of the shipped shell against the mockups with every divergence either fixed or accepted in writing.</t>
  </si>
  <si>
    <t xml:space="preserve">Templates round-trip: instantiate one, edit it, save it as a new definition. Keyboard deletion and duplication work. The parity list exists with every divergence dispositioned.</t>
  </si>
  <si>
    <t xml:space="preserve">M2-P5 subtotal</t>
  </si>
  <si>
    <t xml:space="preserve">M2-P6</t>
  </si>
  <si>
    <t xml:space="preserve">M2-P6  HYGIENE, DEBT &amp; DOCUMENTATION - 48h. Ends with: the schema at its ruled topology, the audit made permanent, one document set, and the accumulated debt closed.</t>
  </si>
  <si>
    <t xml:space="preserve">M2-30</t>
  </si>
  <si>
    <t xml:space="preserve">Schema topology: three application schemas</t>
  </si>
  <si>
    <t xml:space="preserve">backend</t>
  </si>
  <si>
    <t xml:space="preserve">v28 M2-26</t>
  </si>
  <si>
    <t xml:space="preserve">RATIFIED IN THE CONSTITUTION. The product persists in exactly three application schemas per database plus the platform schema restricted to platform infrastructure: metadata for anything shipping identical to every customer, plant for anything existing because of this customer's data including every engine output, and staging for data in transit. Work: every persistence entity declares an explicit schema with no framework defaults; every create statement names its schema; one audited migration moves existing tables preserving data and updating every schema-qualified reference; and a generated inventory lists every application table with origin script, class, target schema and a ruling. Eradication is in scope: every emulated-source table inside an application database is deleted, and any legacy database is dropped after archive verification. THIS ALSO CLEANS THE SHELL'S LEFT PANEL, because those are the schemas M2-21 must never show a customer.</t>
  </si>
  <si>
    <t xml:space="preserve">Four gates, each falsified once before being trusted. Every entity declares a ruled schema. Any unqualified create fails the lint. The platform schema owns zero application tables on a fresh install. The plant schema returns zero rows on day one, the literal Rule 2 proof.</t>
  </si>
  <si>
    <t xml:space="preserve">M2-31</t>
  </si>
  <si>
    <t xml:space="preserve">Control-handler gate: no dead control reaches the trunk</t>
  </si>
  <si>
    <t xml:space="preserve">MAKES THE M1-02 AUDIT PERMANENT. The one-off audit found the dead controls that exist today; this stops new ones arriving. Convert the control inventory into a repository gate: every interactive element carrying a StandardP2 primitive must resolve to a handler, and any component that is exported and imported by nothing is reported. The gate runs in the pipeline and fails on a new dead control or a new unmounted component. Register known and accepted exceptions in a ledger with a justification, exactly as the skipped-test ledger works.</t>
  </si>
  <si>
    <t xml:space="preserve">The gate runs in the pipeline and is falsified once by deliberately adding a button with no handler. The exception ledger exists and every entry names why. The count of unregistered dead controls on the trunk is zero.</t>
  </si>
  <si>
    <t xml:space="preserve">M2-32</t>
  </si>
  <si>
    <t xml:space="preserve">Consolidate the document set against Constitution v3</t>
  </si>
  <si>
    <t xml:space="preserve">v28 M2-27, retargeted</t>
  </si>
  <si>
    <t xml:space="preserve">Constitution v3.0 now supersedes rules.txt, concept.md, Amendment 6, the identity and topology reference, the persona amendment and the A1 low-code shell amendment, and carries merge ledgers for both v2.0 and v3.0. Retire every superseded file including any v2.0 copy already committed to the repository, keep only what the constitution does not absorb, and re-point every remaining document to cite it. Known gaps the constitution itself names and does not yet cover, each to be closed or explicitly deferred: a glossary, a data-model reference, non-functional numbers, business-continuity objectives, a customer upgrade policy, and a compliance control map.</t>
  </si>
  <si>
    <t xml:space="preserve">The document directory contains Constitution v3 plus only documents it does not absorb. No v2.0 copy and no retired amendment remains reachable. Every remaining document cites v3. The named gaps are each closed or listed as deferred with an owner.</t>
  </si>
  <si>
    <t xml:space="preserve">M2-33</t>
  </si>
  <si>
    <t xml:space="preserve">Security hardening pass</t>
  </si>
  <si>
    <t xml:space="preserve">security</t>
  </si>
  <si>
    <t xml:space="preserve">v28 M2-28</t>
  </si>
  <si>
    <t xml:space="preserve">Development-seed endpoints must be development-only, proved against a release build with a runtime assertion rather than a convention. Audit row-level security across every tenant table, confirming enabled, forced and policied, adding any missing as a migration. Review token lifetime and refresh. Rate-limit the authentication endpoints. Run dependency audits on both stacks with fixes or documented acceptances. Carry the two items deferred from the demonstration: the access token must move out of browser storage into memory with an HTTP-only refresh cookie, and administrator multi-factor must be enforced.</t>
  </si>
  <si>
    <t xml:space="preserve">A release build refuses to map the development-seed endpoints and a test proves it. A report shows every tenant table policied. Dependency audits show zero criticals or a signed exception list. Authentication endpoints return the rate-limit status on a burst. The token is no longer in browser storage.</t>
  </si>
  <si>
    <t xml:space="preserve">M2-34</t>
  </si>
  <si>
    <t xml:space="preserve">Associative engine optimisation: one-call state endpoint</t>
  </si>
  <si>
    <t xml:space="preserve">performance</t>
  </si>
  <si>
    <t xml:space="preserve">v28 M2-29</t>
  </si>
  <si>
    <t xml:space="preserve">The associative panel fires one widget query per field per change, which is eight calls, and its mount effect awaits them sequentially so columns appear one at a time. Build a single state endpoint accepting the current filters and returning every field's possible set and counts in one round trip, reusing the same registry-validated query internals with no new SQL surface, with a hash so an unchanged state returns not-modified. Swap the context to the single call keeping the per-field path behind a flag.</t>
  </si>
  <si>
    <t xml:space="preserve">The network panel shows one state call per selection change. A full re-shade completes under 300 milliseconds on the presentation dataset, with the measured number recorded. Repeating a selection returns not-modified. The fallback flag still works.</t>
  </si>
  <si>
    <t xml:space="preserve">M2-35</t>
  </si>
  <si>
    <t xml:space="preserve">Drilldown everywhere and saved investigation trails</t>
  </si>
  <si>
    <t xml:space="preserve">v28 M2-30</t>
  </si>
  <si>
    <t xml:space="preserve">Extend the drilldown drawer: from any drilldown, pin the payload to an investigation trail persisted per user, so a root-cause session can retrace its steps, rendered as a breadcrumb rail with jump-back. Add drilldown support to the chart types from M2-28. Also fix the two cosmetic items recorded during the scene review: the drawer has no slide transition and uses off-palette blues.</t>
  </si>
  <si>
    <t xml:space="preserve">Pin three drilldowns across different widgets, reload, reopen the trail: all three restore and jump back to their filter states. The new chart types open the drawer. The drawer animates and is on palette.</t>
  </si>
  <si>
    <t xml:space="preserve">M2-P6 subtotal</t>
  </si>
  <si>
    <t xml:space="preserve">M3-P1</t>
  </si>
  <si>
    <t xml:space="preserve">M3-P1  MARKET PROOF - 44h. Ends with: second-industry proof, a pilot kit and a case study.</t>
  </si>
  <si>
    <t xml:space="preserve">M3-01</t>
  </si>
  <si>
    <t xml:space="preserve">Second-industry proof on the generic core</t>
  </si>
  <si>
    <t xml:space="preserve">proof</t>
  </si>
  <si>
    <t xml:space="preserve">v28 M3-01</t>
  </si>
  <si>
    <t xml:space="preserve">Prove industry-agnostic beyond steel: a second emulated industry ingests through the identical journey with zero application changes. The canonical layer already carries native grains for aluminium, tyre, batch and lot product types, which is partial evidence in the data today, but the claim is only proven when a second industry completes the whole journey from connect to finding without a code change.</t>
  </si>
  <si>
    <t xml:space="preserve">A second tenant and database shows the full journey green with no application change. The proof is recorded with screenshots and the commit it ran against.</t>
  </si>
  <si>
    <t xml:space="preserve">M3-02</t>
  </si>
  <si>
    <t xml:space="preserve">Pilot onboarding kit</t>
  </si>
  <si>
    <t xml:space="preserve">v28 M3-02</t>
  </si>
  <si>
    <t xml:space="preserve">Everything a customer needs between signature and first insight: the runbook, connection prerequisites, the commissioning checklist including the manual customer-admin creation step, data-readiness expectations expressed in the same five gate dimensions the product uses, and the escalation path.</t>
  </si>
  <si>
    <t xml:space="preserve">A person who did not build the product can take a new customer from signature to first imported batch using the kit alone.</t>
  </si>
  <si>
    <t xml:space="preserve">M3-03</t>
  </si>
  <si>
    <t xml:space="preserve">Case study and evidence-grade sales material</t>
  </si>
  <si>
    <t xml:space="preserve">v28 M3-03</t>
  </si>
  <si>
    <t xml:space="preserve">Convert the pilot into sales material under the honesty lint: every claim names a run id, a batch id or a screenshot, and no metric appears without its evidence. The readiness gate and the abstention behaviour are presented as differentiators rather than as caveats.</t>
  </si>
  <si>
    <t xml:space="preserve">The material passes the honesty lint with zero unevidenced claims. Every number carries its run id.</t>
  </si>
  <si>
    <t xml:space="preserve">M3-P1 subtotal</t>
  </si>
</sst>
</file>

<file path=xl/styles.xml><?xml version="1.0" encoding="utf-8"?>
<styleSheet xmlns="http://schemas.openxmlformats.org/spreadsheetml/2006/main">
  <numFmts count="2">
    <numFmt numFmtId="164" formatCode="General"/>
    <numFmt numFmtId="165" formatCode="General"/>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EAF6FF"/>
      <name val="Arial"/>
      <family val="0"/>
      <charset val="1"/>
    </font>
    <font>
      <b val="true"/>
      <sz val="10"/>
      <color rgb="FF00D4FF"/>
      <name val="Arial"/>
      <family val="0"/>
      <charset val="1"/>
    </font>
    <font>
      <b val="true"/>
      <sz val="10"/>
      <color rgb="FF1A1A1A"/>
      <name val="Arial"/>
      <family val="0"/>
      <charset val="1"/>
    </font>
    <font>
      <sz val="10"/>
      <color rgb="FF1A1A1A"/>
      <name val="Arial"/>
      <family val="0"/>
      <charset val="1"/>
    </font>
  </fonts>
  <fills count="10">
    <fill>
      <patternFill patternType="none"/>
    </fill>
    <fill>
      <patternFill patternType="gray125"/>
    </fill>
    <fill>
      <patternFill patternType="solid">
        <fgColor rgb="FF102A43"/>
        <bgColor rgb="FF0B1730"/>
      </patternFill>
    </fill>
    <fill>
      <patternFill patternType="solid">
        <fgColor rgb="FF0B1730"/>
        <bgColor rgb="FF1A1A1A"/>
      </patternFill>
    </fill>
    <fill>
      <patternFill patternType="solid">
        <fgColor rgb="FFFFD6DC"/>
        <bgColor rgb="FFFFE9C7"/>
      </patternFill>
    </fill>
    <fill>
      <patternFill patternType="solid">
        <fgColor rgb="FFCFF5E1"/>
        <bgColor rgb="FFDDF1FF"/>
      </patternFill>
    </fill>
    <fill>
      <patternFill patternType="solid">
        <fgColor rgb="FFFFF0C2"/>
        <bgColor rgb="FFFFE9C7"/>
      </patternFill>
    </fill>
    <fill>
      <patternFill patternType="solid">
        <fgColor rgb="FFFFE9C7"/>
        <bgColor rgb="FFFFF0C2"/>
      </patternFill>
    </fill>
    <fill>
      <patternFill patternType="solid">
        <fgColor rgb="FFE8EDF2"/>
        <bgColor rgb="FFDDF1FF"/>
      </patternFill>
    </fill>
    <fill>
      <patternFill patternType="solid">
        <fgColor rgb="FFDDF1FF"/>
        <bgColor rgb="FFE8EDF2"/>
      </patternFill>
    </fill>
  </fills>
  <borders count="2">
    <border diagonalUp="false" diagonalDown="false">
      <left/>
      <right/>
      <top/>
      <bottom/>
      <diagonal/>
    </border>
    <border diagonalUp="false" diagonalDown="false">
      <left style="thin">
        <color rgb="FFB9C6D4"/>
      </left>
      <right style="thin">
        <color rgb="FFB9C6D4"/>
      </right>
      <top style="thin">
        <color rgb="FFB9C6D4"/>
      </top>
      <bottom style="thin">
        <color rgb="FFB9C6D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general" vertical="bottom" textRotation="0" wrapText="false" indent="0" shrinkToFit="false"/>
      <protection locked="true" hidden="false"/>
    </xf>
    <xf numFmtId="165" fontId="9" fillId="8"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AF6FF"/>
      <rgbColor rgb="FFFF0000"/>
      <rgbColor rgb="FF00FF00"/>
      <rgbColor rgb="FF0000FF"/>
      <rgbColor rgb="FFFFFF00"/>
      <rgbColor rgb="FFFF00FF"/>
      <rgbColor rgb="FF00FFFF"/>
      <rgbColor rgb="FF800000"/>
      <rgbColor rgb="FF008000"/>
      <rgbColor rgb="FF000080"/>
      <rgbColor rgb="FF808000"/>
      <rgbColor rgb="FF800080"/>
      <rgbColor rgb="FF008080"/>
      <rgbColor rgb="FFB9C6D4"/>
      <rgbColor rgb="FF808080"/>
      <rgbColor rgb="FF9999FF"/>
      <rgbColor rgb="FF993366"/>
      <rgbColor rgb="FFFFF0C2"/>
      <rgbColor rgb="FFDDF1FF"/>
      <rgbColor rgb="FF660066"/>
      <rgbColor rgb="FFFF8080"/>
      <rgbColor rgb="FF0066CC"/>
      <rgbColor rgb="FFCCCCFF"/>
      <rgbColor rgb="FF000080"/>
      <rgbColor rgb="FFFF00FF"/>
      <rgbColor rgb="FFFFFF00"/>
      <rgbColor rgb="FF00FFFF"/>
      <rgbColor rgb="FF800080"/>
      <rgbColor rgb="FF800000"/>
      <rgbColor rgb="FF008080"/>
      <rgbColor rgb="FF0000FF"/>
      <rgbColor rgb="FF00D4FF"/>
      <rgbColor rgb="FFE8EDF2"/>
      <rgbColor rgb="FFCFF5E1"/>
      <rgbColor rgb="FFFFE9C7"/>
      <rgbColor rgb="FF99CCFF"/>
      <rgbColor rgb="FFFF99CC"/>
      <rgbColor rgb="FFCC99FF"/>
      <rgbColor rgb="FFFFD6DC"/>
      <rgbColor rgb="FF3366FF"/>
      <rgbColor rgb="FF33CCCC"/>
      <rgbColor rgb="FF99CC00"/>
      <rgbColor rgb="FFFFCC00"/>
      <rgbColor rgb="FFFF9900"/>
      <rgbColor rgb="FFFF6600"/>
      <rgbColor rgb="FF666699"/>
      <rgbColor rgb="FF969696"/>
      <rgbColor rgb="FF102A43"/>
      <rgbColor rgb="FF339966"/>
      <rgbColor rgb="FF0B1730"/>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2"/>
    <col collapsed="false" customWidth="true" hidden="false" outlineLevel="0" max="2" min="2" style="1" width="136"/>
  </cols>
  <sheetData>
    <row r="1" customFormat="false" ht="32.25" hidden="false" customHeight="true" outlineLevel="0" collapsed="false">
      <c r="A1" s="2" t="s">
        <v>0</v>
      </c>
      <c r="B1" s="3"/>
    </row>
    <row r="2" customFormat="false" ht="15" hidden="false" customHeight="true" outlineLevel="0" collapsed="false">
      <c r="A2" s="4"/>
      <c r="B2" s="3"/>
    </row>
    <row r="3" customFormat="false" ht="34.5" hidden="false" customHeight="true" outlineLevel="0" collapsed="false">
      <c r="A3" s="4" t="s">
        <v>1</v>
      </c>
      <c r="B3" s="3" t="s">
        <v>2</v>
      </c>
    </row>
    <row r="4" customFormat="false" ht="15" hidden="false" customHeight="true" outlineLevel="0" collapsed="false">
      <c r="A4" s="4"/>
      <c r="B4" s="3"/>
    </row>
    <row r="5" customFormat="false" ht="45.75" hidden="false" customHeight="true" outlineLevel="0" collapsed="false">
      <c r="A5" s="4" t="s">
        <v>3</v>
      </c>
      <c r="B5" s="3" t="s">
        <v>4</v>
      </c>
    </row>
    <row r="6" customFormat="false" ht="23.25" hidden="false" customHeight="true" outlineLevel="0" collapsed="false">
      <c r="A6" s="4" t="s">
        <v>5</v>
      </c>
      <c r="B6" s="3" t="s">
        <v>6</v>
      </c>
    </row>
    <row r="7" customFormat="false" ht="15" hidden="false" customHeight="true" outlineLevel="0" collapsed="false">
      <c r="A7" s="4"/>
      <c r="B7" s="3"/>
    </row>
    <row r="8" customFormat="false" ht="15" hidden="false" customHeight="true" outlineLevel="0" collapsed="false">
      <c r="A8" s="4" t="s">
        <v>7</v>
      </c>
      <c r="B8" s="3" t="s">
        <v>8</v>
      </c>
    </row>
    <row r="9" customFormat="false" ht="15" hidden="false" customHeight="true" outlineLevel="0" collapsed="false">
      <c r="A9" s="4" t="s">
        <v>9</v>
      </c>
      <c r="B9" s="3" t="s">
        <v>10</v>
      </c>
    </row>
    <row r="10" customFormat="false" ht="23.25" hidden="false" customHeight="true" outlineLevel="0" collapsed="false">
      <c r="A10" s="4" t="s">
        <v>11</v>
      </c>
      <c r="B10" s="3" t="s">
        <v>12</v>
      </c>
    </row>
    <row r="11" customFormat="false" ht="15" hidden="false" customHeight="true" outlineLevel="0" collapsed="false">
      <c r="A11" s="4" t="s">
        <v>13</v>
      </c>
      <c r="B11" s="3" t="s">
        <v>14</v>
      </c>
    </row>
    <row r="12" customFormat="false" ht="23.25" hidden="false" customHeight="true" outlineLevel="0" collapsed="false">
      <c r="A12" s="4" t="s">
        <v>15</v>
      </c>
      <c r="B12" s="3"/>
    </row>
    <row r="13" customFormat="false" ht="15" hidden="false" customHeight="true" outlineLevel="0" collapsed="false">
      <c r="A13" s="4" t="s">
        <v>16</v>
      </c>
      <c r="B13" s="3" t="s">
        <v>17</v>
      </c>
    </row>
    <row r="14" customFormat="false" ht="15" hidden="false" customHeight="true" outlineLevel="0" collapsed="false">
      <c r="A14" s="4" t="s">
        <v>18</v>
      </c>
      <c r="B14" s="3" t="s">
        <v>19</v>
      </c>
    </row>
    <row r="15" customFormat="false" ht="15" hidden="false" customHeight="true" outlineLevel="0" collapsed="false">
      <c r="A15" s="4"/>
      <c r="B15" s="3"/>
    </row>
    <row r="16" customFormat="false" ht="23.25" hidden="false" customHeight="true" outlineLevel="0" collapsed="false">
      <c r="A16" s="4" t="s">
        <v>20</v>
      </c>
      <c r="B16" s="3" t="s">
        <v>21</v>
      </c>
    </row>
    <row r="17" customFormat="false" ht="15" hidden="false" customHeight="true" outlineLevel="0" collapsed="false">
      <c r="A17" s="4"/>
      <c r="B17" s="3"/>
    </row>
    <row r="18" customFormat="false" ht="34.5" hidden="false" customHeight="true" outlineLevel="0" collapsed="false">
      <c r="A18" s="4" t="s">
        <v>22</v>
      </c>
      <c r="B18" s="3" t="s">
        <v>23</v>
      </c>
    </row>
    <row r="19" customFormat="false" ht="15" hidden="false" customHeight="true" outlineLevel="0" collapsed="false">
      <c r="A19" s="4"/>
      <c r="B19" s="3"/>
    </row>
    <row r="20" customFormat="false" ht="15" hidden="false" customHeight="true" outlineLevel="0" collapsed="false">
      <c r="A20" s="4" t="s">
        <v>24</v>
      </c>
      <c r="B20" s="3" t="s">
        <v>25</v>
      </c>
    </row>
    <row r="21" customFormat="false" ht="15" hidden="false" customHeight="true" outlineLevel="0" collapsed="false">
      <c r="A21" s="4" t="s">
        <v>26</v>
      </c>
      <c r="B21" s="3" t="s">
        <v>27</v>
      </c>
    </row>
    <row r="22" customFormat="false" ht="23.25" hidden="false" customHeight="true" outlineLevel="0" collapsed="false">
      <c r="A22" s="4" t="s">
        <v>28</v>
      </c>
      <c r="B22" s="3" t="s">
        <v>29</v>
      </c>
    </row>
    <row r="23" customFormat="false" ht="15" hidden="false" customHeight="true" outlineLevel="0" collapsed="false">
      <c r="A23" s="4"/>
      <c r="B23" s="3"/>
    </row>
    <row r="24" customFormat="false" ht="15" hidden="false" customHeight="true" outlineLevel="0" collapsed="false">
      <c r="A24" s="4" t="s">
        <v>30</v>
      </c>
      <c r="B24" s="3" t="s">
        <v>31</v>
      </c>
    </row>
    <row r="25" customFormat="false" ht="15" hidden="false" customHeight="true" outlineLevel="0" collapsed="false">
      <c r="A25" s="4"/>
      <c r="B25" s="3"/>
    </row>
    <row r="26" customFormat="false" ht="23.25" hidden="false" customHeight="true" outlineLevel="0" collapsed="false">
      <c r="A26" s="4" t="s">
        <v>32</v>
      </c>
      <c r="B26" s="3" t="s">
        <v>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44"/>
    <col collapsed="false" customWidth="true" hidden="false" outlineLevel="0" max="4" min="4" style="1" width="10"/>
    <col collapsed="false" customWidth="true" hidden="false" outlineLevel="0" max="5" min="5" style="1" width="13"/>
    <col collapsed="false" customWidth="true" hidden="false" outlineLevel="0" max="6" min="6" style="1" width="9"/>
    <col collapsed="false" customWidth="true" hidden="false" outlineLevel="0" max="7" min="7" style="1" width="7"/>
    <col collapsed="false" customWidth="true" hidden="false" outlineLevel="0" max="8" min="8" style="1" width="28"/>
    <col collapsed="false" customWidth="true" hidden="false" outlineLevel="0" max="9" min="9" style="1" width="92"/>
    <col collapsed="false" customWidth="true" hidden="false" outlineLevel="0" max="10" min="10" style="1" width="78"/>
  </cols>
  <sheetData>
    <row r="1" customFormat="false" ht="30" hidden="false" customHeight="true" outlineLevel="0" collapsed="false">
      <c r="A1" s="5" t="s">
        <v>34</v>
      </c>
      <c r="B1" s="5" t="s">
        <v>35</v>
      </c>
      <c r="C1" s="5" t="s">
        <v>36</v>
      </c>
      <c r="D1" s="5" t="s">
        <v>37</v>
      </c>
      <c r="E1" s="5" t="s">
        <v>38</v>
      </c>
      <c r="F1" s="5" t="s">
        <v>39</v>
      </c>
      <c r="G1" s="5" t="s">
        <v>40</v>
      </c>
      <c r="H1" s="5" t="s">
        <v>41</v>
      </c>
      <c r="I1" s="5" t="s">
        <v>42</v>
      </c>
      <c r="J1" s="5" t="s">
        <v>43</v>
      </c>
    </row>
    <row r="2" customFormat="false" ht="19.5" hidden="false" customHeight="true" outlineLevel="0" collapsed="false">
      <c r="A2" s="6" t="s">
        <v>44</v>
      </c>
      <c r="B2" s="6"/>
      <c r="C2" s="6" t="s">
        <v>45</v>
      </c>
      <c r="D2" s="6"/>
      <c r="E2" s="6"/>
      <c r="F2" s="6"/>
      <c r="G2" s="6"/>
      <c r="H2" s="6"/>
      <c r="I2" s="6"/>
      <c r="J2" s="6"/>
    </row>
    <row r="3" customFormat="false" ht="124.5" hidden="false" customHeight="true" outlineLevel="0" collapsed="false">
      <c r="A3" s="7" t="s">
        <v>46</v>
      </c>
      <c r="B3" s="8" t="s">
        <v>44</v>
      </c>
      <c r="C3" s="9" t="s">
        <v>47</v>
      </c>
      <c r="D3" s="10" t="s">
        <v>48</v>
      </c>
      <c r="E3" s="8" t="s">
        <v>49</v>
      </c>
      <c r="F3" s="8" t="s">
        <v>50</v>
      </c>
      <c r="G3" s="8" t="n">
        <v>1</v>
      </c>
      <c r="H3" s="9" t="s">
        <v>51</v>
      </c>
      <c r="I3" s="9" t="s">
        <v>52</v>
      </c>
      <c r="J3" s="9" t="s">
        <v>53</v>
      </c>
    </row>
    <row r="4" customFormat="false" ht="124.5" hidden="false" customHeight="true" outlineLevel="0" collapsed="false">
      <c r="A4" s="11" t="s">
        <v>54</v>
      </c>
      <c r="B4" s="8" t="s">
        <v>44</v>
      </c>
      <c r="C4" s="9" t="s">
        <v>55</v>
      </c>
      <c r="D4" s="10" t="s">
        <v>48</v>
      </c>
      <c r="E4" s="8" t="s">
        <v>56</v>
      </c>
      <c r="F4" s="8" t="s">
        <v>57</v>
      </c>
      <c r="G4" s="8" t="n">
        <v>8</v>
      </c>
      <c r="H4" s="9" t="s">
        <v>58</v>
      </c>
      <c r="I4" s="9" t="s">
        <v>59</v>
      </c>
      <c r="J4" s="9" t="s">
        <v>60</v>
      </c>
    </row>
    <row r="5" customFormat="false" ht="124.5" hidden="false" customHeight="true" outlineLevel="0" collapsed="false">
      <c r="A5" s="11" t="s">
        <v>61</v>
      </c>
      <c r="B5" s="8" t="s">
        <v>44</v>
      </c>
      <c r="C5" s="9" t="s">
        <v>62</v>
      </c>
      <c r="D5" s="10" t="s">
        <v>48</v>
      </c>
      <c r="E5" s="8" t="s">
        <v>56</v>
      </c>
      <c r="F5" s="8" t="s">
        <v>57</v>
      </c>
      <c r="G5" s="8" t="n">
        <v>6</v>
      </c>
      <c r="H5" s="9" t="s">
        <v>58</v>
      </c>
      <c r="I5" s="9" t="s">
        <v>63</v>
      </c>
      <c r="J5" s="9" t="s">
        <v>64</v>
      </c>
    </row>
    <row r="6" customFormat="false" ht="124.5" hidden="false" customHeight="true" outlineLevel="0" collapsed="false">
      <c r="A6" s="11" t="s">
        <v>65</v>
      </c>
      <c r="B6" s="8" t="s">
        <v>44</v>
      </c>
      <c r="C6" s="9" t="s">
        <v>66</v>
      </c>
      <c r="D6" s="10" t="s">
        <v>48</v>
      </c>
      <c r="E6" s="8" t="s">
        <v>67</v>
      </c>
      <c r="F6" s="8" t="s">
        <v>68</v>
      </c>
      <c r="G6" s="8" t="n">
        <v>3</v>
      </c>
      <c r="H6" s="9" t="s">
        <v>69</v>
      </c>
      <c r="I6" s="9" t="s">
        <v>70</v>
      </c>
      <c r="J6" s="9" t="s">
        <v>71</v>
      </c>
    </row>
    <row r="7" customFormat="false" ht="124.5" hidden="false" customHeight="true" outlineLevel="0" collapsed="false">
      <c r="A7" s="7" t="s">
        <v>72</v>
      </c>
      <c r="B7" s="8" t="s">
        <v>44</v>
      </c>
      <c r="C7" s="9" t="s">
        <v>73</v>
      </c>
      <c r="D7" s="10" t="s">
        <v>48</v>
      </c>
      <c r="E7" s="8" t="s">
        <v>74</v>
      </c>
      <c r="F7" s="8" t="s">
        <v>57</v>
      </c>
      <c r="G7" s="8" t="n">
        <v>8</v>
      </c>
      <c r="H7" s="9" t="s">
        <v>75</v>
      </c>
      <c r="I7" s="9" t="s">
        <v>76</v>
      </c>
      <c r="J7" s="9" t="s">
        <v>77</v>
      </c>
    </row>
    <row r="8" customFormat="false" ht="124.5" hidden="false" customHeight="true" outlineLevel="0" collapsed="false">
      <c r="A8" s="12" t="s">
        <v>78</v>
      </c>
      <c r="B8" s="8" t="s">
        <v>44</v>
      </c>
      <c r="C8" s="9" t="s">
        <v>79</v>
      </c>
      <c r="D8" s="10" t="s">
        <v>48</v>
      </c>
      <c r="E8" s="8" t="s">
        <v>80</v>
      </c>
      <c r="F8" s="8" t="s">
        <v>50</v>
      </c>
      <c r="G8" s="8" t="n">
        <v>3</v>
      </c>
      <c r="H8" s="9" t="s">
        <v>81</v>
      </c>
      <c r="I8" s="9" t="s">
        <v>82</v>
      </c>
      <c r="J8" s="9" t="s">
        <v>83</v>
      </c>
    </row>
    <row r="9" customFormat="false" ht="124.5" hidden="false" customHeight="true" outlineLevel="0" collapsed="false">
      <c r="A9" s="12" t="s">
        <v>84</v>
      </c>
      <c r="B9" s="8" t="s">
        <v>44</v>
      </c>
      <c r="C9" s="9" t="s">
        <v>85</v>
      </c>
      <c r="D9" s="10" t="s">
        <v>48</v>
      </c>
      <c r="E9" s="8" t="s">
        <v>74</v>
      </c>
      <c r="F9" s="8" t="s">
        <v>57</v>
      </c>
      <c r="G9" s="8" t="n">
        <v>8</v>
      </c>
      <c r="H9" s="9" t="s">
        <v>86</v>
      </c>
      <c r="I9" s="9" t="s">
        <v>87</v>
      </c>
      <c r="J9" s="9" t="s">
        <v>88</v>
      </c>
    </row>
    <row r="10" customFormat="false" ht="124.5" hidden="false" customHeight="true" outlineLevel="0" collapsed="false">
      <c r="A10" s="7" t="s">
        <v>89</v>
      </c>
      <c r="B10" s="8" t="s">
        <v>44</v>
      </c>
      <c r="C10" s="9" t="s">
        <v>90</v>
      </c>
      <c r="D10" s="10" t="s">
        <v>48</v>
      </c>
      <c r="E10" s="8" t="s">
        <v>91</v>
      </c>
      <c r="F10" s="8" t="s">
        <v>50</v>
      </c>
      <c r="G10" s="8" t="n">
        <v>4</v>
      </c>
      <c r="H10" s="9" t="s">
        <v>92</v>
      </c>
      <c r="I10" s="9" t="s">
        <v>93</v>
      </c>
      <c r="J10" s="9" t="s">
        <v>94</v>
      </c>
    </row>
    <row r="11" customFormat="false" ht="124.5" hidden="false" customHeight="true" outlineLevel="0" collapsed="false">
      <c r="A11" s="7" t="s">
        <v>95</v>
      </c>
      <c r="B11" s="8" t="s">
        <v>44</v>
      </c>
      <c r="C11" s="9" t="s">
        <v>96</v>
      </c>
      <c r="D11" s="10" t="s">
        <v>48</v>
      </c>
      <c r="E11" s="8" t="s">
        <v>91</v>
      </c>
      <c r="F11" s="8" t="s">
        <v>50</v>
      </c>
      <c r="G11" s="8" t="n">
        <v>3</v>
      </c>
      <c r="H11" s="9" t="s">
        <v>97</v>
      </c>
      <c r="I11" s="9" t="s">
        <v>98</v>
      </c>
      <c r="J11" s="9" t="s">
        <v>99</v>
      </c>
    </row>
    <row r="12" customFormat="false" ht="124.5" hidden="false" customHeight="true" outlineLevel="0" collapsed="false">
      <c r="A12" s="7" t="s">
        <v>100</v>
      </c>
      <c r="B12" s="8" t="s">
        <v>44</v>
      </c>
      <c r="C12" s="9" t="s">
        <v>101</v>
      </c>
      <c r="D12" s="13" t="s">
        <v>102</v>
      </c>
      <c r="E12" s="8" t="s">
        <v>91</v>
      </c>
      <c r="F12" s="8" t="s">
        <v>57</v>
      </c>
      <c r="G12" s="8" t="n">
        <v>4</v>
      </c>
      <c r="H12" s="9" t="s">
        <v>103</v>
      </c>
      <c r="I12" s="9" t="s">
        <v>104</v>
      </c>
      <c r="J12" s="9" t="s">
        <v>105</v>
      </c>
    </row>
    <row r="13" customFormat="false" ht="124.5" hidden="false" customHeight="true" outlineLevel="0" collapsed="false">
      <c r="A13" s="7" t="s">
        <v>106</v>
      </c>
      <c r="B13" s="8" t="s">
        <v>44</v>
      </c>
      <c r="C13" s="9" t="s">
        <v>107</v>
      </c>
      <c r="D13" s="13" t="s">
        <v>102</v>
      </c>
      <c r="E13" s="8" t="s">
        <v>56</v>
      </c>
      <c r="F13" s="8" t="s">
        <v>57</v>
      </c>
      <c r="G13" s="8" t="n">
        <v>4</v>
      </c>
      <c r="H13" s="9" t="s">
        <v>108</v>
      </c>
      <c r="I13" s="9" t="s">
        <v>109</v>
      </c>
      <c r="J13" s="9" t="s">
        <v>110</v>
      </c>
    </row>
    <row r="14" customFormat="false" ht="124.5" hidden="false" customHeight="true" outlineLevel="0" collapsed="false">
      <c r="A14" s="11" t="s">
        <v>111</v>
      </c>
      <c r="B14" s="8" t="s">
        <v>44</v>
      </c>
      <c r="C14" s="9" t="s">
        <v>112</v>
      </c>
      <c r="D14" s="13" t="s">
        <v>102</v>
      </c>
      <c r="E14" s="8" t="s">
        <v>80</v>
      </c>
      <c r="F14" s="8" t="s">
        <v>50</v>
      </c>
      <c r="G14" s="8" t="n">
        <v>2</v>
      </c>
      <c r="H14" s="9" t="s">
        <v>113</v>
      </c>
      <c r="I14" s="9" t="s">
        <v>114</v>
      </c>
      <c r="J14" s="9" t="s">
        <v>115</v>
      </c>
    </row>
    <row r="15" customFormat="false" ht="124.5" hidden="false" customHeight="true" outlineLevel="0" collapsed="false">
      <c r="A15" s="7" t="s">
        <v>116</v>
      </c>
      <c r="B15" s="8" t="s">
        <v>44</v>
      </c>
      <c r="C15" s="9" t="s">
        <v>117</v>
      </c>
      <c r="D15" s="13" t="s">
        <v>102</v>
      </c>
      <c r="E15" s="8" t="s">
        <v>80</v>
      </c>
      <c r="F15" s="8" t="s">
        <v>50</v>
      </c>
      <c r="G15" s="8" t="n">
        <v>4</v>
      </c>
      <c r="H15" s="9" t="s">
        <v>118</v>
      </c>
      <c r="I15" s="9" t="s">
        <v>119</v>
      </c>
      <c r="J15" s="9" t="s">
        <v>120</v>
      </c>
    </row>
    <row r="16" customFormat="false" ht="124.5" hidden="false" customHeight="true" outlineLevel="0" collapsed="false">
      <c r="A16" s="7" t="s">
        <v>121</v>
      </c>
      <c r="B16" s="8" t="s">
        <v>44</v>
      </c>
      <c r="C16" s="9" t="s">
        <v>122</v>
      </c>
      <c r="D16" s="10" t="s">
        <v>48</v>
      </c>
      <c r="E16" s="8" t="s">
        <v>49</v>
      </c>
      <c r="F16" s="8" t="s">
        <v>50</v>
      </c>
      <c r="G16" s="8" t="n">
        <v>5</v>
      </c>
      <c r="H16" s="9" t="s">
        <v>123</v>
      </c>
      <c r="I16" s="9" t="s">
        <v>124</v>
      </c>
      <c r="J16" s="9" t="s">
        <v>125</v>
      </c>
    </row>
    <row r="17" customFormat="false" ht="15" hidden="false" customHeight="true" outlineLevel="0" collapsed="false">
      <c r="A17" s="14"/>
      <c r="B17" s="14"/>
      <c r="C17" s="15" t="s">
        <v>126</v>
      </c>
      <c r="D17" s="14"/>
      <c r="E17" s="14"/>
      <c r="F17" s="14"/>
      <c r="G17" s="16" t="n">
        <f aca="false">SUM(G3:G16)</f>
        <v>63</v>
      </c>
      <c r="H17" s="14"/>
      <c r="I17" s="14"/>
      <c r="J17" s="14"/>
    </row>
    <row r="19" customFormat="false" ht="19.5" hidden="false" customHeight="true" outlineLevel="0" collapsed="false">
      <c r="A19" s="6" t="s">
        <v>127</v>
      </c>
      <c r="B19" s="6"/>
      <c r="C19" s="6" t="s">
        <v>128</v>
      </c>
      <c r="D19" s="6"/>
      <c r="E19" s="6"/>
      <c r="F19" s="6"/>
      <c r="G19" s="6"/>
      <c r="H19" s="6"/>
      <c r="I19" s="6"/>
      <c r="J19" s="6"/>
    </row>
    <row r="20" customFormat="false" ht="124.5" hidden="false" customHeight="true" outlineLevel="0" collapsed="false">
      <c r="A20" s="7" t="s">
        <v>129</v>
      </c>
      <c r="B20" s="8" t="s">
        <v>127</v>
      </c>
      <c r="C20" s="9" t="s">
        <v>130</v>
      </c>
      <c r="D20" s="10" t="s">
        <v>48</v>
      </c>
      <c r="E20" s="8" t="s">
        <v>67</v>
      </c>
      <c r="F20" s="8" t="s">
        <v>68</v>
      </c>
      <c r="G20" s="8" t="n">
        <v>8</v>
      </c>
      <c r="H20" s="9" t="s">
        <v>131</v>
      </c>
      <c r="I20" s="9" t="s">
        <v>132</v>
      </c>
      <c r="J20" s="9" t="s">
        <v>133</v>
      </c>
    </row>
    <row r="21" customFormat="false" ht="124.5" hidden="false" customHeight="true" outlineLevel="0" collapsed="false">
      <c r="A21" s="12" t="s">
        <v>134</v>
      </c>
      <c r="B21" s="8" t="s">
        <v>127</v>
      </c>
      <c r="C21" s="9" t="s">
        <v>135</v>
      </c>
      <c r="D21" s="13" t="s">
        <v>102</v>
      </c>
      <c r="E21" s="8" t="s">
        <v>67</v>
      </c>
      <c r="F21" s="8" t="s">
        <v>68</v>
      </c>
      <c r="G21" s="8" t="n">
        <v>10</v>
      </c>
      <c r="H21" s="9" t="s">
        <v>136</v>
      </c>
      <c r="I21" s="9" t="s">
        <v>137</v>
      </c>
      <c r="J21" s="9" t="s">
        <v>138</v>
      </c>
    </row>
    <row r="22" customFormat="false" ht="124.5" hidden="false" customHeight="true" outlineLevel="0" collapsed="false">
      <c r="A22" s="7" t="s">
        <v>139</v>
      </c>
      <c r="B22" s="8" t="s">
        <v>127</v>
      </c>
      <c r="C22" s="9" t="s">
        <v>140</v>
      </c>
      <c r="D22" s="13" t="s">
        <v>102</v>
      </c>
      <c r="E22" s="8" t="s">
        <v>67</v>
      </c>
      <c r="F22" s="8" t="s">
        <v>68</v>
      </c>
      <c r="G22" s="8" t="n">
        <v>6</v>
      </c>
      <c r="H22" s="9" t="s">
        <v>141</v>
      </c>
      <c r="I22" s="9" t="s">
        <v>142</v>
      </c>
      <c r="J22" s="9" t="s">
        <v>143</v>
      </c>
    </row>
    <row r="23" customFormat="false" ht="124.5" hidden="false" customHeight="true" outlineLevel="0" collapsed="false">
      <c r="A23" s="7" t="s">
        <v>144</v>
      </c>
      <c r="B23" s="8" t="s">
        <v>127</v>
      </c>
      <c r="C23" s="9" t="s">
        <v>145</v>
      </c>
      <c r="D23" s="13" t="s">
        <v>102</v>
      </c>
      <c r="E23" s="8" t="s">
        <v>67</v>
      </c>
      <c r="F23" s="8" t="s">
        <v>68</v>
      </c>
      <c r="G23" s="8" t="n">
        <v>10</v>
      </c>
      <c r="H23" s="9" t="s">
        <v>146</v>
      </c>
      <c r="I23" s="9" t="s">
        <v>147</v>
      </c>
      <c r="J23" s="9" t="s">
        <v>148</v>
      </c>
    </row>
    <row r="24" customFormat="false" ht="124.5" hidden="false" customHeight="true" outlineLevel="0" collapsed="false">
      <c r="A24" s="7" t="s">
        <v>149</v>
      </c>
      <c r="B24" s="8" t="s">
        <v>127</v>
      </c>
      <c r="C24" s="9" t="s">
        <v>150</v>
      </c>
      <c r="D24" s="17" t="s">
        <v>151</v>
      </c>
      <c r="E24" s="8" t="s">
        <v>67</v>
      </c>
      <c r="F24" s="8" t="s">
        <v>68</v>
      </c>
      <c r="G24" s="8" t="n">
        <v>6</v>
      </c>
      <c r="H24" s="9" t="s">
        <v>152</v>
      </c>
      <c r="I24" s="9" t="s">
        <v>153</v>
      </c>
      <c r="J24" s="9" t="s">
        <v>154</v>
      </c>
    </row>
    <row r="25" customFormat="false" ht="124.5" hidden="false" customHeight="true" outlineLevel="0" collapsed="false">
      <c r="A25" s="7" t="s">
        <v>155</v>
      </c>
      <c r="B25" s="8" t="s">
        <v>127</v>
      </c>
      <c r="C25" s="9" t="s">
        <v>156</v>
      </c>
      <c r="D25" s="10" t="s">
        <v>48</v>
      </c>
      <c r="E25" s="8" t="s">
        <v>49</v>
      </c>
      <c r="F25" s="8" t="s">
        <v>50</v>
      </c>
      <c r="G25" s="8" t="n">
        <v>2</v>
      </c>
      <c r="H25" s="9" t="s">
        <v>157</v>
      </c>
      <c r="I25" s="9" t="s">
        <v>158</v>
      </c>
      <c r="J25" s="9" t="s">
        <v>159</v>
      </c>
    </row>
    <row r="26" customFormat="false" ht="15" hidden="false" customHeight="true" outlineLevel="0" collapsed="false">
      <c r="A26" s="14"/>
      <c r="B26" s="14"/>
      <c r="C26" s="15" t="s">
        <v>160</v>
      </c>
      <c r="D26" s="14"/>
      <c r="E26" s="14"/>
      <c r="F26" s="14"/>
      <c r="G26" s="16" t="n">
        <f aca="false">SUM(G20:G25)</f>
        <v>42</v>
      </c>
      <c r="H26" s="14"/>
      <c r="I26" s="14"/>
      <c r="J26"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44"/>
    <col collapsed="false" customWidth="true" hidden="false" outlineLevel="0" max="4" min="4" style="1" width="10"/>
    <col collapsed="false" customWidth="true" hidden="false" outlineLevel="0" max="5" min="5" style="1" width="13"/>
    <col collapsed="false" customWidth="true" hidden="false" outlineLevel="0" max="6" min="6" style="1" width="9"/>
    <col collapsed="false" customWidth="true" hidden="false" outlineLevel="0" max="7" min="7" style="1" width="7"/>
    <col collapsed="false" customWidth="true" hidden="false" outlineLevel="0" max="8" min="8" style="1" width="28"/>
    <col collapsed="false" customWidth="true" hidden="false" outlineLevel="0" max="9" min="9" style="1" width="92"/>
    <col collapsed="false" customWidth="true" hidden="false" outlineLevel="0" max="10" min="10" style="1" width="78"/>
  </cols>
  <sheetData>
    <row r="1" customFormat="false" ht="30" hidden="false" customHeight="true" outlineLevel="0" collapsed="false">
      <c r="A1" s="5" t="s">
        <v>34</v>
      </c>
      <c r="B1" s="5" t="s">
        <v>35</v>
      </c>
      <c r="C1" s="5" t="s">
        <v>36</v>
      </c>
      <c r="D1" s="5" t="s">
        <v>37</v>
      </c>
      <c r="E1" s="5" t="s">
        <v>38</v>
      </c>
      <c r="F1" s="5" t="s">
        <v>39</v>
      </c>
      <c r="G1" s="5" t="s">
        <v>40</v>
      </c>
      <c r="H1" s="5" t="s">
        <v>41</v>
      </c>
      <c r="I1" s="5" t="s">
        <v>42</v>
      </c>
      <c r="J1" s="5" t="s">
        <v>43</v>
      </c>
    </row>
    <row r="2" customFormat="false" ht="19.5" hidden="false" customHeight="true" outlineLevel="0" collapsed="false">
      <c r="A2" s="6" t="s">
        <v>161</v>
      </c>
      <c r="B2" s="6"/>
      <c r="C2" s="6" t="s">
        <v>162</v>
      </c>
      <c r="D2" s="6"/>
      <c r="E2" s="6"/>
      <c r="F2" s="6"/>
      <c r="G2" s="6"/>
      <c r="H2" s="6"/>
      <c r="I2" s="6"/>
      <c r="J2" s="6"/>
    </row>
    <row r="3" customFormat="false" ht="124.5" hidden="false" customHeight="true" outlineLevel="0" collapsed="false">
      <c r="A3" s="7" t="s">
        <v>163</v>
      </c>
      <c r="B3" s="8" t="s">
        <v>161</v>
      </c>
      <c r="C3" s="9" t="s">
        <v>164</v>
      </c>
      <c r="D3" s="10" t="s">
        <v>48</v>
      </c>
      <c r="E3" s="8" t="s">
        <v>165</v>
      </c>
      <c r="F3" s="8" t="s">
        <v>68</v>
      </c>
      <c r="G3" s="8" t="n">
        <v>10</v>
      </c>
      <c r="H3" s="9" t="s">
        <v>166</v>
      </c>
      <c r="I3" s="9" t="s">
        <v>167</v>
      </c>
      <c r="J3" s="9" t="s">
        <v>168</v>
      </c>
    </row>
    <row r="4" customFormat="false" ht="124.5" hidden="false" customHeight="true" outlineLevel="0" collapsed="false">
      <c r="A4" s="7" t="s">
        <v>169</v>
      </c>
      <c r="B4" s="8" t="s">
        <v>161</v>
      </c>
      <c r="C4" s="9" t="s">
        <v>170</v>
      </c>
      <c r="D4" s="10" t="s">
        <v>48</v>
      </c>
      <c r="E4" s="8" t="s">
        <v>165</v>
      </c>
      <c r="F4" s="8" t="s">
        <v>68</v>
      </c>
      <c r="G4" s="8" t="n">
        <v>8</v>
      </c>
      <c r="H4" s="9" t="s">
        <v>171</v>
      </c>
      <c r="I4" s="9" t="s">
        <v>172</v>
      </c>
      <c r="J4" s="9" t="s">
        <v>173</v>
      </c>
    </row>
    <row r="5" customFormat="false" ht="124.5" hidden="false" customHeight="true" outlineLevel="0" collapsed="false">
      <c r="A5" s="7" t="s">
        <v>174</v>
      </c>
      <c r="B5" s="8" t="s">
        <v>161</v>
      </c>
      <c r="C5" s="9" t="s">
        <v>175</v>
      </c>
      <c r="D5" s="10" t="s">
        <v>48</v>
      </c>
      <c r="E5" s="8" t="s">
        <v>165</v>
      </c>
      <c r="F5" s="8" t="s">
        <v>68</v>
      </c>
      <c r="G5" s="8" t="n">
        <v>8</v>
      </c>
      <c r="H5" s="9" t="s">
        <v>176</v>
      </c>
      <c r="I5" s="9" t="s">
        <v>177</v>
      </c>
      <c r="J5" s="9" t="s">
        <v>178</v>
      </c>
    </row>
    <row r="6" customFormat="false" ht="124.5" hidden="false" customHeight="true" outlineLevel="0" collapsed="false">
      <c r="A6" s="7" t="s">
        <v>179</v>
      </c>
      <c r="B6" s="8" t="s">
        <v>161</v>
      </c>
      <c r="C6" s="9" t="s">
        <v>180</v>
      </c>
      <c r="D6" s="13" t="s">
        <v>102</v>
      </c>
      <c r="E6" s="8" t="s">
        <v>181</v>
      </c>
      <c r="F6" s="8" t="s">
        <v>68</v>
      </c>
      <c r="G6" s="8" t="n">
        <v>8</v>
      </c>
      <c r="H6" s="9" t="s">
        <v>182</v>
      </c>
      <c r="I6" s="9" t="s">
        <v>183</v>
      </c>
      <c r="J6" s="9" t="s">
        <v>184</v>
      </c>
    </row>
    <row r="7" customFormat="false" ht="124.5" hidden="false" customHeight="true" outlineLevel="0" collapsed="false">
      <c r="A7" s="7" t="s">
        <v>185</v>
      </c>
      <c r="B7" s="8" t="s">
        <v>161</v>
      </c>
      <c r="C7" s="9" t="s">
        <v>186</v>
      </c>
      <c r="D7" s="13" t="s">
        <v>102</v>
      </c>
      <c r="E7" s="8" t="s">
        <v>165</v>
      </c>
      <c r="F7" s="8" t="s">
        <v>68</v>
      </c>
      <c r="G7" s="8" t="n">
        <v>4</v>
      </c>
      <c r="H7" s="9" t="s">
        <v>187</v>
      </c>
      <c r="I7" s="9" t="s">
        <v>188</v>
      </c>
      <c r="J7" s="9" t="s">
        <v>189</v>
      </c>
    </row>
    <row r="8" customFormat="false" ht="124.5" hidden="false" customHeight="true" outlineLevel="0" collapsed="false">
      <c r="A8" s="7" t="s">
        <v>190</v>
      </c>
      <c r="B8" s="8" t="s">
        <v>161</v>
      </c>
      <c r="C8" s="9" t="s">
        <v>191</v>
      </c>
      <c r="D8" s="10" t="s">
        <v>48</v>
      </c>
      <c r="E8" s="8" t="s">
        <v>165</v>
      </c>
      <c r="F8" s="8" t="s">
        <v>57</v>
      </c>
      <c r="G8" s="8" t="n">
        <v>10</v>
      </c>
      <c r="H8" s="9" t="s">
        <v>192</v>
      </c>
      <c r="I8" s="9" t="s">
        <v>193</v>
      </c>
      <c r="J8" s="9" t="s">
        <v>194</v>
      </c>
    </row>
    <row r="9" customFormat="false" ht="124.5" hidden="false" customHeight="true" outlineLevel="0" collapsed="false">
      <c r="A9" s="7" t="s">
        <v>195</v>
      </c>
      <c r="B9" s="8" t="s">
        <v>161</v>
      </c>
      <c r="C9" s="9" t="s">
        <v>196</v>
      </c>
      <c r="D9" s="17" t="s">
        <v>151</v>
      </c>
      <c r="E9" s="8" t="s">
        <v>181</v>
      </c>
      <c r="F9" s="8" t="s">
        <v>68</v>
      </c>
      <c r="G9" s="8" t="n">
        <v>4</v>
      </c>
      <c r="H9" s="9" t="s">
        <v>197</v>
      </c>
      <c r="I9" s="9" t="s">
        <v>198</v>
      </c>
      <c r="J9" s="9" t="s">
        <v>199</v>
      </c>
    </row>
    <row r="10" customFormat="false" ht="15" hidden="false" customHeight="true" outlineLevel="0" collapsed="false">
      <c r="A10" s="14"/>
      <c r="B10" s="14"/>
      <c r="C10" s="15" t="s">
        <v>200</v>
      </c>
      <c r="D10" s="14"/>
      <c r="E10" s="14"/>
      <c r="F10" s="14"/>
      <c r="G10" s="16" t="n">
        <f aca="false">SUM(G3:G9)</f>
        <v>52</v>
      </c>
      <c r="H10" s="14"/>
      <c r="I10" s="14"/>
      <c r="J10" s="14"/>
    </row>
    <row r="12" customFormat="false" ht="19.5" hidden="false" customHeight="true" outlineLevel="0" collapsed="false">
      <c r="A12" s="6" t="s">
        <v>201</v>
      </c>
      <c r="B12" s="6"/>
      <c r="C12" s="6" t="s">
        <v>202</v>
      </c>
      <c r="D12" s="6"/>
      <c r="E12" s="6"/>
      <c r="F12" s="6"/>
      <c r="G12" s="6"/>
      <c r="H12" s="6"/>
      <c r="I12" s="6"/>
      <c r="J12" s="6"/>
    </row>
    <row r="13" customFormat="false" ht="124.5" hidden="false" customHeight="true" outlineLevel="0" collapsed="false">
      <c r="A13" s="7" t="s">
        <v>203</v>
      </c>
      <c r="B13" s="8" t="s">
        <v>201</v>
      </c>
      <c r="C13" s="9" t="s">
        <v>204</v>
      </c>
      <c r="D13" s="10" t="s">
        <v>48</v>
      </c>
      <c r="E13" s="8" t="s">
        <v>205</v>
      </c>
      <c r="F13" s="8" t="s">
        <v>57</v>
      </c>
      <c r="G13" s="8" t="n">
        <v>6</v>
      </c>
      <c r="H13" s="9" t="s">
        <v>206</v>
      </c>
      <c r="I13" s="9" t="s">
        <v>207</v>
      </c>
      <c r="J13" s="9" t="s">
        <v>208</v>
      </c>
    </row>
    <row r="14" customFormat="false" ht="124.5" hidden="false" customHeight="true" outlineLevel="0" collapsed="false">
      <c r="A14" s="7" t="s">
        <v>209</v>
      </c>
      <c r="B14" s="8" t="s">
        <v>201</v>
      </c>
      <c r="C14" s="9" t="s">
        <v>210</v>
      </c>
      <c r="D14" s="10" t="s">
        <v>48</v>
      </c>
      <c r="E14" s="8" t="s">
        <v>67</v>
      </c>
      <c r="F14" s="8" t="s">
        <v>68</v>
      </c>
      <c r="G14" s="8" t="n">
        <v>14</v>
      </c>
      <c r="H14" s="9" t="s">
        <v>211</v>
      </c>
      <c r="I14" s="9" t="s">
        <v>212</v>
      </c>
      <c r="J14" s="9" t="s">
        <v>213</v>
      </c>
    </row>
    <row r="15" customFormat="false" ht="124.5" hidden="false" customHeight="true" outlineLevel="0" collapsed="false">
      <c r="A15" s="7" t="s">
        <v>214</v>
      </c>
      <c r="B15" s="8" t="s">
        <v>201</v>
      </c>
      <c r="C15" s="9" t="s">
        <v>215</v>
      </c>
      <c r="D15" s="10" t="s">
        <v>48</v>
      </c>
      <c r="E15" s="8" t="s">
        <v>67</v>
      </c>
      <c r="F15" s="8" t="s">
        <v>68</v>
      </c>
      <c r="G15" s="8" t="n">
        <v>10</v>
      </c>
      <c r="H15" s="9" t="s">
        <v>216</v>
      </c>
      <c r="I15" s="9" t="s">
        <v>217</v>
      </c>
      <c r="J15" s="9" t="s">
        <v>218</v>
      </c>
    </row>
    <row r="16" customFormat="false" ht="124.5" hidden="false" customHeight="true" outlineLevel="0" collapsed="false">
      <c r="A16" s="7" t="s">
        <v>219</v>
      </c>
      <c r="B16" s="8" t="s">
        <v>201</v>
      </c>
      <c r="C16" s="9" t="s">
        <v>220</v>
      </c>
      <c r="D16" s="10" t="s">
        <v>48</v>
      </c>
      <c r="E16" s="8" t="s">
        <v>67</v>
      </c>
      <c r="F16" s="8" t="s">
        <v>68</v>
      </c>
      <c r="G16" s="8" t="n">
        <v>16</v>
      </c>
      <c r="H16" s="9" t="s">
        <v>221</v>
      </c>
      <c r="I16" s="9" t="s">
        <v>222</v>
      </c>
      <c r="J16" s="9" t="s">
        <v>223</v>
      </c>
    </row>
    <row r="17" customFormat="false" ht="124.5" hidden="false" customHeight="true" outlineLevel="0" collapsed="false">
      <c r="A17" s="7" t="s">
        <v>224</v>
      </c>
      <c r="B17" s="8" t="s">
        <v>201</v>
      </c>
      <c r="C17" s="9" t="s">
        <v>225</v>
      </c>
      <c r="D17" s="13" t="s">
        <v>102</v>
      </c>
      <c r="E17" s="8" t="s">
        <v>91</v>
      </c>
      <c r="F17" s="8" t="s">
        <v>57</v>
      </c>
      <c r="G17" s="8" t="n">
        <v>6</v>
      </c>
      <c r="H17" s="9" t="s">
        <v>226</v>
      </c>
      <c r="I17" s="9" t="s">
        <v>227</v>
      </c>
      <c r="J17" s="9" t="s">
        <v>228</v>
      </c>
    </row>
    <row r="18" customFormat="false" ht="124.5" hidden="false" customHeight="true" outlineLevel="0" collapsed="false">
      <c r="A18" s="7" t="s">
        <v>229</v>
      </c>
      <c r="B18" s="8" t="s">
        <v>201</v>
      </c>
      <c r="C18" s="9" t="s">
        <v>230</v>
      </c>
      <c r="D18" s="10" t="s">
        <v>48</v>
      </c>
      <c r="E18" s="8" t="s">
        <v>49</v>
      </c>
      <c r="F18" s="8" t="s">
        <v>50</v>
      </c>
      <c r="G18" s="8" t="n">
        <v>2</v>
      </c>
      <c r="H18" s="9" t="s">
        <v>231</v>
      </c>
      <c r="I18" s="9" t="s">
        <v>232</v>
      </c>
      <c r="J18" s="9" t="s">
        <v>233</v>
      </c>
    </row>
    <row r="19" customFormat="false" ht="15" hidden="false" customHeight="true" outlineLevel="0" collapsed="false">
      <c r="A19" s="14"/>
      <c r="B19" s="14"/>
      <c r="C19" s="15" t="s">
        <v>234</v>
      </c>
      <c r="D19" s="14"/>
      <c r="E19" s="14"/>
      <c r="F19" s="14"/>
      <c r="G19" s="16" t="n">
        <f aca="false">SUM(G13:G18)</f>
        <v>54</v>
      </c>
      <c r="H19" s="14"/>
      <c r="I19" s="14"/>
      <c r="J19" s="14"/>
    </row>
    <row r="21" customFormat="false" ht="19.5" hidden="false" customHeight="true" outlineLevel="0" collapsed="false">
      <c r="A21" s="6" t="s">
        <v>235</v>
      </c>
      <c r="B21" s="6"/>
      <c r="C21" s="6" t="s">
        <v>236</v>
      </c>
      <c r="D21" s="6"/>
      <c r="E21" s="6"/>
      <c r="F21" s="6"/>
      <c r="G21" s="6"/>
      <c r="H21" s="6"/>
      <c r="I21" s="6"/>
      <c r="J21" s="6"/>
    </row>
    <row r="22" customFormat="false" ht="124.5" hidden="false" customHeight="true" outlineLevel="0" collapsed="false">
      <c r="A22" s="7" t="s">
        <v>237</v>
      </c>
      <c r="B22" s="8" t="s">
        <v>235</v>
      </c>
      <c r="C22" s="9" t="s">
        <v>238</v>
      </c>
      <c r="D22" s="10" t="s">
        <v>48</v>
      </c>
      <c r="E22" s="8" t="s">
        <v>239</v>
      </c>
      <c r="F22" s="8" t="s">
        <v>68</v>
      </c>
      <c r="G22" s="8" t="n">
        <v>8</v>
      </c>
      <c r="H22" s="9" t="s">
        <v>240</v>
      </c>
      <c r="I22" s="9" t="s">
        <v>241</v>
      </c>
      <c r="J22" s="9" t="s">
        <v>242</v>
      </c>
    </row>
    <row r="23" customFormat="false" ht="124.5" hidden="false" customHeight="true" outlineLevel="0" collapsed="false">
      <c r="A23" s="7" t="s">
        <v>243</v>
      </c>
      <c r="B23" s="8" t="s">
        <v>235</v>
      </c>
      <c r="C23" s="9" t="s">
        <v>244</v>
      </c>
      <c r="D23" s="10" t="s">
        <v>48</v>
      </c>
      <c r="E23" s="8" t="s">
        <v>239</v>
      </c>
      <c r="F23" s="8" t="s">
        <v>68</v>
      </c>
      <c r="G23" s="8" t="n">
        <v>8</v>
      </c>
      <c r="H23" s="9" t="s">
        <v>245</v>
      </c>
      <c r="I23" s="9" t="s">
        <v>246</v>
      </c>
      <c r="J23" s="9" t="s">
        <v>247</v>
      </c>
    </row>
    <row r="24" customFormat="false" ht="124.5" hidden="false" customHeight="true" outlineLevel="0" collapsed="false">
      <c r="A24" s="7" t="s">
        <v>248</v>
      </c>
      <c r="B24" s="8" t="s">
        <v>235</v>
      </c>
      <c r="C24" s="9" t="s">
        <v>249</v>
      </c>
      <c r="D24" s="13" t="s">
        <v>102</v>
      </c>
      <c r="E24" s="8" t="s">
        <v>239</v>
      </c>
      <c r="F24" s="8" t="s">
        <v>57</v>
      </c>
      <c r="G24" s="8" t="n">
        <v>4</v>
      </c>
      <c r="H24" s="9" t="s">
        <v>250</v>
      </c>
      <c r="I24" s="9" t="s">
        <v>251</v>
      </c>
      <c r="J24" s="9" t="s">
        <v>252</v>
      </c>
    </row>
    <row r="25" customFormat="false" ht="124.5" hidden="false" customHeight="true" outlineLevel="0" collapsed="false">
      <c r="A25" s="7" t="s">
        <v>253</v>
      </c>
      <c r="B25" s="8" t="s">
        <v>235</v>
      </c>
      <c r="C25" s="9" t="s">
        <v>254</v>
      </c>
      <c r="D25" s="13" t="s">
        <v>102</v>
      </c>
      <c r="E25" s="8" t="s">
        <v>239</v>
      </c>
      <c r="F25" s="8" t="s">
        <v>68</v>
      </c>
      <c r="G25" s="8" t="n">
        <v>2</v>
      </c>
      <c r="H25" s="9" t="s">
        <v>255</v>
      </c>
      <c r="I25" s="9" t="s">
        <v>256</v>
      </c>
      <c r="J25" s="9" t="s">
        <v>257</v>
      </c>
    </row>
    <row r="26" customFormat="false" ht="124.5" hidden="false" customHeight="true" outlineLevel="0" collapsed="false">
      <c r="A26" s="7" t="s">
        <v>258</v>
      </c>
      <c r="B26" s="8" t="s">
        <v>235</v>
      </c>
      <c r="C26" s="9" t="s">
        <v>259</v>
      </c>
      <c r="D26" s="10" t="s">
        <v>48</v>
      </c>
      <c r="E26" s="8" t="s">
        <v>239</v>
      </c>
      <c r="F26" s="8" t="s">
        <v>68</v>
      </c>
      <c r="G26" s="8" t="n">
        <v>8</v>
      </c>
      <c r="H26" s="9" t="s">
        <v>260</v>
      </c>
      <c r="I26" s="9" t="s">
        <v>261</v>
      </c>
      <c r="J26" s="9" t="s">
        <v>262</v>
      </c>
    </row>
    <row r="27" customFormat="false" ht="124.5" hidden="false" customHeight="true" outlineLevel="0" collapsed="false">
      <c r="A27" s="7" t="s">
        <v>263</v>
      </c>
      <c r="B27" s="8" t="s">
        <v>235</v>
      </c>
      <c r="C27" s="9" t="s">
        <v>264</v>
      </c>
      <c r="D27" s="10" t="s">
        <v>48</v>
      </c>
      <c r="E27" s="8" t="s">
        <v>239</v>
      </c>
      <c r="F27" s="8" t="s">
        <v>57</v>
      </c>
      <c r="G27" s="8" t="n">
        <v>18</v>
      </c>
      <c r="H27" s="9" t="s">
        <v>265</v>
      </c>
      <c r="I27" s="9" t="s">
        <v>266</v>
      </c>
      <c r="J27" s="9" t="s">
        <v>267</v>
      </c>
    </row>
    <row r="28" customFormat="false" ht="124.5" hidden="false" customHeight="true" outlineLevel="0" collapsed="false">
      <c r="A28" s="7" t="s">
        <v>268</v>
      </c>
      <c r="B28" s="8" t="s">
        <v>235</v>
      </c>
      <c r="C28" s="9" t="s">
        <v>269</v>
      </c>
      <c r="D28" s="13" t="s">
        <v>102</v>
      </c>
      <c r="E28" s="8" t="s">
        <v>239</v>
      </c>
      <c r="F28" s="8" t="s">
        <v>57</v>
      </c>
      <c r="G28" s="8" t="n">
        <v>8</v>
      </c>
      <c r="H28" s="9" t="s">
        <v>270</v>
      </c>
      <c r="I28" s="9" t="s">
        <v>271</v>
      </c>
      <c r="J28" s="9" t="s">
        <v>272</v>
      </c>
    </row>
    <row r="29" customFormat="false" ht="15" hidden="false" customHeight="true" outlineLevel="0" collapsed="false">
      <c r="A29" s="14"/>
      <c r="B29" s="14"/>
      <c r="C29" s="15" t="s">
        <v>273</v>
      </c>
      <c r="D29" s="14"/>
      <c r="E29" s="14"/>
      <c r="F29" s="14"/>
      <c r="G29" s="16" t="n">
        <f aca="false">SUM(G22:G28)</f>
        <v>56</v>
      </c>
      <c r="H29" s="14"/>
      <c r="I29" s="14"/>
      <c r="J29" s="14"/>
    </row>
    <row r="31" customFormat="false" ht="19.5" hidden="false" customHeight="true" outlineLevel="0" collapsed="false">
      <c r="A31" s="6" t="s">
        <v>274</v>
      </c>
      <c r="B31" s="6"/>
      <c r="C31" s="6" t="s">
        <v>275</v>
      </c>
      <c r="D31" s="6"/>
      <c r="E31" s="6"/>
      <c r="F31" s="6"/>
      <c r="G31" s="6"/>
      <c r="H31" s="6"/>
      <c r="I31" s="6"/>
      <c r="J31" s="6"/>
    </row>
    <row r="32" customFormat="false" ht="124.5" hidden="false" customHeight="true" outlineLevel="0" collapsed="false">
      <c r="A32" s="11" t="s">
        <v>276</v>
      </c>
      <c r="B32" s="8" t="s">
        <v>274</v>
      </c>
      <c r="C32" s="9" t="s">
        <v>277</v>
      </c>
      <c r="D32" s="10" t="s">
        <v>48</v>
      </c>
      <c r="E32" s="8" t="s">
        <v>67</v>
      </c>
      <c r="F32" s="8" t="s">
        <v>68</v>
      </c>
      <c r="G32" s="8" t="n">
        <v>20</v>
      </c>
      <c r="H32" s="9" t="s">
        <v>278</v>
      </c>
      <c r="I32" s="9" t="s">
        <v>279</v>
      </c>
      <c r="J32" s="9" t="s">
        <v>280</v>
      </c>
    </row>
    <row r="33" customFormat="false" ht="124.5" hidden="false" customHeight="true" outlineLevel="0" collapsed="false">
      <c r="A33" s="11" t="s">
        <v>281</v>
      </c>
      <c r="B33" s="8" t="s">
        <v>274</v>
      </c>
      <c r="C33" s="9" t="s">
        <v>282</v>
      </c>
      <c r="D33" s="10" t="s">
        <v>48</v>
      </c>
      <c r="E33" s="8" t="s">
        <v>67</v>
      </c>
      <c r="F33" s="8" t="s">
        <v>68</v>
      </c>
      <c r="G33" s="8" t="n">
        <v>16</v>
      </c>
      <c r="H33" s="9" t="s">
        <v>283</v>
      </c>
      <c r="I33" s="9" t="s">
        <v>284</v>
      </c>
      <c r="J33" s="9" t="s">
        <v>285</v>
      </c>
    </row>
    <row r="34" customFormat="false" ht="124.5" hidden="false" customHeight="true" outlineLevel="0" collapsed="false">
      <c r="A34" s="11" t="s">
        <v>286</v>
      </c>
      <c r="B34" s="8" t="s">
        <v>274</v>
      </c>
      <c r="C34" s="9" t="s">
        <v>287</v>
      </c>
      <c r="D34" s="10" t="s">
        <v>48</v>
      </c>
      <c r="E34" s="8" t="s">
        <v>67</v>
      </c>
      <c r="F34" s="8" t="s">
        <v>68</v>
      </c>
      <c r="G34" s="8" t="n">
        <v>12</v>
      </c>
      <c r="H34" s="9" t="s">
        <v>288</v>
      </c>
      <c r="I34" s="9" t="s">
        <v>289</v>
      </c>
      <c r="J34" s="9" t="s">
        <v>290</v>
      </c>
    </row>
    <row r="35" customFormat="false" ht="124.5" hidden="false" customHeight="true" outlineLevel="0" collapsed="false">
      <c r="A35" s="11" t="s">
        <v>291</v>
      </c>
      <c r="B35" s="8" t="s">
        <v>274</v>
      </c>
      <c r="C35" s="9" t="s">
        <v>292</v>
      </c>
      <c r="D35" s="10" t="s">
        <v>48</v>
      </c>
      <c r="E35" s="8" t="s">
        <v>67</v>
      </c>
      <c r="F35" s="8" t="s">
        <v>68</v>
      </c>
      <c r="G35" s="8" t="n">
        <v>8</v>
      </c>
      <c r="H35" s="9" t="s">
        <v>69</v>
      </c>
      <c r="I35" s="9" t="s">
        <v>293</v>
      </c>
      <c r="J35" s="9" t="s">
        <v>294</v>
      </c>
    </row>
    <row r="36" customFormat="false" ht="15" hidden="false" customHeight="true" outlineLevel="0" collapsed="false">
      <c r="A36" s="14"/>
      <c r="B36" s="14"/>
      <c r="C36" s="15" t="s">
        <v>295</v>
      </c>
      <c r="D36" s="14"/>
      <c r="E36" s="14"/>
      <c r="F36" s="14"/>
      <c r="G36" s="16" t="n">
        <f aca="false">SUM(G32:G35)</f>
        <v>56</v>
      </c>
      <c r="H36" s="14"/>
      <c r="I36" s="14"/>
      <c r="J36" s="14"/>
    </row>
    <row r="38" customFormat="false" ht="19.5" hidden="false" customHeight="true" outlineLevel="0" collapsed="false">
      <c r="A38" s="6" t="s">
        <v>296</v>
      </c>
      <c r="B38" s="6"/>
      <c r="C38" s="6" t="s">
        <v>297</v>
      </c>
      <c r="D38" s="6"/>
      <c r="E38" s="6"/>
      <c r="F38" s="6"/>
      <c r="G38" s="6"/>
      <c r="H38" s="6"/>
      <c r="I38" s="6"/>
      <c r="J38" s="6"/>
    </row>
    <row r="39" customFormat="false" ht="124.5" hidden="false" customHeight="true" outlineLevel="0" collapsed="false">
      <c r="A39" s="12" t="s">
        <v>298</v>
      </c>
      <c r="B39" s="8" t="s">
        <v>296</v>
      </c>
      <c r="C39" s="9" t="s">
        <v>299</v>
      </c>
      <c r="D39" s="10" t="s">
        <v>48</v>
      </c>
      <c r="E39" s="8" t="s">
        <v>67</v>
      </c>
      <c r="F39" s="8" t="s">
        <v>68</v>
      </c>
      <c r="G39" s="8" t="n">
        <v>10</v>
      </c>
      <c r="H39" s="9" t="s">
        <v>300</v>
      </c>
      <c r="I39" s="9" t="s">
        <v>301</v>
      </c>
      <c r="J39" s="9" t="s">
        <v>302</v>
      </c>
    </row>
    <row r="40" customFormat="false" ht="124.5" hidden="false" customHeight="true" outlineLevel="0" collapsed="false">
      <c r="A40" s="7" t="s">
        <v>303</v>
      </c>
      <c r="B40" s="8" t="s">
        <v>296</v>
      </c>
      <c r="C40" s="9" t="s">
        <v>304</v>
      </c>
      <c r="D40" s="13" t="s">
        <v>102</v>
      </c>
      <c r="E40" s="8" t="s">
        <v>67</v>
      </c>
      <c r="F40" s="8" t="s">
        <v>68</v>
      </c>
      <c r="G40" s="8" t="n">
        <v>10</v>
      </c>
      <c r="H40" s="9" t="s">
        <v>305</v>
      </c>
      <c r="I40" s="9" t="s">
        <v>306</v>
      </c>
      <c r="J40" s="9" t="s">
        <v>307</v>
      </c>
    </row>
    <row r="41" customFormat="false" ht="124.5" hidden="false" customHeight="true" outlineLevel="0" collapsed="false">
      <c r="A41" s="7" t="s">
        <v>308</v>
      </c>
      <c r="B41" s="8" t="s">
        <v>296</v>
      </c>
      <c r="C41" s="9" t="s">
        <v>309</v>
      </c>
      <c r="D41" s="13" t="s">
        <v>102</v>
      </c>
      <c r="E41" s="8" t="s">
        <v>67</v>
      </c>
      <c r="F41" s="8" t="s">
        <v>68</v>
      </c>
      <c r="G41" s="8" t="n">
        <v>10</v>
      </c>
      <c r="H41" s="9" t="s">
        <v>310</v>
      </c>
      <c r="I41" s="9" t="s">
        <v>311</v>
      </c>
      <c r="J41" s="9" t="s">
        <v>312</v>
      </c>
    </row>
    <row r="42" customFormat="false" ht="124.5" hidden="false" customHeight="true" outlineLevel="0" collapsed="false">
      <c r="A42" s="7" t="s">
        <v>313</v>
      </c>
      <c r="B42" s="8" t="s">
        <v>296</v>
      </c>
      <c r="C42" s="9" t="s">
        <v>314</v>
      </c>
      <c r="D42" s="13" t="s">
        <v>102</v>
      </c>
      <c r="E42" s="8" t="s">
        <v>67</v>
      </c>
      <c r="F42" s="8" t="s">
        <v>68</v>
      </c>
      <c r="G42" s="8" t="n">
        <v>14</v>
      </c>
      <c r="H42" s="9" t="s">
        <v>315</v>
      </c>
      <c r="I42" s="9" t="s">
        <v>316</v>
      </c>
      <c r="J42" s="9" t="s">
        <v>317</v>
      </c>
    </row>
    <row r="43" customFormat="false" ht="124.5" hidden="false" customHeight="true" outlineLevel="0" collapsed="false">
      <c r="A43" s="12" t="s">
        <v>318</v>
      </c>
      <c r="B43" s="8" t="s">
        <v>296</v>
      </c>
      <c r="C43" s="9" t="s">
        <v>319</v>
      </c>
      <c r="D43" s="17" t="s">
        <v>151</v>
      </c>
      <c r="E43" s="8" t="s">
        <v>67</v>
      </c>
      <c r="F43" s="8" t="s">
        <v>68</v>
      </c>
      <c r="G43" s="8" t="n">
        <v>6</v>
      </c>
      <c r="H43" s="9" t="s">
        <v>320</v>
      </c>
      <c r="I43" s="9" t="s">
        <v>321</v>
      </c>
      <c r="J43" s="9" t="s">
        <v>322</v>
      </c>
    </row>
    <row r="44" customFormat="false" ht="15" hidden="false" customHeight="true" outlineLevel="0" collapsed="false">
      <c r="A44" s="14"/>
      <c r="B44" s="14"/>
      <c r="C44" s="15" t="s">
        <v>323</v>
      </c>
      <c r="D44" s="14"/>
      <c r="E44" s="14"/>
      <c r="F44" s="14"/>
      <c r="G44" s="16" t="n">
        <f aca="false">SUM(G39:G43)</f>
        <v>50</v>
      </c>
      <c r="H44" s="14"/>
      <c r="I44" s="14"/>
      <c r="J44" s="14"/>
    </row>
    <row r="46" customFormat="false" ht="19.5" hidden="false" customHeight="true" outlineLevel="0" collapsed="false">
      <c r="A46" s="6" t="s">
        <v>324</v>
      </c>
      <c r="B46" s="6"/>
      <c r="C46" s="6" t="s">
        <v>325</v>
      </c>
      <c r="D46" s="6"/>
      <c r="E46" s="6"/>
      <c r="F46" s="6"/>
      <c r="G46" s="6"/>
      <c r="H46" s="6"/>
      <c r="I46" s="6"/>
      <c r="J46" s="6"/>
    </row>
    <row r="47" customFormat="false" ht="124.5" hidden="false" customHeight="true" outlineLevel="0" collapsed="false">
      <c r="A47" s="7" t="s">
        <v>326</v>
      </c>
      <c r="B47" s="8" t="s">
        <v>324</v>
      </c>
      <c r="C47" s="9" t="s">
        <v>327</v>
      </c>
      <c r="D47" s="10" t="s">
        <v>48</v>
      </c>
      <c r="E47" s="8" t="s">
        <v>328</v>
      </c>
      <c r="F47" s="8" t="s">
        <v>68</v>
      </c>
      <c r="G47" s="8" t="n">
        <v>16</v>
      </c>
      <c r="H47" s="9" t="s">
        <v>329</v>
      </c>
      <c r="I47" s="9" t="s">
        <v>330</v>
      </c>
      <c r="J47" s="9" t="s">
        <v>331</v>
      </c>
    </row>
    <row r="48" customFormat="false" ht="124.5" hidden="false" customHeight="true" outlineLevel="0" collapsed="false">
      <c r="A48" s="11" t="s">
        <v>332</v>
      </c>
      <c r="B48" s="8" t="s">
        <v>324</v>
      </c>
      <c r="C48" s="9" t="s">
        <v>333</v>
      </c>
      <c r="D48" s="13" t="s">
        <v>102</v>
      </c>
      <c r="E48" s="8" t="s">
        <v>239</v>
      </c>
      <c r="F48" s="8" t="s">
        <v>68</v>
      </c>
      <c r="G48" s="8" t="n">
        <v>4</v>
      </c>
      <c r="H48" s="9" t="s">
        <v>58</v>
      </c>
      <c r="I48" s="9" t="s">
        <v>334</v>
      </c>
      <c r="J48" s="9" t="s">
        <v>335</v>
      </c>
    </row>
    <row r="49" customFormat="false" ht="124.5" hidden="false" customHeight="true" outlineLevel="0" collapsed="false">
      <c r="A49" s="12" t="s">
        <v>336</v>
      </c>
      <c r="B49" s="8" t="s">
        <v>324</v>
      </c>
      <c r="C49" s="9" t="s">
        <v>337</v>
      </c>
      <c r="D49" s="13" t="s">
        <v>102</v>
      </c>
      <c r="E49" s="8" t="s">
        <v>80</v>
      </c>
      <c r="F49" s="8" t="s">
        <v>57</v>
      </c>
      <c r="G49" s="8" t="n">
        <v>8</v>
      </c>
      <c r="H49" s="9" t="s">
        <v>338</v>
      </c>
      <c r="I49" s="9" t="s">
        <v>339</v>
      </c>
      <c r="J49" s="9" t="s">
        <v>340</v>
      </c>
    </row>
    <row r="50" customFormat="false" ht="124.5" hidden="false" customHeight="true" outlineLevel="0" collapsed="false">
      <c r="A50" s="7" t="s">
        <v>341</v>
      </c>
      <c r="B50" s="8" t="s">
        <v>324</v>
      </c>
      <c r="C50" s="9" t="s">
        <v>342</v>
      </c>
      <c r="D50" s="13" t="s">
        <v>102</v>
      </c>
      <c r="E50" s="8" t="s">
        <v>343</v>
      </c>
      <c r="F50" s="8" t="s">
        <v>68</v>
      </c>
      <c r="G50" s="8" t="n">
        <v>10</v>
      </c>
      <c r="H50" s="9" t="s">
        <v>344</v>
      </c>
      <c r="I50" s="9" t="s">
        <v>345</v>
      </c>
      <c r="J50" s="9" t="s">
        <v>346</v>
      </c>
    </row>
    <row r="51" customFormat="false" ht="124.5" hidden="false" customHeight="true" outlineLevel="0" collapsed="false">
      <c r="A51" s="7" t="s">
        <v>347</v>
      </c>
      <c r="B51" s="8" t="s">
        <v>324</v>
      </c>
      <c r="C51" s="9" t="s">
        <v>348</v>
      </c>
      <c r="D51" s="17" t="s">
        <v>151</v>
      </c>
      <c r="E51" s="8" t="s">
        <v>349</v>
      </c>
      <c r="F51" s="8" t="s">
        <v>68</v>
      </c>
      <c r="G51" s="8" t="n">
        <v>6</v>
      </c>
      <c r="H51" s="9" t="s">
        <v>350</v>
      </c>
      <c r="I51" s="9" t="s">
        <v>351</v>
      </c>
      <c r="J51" s="9" t="s">
        <v>352</v>
      </c>
    </row>
    <row r="52" customFormat="false" ht="124.5" hidden="false" customHeight="true" outlineLevel="0" collapsed="false">
      <c r="A52" s="7" t="s">
        <v>353</v>
      </c>
      <c r="B52" s="8" t="s">
        <v>324</v>
      </c>
      <c r="C52" s="9" t="s">
        <v>354</v>
      </c>
      <c r="D52" s="17" t="s">
        <v>151</v>
      </c>
      <c r="E52" s="8" t="s">
        <v>67</v>
      </c>
      <c r="F52" s="8" t="s">
        <v>68</v>
      </c>
      <c r="G52" s="8" t="n">
        <v>4</v>
      </c>
      <c r="H52" s="9" t="s">
        <v>355</v>
      </c>
      <c r="I52" s="9" t="s">
        <v>356</v>
      </c>
      <c r="J52" s="9" t="s">
        <v>357</v>
      </c>
    </row>
    <row r="53" customFormat="false" ht="15" hidden="false" customHeight="true" outlineLevel="0" collapsed="false">
      <c r="A53" s="14"/>
      <c r="B53" s="14"/>
      <c r="C53" s="15" t="s">
        <v>358</v>
      </c>
      <c r="D53" s="14"/>
      <c r="E53" s="14"/>
      <c r="F53" s="14"/>
      <c r="G53" s="16" t="n">
        <f aca="false">SUM(G47:G52)</f>
        <v>48</v>
      </c>
      <c r="H53" s="14"/>
      <c r="I53" s="14"/>
      <c r="J53"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9"/>
    <col collapsed="false" customWidth="true" hidden="false" outlineLevel="0" max="3" min="3" style="1" width="44"/>
    <col collapsed="false" customWidth="true" hidden="false" outlineLevel="0" max="4" min="4" style="1" width="10"/>
    <col collapsed="false" customWidth="true" hidden="false" outlineLevel="0" max="5" min="5" style="1" width="13"/>
    <col collapsed="false" customWidth="true" hidden="false" outlineLevel="0" max="6" min="6" style="1" width="9"/>
    <col collapsed="false" customWidth="true" hidden="false" outlineLevel="0" max="7" min="7" style="1" width="7"/>
    <col collapsed="false" customWidth="true" hidden="false" outlineLevel="0" max="8" min="8" style="1" width="28"/>
    <col collapsed="false" customWidth="true" hidden="false" outlineLevel="0" max="9" min="9" style="1" width="92"/>
    <col collapsed="false" customWidth="true" hidden="false" outlineLevel="0" max="10" min="10" style="1" width="78"/>
  </cols>
  <sheetData>
    <row r="1" customFormat="false" ht="30" hidden="false" customHeight="true" outlineLevel="0" collapsed="false">
      <c r="A1" s="5" t="s">
        <v>34</v>
      </c>
      <c r="B1" s="5" t="s">
        <v>35</v>
      </c>
      <c r="C1" s="5" t="s">
        <v>36</v>
      </c>
      <c r="D1" s="5" t="s">
        <v>37</v>
      </c>
      <c r="E1" s="5" t="s">
        <v>38</v>
      </c>
      <c r="F1" s="5" t="s">
        <v>39</v>
      </c>
      <c r="G1" s="5" t="s">
        <v>40</v>
      </c>
      <c r="H1" s="5" t="s">
        <v>41</v>
      </c>
      <c r="I1" s="5" t="s">
        <v>42</v>
      </c>
      <c r="J1" s="5" t="s">
        <v>43</v>
      </c>
    </row>
    <row r="2" customFormat="false" ht="19.5" hidden="false" customHeight="true" outlineLevel="0" collapsed="false">
      <c r="A2" s="6" t="s">
        <v>359</v>
      </c>
      <c r="B2" s="6"/>
      <c r="C2" s="6" t="s">
        <v>360</v>
      </c>
      <c r="D2" s="6"/>
      <c r="E2" s="6"/>
      <c r="F2" s="6"/>
      <c r="G2" s="6"/>
      <c r="H2" s="6"/>
      <c r="I2" s="6"/>
      <c r="J2" s="6"/>
    </row>
    <row r="3" customFormat="false" ht="124.5" hidden="false" customHeight="true" outlineLevel="0" collapsed="false">
      <c r="A3" s="7" t="s">
        <v>361</v>
      </c>
      <c r="B3" s="8" t="s">
        <v>359</v>
      </c>
      <c r="C3" s="9" t="s">
        <v>362</v>
      </c>
      <c r="D3" s="10" t="s">
        <v>48</v>
      </c>
      <c r="E3" s="8" t="s">
        <v>363</v>
      </c>
      <c r="F3" s="8" t="s">
        <v>57</v>
      </c>
      <c r="G3" s="8" t="n">
        <v>20</v>
      </c>
      <c r="H3" s="9" t="s">
        <v>364</v>
      </c>
      <c r="I3" s="9" t="s">
        <v>365</v>
      </c>
      <c r="J3" s="9" t="s">
        <v>366</v>
      </c>
    </row>
    <row r="4" customFormat="false" ht="124.5" hidden="false" customHeight="true" outlineLevel="0" collapsed="false">
      <c r="A4" s="7" t="s">
        <v>367</v>
      </c>
      <c r="B4" s="8" t="s">
        <v>359</v>
      </c>
      <c r="C4" s="9" t="s">
        <v>368</v>
      </c>
      <c r="D4" s="13" t="s">
        <v>102</v>
      </c>
      <c r="E4" s="8" t="s">
        <v>80</v>
      </c>
      <c r="F4" s="8" t="s">
        <v>68</v>
      </c>
      <c r="G4" s="8" t="n">
        <v>12</v>
      </c>
      <c r="H4" s="9" t="s">
        <v>369</v>
      </c>
      <c r="I4" s="9" t="s">
        <v>370</v>
      </c>
      <c r="J4" s="9" t="s">
        <v>371</v>
      </c>
    </row>
    <row r="5" customFormat="false" ht="124.5" hidden="false" customHeight="true" outlineLevel="0" collapsed="false">
      <c r="A5" s="7" t="s">
        <v>372</v>
      </c>
      <c r="B5" s="8" t="s">
        <v>359</v>
      </c>
      <c r="C5" s="9" t="s">
        <v>373</v>
      </c>
      <c r="D5" s="13" t="s">
        <v>102</v>
      </c>
      <c r="E5" s="8" t="s">
        <v>80</v>
      </c>
      <c r="F5" s="8" t="s">
        <v>57</v>
      </c>
      <c r="G5" s="8" t="n">
        <v>12</v>
      </c>
      <c r="H5" s="9" t="s">
        <v>374</v>
      </c>
      <c r="I5" s="9" t="s">
        <v>375</v>
      </c>
      <c r="J5" s="9" t="s">
        <v>376</v>
      </c>
    </row>
    <row r="6" customFormat="false" ht="15" hidden="false" customHeight="true" outlineLevel="0" collapsed="false">
      <c r="A6" s="14"/>
      <c r="B6" s="14"/>
      <c r="C6" s="15" t="s">
        <v>377</v>
      </c>
      <c r="D6" s="14"/>
      <c r="E6" s="14"/>
      <c r="F6" s="14"/>
      <c r="G6" s="16" t="n">
        <f aca="false">SUM(G3:G5)</f>
        <v>44</v>
      </c>
      <c r="H6" s="14"/>
      <c r="I6" s="14"/>
      <c r="J6" s="1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2026-07-25T18:30:14Z</dcterms:created>
  <dc:creator>openpyxl</dc:creator>
  <dc:description/>
  <dc:language>en-US</dc:language>
  <cp:lastModifiedBy/>
  <dcterms:modified xsi:type="dcterms:W3CDTF">2026-07-25T18:30:30Z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