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acklog" sheetId="2" state="visible" r:id="rId4"/>
    <sheet name="Version 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<sst xmlns="http://schemas.openxmlformats.org/spreadsheetml/2006/main" count="2128" uniqueCount="721">
  <si>
    <t xml:space="preserve">PlantProcess IQ - Product Backlog v13</t>
  </si>
  <si>
    <t xml:space="preserve">WHAT v13 CHANGES (03-Jul-2026, supersedes v12)</t>
  </si>
  <si>
    <t xml:space="preserve">1. NEW TARGET COLUMN: every task carries a meeting target - done / 8-Jul (technical evaluation) / 14-Jul (V2 completion) / post-deal. The 8-Jul meeting (sales + technical engineer) is the V2 AUDIENCE arriving six days early; the backlog is re-cut around it.</t>
  </si>
  <si>
    <t xml:space="preserve">2. SESSION LEDGER RECORDED AS DONE ROWS (V1-31..V1-34): website content refresh; header nav styling drift fix; BOM hygiene test backup exclusion; the Administrator consolidation that mounted the four orphaned journey tabs and gated PPIQ-T### codes + DEMO/DEVELOPMENT badges. Each carries its machine-verified evidence.</t>
  </si>
  <si>
    <t xml:space="preserve">3. GOLDEN-RULE ERADICATION TASKS (V1-35..V1-39): the 03-Jul audit found real demo MACHINERY inside the product (hardcoded scenario fixtures, DemoModeContext, /demo-lifecycle, demo-reset in-app, "Demo Plant") plus generic code trapped in demo-named files, plus a too-narrow CI guard. All violations of the no-demo-code golden rule, now backloged for removal/rename/gating with a strengthened CI gate.</t>
  </si>
  <si>
    <t xml:space="preserve">4. JOB GOVERNANCE (V2-30..V2-33, from the 03-Jul journey spec): interval floors DB-Link 2min / Loading 3min / Engine 20min / AI+ML 60min (config-driven, backend-enforced); per-type max-parallelism + per-SOURCE single-scan lock + start jitter; Loading no-op fast path via watermark compare; Run-now that respects the guards. V1-41 ships the minimum stuck-run reaper for 8-Jul (347 zombie Running rows are live evidence).</t>
  </si>
  <si>
    <t xml:space="preserve">5. STAGE-2 RESHAPED (V2-28): Karim-locked - one Loading job PER MAPPING VIEW with its own watermark, generic projector consumes SchemaViewDefinition, the IF/ELSIF ladder dies, the 8 demo sources become seed mappings. Open decision inside the row: edit-a-mapping reprojection policy (full vs forward-only).</t>
  </si>
  <si>
    <t xml:space="preserve">6. STALE ROWS CORRECTED: V1-09 genealogy foundation is VERIFIED-PRESENT (29-Jun live DB check), not a rebuild; V1-14 action-matrix reopened because the admin surface changed on 03-Jul; V1-17..V1-23 remaining hours reduced to the live-verification effort now that the UI is wired.</t>
  </si>
  <si>
    <t xml:space="preserve">HOW TO READ A TASK (unchanged from v12): Description = what a junior/mid dev does, where, and how. Validation/Acceptance = hard, falsifiable checks. Many acceptances demand LIVE HMI behaviour on the demo dataset (code present + tested is not done until proven live).</t>
  </si>
  <si>
    <t xml:space="preserve">THE 8-JUL BAR: the engineer clicks every button and questions every value. Ship the 7-step journey live end-to-end, zero dead buttons, no internal codes, no demo machinery behavior, honest states in Jobs Monitor, correlation producing real results, and an assistant that is either verified live or framed honestly. Numbers-fully-justified (Value Engine, universal provenance, generic projector) completes by 14-Jul; for 8-Jul the honesty answer (population + method + abstain) is the shield.</t>
  </si>
  <si>
    <t xml:space="preserve">PlantProcess IQ - Product Backlog v13 . 8-Jul technical evaluation re-cut + golden-rule eradication + job governance</t>
  </si>
  <si>
    <t xml:space="preserve">Task ID</t>
  </si>
  <si>
    <t xml:space="preserve">Version</t>
  </si>
  <si>
    <t xml:space="preserve">Phase</t>
  </si>
  <si>
    <t xml:space="preserve">Task Name</t>
  </si>
  <si>
    <t xml:space="preserve">Persona(s)</t>
  </si>
  <si>
    <t xml:space="preserve">Sub-criterion lifted</t>
  </si>
  <si>
    <t xml:space="preserve">Gate</t>
  </si>
  <si>
    <t xml:space="preserve">Track</t>
  </si>
  <si>
    <t xml:space="preserve">Module</t>
  </si>
  <si>
    <t xml:space="preserve">Severity</t>
  </si>
  <si>
    <t xml:space="preserve">Status</t>
  </si>
  <si>
    <t xml:space="preserve">% done</t>
  </si>
  <si>
    <t xml:space="preserve">Target</t>
  </si>
  <si>
    <t xml:space="preserve">Description  (junior-dev-actionable)</t>
  </si>
  <si>
    <t xml:space="preserve">Validation / Acceptance  (hard, reproducible)</t>
  </si>
  <si>
    <t xml:space="preserve">Task Type</t>
  </si>
  <si>
    <t xml:space="preserve">Effort (h)</t>
  </si>
  <si>
    <t xml:space="preserve">Remaining (h)</t>
  </si>
  <si>
    <t xml:space="preserve">Prereq</t>
  </si>
  <si>
    <t xml:space="preserve">Lineage</t>
  </si>
  <si>
    <t xml:space="preserve">V1-01</t>
  </si>
  <si>
    <t xml:space="preserve">V1</t>
  </si>
  <si>
    <t xml:space="preserve">V1-P1 Stable environment (nothing breaks)</t>
  </si>
  <si>
    <t xml:space="preserve">Local dev reproducibility: EF-first + PGCLIENTENCODING + design-time factory (MERGED)</t>
  </si>
  <si>
    <t xml:space="preserve">A1,A4</t>
  </si>
  <si>
    <t xml:space="preserve">A1-2, A1-10</t>
  </si>
  <si>
    <t xml:space="preserve">G9</t>
  </si>
  <si>
    <t xml:space="preserve">Environment</t>
  </si>
  <si>
    <t xml:space="preserve">Infra</t>
  </si>
  <si>
    <t xml:space="preserve">Critical</t>
  </si>
  <si>
    <t xml:space="preserve">MOSTLY-DONE</t>
  </si>
  <si>
    <t xml:space="preserve">14-Jul</t>
  </si>
  <si>
    <t xml:space="preserve">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rewrite PlantProcessDesignTimeDbContextFactory to read ConnectionStrings__PlantProcessDb -&gt; PLANTPROCESS_DESIGNTIME_CONNECTION_STRING -&gt; PLANTPROCESS_DB with an honest error; (d) converge the LOCAL compose remnants (delete duplicate demo-sources fleet + Infrastructure/deploy/docker-compose.demo.yml). Commit so the two session env-vars are no longer needed locally.</t>
  </si>
  <si>
    <t xml:space="preserve">From a clean LOCAL DB, `ppiq.ps1 demo` provisions one-shot (EF schema -&gt; SQL decoration -&gt; app on :5063) with ZERO hand-set env vars, twice. grep finds no duplicate demo compose. Evidence: clean-run terminal log + grep.</t>
  </si>
  <si>
    <t xml:space="preserve">refactor</t>
  </si>
  <si>
    <t xml:space="preserve">-</t>
  </si>
  <si>
    <t xml:space="preserve">V1-02</t>
  </si>
  <si>
    <t xml:space="preserve">Delete env/profiles/local.env (leaks plantprocess123) + rotate</t>
  </si>
  <si>
    <t xml:space="preserve">A1,A2</t>
  </si>
  <si>
    <t xml:space="preserve">A2-5</t>
  </si>
  <si>
    <t xml:space="preserve">G12</t>
  </si>
  <si>
    <t xml:space="preserve">Security</t>
  </si>
  <si>
    <t xml:space="preserve">NEW</t>
  </si>
  <si>
    <t xml:space="preserve">Remove env/profiles/local.env (it carries IsBootstrapAdmin=true and the literal plantprocess123) and rotate any key that ever touched it. Keep only deploy/compose/.env.dev (container-local creds) and the git-ignored server /var/lib/ppiq-preserve/.env. Also strip the stale 4-user set from appsettings.Development.json so it stops shadowing the canonical five locally.</t>
  </si>
  <si>
    <t xml:space="preserve">grep finds zero `plantprocess123` and zero `IsBootstrapAdmin=true` in the repo; the startup guard still passes; a bare `dotnet run` shows the canonical five users. Evidence: grep output + boot log.</t>
  </si>
  <si>
    <t xml:space="preserve">hardening</t>
  </si>
  <si>
    <t xml:space="preserve">V1-03</t>
  </si>
  <si>
    <t xml:space="preserve">Commit LOCAL test config — fix the clean-machine failures (server suite already green)</t>
  </si>
  <si>
    <t xml:space="preserve">A1</t>
  </si>
  <si>
    <t xml:space="preserve">A1-2</t>
  </si>
  <si>
    <t xml:space="preserve">Testing</t>
  </si>
  <si>
    <t xml:space="preserve">PARTIAL</t>
  </si>
  <si>
    <t xml:space="preserve">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reds.</t>
  </si>
  <si>
    <t xml:space="preserve">`ppiq.ps1 test` exits 0 TWICE on a fresh LOCAL checkout (no hand-set vars). Evidence: two consecutive green run logs.</t>
  </si>
  <si>
    <t xml:space="preserve">V1-04</t>
  </si>
  <si>
    <t xml:space="preserve">Persistent infra Caddyfile + correct route targets  [NEW 26-Jun]</t>
  </si>
  <si>
    <t xml:space="preserve">A2,A4</t>
  </si>
  <si>
    <t xml:space="preserve">A4-9</t>
  </si>
  <si>
    <t xml:space="preserve">Very important</t>
  </si>
  <si>
    <t xml:space="preserve">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targets, so routes survive a Caddy recreate. Do NOT recreate ppiq-caddy until this lands.</t>
  </si>
  <si>
    <t xml:space="preserve">After recreating ppiq-caddy, app.*/api.*/website.* all route to the correct live containers; the Caddyfile is host-bound and survives a restart. Evidence: docker exec cat + curl matrix.</t>
  </si>
  <si>
    <t xml:space="preserve">V2-13</t>
  </si>
  <si>
    <t xml:space="preserve">V1-05</t>
  </si>
  <si>
    <t xml:space="preserve">Harden .env&lt;-&gt;Postgres-volume password coupling + provisioning resilience  [NEW 26-Jun]</t>
  </si>
  <si>
    <t xml:space="preserve">A4</t>
  </si>
  <si>
    <t xml:space="preserve">Important</t>
  </si>
  <si>
    <t xml:space="preserve">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provisioning in try/catch so a provisioning failure logs but never crashes the API at startup.</t>
  </si>
  <si>
    <t xml:space="preserve">A simulated stale-key regen keeps the same POSTGRES_PASSWORD and the API still connects; an induced provisioning error is logged and the API still starts. Evidence: regen log + fault-injection test.</t>
  </si>
  <si>
    <t xml:space="preserve">V2-14</t>
  </si>
  <si>
    <t xml:space="preserve">V1-06</t>
  </si>
  <si>
    <t xml:space="preserve">Spamhaus / outbound-mail relay remediation (relay + SPF/DKIM/PTR + block 25)</t>
  </si>
  <si>
    <t xml:space="preserve">A4, A6</t>
  </si>
  <si>
    <t xml:space="preserve">A6.10 CTA/lead capture</t>
  </si>
  <si>
    <t xml:space="preserve">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host/port/credentials live in env/secret config, never hardcoded. Confirm delisting with a PUBLIC Spamhaus checker, not Hetzner's resolvers.</t>
  </si>
  <si>
    <t xml:space="preserve">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 listed.</t>
  </si>
  <si>
    <t xml:space="preserve">(new)</t>
  </si>
  <si>
    <t xml:space="preserve">V1-07</t>
  </si>
  <si>
    <t xml:space="preserve">Phase gate: clean checkout boots seeded + green twice + SERVER deploy green</t>
  </si>
  <si>
    <t xml:space="preserve">A1-2, A1-9</t>
  </si>
  <si>
    <t xml:space="preserve">Deploy</t>
  </si>
  <si>
    <t xml:space="preserve">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 both environments.</t>
  </si>
  <si>
    <t xml:space="preserve">All LOCAL gates pass on a fresh machine, scripted, with seed exit=0; the SERVER pipeline is green on the same commit. Evidence: one combined run log + the green Jenkins build.</t>
  </si>
  <si>
    <t xml:space="preserve">verification</t>
  </si>
  <si>
    <t xml:space="preserve">V1-01, V1-03, V1-04</t>
  </si>
  <si>
    <t xml:space="preserve">V1-08</t>
  </si>
  <si>
    <t xml:space="preserve">Wire website CTA to a real inbox (CODE DONE — commit + SMTP + relay)</t>
  </si>
  <si>
    <t xml:space="preserve">A6</t>
  </si>
  <si>
    <t xml:space="preserve">A6-10</t>
  </si>
  <si>
    <t xml:space="preserve">G8</t>
  </si>
  <si>
    <t xml:space="preserve">Web</t>
  </si>
  <si>
    <t xml:space="preserve">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(Hetzner/Spamhaus notice). (Hardened backend + e2e assert is the separate V2 task.)</t>
  </si>
  <si>
    <t xml:space="preserve">A test submit lands in your inbox/DB via the relay; Spamhaus web-checker shows the IP not listing. Evidence: the received lead + checker screenshot + commit hash.</t>
  </si>
  <si>
    <t xml:space="preserve">feature</t>
  </si>
  <si>
    <t xml:space="preserve">V1-18</t>
  </si>
  <si>
    <t xml:space="preserve">V1-09</t>
  </si>
  <si>
    <t xml:space="preserve">V1-P2 The 7-step journey walk (end-to-end, no dead end)</t>
  </si>
  <si>
    <t xml:space="preserve">Rebuild mapping/genealogy/safe-SQL foundation (demo-minimum, model-first)  [P0 — biggest real gap]</t>
  </si>
  <si>
    <t xml:space="preserve">A3,A4</t>
  </si>
  <si>
    <t xml:space="preserve">A3-5, A4-2, A4-6</t>
  </si>
  <si>
    <t xml:space="preserve">G2</t>
  </si>
  <si>
    <t xml:space="preserve">Workflow</t>
  </si>
  <si>
    <t xml:space="preserve">Database</t>
  </si>
  <si>
    <t xml:space="preserve">VERIFIED-PRESENT</t>
  </si>
  <si>
    <t xml:space="preserve">done</t>
  </si>
  <si>
    <t xml:space="preserve">STALE-REBUILD FRAMING CORRECTED (29-Jun live DB check on ppiq_app): the foundation EXISTS and WORKS - ppiq_walk_genealogy (self + both heats for C-0044170 with viaEdgeId provenance), ppiq_resolve_material_by_business_key, ppiq_resolve_safe_sql, ppiq_v5_blended_attribution_for_child (0.70/0.30 across H-3361/H-3362), ppiq_golden_thread, plus ppiq_business_key_definitions / canonical_business_keys / canonical_genealogy_edges / canonical_material_units / genealogy_edges. Remaining: only canonical_mapping_versions (mapping-lifecycle versioning) is absent - defer to V2 (generic projector task); write the one-paragraph verification note into the docs.</t>
  </si>
  <si>
    <t xml:space="preserve">SELECT ppiq_walk_genealogy(tenant, 'C-0044170', 'both', 6) returns both heats with provenance; blended attribution returns 0.70/0.30; note committed. No rebuild performed.'</t>
  </si>
  <si>
    <t xml:space="preserve">V1-10</t>
  </si>
  <si>
    <t xml:space="preserve">Verify genealogy both directions on C-0044170 live</t>
  </si>
  <si>
    <t xml:space="preserve">A3</t>
  </si>
  <si>
    <t xml:space="preserve">A3-5</t>
  </si>
  <si>
    <t xml:space="preserve">FrontEnd</t>
  </si>
  <si>
    <t xml:space="preserve">8-Jul</t>
  </si>
  <si>
    <t xml:space="preserve">With the foundation rebuilt, walk C-0044170 coil-&gt;melt and melt-&gt;coils in the running HMI, confirming the Material Investigation evidence panel renders both directions on the customer's own keys.</t>
  </si>
  <si>
    <t xml:space="preserve">Recorded walk: both directions resolve on the demo data, no stall. Evidence: clip in the dry-run.</t>
  </si>
  <si>
    <t xml:space="preserve">V1-11</t>
  </si>
  <si>
    <t xml:space="preserve">Verify transition-coil weighted attribution (70/30) live</t>
  </si>
  <si>
    <t xml:space="preserve">A3-8</t>
  </si>
  <si>
    <t xml:space="preserve">G15</t>
  </si>
  <si>
    <t xml:space="preserve">Confirm a casting-transition coil reports weighted (e.g. 70/30) attribution across two heats (H-3361/H-3362) with the population/exclusions shown, never a single fabricated heat. The backend test is already green; the live HMI clip is owed.</t>
  </si>
  <si>
    <t xml:space="preserve">A transition coil renders weighted provenance + stated population live. Evidence: clip.</t>
  </si>
  <si>
    <t xml:space="preserve">V1-12</t>
  </si>
  <si>
    <t xml:space="preserve">App boots under Playwright (no early webServer exit)</t>
  </si>
  <si>
    <t xml:space="preserve">Fix playwright config so webServer starts the API+web and waits for :5063/:5173 instead of exiting early; run at least one real spec against the booted app.</t>
  </si>
  <si>
    <t xml:space="preserve">`ppiq.ps1 e2e` starts the app and runs &gt;=1 spec to green. Evidence: Playwright HTML report.</t>
  </si>
  <si>
    <t xml:space="preserve">V1-13</t>
  </si>
  <si>
    <t xml:space="preserve">One-click readiness check passes live</t>
  </si>
  <si>
    <t xml:space="preserve">A4-7</t>
  </si>
  <si>
    <t xml:space="preserve">G7</t>
  </si>
  <si>
    <t xml:space="preserve">Backend</t>
  </si>
  <si>
    <t xml:space="preserve">Make the readiness surface return green (sources healthy, counts match, jobs ready) in one call on the seeded stack.</t>
  </si>
  <si>
    <t xml:space="preserve">Readiness endpoint returns all-green on the demo data, shown live. Evidence: screenshot + clip.</t>
  </si>
  <si>
    <t xml:space="preserve">V1-14</t>
  </si>
  <si>
    <t xml:space="preserve">Verify every demo-path button live (click-through) + commit the action-matrix</t>
  </si>
  <si>
    <t xml:space="preserve">A3-1, A3-3</t>
  </si>
  <si>
    <t xml:space="preserve">G6</t>
  </si>
  <si>
    <t xml:space="preserve">The action-matrix was green against the OLD admin surface (Connector Truth | Import Jobs | Tier Override). 03-Jul the Administrator was consolidated to six tabs (DB Configuration | Schema Configuration | Importing Data | Jobs Monitor | Connector Truth | License), so phase9ActionMatrix.ts + phase9-action-matrix.spec.ts must be updated to enumerate the NEW admin controls (every button in all six tabs), then the full click-through re-recorded.</t>
  </si>
  <si>
    <t xml:space="preserve">The action-matrix files are committed; every button on the 9-step script performs its action live; 0 unhandled rejections on the path. Evidence: recorded run + commit hash.</t>
  </si>
  <si>
    <t xml:space="preserve">V1-15</t>
  </si>
  <si>
    <t xml:space="preserve">Demo-path robustness fault gate - no crash from user/license/docker/DB</t>
  </si>
  <si>
    <t xml:space="preserve">A3, A4</t>
  </si>
  <si>
    <t xml:space="preserve">A3.2 e2e no crash · A4.9 operational resilience</t>
  </si>
  <si>
    <t xml:space="preserve">demo</t>
  </si>
  <si>
    <t xml:space="preserve">Guarantee the demo path never crashes from any cause a Procurement viewer could trigger. Enumerate the fault classes - bad login, a role/tier-gated control clicked, a license expiry/grace state, a Jenkins/Docker restart mid-session, a transient DB connection drop (the orphan-stack / conn-key / SigningKey issues) - and make each degrade gracefully (typed error, retry, or read-only banner) instead of a white screen, unhandled 500, or dead UI. Add an error boundary on every demo route and health/retry on the API client. This is enforcement, not a one-off fix.</t>
  </si>
  <si>
    <t xml:space="preserve">Inducing each fault (kill the API container, expire the license, drop the DB connection, click a gated control as a low-tier role) produces a graceful message and the app recovers when the fault clears - zero white screens, zero uncaught 500s reaching the user, zero frozen buttons. A checklist enumerates every fault class and its observed graceful behaviour.</t>
  </si>
  <si>
    <t xml:space="preserve">test</t>
  </si>
  <si>
    <t xml:space="preserve">V1-16</t>
  </si>
  <si>
    <t xml:space="preserve">Record the clean dry-run video (insurance) — Karim-owned</t>
  </si>
  <si>
    <t xml:space="preserve">A3,A5</t>
  </si>
  <si>
    <t xml:space="preserve">A3-2</t>
  </si>
  <si>
    <t xml:space="preserve">Demo</t>
  </si>
  <si>
    <t xml:space="preserve">Docs</t>
  </si>
  <si>
    <t xml:space="preserve">Per the handover this CANNOT be AI-done. Record an MP4 of the full 9-step walk on the seeded stack against the live server demo URL (app.178.105.152.180.sslip.io) logged in as sysadmin - the pilot acceptance artifact and the backup if live ever fails. Blocks the demo-reel cut.</t>
  </si>
  <si>
    <t xml:space="preserve">MP4 exists; no dead click; matches the script. Evidence: the file.</t>
  </si>
  <si>
    <t xml:space="preserve">content</t>
  </si>
  <si>
    <t xml:space="preserve">V1-17</t>
  </si>
  <si>
    <t xml:space="preserve">J1 - Auto-login lands on a working home (sysadmin, no login page)</t>
  </si>
  <si>
    <t xml:space="preserve">A4, A3</t>
  </si>
  <si>
    <t xml:space="preserve">A2.4 token/session</t>
  </si>
  <si>
    <t xml:space="preserve">workflow</t>
  </si>
  <si>
    <t xml:space="preserve">Verify + harden step 1: the app auto-authenticates as the permanent sysadmin (FirstRunProvisioning SOU support account) and lands directly on a populated, navigable home - no login page in V1. No 401, no blank screen, no console error on first load. The auto-login uses the real auth/session machinery (signed token + __Host- cookie), not a bypass.</t>
  </si>
  <si>
    <t xml:space="preserve">A cold load of the demo URL reaches a working authenticated home as sysadmin with the nav visible and at least one populated panel; no login prompt appears; the browser console shows no errors; the session is a real signed token (verifiable in the cookie), not a stub.</t>
  </si>
  <si>
    <t xml:space="preserve">J2 - Connect + select the demo data source(s) via the DB Configuration tab</t>
  </si>
  <si>
    <t xml:space="preserve">A4.1 source onboarding HMI</t>
  </si>
  <si>
    <t xml:space="preserve">G1</t>
  </si>
  <si>
    <t xml:space="preserve">UI now mounted (03-Jul consolidation) - remaining is the LIVE walk: register a source, test-connect (incl. against a stopped container -&gt; typed error), table picker populates from live source metadata. PRIOR SCOPE: Verify + harden step 2: the DB Configuration tab (AdminDbConfigurationTab.tsx, 1126 lines) lets the user register/select one, two, or all 8 demo sources, run a connection test, and choose which tables to import. Confirm the tab invokes the connector/registry backend (ConnectorAdminEndpoints -&gt; ppiq_register_dump_source / ProvisionBaseline) and shows a clear success/failure state. Fix any dead control, any test button that does nothing, any table-picker that does not populate. The 6 connectors (Csv/Excel/MySql/Oracle/Postgres/historian) already exist - this is wiring + UX verification.</t>
  </si>
  <si>
    <t xml:space="preserve">From the HMI: select a demo source, run the connection test and see a green result; choose tables and see them registered (verify via SELECT * FROM source_table_dump_registry); repeat for two and for all eight; every control does something (no dead button); a deliberately bad connection shows a typed error, not a crash.</t>
  </si>
  <si>
    <t xml:space="preserve">V1-19</t>
  </si>
  <si>
    <t xml:space="preserve">J3 - Run Stage-1 import to staging + see it in Jobs Monitor + job log</t>
  </si>
  <si>
    <t xml:space="preserve">A4.4 Jobs Monitor</t>
  </si>
  <si>
    <t xml:space="preserve">Scheduling UI now reachable via Importing Data tab - remaining is the live Stage-1 run + incremental second-run proof (watermark tail-only). PRIOR SCOPE: Verify + harden step 3: trigger Stage-1 (ppiq_run_stage1_delta_import) from the Importing Data tab; confirm the dump/staging tables fill, the Jobs Monitor tab (AdminJobsMonitorTab 350) + TwoStageImportMonitorPanel (376) show last-run status/duration/rows, and the job log records the run. Confirm incremental behaviour: a second run imports only the new tail (two_stage_processed_watermarks / last-index comparison), not the whole table.</t>
  </si>
  <si>
    <t xml:space="preserve">A Stage-1 run populates staging (row count &gt; 0 in the dump tables); the Jobs Monitor shows the run with status, rows, duration; a second immediate run imports 0 or only-new rows (watermark proven); the job log has an Info entry; a forced failure (bad source) shows an Error entry in the monitor and the log.</t>
  </si>
  <si>
    <t xml:space="preserve">V1-20</t>
  </si>
  <si>
    <t xml:space="preserve">J4 - No-code Mapper UI loads the demo staging schema and previews/joins/filters</t>
  </si>
  <si>
    <t xml:space="preserve">A3.4 widget/mapping config</t>
  </si>
  <si>
    <t xml:space="preserve">Verify + harden step 4: the Schema Configuration tab (AdminSchemaConfigurationTab.implementation.generated 955) + CanonicalSchemaMappingPanel (514) + V5NoCodeMapperPage must read the real demo STAGING schema (tables + columns from the dump), let the user define a view/join/filter, preview rows, and validate via SafeSqlValidator/SqlAllowlistProvider. This is the verify-needed seam: confirm the UI binds to live staging metadata, not a placeholder. Fix any panel that loads empty.</t>
  </si>
  <si>
    <t xml:space="preserve">On the demo staging data the mapper lists the actual source tables and columns; defining a view previews real rows; a join across two dump tables previews correctly; a malformed SQL is rejected by safe-SQL with a typed error (not a 500); no dead control on the tab.</t>
  </si>
  <si>
    <t xml:space="preserve">V1-21</t>
  </si>
  <si>
    <t xml:space="preserve">J5 - Run Stage-2 canonical refresh + monitor + log (TEMP demo shapes - V1 ONLY)</t>
  </si>
  <si>
    <t xml:space="preserve">GENERIC-ONLY RED LINE: the hardcoded demo-shape projection used here is a TEMPORARY V1-ONLY measure to hit 1 Jul and MUST be eradicated in V2 (see the V2 generic-projector task).</t>
  </si>
  <si>
    <t xml:space="preserve">nan</t>
  </si>
  <si>
    <t xml:space="preserve">V1-22</t>
  </si>
  <si>
    <t xml:space="preserve">J6 - Build/open a dashboard + widget bound to the freshly-imported canonical data</t>
  </si>
  <si>
    <t xml:space="preserve">A3.1 zero dead buttons</t>
  </si>
  <si>
    <t xml:space="preserve">G3</t>
  </si>
  <si>
    <t xml:space="preserve">Verify + harden step 6: on the now-populated canonical data, create a page (PageBuilderPage.implementation 435), drag a widget (WidgetBuilder wizard - data/filter/preview steps), bind it to a canonical view via the widget script layer (WidgetScriptSqlCompiler 240), and save. CRITICAL seam-6 check: confirm widgets read the canonical_* views that Stage-2 populates - NOT pre-seeded tables - so a live re-import visibly changes the widget. Use DashboardGridLayout (552-state) for drag-drop persistence.</t>
  </si>
  <si>
    <t xml:space="preserve">A newly created page+widget renders rows that came through the import; re-running the import and refreshing visibly changes the widget's numbers (proving it reads canonical views, not seed); save+reload persists the page and layout; no dead button in the page/widget builder; the widget's query passes the safe-SQL compiler.</t>
  </si>
  <si>
    <t xml:space="preserve">V1-23</t>
  </si>
  <si>
    <t xml:space="preserve">J7 - Run a correlation / inspection + read grounded results on the imported data</t>
  </si>
  <si>
    <t xml:space="preserve">A3.7 correlation honest</t>
  </si>
  <si>
    <t xml:space="preserve">G4</t>
  </si>
  <si>
    <t xml:space="preserve">Verify + harden step 7: from Advanced Analysis (AdvancedAnalysisPage 214) + Inspection Jobs (InspectionJobsPage 88), configure an inspection (a defect/downtime/KPI + a duration window), run it on the imported canonical data using the already-built engines (CorrelationService 564 + AdvancedCorrelationComputeService 390), and read a grounded suspected-contributor result. The GroundedAssistantPage (129) must explain it with citations and render no uncited number (GroundingService). Wire the engines to the imported demo data live.</t>
  </si>
  <si>
    <t xml:space="preserve">An inspection job runs on imported data and returns a suspected contributor with population + method shown (Spearman/MI/etc., q-value, bootstrap stability); the grounded assistant explains it citing evidence handles and renders no uncited number; clicking a number opens its provenance; results match the demo expectation (the defect linked to its superheat driver).</t>
  </si>
  <si>
    <t xml:space="preserve">V1-24</t>
  </si>
  <si>
    <t xml:space="preserve">J-WALK - End-to-end journey walk under induced faults (the no-dead-end gate)</t>
  </si>
  <si>
    <t xml:space="preserve">A3.2 e2e no crash</t>
  </si>
  <si>
    <t xml:space="preserve">The actual V1 test: walk all 7 steps as ONE continuous flow on a clean demo stack (source -&gt; staging -&gt; map -&gt; canonical -&gt; dashboard -&gt; analysis), then induce the fault classes (bad login, role/tier gate, container restart, DB blip) at each step. Enumerate EVERY break, dead button, and crash in ONE pass (preventive-maintenance mandate - do not fix one runtime error at a time) and fix each at source. This gate is the no-dead-end guarantee for the Procurement demo.</t>
  </si>
  <si>
    <t xml:space="preserve">The full source-to-analysis walk completes with zero dead buttons, zero white screens, zero uncaught 500s reaching the user; each induced fault degrades gracefully and the stack recovers when it clears; ppiq e2e and the dead-button scanner are both clean; a recorded walk shows no dead click.</t>
  </si>
  <si>
    <t xml:space="preserve">V1-25</t>
  </si>
  <si>
    <t xml:space="preserve">V1-P3 Presentation pack (deck, ROI, video)</t>
  </si>
  <si>
    <t xml:space="preserve">Finalize the 9-step demo script (DELIVERED — fill 2 placeholders)</t>
  </si>
  <si>
    <t xml:space="preserve">A5</t>
  </si>
  <si>
    <t xml:space="preserve">C5</t>
  </si>
  <si>
    <t xml:space="preserve">Per the handover the script PlantProcess-IQ-Live-Demo-Script.md is DELIVERED (connect-&gt;map-&gt;build page-&gt;...). Remaining: fill the 2 placeholders (roadmap specifics + your real per-plant price) and rehearse it cold once, including the surprise-question answers (incl. the new 'do you ship a customer-usable admin?' -&gt; no; only the sysadmin support account, customer admin added at commissioning).</t>
  </si>
  <si>
    <t xml:space="preserve">You run it cold once end-to-end with the placeholders filled. Evidence: the script doc + a rehearsal note.</t>
  </si>
  <si>
    <t xml:space="preserve">V1-26</t>
  </si>
  <si>
    <t xml:space="preserve">Finalize the ROI model + slide (DELIVERED — fill real price)</t>
  </si>
  <si>
    <t xml:space="preserve">A5-1, A5-7</t>
  </si>
  <si>
    <t xml:space="preserve">G5</t>
  </si>
  <si>
    <t xml:space="preserve">Per the handover PlantProcess-IQ-ROI-Model.xlsx + PlantProcess-IQ-ROI-Slide.pptx are DELIVERED (base case EUR 480,000/yr vs a EUR 300k placeholder price; labelled projected-not-proven). Remaining: replace the placeholder price with your real per-plant price and re-verify the figure still exceeds it. Also fits the 07-editions-and-licensing doc (which carries [[PER_PLANT_ACV_RANGE]]).</t>
  </si>
  <si>
    <t xml:space="preserve">The model + slide carry a defensible EUR/yr number against your real price, assumptions stated, tied to the demo finding. Evidence: the files.</t>
  </si>
  <si>
    <t xml:space="preserve">V1-27</t>
  </si>
  <si>
    <t xml:space="preserve">Finalize the founder credibility pack (DELIVERED as 09-founder doc — fill background)</t>
  </si>
  <si>
    <t xml:space="preserve">A5-10</t>
  </si>
  <si>
    <t xml:space="preserve">The customer doc 09-founder-and-company.md is DELIVERED and on-brand. Remaining: fill [[YEARS]] and [[BACKGROUND_DETAIL]] (your 14 yrs PSI Metals / SMS / EzzSteel, named plants/processes), [[COMPANY_LOCATION]], [[CONTACT_NAME_AND_EMAIL]], [[WEBSITE_URL]]; optionally produce the one-slide version placed before the offer slide.</t>
  </si>
  <si>
    <t xml:space="preserve">The doc (and optional slide) has your named plants + contact filled; on-brand. Evidence: the file.</t>
  </si>
  <si>
    <t xml:space="preserve">V1-28</t>
  </si>
  <si>
    <t xml:space="preserve">Technical annex to the 1-Jul deck (engineer/CEO audience: architecture, stats methods, security)</t>
  </si>
  <si>
    <t xml:space="preserve">A5,A6</t>
  </si>
  <si>
    <t xml:space="preserve">A6-1</t>
  </si>
  <si>
    <t xml:space="preserve">The 22-slide procurement deck exists (1-Jul). For 8-Jul add a short technical annex: architecture/topology slide (read-only, OT-safe, two-stage pipeline), statistics discipline slide (methods, FDR, readiness gates, abstain), security slide (Argon2id, signed license, RBAC, no-egress AI), and the honest-status slide (implemented vs validation-ongoing, per capability with data volumes). Fix contact placeholders (email/phone) from slide 22.</t>
  </si>
  <si>
    <t xml:space="preserve">Rehearsed once; &lt;=12 slides; on-brand. Evidence: the file.</t>
  </si>
  <si>
    <t xml:space="preserve">V1-29</t>
  </si>
  <si>
    <t xml:space="preserve">Finalize the pilot offer (DELIVERED as 08-pilot doc — fill price/customer)</t>
  </si>
  <si>
    <t xml:space="preserve">A5-7</t>
  </si>
  <si>
    <t xml:space="preserve">The customer doc 08-pilot-offer.md is DELIVERED (read-only, time-boxed, fee-credited-on-conversion; scope/success/commercials tables). Remaining: fill [[PILOT_FEE]] (lean EUR30k for the first), [[CONVERSION_TARGET]] (the EUR120k/yr figure), [[CUSTOMER_NAME]], [[PILOT_DURATION]], and the source/target-question specifics per prospect.</t>
  </si>
  <si>
    <t xml:space="preserve">One offer with the price + conversion figure + ask filled for a named prospect. Evidence: the file.</t>
  </si>
  <si>
    <t xml:space="preserve">V1-30</t>
  </si>
  <si>
    <t xml:space="preserve">Cut the 2-3 minute demo video (blueprint delivered)</t>
  </si>
  <si>
    <t xml:space="preserve">Per the handover the cut sheet PlantProcess-IQ-Demo-Reel-CutSheet.md is DELIVERED (2:45 EDL + VO + export + 'no dead click' QC). The MP4 render is yours and depends on the V1-13 recording.</t>
  </si>
  <si>
    <t xml:space="preserve">2-3 min MP4; no dead click. Evidence: the file.</t>
  </si>
  <si>
    <t xml:space="preserve">V1-31</t>
  </si>
  <si>
    <t xml:space="preserve">DONE 03-Jul: Website content refresh (aim/features/value-chain/pricing/diagram)</t>
  </si>
  <si>
    <t xml:space="preserve">A6-6, A6-7</t>
  </si>
  <si>
    <t xml:space="preserve">G14</t>
  </si>
  <si>
    <t xml:space="preserve">DONE</t>
  </si>
  <si>
    <t xml:space="preserve">Rewrote phase1WebsiteProof.ts + App.tsx + PricingLicenseMatrix + Showcase: canonical-tagline hero, How-It-Works 6-step pipeline, Beyond-BI differentiator (correlation/suggestions/grounded AI, "implemented, validation ongoing"), Proven-At-Scale (11,997/1,993/5,688/6), pricing rebuilt to locked deposit+subscription (Standard 12k+6k / Pro Plus 28k+14k Recommended / Enterprise 50k+25k), connector truth updated (PG/MSSQL/MySQL/Oracle run live in demo env). Content validator updated in the same change.</t>
  </si>
  <si>
    <t xml:space="preserve">validate-website-content.mjs PASS (80 checks incl. new tier/value-chain/AI-honesty needles); check-tagline PASS; tsc+vite build PASS on target machine 03-Jul 11:12.</t>
  </si>
  <si>
    <t xml:space="preserve">modification</t>
  </si>
  <si>
    <t xml:space="preserve">NEW 03-Jul</t>
  </si>
  <si>
    <t xml:space="preserve">V1-32</t>
  </si>
  <si>
    <t xml:space="preserve">DONE 03-Jul: Header nav styling drift fix (.site-nav never styled)</t>
  </si>
  <si>
    <t xml:space="preserve">A6-8</t>
  </si>
  <si>
    <t xml:space="preserve">Root cause: markup uses .site-nav/.phase10-nav but only .nav-links was ever styled -&gt; raw underlined links, brand text inline. Appended nav-polish CSS (pill links, hover, cyan active, brand column stack, sticky border) to phase10.css, idempotent marker.</t>
  </si>
  <si>
    <t xml:space="preserve">Header renders spaced pill links with active page highlighted; validators green; applied 03-Jul.</t>
  </si>
  <si>
    <t xml:space="preserve">bug fix</t>
  </si>
  <si>
    <t xml:space="preserve">V1-33</t>
  </si>
  <si>
    <t xml:space="preserve">DONE 03-Jul: BOM hygiene test excludes deploy\.ppiq-backups (+ stray BOM stripped)</t>
  </si>
  <si>
    <t xml:space="preserve">Utf8NoBomRepositoryHygieneTests skip-list lacked .ppiq-backups, so ANY backup of a .sql/.json broke the suite (conflicts with backup-before-edit mandate). Added StartsWith deploy\.ppiq-backups + Contains \.ppiq-backups mirroring the existing pattern; stripped the BOM from stage2_fn_dump.sql.</t>
  </si>
  <si>
    <t xml:space="preserve">dotnet test --filter Utf8NoBomRepositoryHygieneTests PASS; full suite no longer fails on backups.</t>
  </si>
  <si>
    <t xml:space="preserve">V1-34</t>
  </si>
  <si>
    <t xml:space="preserve">DONE 03-Jul: Consolidated Administrator - journey tabs wired; internal codes + env badges gated</t>
  </si>
  <si>
    <t xml:space="preserve">A4-1, A3-1</t>
  </si>
  <si>
    <t xml:space="preserve">Root cause of "Test Journey not implemented": three competing admin surfaces; the routed one was the shallow demo-orchestration page while DbConfigurationTab (1150), SchemaConfigurationTab (955), ImportingDataTab, JobsMonitorTab were mounted nowhere. AdminPageContent now mounts all four + Connector Truth + honest read-only License card. PageShell task eyebrows render only under VITE_SHOW_TASK_CODES=1; AppLayout DEVELOPMENT/DEMO/tier badges only under VITE_SHOW_ENVIRONMENT_BADGES=1 (data-* attrs preserved for e2e).</t>
  </si>
  <si>
    <t xml:space="preserve">tsc clean, vite build clean, vitest 202/202 PASS on target machine 03-Jul 13:05; /admin shows six tabs; no PPIQ-T### or DEMO/DEVELOPMENT badges visible.</t>
  </si>
  <si>
    <t xml:space="preserve">NEW 03-Jul; unblocks V1-18..V1-24</t>
  </si>
  <si>
    <t xml:space="preserve">V1-35</t>
  </si>
  <si>
    <t xml:space="preserve">V1-P3 Product truth &amp; golden rule (03-Jul findings)</t>
  </si>
  <si>
    <t xml:space="preserve">Demo-layer eradication A: remove demo MACHINERY from the app (golden rule)</t>
  </si>
  <si>
    <t xml:space="preserve">A1,A3</t>
  </si>
  <si>
    <t xml:space="preserve">A1-6</t>
  </si>
  <si>
    <t xml:space="preserve">Hardening</t>
  </si>
  <si>
    <t xml:space="preserve">Per the golden rule (no demo code/page/path/mode in the product, demo = external emulated sources only): remove src/demo/plantProcessDemoScenario* (hardcoded fake scenario fixtures consumed by DemoModeContext + LockedFeatureOverlay - fabricated state in the product), remove state/DemoModeContext (unwire from App.tsx + AppLayout), components/demo/* (EnvironmentBanner/ModeControl/ReadinessPanel/LifecycleKpiStrip), the /demo-lifecycle route + DemoLifecyclePage, api/demo/*. Demo-RESET moves OUT of the app into tools/ (PowerShell + compose script that resets the emulation source containers + re-seeds) - Karim decision pending: default = delete-from-app. LockedFeatureOverlay must read real license state, never scenario fixtures.</t>
  </si>
  <si>
    <t xml:space="preserve">grep -ri "demoScenario|DemoModeContext|demo-lifecycle" src/ returns ONLY the architecture test; tsc+build+vitest green; LockedFeatureOverlay renders from LicenseContext live; tools/reset-emulation-sources.ps1 resets + reseeds the fleet.</t>
  </si>
  <si>
    <t xml:space="preserve">NEW 03-Jul audit</t>
  </si>
  <si>
    <t xml:space="preserve">V1-36</t>
  </si>
  <si>
    <t xml:space="preserve">Demo-layer eradication B: rename generic code trapped in demo-named files</t>
  </si>
  <si>
    <t xml:space="preserve">A1-4</t>
  </si>
  <si>
    <t xml:space="preserve">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Naming Golden Rule applies; customer must never see "demo" in a route, title, or bundle chunk name.</t>
  </si>
  <si>
    <t xml:space="preserve">No file/route/component in src/ contains "demo" except the architecture test + allowlist; bundle chunk names contain no Demo*; tsc+build+vitest green; /admin Connector Truth tab unchanged visually.</t>
  </si>
  <si>
    <t xml:space="preserve">NEW 03-Jul audit; feeds V2-24</t>
  </si>
  <si>
    <t xml:space="preserve">V1-37</t>
  </si>
  <si>
    <t xml:space="preserve">Strengthened NO-DEMO-CODE CI gate (the guard that failed)</t>
  </si>
  <si>
    <t xml:space="preserve">noHardcodedDemoPages.test.ts passed while the whole demo layer existed - its rule is too narrow. Rewrite as a real gate: FAIL if any file/symbol/route under src/ matches (?i)demo (allowlist: the test itself + an explicit documented list, empty after V1-35/36); FAIL on fixture datasets imported by product components. Wire into vitest architecture suite + the repo guard script so CI blocks regressions.</t>
  </si>
  <si>
    <t xml:space="preserve">Introduce a dummy src/pages/DemoFoo.tsx -&gt; vitest fails with a clear message; remove it -&gt; green. Gate runs in the Jenkins frontend stage.</t>
  </si>
  <si>
    <t xml:space="preserve">V1-38</t>
  </si>
  <si>
    <t xml:space="preserve">Plant display name from configuration (kill hardcoded "Demo Plant")</t>
  </si>
  <si>
    <t xml:space="preserve">A1,A6</t>
  </si>
  <si>
    <t xml:space="preserve">AppLayout hardcodes "Demo Plant" in the plant strip. Plant/site display name must come from configuration (site/tenant record in ppiq_meta via an existing overview endpoint, fallback to a neutral default like the tenant name). Generic for mineral-water/cars/food installs.</t>
  </si>
  <si>
    <t xml:space="preserve">Change the site name in DB/config -&gt; sidebar shows it after reload; grep "Demo Plant" in src/ returns nothing.</t>
  </si>
  <si>
    <t xml:space="preserve">V1-39</t>
  </si>
  <si>
    <t xml:space="preserve">Remove the duplicate Phase56 Administrator (dead Run button) + review AdminPreview</t>
  </si>
  <si>
    <t xml:space="preserve">A3-1</t>
  </si>
  <si>
    <t xml:space="preserve">Phase56AdministratorPage duplicates the admin surface with read-only tables and a Run button with NO onClick (dead button - engineer-facing liability). Delete it (or reduce to a component reused by tests) and remove its route/usages; review AdminPreviewWorkspacePage for the same fate. One admin surface only (the 03-Jul consolidation).</t>
  </si>
  <si>
    <t xml:space="preserve">grep Phase56AdministratorPage src/ -&gt; only history; no route serves it; dead-button-scan clean on /admin*; tsc+build+vitest green.</t>
  </si>
  <si>
    <t xml:space="preserve">V1-40</t>
  </si>
  <si>
    <t xml:space="preserve">Permanent launcher fix: start-web.ps1 / start-website.ps1 stop passing positional args</t>
  </si>
  <si>
    <t xml:space="preserve">A1-10</t>
  </si>
  <si>
    <t xml:space="preserve">Launchers run "vite localhost 5173" positionally; Vite 5+ rejects (CACError: Unused args). Fix to npm run dev -- --host $env:VITE_HOST --port $env:VITE_PORT (defaults if unset); same for website (5080). Also fold the drafted ppiq-run.ps1 (three windows via Start-Process) in as the one-command dev start.</t>
  </si>
  <si>
    <t xml:space="preserve">Fresh clone: .\scripts\run\start-web.ps1 serves http://localhost:5173 with zero manual args; same for website on 5080.</t>
  </si>
  <si>
    <t xml:space="preserve">NEW 03-Jul from 02-Jul handover</t>
  </si>
  <si>
    <t xml:space="preserve">V1-41</t>
  </si>
  <si>
    <t xml:space="preserve">Stuck-run reaper (minimum viable): zombie Running -&gt; Failed(timeout), clean the 347</t>
  </si>
  <si>
    <t xml:space="preserve">A4-4</t>
  </si>
  <si>
    <t xml:space="preserve">ml_correlation_compute_runs holds 347 rows stuck "Running" - there is no max-runtime. Minimum for 8-Jul: (1) per-job-type max-runtime config (default e.g. Engine 30min); (2) a reaper (hosted service or the existing scheduler tick) transitions over-age Running -&gt; Failed with reason "timeout", logged; (3) one-off ops migration marks the existing 347 zombies Failed(timeout-backfill); (4) Jobs Monitor shows the honest state. Full governance (floors/locks/jitter) stays V2-30..V2-33.</t>
  </si>
  <si>
    <t xml:space="preserve">Induce a hung run (sleep in a test hook) -&gt; reaper flips it to Failed(timeout) within one tick; SELECT count(*) FROM ml_correlation_compute_runs WHERE status='Running' AND started &lt; now()-maxage returns 0; monitor renders the state.</t>
  </si>
  <si>
    <t xml:space="preserve">new feature</t>
  </si>
  <si>
    <t xml:space="preserve">NEW 03-Jul; lineage -&gt; V2-30</t>
  </si>
  <si>
    <t xml:space="preserve">V1-42</t>
  </si>
  <si>
    <t xml:space="preserve">Correlation run-to-result completes E2E on imported demo data (0 results today)</t>
  </si>
  <si>
    <t xml:space="preserve">A3-7</t>
  </si>
  <si>
    <t xml:space="preserve">AI+ML</t>
  </si>
  <si>
    <t xml:space="preserve">Despite 358 attempted runs, ml_correlation_results_v2 and correlation_results are EMPTY locally - the run-to-result path has never completed. Root-cause (likely readiness gate/blocked inputs vs the stuck-run defect), fix at source, and prove: run the full journey (import -&gt; canonical), start an inspection job from the HMI, engine completes, results rows written, result page renders ranked suspected contributors with population + method + q-values. This is the #1 AI-scrutiny item for 8-Jul.</t>
  </si>
  <si>
    <t xml:space="preserve">After a clean journey: inspection job status Ok; ml_correlation_results_v2 &gt; 0 for the run; CorrelationPage tab renders the ranked list with AnalysisHonestyBar; re-run with a changed duration window recomputes.</t>
  </si>
  <si>
    <t xml:space="preserve">V1-19,V1-21,V1-41</t>
  </si>
  <si>
    <t xml:space="preserve">V1-43</t>
  </si>
  <si>
    <t xml:space="preserve">Assistant provider wiring verified live (or framed "grounding implemented, provider validation ongoing")</t>
  </si>
  <si>
    <t xml:space="preserve">A5-4</t>
  </si>
  <si>
    <t xml:space="preserve">02-Jul left open: ppiq_assistant_provider_configs schema differs from assumed (no is_active) and live model wiring was never confirmed. Verify the real schema, wire ONE provider (self-hosted default or zero-retention endpoint) through V5AssistantGateway, and run one grounded Q&amp;A live over engine results (citations resolve, uncited numbers blocked). If wiring cannot be completed by 8-Jul, lock the honest framing in the script instead - never demo an unverified assistant.</t>
  </si>
  <si>
    <t xml:space="preserve">One live question over imported demo data returns a cited answer whose citation opens the evidence; egress guard verified for the no-egress toggle; OR the demo script carries the fallback framing verbatim.</t>
  </si>
  <si>
    <t xml:space="preserve">V2-01</t>
  </si>
  <si>
    <t xml:space="preserve">V2</t>
  </si>
  <si>
    <t xml:space="preserve">V2-P3 Value engine &amp; justified numbers</t>
  </si>
  <si>
    <t xml:space="preserve">Wire + prove the Value Engine LIVE on demo data (engine already built)</t>
  </si>
  <si>
    <t xml:space="preserve">A5, A3</t>
  </si>
  <si>
    <t xml:space="preserve">A5.1 quantified value · A5.7 price-to-value</t>
  </si>
  <si>
    <t xml:space="preserve">14-Jul (honest framing ready for 8-Jul)</t>
  </si>
  <si>
    <t xml:space="preserve">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per-plant rates (not BuildDemoRequest); (2) surface the result in a Value dashboard widget with drill-through to each term's input JSON; (3) prove the worked euro range reproduces LIVE through the HMI on a finding for C-0044170; (4) confirm MapValueEndpoints / MapP15ValueRealizationEndpoints return it on demo data.</t>
  </si>
  <si>
    <t xml:space="preserve">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live range and the abstain branch.</t>
  </si>
  <si>
    <t xml:space="preserve">V2-02</t>
  </si>
  <si>
    <t xml:space="preserve">Extend the grounding contract to ALL widgets (render-time uncited-number gate)</t>
  </si>
  <si>
    <t xml:space="preserve">A5.4 trustworthy AI · A3.6 population stated</t>
  </si>
  <si>
    <t xml:space="preserve">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render-time guard plus a CI gate enumerating demo-path widgets that fails on any uncited numeric.</t>
  </si>
  <si>
    <t xml:space="preserve">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</si>
  <si>
    <t xml:space="preserve">V2-03</t>
  </si>
  <si>
    <t xml:space="preserve">Wire + expose L4 statistics LIVE (Spearman/MI/Lasso/VIF/bootstrap/FDR already built)</t>
  </si>
  <si>
    <t xml:space="preserve">A3.7 correlation/ML honest</t>
  </si>
  <si>
    <t xml:space="preserve">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 strata, excluded records) in 'suspected contributor' language; expose the VIF/Lasso exclusions and FDR q-values in the result UI.</t>
  </si>
  <si>
    <t xml:space="preserve">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extended to assert the LIVE surface, not just the compute.</t>
  </si>
  <si>
    <t xml:space="preserve">V2-04</t>
  </si>
  <si>
    <t xml:space="preserve">Sharpen AI/ML results: calibration, effect-size ranking, stratified quality</t>
  </si>
  <si>
    <t xml:space="preserve">Improve the learning output: calibrated scores, effect-size (not just p-value) ranking, stratified quality by visible confounders, under BH-FDR - framed as suspected contributors. The 06-analytics-methodology doc already commits to this posture.</t>
  </si>
  <si>
    <t xml:space="preserve">On the golden dataset, true signals are recovered and spurious rejected under FDR; results show effect size + stratification. Evidence: golden-set test + clip.</t>
  </si>
  <si>
    <t xml:space="preserve">V2-17</t>
  </si>
  <si>
    <t xml:space="preserve">V2-05</t>
  </si>
  <si>
    <t xml:space="preserve">Impressive evidence-ranked suggestion engine (deterministic, euro impact)</t>
  </si>
  <si>
    <t xml:space="preserve">A5-1</t>
  </si>
  <si>
    <t xml:space="preserve">Deterministic, MD5-stable suggestions ranked by evidence + euro impact, workflow-bound with RBAC, surfaced in SuggestionCardsPanel - the 'told me something I didn't know, and proved it' moment.</t>
  </si>
  <si>
    <t xml:space="preserve">Suggestions render with population, method, evidence handle and a euro range; reproducible IDs. Evidence: test + clip.</t>
  </si>
  <si>
    <t xml:space="preserve">V2-18</t>
  </si>
  <si>
    <t xml:space="preserve">V2-06</t>
  </si>
  <si>
    <t xml:space="preserve">Assistant eval harness + model-version governance gate</t>
  </si>
  <si>
    <t xml:space="preserve">A2,A5</t>
  </si>
  <si>
    <t xml:space="preserve">G13</t>
  </si>
  <si>
    <t xml:space="preserve">An eval harness that gates assistant regressions and a model-version governance gate (no uncited number, citations resolve).</t>
  </si>
  <si>
    <t xml:space="preserve">The harness fails on an injected uncited-number regression; passes clean. Evidence: the harness + CI.</t>
  </si>
  <si>
    <t xml:space="preserve">V2-19</t>
  </si>
  <si>
    <t xml:space="preserve">V2-07</t>
  </si>
  <si>
    <t xml:space="preserve">V2-P4 Completeness + performance/speed</t>
  </si>
  <si>
    <t xml:space="preserve">Full backend+frontend suite green twice on clean machine (local)</t>
  </si>
  <si>
    <t xml:space="preserve">Server suite is green; close the LOCAL clean-machine path so the whole backend+frontend suite runs green twice on a fresh checkout with no hand-set vars. Builds on the local test-config task.</t>
  </si>
  <si>
    <t xml:space="preserve">Both suites exit 0 twice on a fresh local machine. Evidence: two green logs.</t>
  </si>
  <si>
    <t xml:space="preserve">V2-08</t>
  </si>
  <si>
    <t xml:space="preserve">Standardize all native buttons onto StandardButton</t>
  </si>
  <si>
    <t xml:space="preserve">A3-3</t>
  </si>
  <si>
    <t xml:space="preserve">~151 native buttons not on StandardButton. Migrate all to the standard component so styling is uniform current AND future (the Material-Investigation mismatch class is standardized away, not patched once).</t>
  </si>
  <si>
    <t xml:space="preserve">A scan shows 0 native buttons outside StandardButton; visual-regression green. Evidence: scan + diff.</t>
  </si>
  <si>
    <t xml:space="preserve">V2-09</t>
  </si>
  <si>
    <t xml:space="preserve">E2E action-matrix enumerating every demo-path control (CI gate)</t>
  </si>
  <si>
    <t xml:space="preserve">A1-5, A3-1</t>
  </si>
  <si>
    <t xml:space="preserve">The action-matrix spec exists and is 20/20 green (handover); promote it to a BLOCKING CI gate that enumerates every control on every demo-path page and runs on push.</t>
  </si>
  <si>
    <t xml:space="preserve">The action-matrix spec is green and blocking in CI. Evidence: the spec + CI run.</t>
  </si>
  <si>
    <t xml:space="preserve">V2-10</t>
  </si>
  <si>
    <t xml:space="preserve">Visual-regression harness (baseline + diff gate)</t>
  </si>
  <si>
    <t xml:space="preserve">A3,A6</t>
  </si>
  <si>
    <t xml:space="preserve">A3-3, A6-8</t>
  </si>
  <si>
    <t xml:space="preserve">Capture a baseline of every demo-path page and gate PRs on a pixel/DOM diff so styling never silently drifts.</t>
  </si>
  <si>
    <t xml:space="preserve">A deliberate style change fails the diff gate; an intended change updates the baseline. Evidence: CI run.</t>
  </si>
  <si>
    <t xml:space="preserve">V2-11</t>
  </si>
  <si>
    <t xml:space="preserve">Performance-at-scale validation (630/5,600, virtualized tables)</t>
  </si>
  <si>
    <t xml:space="preserve">A3-9</t>
  </si>
  <si>
    <t xml:space="preserve">Validate no hang/lag at demo scale; virtualize large tables; progress indicators on long loads.</t>
  </si>
  <si>
    <t xml:space="preserve">At ~630 heats/~5,600 coils, no hang; tables virtualize; long loads show progress. Evidence: measured run.</t>
  </si>
  <si>
    <t xml:space="preserve">V3-10</t>
  </si>
  <si>
    <t xml:space="preserve">V2-12</t>
  </si>
  <si>
    <t xml:space="preserve">Real lead-capture backend (form-&gt;DB row+email via relay, e2e asserts)</t>
  </si>
  <si>
    <t xml:space="preserve">Harden the CTA path into a real backend: validated submit -&gt; stored row + email (via the authenticated relay, never the VPS IP), with an e2e test asserting the row. Builds on the V1 lead-email code.</t>
  </si>
  <si>
    <t xml:space="preserve">e2e asserts a lead row + email on submit through the relay. Evidence: the test.</t>
  </si>
  <si>
    <t xml:space="preserve">V2-22</t>
  </si>
  <si>
    <t xml:space="preserve">V2-P5 Role/license/AI-boundary depth</t>
  </si>
  <si>
    <t xml:space="preserve">MFA step-up for admin accounts</t>
  </si>
  <si>
    <t xml:space="preserve">A2</t>
  </si>
  <si>
    <t xml:space="preserve">A2-4</t>
  </si>
  <si>
    <t xml:space="preserve">TOTP/WebAuthn step-up enforced for admin roles per the identity doctrine. (sysadmin is the support account; MFA applies to any admin-capable login.)</t>
  </si>
  <si>
    <t xml:space="preserve">An admin action triggers an MFA step-up live; non-admin does not. Evidence: test + clip.</t>
  </si>
  <si>
    <t xml:space="preserve">Deepen license tiers: caps enforced + expiry/grace + admin governance</t>
  </si>
  <si>
    <t xml:space="preserve">A5-3</t>
  </si>
  <si>
    <t xml:space="preserve">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</si>
  <si>
    <t xml:space="preserve">Toggling a tier visibly adds/removes features AND enforces a cap live; an expired token enters grace then read-only. Evidence: tamper test + clips.</t>
  </si>
  <si>
    <t xml:space="preserve">V2-15</t>
  </si>
  <si>
    <t xml:space="preserve">Real production Ed25519 license signing key (Option-1 -&gt; Option-3)  [NEW 26-Jun]</t>
  </si>
  <si>
    <t xml:space="preserve">A2-5, A5-3</t>
  </si>
  <si>
    <t xml:space="preserve">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and ensure the dev key is NEVER shipped/registered in a real customer Production. ALSO: real customer frontend builds must NOT bake VITE_SMOKE_* (demo credentials) into the bundle - gate the demo auto-login to the demo host only.</t>
  </si>
  <si>
    <t xml:space="preserve">A real-key-signed per-customer token activates on a clean 'customer' install with PPIQ_PRESENTATION off and NO dev key registered; grep shows the dev key + VITE_SMOKE_* absent from a customer build. Evidence: activation log + grep.</t>
  </si>
  <si>
    <t xml:space="preserve">V2-16</t>
  </si>
  <si>
    <t xml:space="preserve">Full RBAC role-scope live across 6 roles</t>
  </si>
  <si>
    <t xml:space="preserve">A5-2</t>
  </si>
  <si>
    <t xml:space="preserve">Owner/Plant-Admin/Data-Engineer/Engineer/Operator/Viewer-Executive: enforce per-role view/edit scope on every page/endpoint and prove it across all six logins. (Server identity is DB-backed app_users; sysadmin is the owner.)</t>
  </si>
  <si>
    <t xml:space="preserve">Authorization matrix green by identity; each role sees only its scope live. Evidence: matrix test + clips.</t>
  </si>
  <si>
    <t xml:space="preserve">Wire DataBoundaryPolicy into assistant dispatch (no-egress live)</t>
  </si>
  <si>
    <t xml:space="preserve">A2-8</t>
  </si>
  <si>
    <t xml:space="preserve">Route every assistant call through the gateway so only question + scoped evidence leaves; honour a per-tenant no-egress toggle (self-hosted default). The 04-security doc commits to this.</t>
  </si>
  <si>
    <t xml:space="preserve">Self-hosted mode leaks nothing; private-endpoint sends only question+evidence; toggle proven. Evidence: test + capture.</t>
  </si>
  <si>
    <t xml:space="preserve">V2-20</t>
  </si>
  <si>
    <t xml:space="preserve">V2-P6 Documentation (screenshots) + web</t>
  </si>
  <si>
    <t xml:space="preserve">User guide: embed app screenshots into the delivered 02-capabilities narrative</t>
  </si>
  <si>
    <t xml:space="preserve">The narrative user guide is DELIVERED (02-platform-capabilities.md + index walk the platform feature by feature, zero placeholders). Remaining: capture real app screenshots from the live demo and embed them inline + a 9-step walkthrough section.</t>
  </si>
  <si>
    <t xml:space="preserve">The guide carries screenshots matching the current UI alongside the delivered narrative. Evidence: the doc.</t>
  </si>
  <si>
    <t xml:space="preserve">V2-23</t>
  </si>
  <si>
    <t xml:space="preserve">Install runbook: embed screenshots into the delivered 03-architecture narrative</t>
  </si>
  <si>
    <t xml:space="preserve">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</si>
  <si>
    <t xml:space="preserve">A clean machine reaches a working login by following the runbook only. Evidence: the runbook + a clean-follow log.</t>
  </si>
  <si>
    <t xml:space="preserve">V2-24</t>
  </si>
  <si>
    <t xml:space="preserve">Admin/Operator guide: screenshots + two-admin model (05-onboarding delivered)</t>
  </si>
  <si>
    <t xml:space="preserve">A4-1</t>
  </si>
  <si>
    <t xml:space="preserve">The onboarding/integration narrative is DELIVERED (05-data-onboarding-and-integration.md). Remaining: an admin/operator guide with screenshots covering source onboarding, mapping, jobs monitor, schema-drift, and the two-admin model (sysadmin vs the customer admin added at commissioning).</t>
  </si>
  <si>
    <t xml:space="preserve">The guide covers each admin task with screenshots. Evidence: the doc.</t>
  </si>
  <si>
    <t xml:space="preserve">V2-25</t>
  </si>
  <si>
    <t xml:space="preserve">V2-21</t>
  </si>
  <si>
    <t xml:space="preserve">Security whitepaper (DELIVERED as 04-security doc — verify + publish)</t>
  </si>
  <si>
    <t xml:space="preserve">A2-1</t>
  </si>
  <si>
    <t xml:space="preserve">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</si>
  <si>
    <t xml:space="preserve">Each control in the doc maps to shipped behavior or a tracked task; mail posture added. Evidence: the doc + a control-to-code map.</t>
  </si>
  <si>
    <t xml:space="preserve">V2-26</t>
  </si>
  <si>
    <t xml:space="preserve">API reference</t>
  </si>
  <si>
    <t xml:space="preserve">A1-7</t>
  </si>
  <si>
    <t xml:space="preserve">Normal</t>
  </si>
  <si>
    <t xml:space="preserve">Generate/author an API reference for the public endpoints (auth, licensing ed25519 activate/current with the licenseJws field, readiness, /api/v5/outbound/leads, etc.).</t>
  </si>
  <si>
    <t xml:space="preserve">The reference lists each endpoint with request/response shapes (correct field names). Evidence: the doc.</t>
  </si>
  <si>
    <t xml:space="preserve">V2-27</t>
  </si>
  <si>
    <t xml:space="preserve">Pricing &amp; license-tiers PAGE (web) — content delivered in 07-editions doc</t>
  </si>
  <si>
    <t xml:space="preserve">A6-7</t>
  </si>
  <si>
    <t xml:space="preserve">The CONTENT exists: 07-editions-and-licensing.md states the editions, the signed-entitlement model, renewal, and caps. Remaining: render it as a public web page on the marketing site (honesty-lint green) and fill [[PER_PLANT_ACV_RANGE]]/[[FLEET_ACV_RANGE]] with your real numbers.</t>
  </si>
  <si>
    <t xml:space="preserve">The page lists all four tiers with grants/renewal/caps; honesty-lint green; ACV ranges filled. Evidence: the page.</t>
  </si>
  <si>
    <t xml:space="preserve">Naming golden-rule pass: rename phase/task-named artifacts</t>
  </si>
  <si>
    <t xml:space="preserve">~193 files carry phase/task tokens (p03_p04, phase8, T042, _v6_, hotfix). This includes the production SQL still named 301_p01_p02_authstore_compatibility_bridge.sql, 302_p02_*, 300_p01_p02_*, 500_v5_p01_*, etc. Rename to descriptive names and update references; preserve only ordered-migration numeric prefixes (strip the embedded phase label). The ppiq-app project rename is already done.</t>
  </si>
  <si>
    <t xml:space="preserve">The phase/task-token grep returns 0 (outside ordered-prefix migrations); build + tests green; the server deploy stays green after the renames. Evidence: grep + green build + green deploy.</t>
  </si>
  <si>
    <t xml:space="preserve">V2-28</t>
  </si>
  <si>
    <t xml:space="preserve">System logging to rolling file (systemLog_&lt;day&gt;_&lt;hr&gt;.log, hourly)</t>
  </si>
  <si>
    <t xml:space="preserve">A1, A4</t>
  </si>
  <si>
    <t xml:space="preserve">A4.9 operational resilience</t>
  </si>
  <si>
    <t xml:space="preserve">Serilog + Sinks.File are already packaged but not configured to a system log file. Configure a structured system-oriented sink: systemLog_&lt;yyyyMMdd&gt;_&lt;HH&gt;.log with RollingInterval.Hour (a new file each hour), levels Info/Warning/Error, enrichers (machine, environment, the correlation id from CorrelationIdMiddleware), exceptions via Serilog.Exceptions. Log path and minimum level are env-configurable, never hardcoded.</t>
  </si>
  <si>
    <t xml:space="preserve">Running the API writes systemLog_&lt;day&gt;_&lt;hr&gt;.log; a new file appears at the hour boundary; an induced warning and an induced error both land with timestamp, level, and correlation id (errors include the exception); log path/level are read from config, proven by an override.</t>
  </si>
  <si>
    <t xml:space="preserve">Job + Data operational logging to rolling files (JobLog/DataLog_&lt;day&gt;_&lt;hr&gt;.log)</t>
  </si>
  <si>
    <t xml:space="preserve">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and DataLog_&lt;day&gt;_&lt;hr&gt;.log hourly AND persist the same events to a queryable store (table) so the in-app log tab can filter them.</t>
  </si>
  <si>
    <t xml:space="preserve">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type/name/severity the log tab needs.</t>
  </si>
  <si>
    <t xml:space="preserve">In-app Log tab on every page (filter by job type / name / severity / day)</t>
  </si>
  <si>
    <t xml:space="preserve">A collapsible Log panel docked at the bottom of every page (Dark-Industrial), reading the queryable job/data-log store. Filters: job type, job name, severity (Info/Warning/Error), and day. Live-updates while a job runs; severity colour-coded (ok/warn/crit tokens). Role-scoped (respects FormalRoleAccessMatrix). One generic log-query endpoint + the existing widget/data patterns - no endpoint-per-page.</t>
  </si>
  <si>
    <t xml:space="preserve">On any page the Log tab opens and shows recent job/data events; each filter (type, name, severity, day) narrows results correctly; a running job streams new lines into the tab; an Error row renders in the crit colour; a viewer role sees only its permitted scope.</t>
  </si>
  <si>
    <t xml:space="preserve">ERADICATE hardcoded Stage-2 -&gt; generic per-VIEW Loading projector (one job per mapping view)</t>
  </si>
  <si>
    <t xml:space="preserve">A3, A1</t>
  </si>
  <si>
    <t xml:space="preserve">A1.6 generic/any-DB</t>
  </si>
  <si>
    <t xml:space="preserve">Karim-locked model (03-Jul): 'Loading' = ONE JOB PER MAPPING VIEW, not a monolithic Stage-2 refresh. Build the generic projector that consumes a single SchemaViewDefinition (from the no-code mapper) and projects staging -&gt; canonical for that view, keeping its OWN processed watermark; a Loading JobDefinition is created per active mapping view (auto on save, min interval 3 min per V2-30). Delete the ppiq_run_stage2_canonical_refresh IF/ELSIF ladder entirely; the 8 demo sources become seed MAPPINGS, zero code branches. Editing a mapping view triggers the reprojection policy (Karim to decide: full reproject vs forward-only - ask before implementing).</t>
  </si>
  <si>
    <t xml:space="preserve">Create a NEW mapping view in the HMI for an unmapped staging table -&gt; a Loading job appears, runs, canonical rows appear - ZERO code change. grep the repo for src_meltshop/hsm_coils/FlatSteel identifiers in the projection path -&gt; none (V2-29 gate enforces). All 8 demo sources flow through mappings only.</t>
  </si>
  <si>
    <t xml:space="preserve">V2-29</t>
  </si>
  <si>
    <t xml:space="preserve">Generic-Only CI gate - build FAILS on any dataset/industry-specific identifier in core</t>
  </si>
  <si>
    <t xml:space="preserve">A1, A3</t>
  </si>
  <si>
    <t xml:space="preserve">G10</t>
  </si>
  <si>
    <t xml:space="preserve">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demo column names (heat_no, coil_id, piece_id, steel_grade, ...), industry type literals ('Heat','Slab','Coil','FlatSteel'), or hardcoded plant constants ('Europe/Berlin', fixed UTC offsets). Allow them ONLY inside seed-data / demo-mapping fixtures (explicit allowlist path). This keeps the product generic forever.</t>
  </si>
  <si>
    <t xml:space="preserve">Re-introducing a hardcoded demo identifier into the canonical projection path turns the build RED (negative test). The gate runs in Jenkins and blocks merge. Seed/demo-mapping fixtures are allowlisted and pass. After V2's eradication task, the gate is GREEN on the real code.</t>
  </si>
  <si>
    <t xml:space="preserve">V2-30</t>
  </si>
  <si>
    <t xml:space="preserve">Job governance 1: per-type interval FLOORS (config-driven, backend-enforced)</t>
  </si>
  <si>
    <t xml:space="preserve">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in depth); the schedule UI validates with the same values fetched from the API.</t>
  </si>
  <si>
    <t xml:space="preserve">POST a 1-min DB Link schedule -&gt; 400 with floor message; UI blocks with the same message; change the config floor -&gt; both honor it without redeploy of frontend logic (values come from API).</t>
  </si>
  <si>
    <t xml:space="preserve">NEW 03-Jul from journey spec 1.1</t>
  </si>
  <si>
    <t xml:space="preserve">V2-31</t>
  </si>
  <si>
    <t xml:space="preserve">Job governance 2: per-type max-parallelism + per-source single-scan lock + start jitter</t>
  </si>
  <si>
    <t xml:space="preserve">A2-3, A4-8</t>
  </si>
  <si>
    <t xml:space="preserve">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Design the queue to scale toward the V4 ~1000-job load test - no rebuild later.</t>
  </si>
  <si>
    <t xml:space="preserve">Schedule 60 DB-Link + 35 Loading + 10 Engine + 5 AI+ML on the demo stack; run 30 min: server healthy, docker stats bounded, no source container ever shows 2 concurrent scans (assert via lock table), monitor shows queued -&gt; running transitions.</t>
  </si>
  <si>
    <t xml:space="preserve">V2-32</t>
  </si>
  <si>
    <t xml:space="preserve">Job governance 3: Loading no-op fast path (watermark compare, exit in ms)</t>
  </si>
  <si>
    <t xml:space="preserve">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</si>
  <si>
    <t xml:space="preserve">Run a Loading job twice with no new staging rows: second run completes &lt; 200 ms with status NoNewData; insert one staging row -&gt; next run processes exactly the delta.</t>
  </si>
  <si>
    <t xml:space="preserve">V2-28,V2-30</t>
  </si>
  <si>
    <t xml:space="preserve">NEW 03-Jul from journey spec 1.1/1.2</t>
  </si>
  <si>
    <t xml:space="preserve">V2-33</t>
  </si>
  <si>
    <t xml:space="preserve">Job governance 4: Run-now button on every job type (respects locks, refuses double-run)</t>
  </si>
  <si>
    <t xml:space="preserve">A4,A3</t>
  </si>
  <si>
    <t xml:space="preserve">Run-now bypasses the SCHEDULE, never the guards: it acquires the same per-source lock/parallelism slot, and refuses politely (typed 409) if the same job is already executing (no silent queue-forever, no double-execution). Exposed on all four job types in Jobs Monitor + the owning pages.</t>
  </si>
  <si>
    <t xml:space="preserve">Click Run-now while the job runs -&gt; UI shows "already running" from the 409; run-now on a source mid-scan queues/locks correctly; no duplicate concurrent execution observable in the run table.</t>
  </si>
  <si>
    <t xml:space="preserve">V2-31,V1-41</t>
  </si>
  <si>
    <t xml:space="preserve">V3-01</t>
  </si>
  <si>
    <t xml:space="preserve">V3</t>
  </si>
  <si>
    <t xml:space="preserve">V3-P7 Deep security &amp; ops hardening</t>
  </si>
  <si>
    <t xml:space="preserve">Enforce RLS on core tables (decide tenant_id; non-superuser app role)</t>
  </si>
  <si>
    <t xml:space="preserve">A2-6</t>
  </si>
  <si>
    <t xml:space="preserve">post-deal</t>
  </si>
  <si>
    <t xml:space="preserve">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</si>
  <si>
    <t xml:space="preserve">Cross-tenant access returns 403/empty live under a non-superuser role. Evidence: RlsTenantIsolation test green + clip.</t>
  </si>
  <si>
    <t xml:space="preserve">V3-02</t>
  </si>
  <si>
    <t xml:space="preserve">Encryption at rest: staging/canonical/credential-vault</t>
  </si>
  <si>
    <t xml:space="preserve">A2-9</t>
  </si>
  <si>
    <t xml:space="preserve">Encryption at rest for the app DB and the source-credential vault; document the key management. The 04-security doc already states this as a design property - implement + verify it.</t>
  </si>
  <si>
    <t xml:space="preserve">At-rest encryption is on and verified; credentials are encrypted in the vault. Evidence: config + verification.</t>
  </si>
  <si>
    <t xml:space="preserve">V3-03</t>
  </si>
  <si>
    <t xml:space="preserve">Move Jenkins to a separate Docker network from the app project  [NEW 26-Jun]</t>
  </si>
  <si>
    <t xml:space="preserve">A2-10</t>
  </si>
  <si>
    <t xml:space="preserve">NEW from the 26-Jun session. Today ppiq-jenkins and the app project share network reachability via the edge alias. Move Jenkins onto its own network so the CI/CD agent is isolated from the app stack (defense in depth), keeping only the Caddy fronting it.</t>
  </si>
  <si>
    <t xml:space="preserve">Jenkins runs on a dedicated network; the app stack cannot reach Jenkins by name; deploys still work. Evidence: network inspect + a green deploy.</t>
  </si>
  <si>
    <t xml:space="preserve">V3-04</t>
  </si>
  <si>
    <t xml:space="preserve">Wire SourceLoadProtectionPolicy into the live query path</t>
  </si>
  <si>
    <t xml:space="preserve">A2-3</t>
  </si>
  <si>
    <t xml:space="preserve">G11</t>
  </si>
  <si>
    <t xml:space="preserve">Enforce the per-source impact budget on a real query path so an over-budget query is throttled, not just policy-defined.</t>
  </si>
  <si>
    <t xml:space="preserve">An over-budget query is throttled live. Evidence: test + clip.</t>
  </si>
  <si>
    <t xml:space="preserve">V3-05</t>
  </si>
  <si>
    <t xml:space="preserve">Nightly full-suite CI job (cron)</t>
  </si>
  <si>
    <t xml:space="preserve">A1-5</t>
  </si>
  <si>
    <t xml:space="preserve">The deploy pipeline runs on push; add a scheduled nightly job that runs the FULL backend+frontend+e2e suite and reports flaky tests, independent of pushes.</t>
  </si>
  <si>
    <t xml:space="preserve">A nightly run exists and reports pass-rate + flaky count. Evidence: the cron job + a nightly report.</t>
  </si>
  <si>
    <t xml:space="preserve">V3-06</t>
  </si>
  <si>
    <t xml:space="preserve">Health dashboard (suite/e2e pass-rate, flaky count)</t>
  </si>
  <si>
    <t xml:space="preserve">A small dashboard surfacing suite pass-rate, e2e pass-rate, and flaky-test count over time.</t>
  </si>
  <si>
    <t xml:space="preserve">The dashboard renders current + trend from real runs. Evidence: the page.</t>
  </si>
  <si>
    <t xml:space="preserve">V3-07</t>
  </si>
  <si>
    <t xml:space="preserve">HasDefaultSchema -&gt; ppiq_meta/ppiq_plant for EF entities</t>
  </si>
  <si>
    <t xml:space="preserve">A1-3</t>
  </si>
  <si>
    <t xml:space="preserve">Add HasDefaultSchema mapping so EF tables land in ppiq_meta/ppiq_plant instead of public, realising the app-metadata vs customer-data split.</t>
  </si>
  <si>
    <t xml:space="preserve">`\dt ppiq_meta.*` and `ppiq_plant.*` list the EF tables after migrate. Evidence: psql output.</t>
  </si>
  <si>
    <t xml:space="preserve">V3-08</t>
  </si>
  <si>
    <t xml:space="preserve">V3-P8 Multi-industry &amp; generic</t>
  </si>
  <si>
    <t xml:space="preserve">Second-industry demo dataset (paper/board line) + mapping templates</t>
  </si>
  <si>
    <t xml:space="preserve">A3-11</t>
  </si>
  <si>
    <t xml:space="preserve">A paper/board demo dataset (sources + fixtures) and mapping templates, built entirely through the HMI like the steel demo - proving the generic mandate the docs claim.</t>
  </si>
  <si>
    <t xml:space="preserve">The paper demo builds from empty via HMI; a genealogy thread resolves on its keys. Evidence: clip.</t>
  </si>
  <si>
    <t xml:space="preserve">V3-09</t>
  </si>
  <si>
    <t xml:space="preserve">Third-industry demo dataset (food &amp; beverage) + tier configs</t>
  </si>
  <si>
    <t xml:space="preserve">A food &amp; beverage demo dataset + per-tier configs, same HMI-only build.</t>
  </si>
  <si>
    <t xml:space="preserve">The F&amp;B demo builds from empty via HMI. Evidence: clip.</t>
  </si>
  <si>
    <t xml:space="preserve">Generic canonical-mapping template library + no-code visual-mapper polish</t>
  </si>
  <si>
    <t xml:space="preserve">A4-2</t>
  </si>
  <si>
    <t xml:space="preserve">A reusable template library + polish on the no-code visual mapper so the common case needs zero SQL across industries.</t>
  </si>
  <si>
    <t xml:space="preserve">A non-developer maps a new source via templates + drag-drop, no SQL. Evidence: clip.</t>
  </si>
  <si>
    <t xml:space="preserve">V3-11</t>
  </si>
  <si>
    <t xml:space="preserve">Demo dataset polish + per-industry scripted reset</t>
  </si>
  <si>
    <t xml:space="preserve">Polish each demo dataset and add a one-command scripted reset per industry so any prospect sees the same clean story.</t>
  </si>
  <si>
    <t xml:space="preserve">One command resets+reseeds an industry to a known state. Evidence: run log.</t>
  </si>
  <si>
    <t xml:space="preserve">V3-12</t>
  </si>
  <si>
    <t xml:space="preserve">Historian connector to GA (behavioural-tested)</t>
  </si>
  <si>
    <t xml:space="preserve">A2-2</t>
  </si>
  <si>
    <t xml:space="preserve">Take one historian connector (e.g. OPC-UA) to GA with behavioural certification tests.</t>
  </si>
  <si>
    <t xml:space="preserve">The historian connector passes behavioural certification + links live. Evidence: test + clip.</t>
  </si>
  <si>
    <t xml:space="preserve">V3-13</t>
  </si>
  <si>
    <t xml:space="preserve">One-command customer-install package (per-industry overlay)</t>
  </si>
  <si>
    <t xml:space="preserve">Package a one-command customer install with a per-industry overlay, building on the green server pipeline + PPIQ_SITE_HOST host-derivation.</t>
  </si>
  <si>
    <t xml:space="preserve">A fresh host installs + reaches login with one command + an overlay. Evidence: clean-install log.</t>
  </si>
  <si>
    <t xml:space="preserve">V3-14</t>
  </si>
  <si>
    <t xml:space="preserve">V3-P9 Accessibility, i18n &amp; scale</t>
  </si>
  <si>
    <t xml:space="preserve">WCAG 2.1 AA light theme + contrast audit</t>
  </si>
  <si>
    <t xml:space="preserve">A6-9</t>
  </si>
  <si>
    <t xml:space="preserve">A WCAG 2.1 AA light theme + contrast audit across the app.</t>
  </si>
  <si>
    <t xml:space="preserve">An automated WCAG audit passes AA; the light theme renders. Evidence: audit report.</t>
  </si>
  <si>
    <t xml:space="preserve">V3-15</t>
  </si>
  <si>
    <t xml:space="preserve">Arabic RTL + locale/units/timezone switching per user</t>
  </si>
  <si>
    <t xml:space="preserve">Arabic RTL layout + per-user locale/units/timezone switching.</t>
  </si>
  <si>
    <t xml:space="preserve">Switching to Arabic re-flows RTL correctly; units/timezone follow the user. Evidence: clip.</t>
  </si>
  <si>
    <t xml:space="preserve">V3-16</t>
  </si>
  <si>
    <t xml:space="preserve">i18n as resource files (.resx/JSON) + fix mojibake</t>
  </si>
  <si>
    <t xml:space="preserve">A1-1</t>
  </si>
  <si>
    <t xml:space="preserve">Move i18n out of SQL inserts (420/425/610) into resource files; fix the encoding-damaged strings.</t>
  </si>
  <si>
    <t xml:space="preserve">Strings load from resource files; no mojibake; the SQL i18n inserts are retired. Evidence: diff + render.</t>
  </si>
  <si>
    <t xml:space="preserve">V3-17</t>
  </si>
  <si>
    <t xml:space="preserve">Soak job (24-72h synthetic load on demo path)</t>
  </si>
  <si>
    <t xml:space="preserve">A 24-72h synthetic-load soak against the demo path to catch leaks/instability.</t>
  </si>
  <si>
    <t xml:space="preserve">A 24h+ soak completes with no leak/regression. Evidence: soak report.</t>
  </si>
  <si>
    <t xml:space="preserve">V3-18</t>
  </si>
  <si>
    <t xml:space="preserve">Real-domain TLS cutover (off sslip.io)  [NEW 26-Jun]</t>
  </si>
  <si>
    <t xml:space="preserve">A2,A6</t>
  </si>
  <si>
    <t xml:space="preserve">A6-6</t>
  </si>
  <si>
    <t xml:space="preserve">NEW from the 26-Jun session. The demo runs on 178.105.152.180.sslip.io with host-derived URLs (PPIQ_SITE_HOST). To move to a real domain: set PPIQ_SITE_HOST=&lt;domain&gt;, CADDY_AUTO_HTTPS=on, ACME_EMAIL=&lt;addr&gt;, point real DNS, and let Caddy issue real certs - all URLs + CORS follow automatically.</t>
  </si>
  <si>
    <t xml:space="preserve">The app/api/website serve on the real domain over valid public TLS; CORS allows the real origins. Evidence: cert + curl.</t>
  </si>
  <si>
    <t xml:space="preserve">V3-19</t>
  </si>
  <si>
    <t xml:space="preserve">QES product page to depth</t>
  </si>
  <si>
    <t xml:space="preserve">Optional</t>
  </si>
  <si>
    <t xml:space="preserve">Take the QES product page to full depth (was 'coming soon').</t>
  </si>
  <si>
    <t xml:space="preserve">The QES page is complete; honesty-lint green. Evidence: the page.</t>
  </si>
  <si>
    <t xml:space="preserve">V3-20</t>
  </si>
  <si>
    <t xml:space="preserve">Energy Management product page to depth</t>
  </si>
  <si>
    <t xml:space="preserve">Take the Energy Management product page to full depth.</t>
  </si>
  <si>
    <t xml:space="preserve">The Energy page is complete; honesty-lint green. Evidence: the page.</t>
  </si>
  <si>
    <t xml:space="preserve">V3-21</t>
  </si>
  <si>
    <t xml:space="preserve">Multi-tenancy: tenant column on material_units + tenant-parameterized canonical layer + RLS</t>
  </si>
  <si>
    <t xml:space="preserve">A2, A1</t>
  </si>
  <si>
    <t xml:space="preserve">A2.6 tenant isolation</t>
  </si>
  <si>
    <t xml:space="preserve">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 parameterize the canonical views by the session tenant, and put RLS on the base tables so a customer can never read another tenant's rows. Model-first: EF entity + IEntityTypeConfiguration + ModelSnapshot in sync; DB constructs in a numbered SQL migration.</t>
  </si>
  <si>
    <t xml:space="preserve">A cross-tenant query returns 0 rows / 403 (RLS proven by test); the canonical views resolve the SESSION tenant, not a constant; the genealogy tests pass without relying on 'earliest row == constant'; a second seeded tenant's data is fully isolated end-to-end.</t>
  </si>
  <si>
    <t xml:space="preserve">V3-22</t>
  </si>
  <si>
    <t xml:space="preserve">i18n-harden the honesty + grounding gates (structural, not English keywords)</t>
  </si>
  <si>
    <t xml:space="preserve">A5, A2</t>
  </si>
  <si>
    <t xml:space="preserve">A5.4 trustworthy AI</t>
  </si>
  <si>
    <t xml:space="preserve">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type flag on claims, claim-type metadata, and locale-aware resource-backed term sets - so the honesty/causation gate holds in EN/DE/AR.</t>
  </si>
  <si>
    <t xml:space="preserve">The honesty/causation gate blocks the same intent in German and Arabic test fixtures (not just English); no raw English-keyword regex remains in the value/grounding path; the existing English tests still pass.</t>
  </si>
  <si>
    <t xml:space="preserve">V3-23</t>
  </si>
  <si>
    <t xml:space="preserve">Log retention, size caps &amp; optional forwarding (ops policy)</t>
  </si>
  <si>
    <t xml:space="preserve">A4, A2</t>
  </si>
  <si>
    <t xml:space="preserve">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</si>
  <si>
    <t xml:space="preserve">Logs older than the configured window are pruned/compressed; total log size stays under the cap under a soak; a secret deliberately passed through is NOT present in any log (scrub test); the forwarding target receives events when enabled.</t>
  </si>
  <si>
    <t xml:space="preserve">V4-01</t>
  </si>
  <si>
    <t xml:space="preserve">V4</t>
  </si>
  <si>
    <t xml:space="preserve">V4-P10 Ops / HA + OT</t>
  </si>
  <si>
    <t xml:space="preserve">Backup/restore drill (verified restore, recorded)</t>
  </si>
  <si>
    <t xml:space="preserve">Drill a full backup + verified restore of the app DB; record it. Closes the restore half of A4-9/G9 the deploy session did not.</t>
  </si>
  <si>
    <t xml:space="preserve">A restore from backup reaches a working login; recorded. Evidence: the recording.</t>
  </si>
  <si>
    <t xml:space="preserve">V4-02</t>
  </si>
  <si>
    <t xml:space="preserve">Verify deploy rollback to :previous</t>
  </si>
  <si>
    <t xml:space="preserve">The pipeline already tags :previous and rolls back on a failed health gate. Verify it end-to-end by inducing a health-gate failure and confirming the rollback restores service.</t>
  </si>
  <si>
    <t xml:space="preserve">An induced bad deploy rolls back to :previous and service stays up. Evidence: pipeline log.</t>
  </si>
  <si>
    <t xml:space="preserve">V4-03</t>
  </si>
  <si>
    <t xml:space="preserve">Time-series store (hypertables, compression, retention)</t>
  </si>
  <si>
    <t xml:space="preserve">A4-8</t>
  </si>
  <si>
    <t xml:space="preserve">Introduce a time-series store (hypertables/columnar, compression, downsampling, retention) for high-frequency parameters.</t>
  </si>
  <si>
    <t xml:space="preserve">Parameter data lands in the time-series store with compression + retention. Evidence: schema + query.</t>
  </si>
  <si>
    <t xml:space="preserve">V4-04</t>
  </si>
  <si>
    <t xml:space="preserve">Deployable OT-safe edge agent (one-way push)</t>
  </si>
  <si>
    <t xml:space="preserve">Build a deployable Edge Collector that pushes one-way from the DMZ; the core never connects into OT. The docs already describe this model.</t>
  </si>
  <si>
    <t xml:space="preserve">The agent pushes one-way; no inbound path to OT; load within budget. Evidence: deploy + capture.</t>
  </si>
  <si>
    <t xml:space="preserve">V4-05</t>
  </si>
  <si>
    <t xml:space="preserve">Human-approved advisory write-back (business workflow, never OT)</t>
  </si>
  <si>
    <t xml:space="preserve">A5-9</t>
  </si>
  <si>
    <t xml:space="preserve">Advisory write-back into business workflow (case/action tracking) with human approval - never a setpoint/command to control.</t>
  </si>
  <si>
    <t xml:space="preserve">An approved advisory creates a tracked action; no OT write path exists. Evidence: workflow + code-search.</t>
  </si>
  <si>
    <t xml:space="preserve">V4-06</t>
  </si>
  <si>
    <t xml:space="preserve">Enforce performance budgets in CI</t>
  </si>
  <si>
    <t xml:space="preserve">Add performance budgets as CI gates so regressions fail the build.</t>
  </si>
  <si>
    <t xml:space="preserve">A deliberate perf regression fails CI. Evidence: CI run.</t>
  </si>
  <si>
    <t xml:space="preserve">V4-07</t>
  </si>
  <si>
    <t xml:space="preserve">Load-test at reference-plant scale</t>
  </si>
  <si>
    <t xml:space="preserve">Load-test at realistic reference-plant scale (well beyond demo scale).</t>
  </si>
  <si>
    <t xml:space="preserve">The system holds at reference scale within budget. Evidence: load report.</t>
  </si>
  <si>
    <t xml:space="preserve">V4-08</t>
  </si>
  <si>
    <t xml:space="preserve">V4-P11 Compliance + ops</t>
  </si>
  <si>
    <t xml:space="preserve">Start SOC 2 Type II observation window</t>
  </si>
  <si>
    <t xml:space="preserve">G16</t>
  </si>
  <si>
    <t xml:space="preserve">Begin the SOC 2 Type II observation window (controls evidenced over time).</t>
  </si>
  <si>
    <t xml:space="preserve">The observation window is open with controls evidenced. Evidence: the tracker.</t>
  </si>
  <si>
    <t xml:space="preserve">V4-09</t>
  </si>
  <si>
    <t xml:space="preserve">ISO 27001 mapping + sensitive-data catalog</t>
  </si>
  <si>
    <t xml:space="preserve">Map controls to ISO 27001 and catalog sensitive data.</t>
  </si>
  <si>
    <t xml:space="preserve">The mapping + catalog exist. Evidence: the docs.</t>
  </si>
  <si>
    <t xml:space="preserve">V4-10</t>
  </si>
  <si>
    <t xml:space="preserve">GxP / 21 CFR Part 11 pack (audit trail, e-signature)</t>
  </si>
  <si>
    <t xml:space="preserve">A GxP / 21 CFR Part 11 pack where required (audit trail + e-signature).</t>
  </si>
  <si>
    <t xml:space="preserve">The pack evidences audit trail + e-signature. Evidence: the docs.</t>
  </si>
  <si>
    <t xml:space="preserve">V4-11</t>
  </si>
  <si>
    <t xml:space="preserve">Public status page</t>
  </si>
  <si>
    <t xml:space="preserve">A public status page for the hosted service.</t>
  </si>
  <si>
    <t xml:space="preserve">The status page reflects real health. Evidence: the page.</t>
  </si>
  <si>
    <t xml:space="preserve">V4-12</t>
  </si>
  <si>
    <t xml:space="preserve">AI triage loop (agent drafts fix PRs, human-approved)</t>
  </si>
  <si>
    <t xml:space="preserve">An AI triage loop where an agent drafts fix PRs from failing tests, human-approved.</t>
  </si>
  <si>
    <t xml:space="preserve">The loop drafts a PR for an injected failure; human merges. Evidence: the PR.</t>
  </si>
  <si>
    <t xml:space="preserve">V4-13</t>
  </si>
  <si>
    <t xml:space="preserve">Recorded certified dry-run (one-click readiness on video)</t>
  </si>
  <si>
    <t xml:space="preserve">A recorded certified dry-run showing one-click readiness green - the reference acceptance artifact.</t>
  </si>
  <si>
    <t xml:space="preserve">The recording shows readiness green end-to-end. Evidence: the file.</t>
  </si>
  <si>
    <t xml:space="preserve">V4-14</t>
  </si>
  <si>
    <t xml:space="preserve">Consolidate full operator/admin/security docs</t>
  </si>
  <si>
    <t xml:space="preserve">Consolidate the delivered doc suite (01-09) + the screenshot-embedded guides into one coherent, cross-linked, versioned doc set.</t>
  </si>
  <si>
    <t xml:space="preserve">One consolidated doc set, cross-linked. Evidence: the docs.</t>
  </si>
  <si>
    <t xml:space="preserve">V4-15</t>
  </si>
  <si>
    <t xml:space="preserve">V4-P12 Business / reference</t>
  </si>
  <si>
    <t xml:space="preserve">Incorporate (UG/GmbH) + imprint</t>
  </si>
  <si>
    <t xml:space="preserve">Incorporate the company (UG/GmbH) and add the legal imprint.</t>
  </si>
  <si>
    <t xml:space="preserve">The entity exists + imprint published. Evidence: the registration.</t>
  </si>
  <si>
    <t xml:space="preserve">V4-16</t>
  </si>
  <si>
    <t xml:space="preserve">Pilot contract + MNDA + DPA templates</t>
  </si>
  <si>
    <t xml:space="preserve">Pilot contract, mutual NDA, and DPA templates ready to sign (the 08-pilot doc is the commercial offer; these are the legal instruments).</t>
  </si>
  <si>
    <t xml:space="preserve">The three templates exist + reviewed. Evidence: the files.</t>
  </si>
  <si>
    <t xml:space="preserve">V4-17</t>
  </si>
  <si>
    <t xml:space="preserve">Target list + outreach sequence (PSI network)</t>
  </si>
  <si>
    <t xml:space="preserve">A target list + outreach sequence leveraging your PSI/SMS network.</t>
  </si>
  <si>
    <t xml:space="preserve">The list + sequence exist + first touches sent. Evidence: the tracker.</t>
  </si>
  <si>
    <t xml:space="preserve">V4-18</t>
  </si>
  <si>
    <t xml:space="preserve">Convert presentation customer into a signed paid pilot</t>
  </si>
  <si>
    <t xml:space="preserve">Convert the presentation prospect into a signed paid pilot (using the delivered 08-pilot offer with your price filled).</t>
  </si>
  <si>
    <t xml:space="preserve">A signed pilot agreement exists. Evidence: the signature.</t>
  </si>
  <si>
    <t xml:space="preserve">V4-19</t>
  </si>
  <si>
    <t xml:space="preserve">Prove ROI on the customer's real data (pilot deliverable)</t>
  </si>
  <si>
    <t xml:space="preserve">On the customer's real data, prove a bounded ROI - the pilot deliverable.</t>
  </si>
  <si>
    <t xml:space="preserve">A proven (not projected) euro figure on the customer's data. Evidence: the report.</t>
  </si>
  <si>
    <t xml:space="preserve">V4-20</t>
  </si>
  <si>
    <t xml:space="preserve">Run the paid pilot</t>
  </si>
  <si>
    <t xml:space="preserve">A4,A5</t>
  </si>
  <si>
    <t xml:space="preserve">Run the paid pilot end-to-end on the customer's environment.</t>
  </si>
  <si>
    <t xml:space="preserve">The pilot completes its scope. Evidence: the pilot log.</t>
  </si>
  <si>
    <t xml:space="preserve">V4-21</t>
  </si>
  <si>
    <t xml:space="preserve">Convert pilot to a signed contract</t>
  </si>
  <si>
    <t xml:space="preserve">Convert the completed pilot into a signed annual contract.</t>
  </si>
  <si>
    <t xml:space="preserve">A signed contract exists. Evidence: the signature.</t>
  </si>
  <si>
    <t xml:space="preserve">V4-22</t>
  </si>
  <si>
    <t xml:space="preserve">Produce the case study / reference</t>
  </si>
  <si>
    <t xml:space="preserve">Produce a case study / reference from the pilot customer.</t>
  </si>
  <si>
    <t xml:space="preserve">A published case study + a reference contact. Evidence: the file.</t>
  </si>
  <si>
    <t xml:space="preserve">V4-23</t>
  </si>
  <si>
    <t xml:space="preserve">Viability arrangement (hire / escrow+BCP / partner)</t>
  </si>
  <si>
    <t xml:space="preserve">Close the bus-factor objection: a hire, source escrow + BCP, or a partner.</t>
  </si>
  <si>
    <t xml:space="preserve">A viability arrangement is in place. Evidence: the agreement.</t>
  </si>
  <si>
    <t xml:space="preserve">V4-24</t>
  </si>
  <si>
    <t xml:space="preserve">Support SLA offering</t>
  </si>
  <si>
    <t xml:space="preserve">A support SLA offering (tiers, response times).</t>
  </si>
  <si>
    <t xml:space="preserve">The SLA offering exists. Evidence: the doc.</t>
  </si>
  <si>
    <t xml:space="preserve">V4-25</t>
  </si>
  <si>
    <t xml:space="preserve">Funding / partnership decision</t>
  </si>
  <si>
    <t xml:space="preserve">Decide funding/partnership direction.</t>
  </si>
  <si>
    <t xml:space="preserve">A decision recorded. Evidence: the note.</t>
  </si>
  <si>
    <t xml:space="preserve">Version Summary v13</t>
  </si>
  <si>
    <t xml:space="preserve">Tasks</t>
  </si>
  <si>
    <t xml:space="preserve">Scope (h)</t>
  </si>
  <si>
    <t xml:space="preserve">TOTAL</t>
  </si>
  <si>
    <t xml:space="preserve">By meeting target</t>
  </si>
</sst>
</file>

<file path=xl/styles.xml><?xml version="1.0" encoding="utf-8"?>
<styleSheet xmlns="http://schemas.openxmlformats.org/spreadsheetml/2006/main">
  <numFmts count="2">
    <numFmt numFmtId="164" formatCode="General"/>
    <numFmt numFmtId="165" formatCode="0%"/>
  </numFmts>
  <fonts count="19">
    <font>
      <sz val="11"/>
      <color theme="1"/>
      <name val="Calibri"/>
      <family val="2"/>
      <charset val="1"/>
    </font>
    <font>
      <sz val="10"/>
      <name val="Arial"/>
      <family val="0"/>
    </font>
    <font>
      <sz val="10"/>
      <name val="Arial"/>
      <family val="0"/>
    </font>
    <font>
      <sz val="10"/>
      <name val="Arial"/>
      <family val="0"/>
    </font>
    <font>
      <b val="true"/>
      <sz val="16"/>
      <color rgb="FF00D4FF"/>
      <name val="Calibri"/>
      <family val="0"/>
      <charset val="1"/>
    </font>
    <font>
      <sz val="11"/>
      <color rgb="FFCADCFC"/>
      <name val="Calibri"/>
      <family val="0"/>
      <charset val="1"/>
    </font>
    <font>
      <b val="true"/>
      <sz val="13"/>
      <color rgb="FF00D4FF"/>
      <name val="Cambria"/>
      <family val="0"/>
      <charset val="1"/>
    </font>
    <font>
      <b val="true"/>
      <sz val="10"/>
      <color rgb="FF00D4FF"/>
      <name val="Calibri"/>
      <family val="0"/>
      <charset val="1"/>
    </font>
    <font>
      <b val="true"/>
      <sz val="10"/>
      <color rgb="FF00D4FF"/>
      <name val="Consolas"/>
      <family val="0"/>
      <charset val="1"/>
    </font>
    <font>
      <sz val="10"/>
      <color rgb="FFCADCFC"/>
      <name val="Calibri"/>
      <family val="0"/>
      <charset val="1"/>
    </font>
    <font>
      <b val="true"/>
      <sz val="10"/>
      <color rgb="FFFF4D6D"/>
      <name val="Cambria"/>
      <family val="0"/>
      <charset val="1"/>
    </font>
    <font>
      <b val="true"/>
      <sz val="10"/>
      <color rgb="FFFFB020"/>
      <name val="Cambria"/>
      <family val="0"/>
      <charset val="1"/>
    </font>
    <font>
      <b val="true"/>
      <sz val="10"/>
      <color rgb="FFCADCFC"/>
      <name val="Cambria"/>
      <family val="0"/>
      <charset val="1"/>
    </font>
    <font>
      <b val="true"/>
      <sz val="10"/>
      <color rgb="FF2CE6A2"/>
      <name val="Cambria"/>
      <family val="0"/>
      <charset val="1"/>
    </font>
    <font>
      <b val="true"/>
      <sz val="14"/>
      <color rgb="FF00D4FF"/>
      <name val="Cambria"/>
      <family val="0"/>
      <charset val="1"/>
    </font>
    <font>
      <b val="true"/>
      <sz val="11"/>
      <color rgb="FF00D4FF"/>
      <name val="Cambria"/>
      <family val="0"/>
      <charset val="1"/>
    </font>
    <font>
      <b val="true"/>
      <sz val="11"/>
      <color rgb="FFCADCFC"/>
      <name val="Cambria"/>
      <family val="0"/>
      <charset val="1"/>
    </font>
    <font>
      <b val="true"/>
      <sz val="12"/>
      <color rgb="FF00D4FF"/>
      <name val="Cambria"/>
      <family val="0"/>
      <charset val="1"/>
    </font>
    <font>
      <sz val="11"/>
      <color rgb="FFCADCFC"/>
      <name val="Cambria"/>
      <family val="0"/>
      <charset val="1"/>
    </font>
  </fonts>
  <fills count="5">
    <fill>
      <patternFill patternType="none"/>
    </fill>
    <fill>
      <patternFill patternType="gray125"/>
    </fill>
    <fill>
      <patternFill patternType="solid">
        <fgColor rgb="FF050B18"/>
        <bgColor rgb="FF000000"/>
      </patternFill>
    </fill>
    <fill>
      <patternFill patternType="solid">
        <fgColor rgb="FF0B1730"/>
        <bgColor rgb="FF050B18"/>
      </patternFill>
    </fill>
    <fill>
      <patternFill patternType="solid">
        <fgColor rgb="FF102A43"/>
        <bgColor rgb="FF0B1730"/>
      </patternFill>
    </fill>
  </fills>
  <borders count="2">
    <border diagonalUp="false" diagonalDown="false">
      <left/>
      <right/>
      <top/>
      <bottom/>
      <diagonal/>
    </border>
    <border diagonalUp="false" diagonalDown="false">
      <left/>
      <right/>
      <top/>
      <bottom style="thin">
        <color rgb="FF1E3A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2" fillId="3" borderId="1" xfId="0" applyFont="true" applyBorder="true" applyAlignment="true" applyProtection="false">
      <alignment horizontal="general" vertical="top" textRotation="0" wrapText="false" indent="0" shrinkToFit="false"/>
      <protection locked="true" hidden="false"/>
    </xf>
    <xf numFmtId="165" fontId="9" fillId="3" borderId="1" xfId="0" applyFont="true" applyBorder="true" applyAlignment="true" applyProtection="false">
      <alignment horizontal="general"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false" indent="0" shrinkToFit="false"/>
      <protection locked="true" hidden="false"/>
    </xf>
    <xf numFmtId="164" fontId="13" fillId="4" borderId="1" xfId="0" applyFont="true" applyBorder="true" applyAlignment="true" applyProtection="false">
      <alignment horizontal="general" vertical="top" textRotation="0" wrapText="false" indent="0" shrinkToFit="false"/>
      <protection locked="true" hidden="false"/>
    </xf>
    <xf numFmtId="164" fontId="13" fillId="3" borderId="1" xfId="0" applyFont="true" applyBorder="true" applyAlignment="true" applyProtection="false">
      <alignment horizontal="general" vertical="top"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50B18"/>
      <rgbColor rgb="FF808000"/>
      <rgbColor rgb="FF800080"/>
      <rgbColor rgb="FF008080"/>
      <rgbColor rgb="FFC0C0C0"/>
      <rgbColor rgb="FF808080"/>
      <rgbColor rgb="FF9999FF"/>
      <rgbColor rgb="FF993366"/>
      <rgbColor rgb="FFFFFFCC"/>
      <rgbColor rgb="FFCCFFFF"/>
      <rgbColor rgb="FF660066"/>
      <rgbColor rgb="FFFF4D6D"/>
      <rgbColor rgb="FF0A84FF"/>
      <rgbColor rgb="FFCADCFC"/>
      <rgbColor rgb="FF000080"/>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2CE6A2"/>
      <rgbColor rgb="FF99CC00"/>
      <rgbColor rgb="FFFFCC00"/>
      <rgbColor rgb="FFFFB020"/>
      <rgbColor rgb="FFFF6600"/>
      <rgbColor rgb="FF666699"/>
      <rgbColor rgb="FF969696"/>
      <rgbColor rgb="FF102A43"/>
      <rgbColor rgb="FF339966"/>
      <rgbColor rgb="FF0B1730"/>
      <rgbColor rgb="FF333300"/>
      <rgbColor rgb="FF993300"/>
      <rgbColor rgb="FF993366"/>
      <rgbColor rgb="FF333399"/>
      <rgbColor rgb="FF1E3A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4FF"/>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28.35" hidden="false" customHeight="false" outlineLevel="0" collapsed="false">
      <c r="A4" s="2" t="s">
        <v>2</v>
      </c>
    </row>
    <row r="5" customFormat="false" ht="28.35" hidden="false" customHeight="false" outlineLevel="0" collapsed="false">
      <c r="A5" s="2" t="s">
        <v>3</v>
      </c>
    </row>
    <row r="6" customFormat="false" ht="41.75" hidden="false" customHeight="false" outlineLevel="0" collapsed="false">
      <c r="A6" s="2" t="s">
        <v>4</v>
      </c>
    </row>
    <row r="7" customFormat="false" ht="41.75" hidden="false" customHeight="false" outlineLevel="0" collapsed="false">
      <c r="A7" s="2" t="s">
        <v>5</v>
      </c>
    </row>
    <row r="8" customFormat="false" ht="28.35" hidden="false" customHeight="false" outlineLevel="0" collapsed="false">
      <c r="A8" s="2" t="s">
        <v>6</v>
      </c>
    </row>
    <row r="9" customFormat="false" ht="28.35" hidden="false" customHeight="false" outlineLevel="0" collapsed="false">
      <c r="A9" s="2" t="s">
        <v>7</v>
      </c>
    </row>
    <row r="10" customFormat="false" ht="15" hidden="false" customHeight="false" outlineLevel="0" collapsed="false">
      <c r="A10" s="2"/>
    </row>
    <row r="11" customFormat="false" ht="28.35" hidden="false" customHeight="false" outlineLevel="0" collapsed="false">
      <c r="A11" s="2" t="s">
        <v>8</v>
      </c>
    </row>
    <row r="12" customFormat="false" ht="15" hidden="false" customHeight="false" outlineLevel="0" collapsed="false">
      <c r="A12" s="2"/>
    </row>
    <row r="13" customFormat="false" ht="41.75" hidden="false" customHeight="false" outlineLevel="0" collapsed="false">
      <c r="A13"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84FF"/>
    <pageSetUpPr fitToPage="false"/>
  </sheetPr>
  <dimension ref="A1:T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34"/>
    <col collapsed="false" customWidth="true" hidden="false" outlineLevel="0" max="4" min="4" style="0" width="46"/>
    <col collapsed="false" customWidth="true" hidden="false" outlineLevel="0" max="5" min="5" style="0" width="10"/>
    <col collapsed="false" customWidth="true" hidden="false" outlineLevel="0" max="6" min="6" style="0" width="12"/>
    <col collapsed="false" customWidth="true" hidden="false" outlineLevel="0" max="7" min="7" style="0" width="6"/>
    <col collapsed="false" customWidth="true" hidden="false" outlineLevel="0" max="8" min="8" style="0" width="12"/>
    <col collapsed="false" customWidth="true" hidden="false" outlineLevel="0" max="9" min="9" style="0" width="10"/>
    <col collapsed="false" customWidth="true" hidden="false" outlineLevel="0" max="10" min="10" style="0" width="13"/>
    <col collapsed="false" customWidth="true" hidden="false" outlineLevel="0" max="11" min="11" style="0" width="15"/>
    <col collapsed="false" customWidth="true" hidden="false" outlineLevel="0" max="12" min="12" style="0" width="8"/>
    <col collapsed="false" customWidth="true" hidden="false" outlineLevel="0" max="13" min="13" style="0" width="15"/>
    <col collapsed="false" customWidth="true" hidden="false" outlineLevel="0" max="14" min="14" style="0" width="95"/>
    <col collapsed="false" customWidth="true" hidden="false" outlineLevel="0" max="15" min="15" style="0" width="75"/>
    <col collapsed="false" customWidth="true" hidden="false" outlineLevel="0" max="16" min="16" style="0" width="12"/>
    <col collapsed="false" customWidth="true" hidden="false" outlineLevel="0" max="17" min="17" style="0" width="9"/>
    <col collapsed="false" customWidth="true" hidden="false" outlineLevel="0" max="18" min="18" style="0" width="12"/>
    <col collapsed="false" customWidth="true" hidden="false" outlineLevel="0" max="19" min="19" style="0" width="14"/>
    <col collapsed="false" customWidth="true" hidden="false" outlineLevel="0" max="20" min="20" style="0" width="22"/>
  </cols>
  <sheetData>
    <row r="1" customFormat="false" ht="16.15" hidden="false" customHeight="false" outlineLevel="0" collapsed="false">
      <c r="A1" s="3" t="s">
        <v>10</v>
      </c>
    </row>
    <row r="2" customFormat="false" ht="23.85" hidden="false" customHeight="false" outlineLevel="0" collapsed="false">
      <c r="A2" s="4" t="s">
        <v>11</v>
      </c>
      <c r="B2" s="4" t="s">
        <v>12</v>
      </c>
      <c r="C2" s="4" t="s">
        <v>13</v>
      </c>
      <c r="D2" s="4" t="s">
        <v>14</v>
      </c>
      <c r="E2" s="4" t="s">
        <v>15</v>
      </c>
      <c r="F2" s="4" t="s">
        <v>16</v>
      </c>
      <c r="G2" s="4" t="s">
        <v>17</v>
      </c>
      <c r="H2" s="4" t="s">
        <v>18</v>
      </c>
      <c r="I2" s="4" t="s">
        <v>19</v>
      </c>
      <c r="J2" s="4" t="s">
        <v>20</v>
      </c>
      <c r="K2" s="4" t="s">
        <v>21</v>
      </c>
      <c r="L2" s="4" t="s">
        <v>22</v>
      </c>
      <c r="M2" s="4" t="s">
        <v>23</v>
      </c>
      <c r="N2" s="4" t="s">
        <v>24</v>
      </c>
      <c r="O2" s="4" t="s">
        <v>25</v>
      </c>
      <c r="P2" s="4" t="s">
        <v>26</v>
      </c>
      <c r="Q2" s="4" t="s">
        <v>27</v>
      </c>
      <c r="R2" s="4" t="s">
        <v>28</v>
      </c>
      <c r="S2" s="4" t="s">
        <v>29</v>
      </c>
      <c r="T2" s="4" t="s">
        <v>30</v>
      </c>
    </row>
    <row r="3" customFormat="false" ht="79.85" hidden="false" customHeight="false" outlineLevel="0" collapsed="false">
      <c r="A3" s="5" t="s">
        <v>31</v>
      </c>
      <c r="B3" s="6" t="s">
        <v>32</v>
      </c>
      <c r="C3" s="7" t="s">
        <v>33</v>
      </c>
      <c r="D3" s="7" t="s">
        <v>34</v>
      </c>
      <c r="E3" s="6" t="s">
        <v>35</v>
      </c>
      <c r="F3" s="6" t="s">
        <v>36</v>
      </c>
      <c r="G3" s="6" t="s">
        <v>37</v>
      </c>
      <c r="H3" s="6" t="s">
        <v>38</v>
      </c>
      <c r="I3" s="6" t="s">
        <v>39</v>
      </c>
      <c r="J3" s="8" t="s">
        <v>40</v>
      </c>
      <c r="K3" s="9" t="s">
        <v>41</v>
      </c>
      <c r="L3" s="10" t="n">
        <v>0.8</v>
      </c>
      <c r="M3" s="9" t="s">
        <v>42</v>
      </c>
      <c r="N3" s="7" t="s">
        <v>43</v>
      </c>
      <c r="O3" s="7" t="s">
        <v>44</v>
      </c>
      <c r="P3" s="6" t="s">
        <v>45</v>
      </c>
      <c r="Q3" s="6" t="n">
        <v>6</v>
      </c>
      <c r="R3" s="6" t="n">
        <v>1.2</v>
      </c>
      <c r="S3" s="7" t="s">
        <v>46</v>
      </c>
      <c r="T3" s="7" t="s">
        <v>31</v>
      </c>
    </row>
    <row r="4" customFormat="false" ht="35.05" hidden="false" customHeight="false" outlineLevel="0" collapsed="false">
      <c r="A4" s="11" t="s">
        <v>47</v>
      </c>
      <c r="B4" s="12" t="s">
        <v>32</v>
      </c>
      <c r="C4" s="13" t="s">
        <v>33</v>
      </c>
      <c r="D4" s="13" t="s">
        <v>48</v>
      </c>
      <c r="E4" s="12" t="s">
        <v>49</v>
      </c>
      <c r="F4" s="12" t="s">
        <v>50</v>
      </c>
      <c r="G4" s="12" t="s">
        <v>51</v>
      </c>
      <c r="H4" s="12" t="s">
        <v>38</v>
      </c>
      <c r="I4" s="12" t="s">
        <v>52</v>
      </c>
      <c r="J4" s="14" t="s">
        <v>40</v>
      </c>
      <c r="K4" s="15" t="s">
        <v>53</v>
      </c>
      <c r="L4" s="16" t="n">
        <v>0.1</v>
      </c>
      <c r="M4" s="17" t="s">
        <v>42</v>
      </c>
      <c r="N4" s="13" t="s">
        <v>54</v>
      </c>
      <c r="O4" s="13" t="s">
        <v>55</v>
      </c>
      <c r="P4" s="12" t="s">
        <v>56</v>
      </c>
      <c r="Q4" s="12" t="n">
        <v>3</v>
      </c>
      <c r="R4" s="12" t="n">
        <v>2.7</v>
      </c>
      <c r="S4" s="13" t="s">
        <v>46</v>
      </c>
      <c r="T4" s="13" t="s">
        <v>47</v>
      </c>
    </row>
    <row r="5" customFormat="false" ht="46.25" hidden="false" customHeight="false" outlineLevel="0" collapsed="false">
      <c r="A5" s="5" t="s">
        <v>57</v>
      </c>
      <c r="B5" s="6" t="s">
        <v>32</v>
      </c>
      <c r="C5" s="7" t="s">
        <v>33</v>
      </c>
      <c r="D5" s="7" t="s">
        <v>58</v>
      </c>
      <c r="E5" s="6" t="s">
        <v>59</v>
      </c>
      <c r="F5" s="6" t="s">
        <v>60</v>
      </c>
      <c r="G5" s="6" t="s">
        <v>37</v>
      </c>
      <c r="H5" s="6" t="s">
        <v>61</v>
      </c>
      <c r="I5" s="6" t="s">
        <v>61</v>
      </c>
      <c r="J5" s="8" t="s">
        <v>40</v>
      </c>
      <c r="K5" s="9" t="s">
        <v>62</v>
      </c>
      <c r="L5" s="10" t="n">
        <v>0.4</v>
      </c>
      <c r="M5" s="9" t="s">
        <v>42</v>
      </c>
      <c r="N5" s="7" t="s">
        <v>63</v>
      </c>
      <c r="O5" s="7" t="s">
        <v>64</v>
      </c>
      <c r="P5" s="6" t="s">
        <v>56</v>
      </c>
      <c r="Q5" s="6" t="n">
        <v>5</v>
      </c>
      <c r="R5" s="6" t="n">
        <v>3</v>
      </c>
      <c r="S5" s="7" t="s">
        <v>31</v>
      </c>
      <c r="T5" s="7" t="s">
        <v>57</v>
      </c>
    </row>
    <row r="6" customFormat="false" ht="46.25" hidden="false" customHeight="false" outlineLevel="0" collapsed="false">
      <c r="A6" s="11" t="s">
        <v>65</v>
      </c>
      <c r="B6" s="12" t="s">
        <v>32</v>
      </c>
      <c r="C6" s="13" t="s">
        <v>33</v>
      </c>
      <c r="D6" s="13" t="s">
        <v>66</v>
      </c>
      <c r="E6" s="12" t="s">
        <v>67</v>
      </c>
      <c r="F6" s="12" t="s">
        <v>68</v>
      </c>
      <c r="G6" s="12" t="s">
        <v>37</v>
      </c>
      <c r="H6" s="12" t="s">
        <v>39</v>
      </c>
      <c r="I6" s="12" t="s">
        <v>39</v>
      </c>
      <c r="J6" s="17" t="s">
        <v>69</v>
      </c>
      <c r="K6" s="15" t="s">
        <v>53</v>
      </c>
      <c r="L6" s="16" t="n">
        <v>0</v>
      </c>
      <c r="M6" s="17" t="s">
        <v>42</v>
      </c>
      <c r="N6" s="13" t="s">
        <v>70</v>
      </c>
      <c r="O6" s="13" t="s">
        <v>71</v>
      </c>
      <c r="P6" s="12" t="s">
        <v>56</v>
      </c>
      <c r="Q6" s="12" t="n">
        <v>6</v>
      </c>
      <c r="R6" s="12" t="n">
        <v>6</v>
      </c>
      <c r="S6" s="13" t="s">
        <v>46</v>
      </c>
      <c r="T6" s="13" t="s">
        <v>72</v>
      </c>
    </row>
    <row r="7" customFormat="false" ht="46.25" hidden="false" customHeight="false" outlineLevel="0" collapsed="false">
      <c r="A7" s="5" t="s">
        <v>73</v>
      </c>
      <c r="B7" s="6" t="s">
        <v>32</v>
      </c>
      <c r="C7" s="7" t="s">
        <v>33</v>
      </c>
      <c r="D7" s="7" t="s">
        <v>74</v>
      </c>
      <c r="E7" s="6" t="s">
        <v>75</v>
      </c>
      <c r="F7" s="6" t="s">
        <v>68</v>
      </c>
      <c r="G7" s="6" t="s">
        <v>37</v>
      </c>
      <c r="H7" s="6" t="s">
        <v>39</v>
      </c>
      <c r="I7" s="6" t="s">
        <v>39</v>
      </c>
      <c r="J7" s="18" t="s">
        <v>76</v>
      </c>
      <c r="K7" s="18" t="s">
        <v>53</v>
      </c>
      <c r="L7" s="10" t="n">
        <v>0</v>
      </c>
      <c r="M7" s="9" t="s">
        <v>42</v>
      </c>
      <c r="N7" s="7" t="s">
        <v>77</v>
      </c>
      <c r="O7" s="7" t="s">
        <v>78</v>
      </c>
      <c r="P7" s="6" t="s">
        <v>56</v>
      </c>
      <c r="Q7" s="6" t="n">
        <v>5</v>
      </c>
      <c r="R7" s="6" t="n">
        <v>5</v>
      </c>
      <c r="S7" s="7" t="s">
        <v>46</v>
      </c>
      <c r="T7" s="7" t="s">
        <v>79</v>
      </c>
    </row>
    <row r="8" customFormat="false" ht="57.45" hidden="false" customHeight="false" outlineLevel="0" collapsed="false">
      <c r="A8" s="11" t="s">
        <v>80</v>
      </c>
      <c r="B8" s="12" t="s">
        <v>32</v>
      </c>
      <c r="C8" s="13" t="s">
        <v>33</v>
      </c>
      <c r="D8" s="13" t="s">
        <v>81</v>
      </c>
      <c r="E8" s="12" t="s">
        <v>82</v>
      </c>
      <c r="F8" s="12" t="s">
        <v>83</v>
      </c>
      <c r="G8" s="12" t="s">
        <v>37</v>
      </c>
      <c r="H8" s="12" t="s">
        <v>56</v>
      </c>
      <c r="I8" s="12" t="s">
        <v>39</v>
      </c>
      <c r="J8" s="17" t="s">
        <v>69</v>
      </c>
      <c r="K8" s="15" t="s">
        <v>53</v>
      </c>
      <c r="L8" s="16" t="n">
        <v>0</v>
      </c>
      <c r="M8" s="17" t="s">
        <v>42</v>
      </c>
      <c r="N8" s="13" t="s">
        <v>84</v>
      </c>
      <c r="O8" s="13" t="s">
        <v>85</v>
      </c>
      <c r="P8" s="12" t="s">
        <v>56</v>
      </c>
      <c r="Q8" s="12" t="n">
        <v>5</v>
      </c>
      <c r="R8" s="12" t="n">
        <v>5</v>
      </c>
      <c r="S8" s="13"/>
      <c r="T8" s="13" t="s">
        <v>86</v>
      </c>
    </row>
    <row r="9" customFormat="false" ht="46.25" hidden="false" customHeight="false" outlineLevel="0" collapsed="false">
      <c r="A9" s="5" t="s">
        <v>87</v>
      </c>
      <c r="B9" s="6" t="s">
        <v>32</v>
      </c>
      <c r="C9" s="7" t="s">
        <v>33</v>
      </c>
      <c r="D9" s="7" t="s">
        <v>88</v>
      </c>
      <c r="E9" s="6" t="s">
        <v>35</v>
      </c>
      <c r="F9" s="6" t="s">
        <v>89</v>
      </c>
      <c r="G9" s="6" t="s">
        <v>37</v>
      </c>
      <c r="H9" s="6" t="s">
        <v>38</v>
      </c>
      <c r="I9" s="6" t="s">
        <v>90</v>
      </c>
      <c r="J9" s="8" t="s">
        <v>40</v>
      </c>
      <c r="K9" s="18" t="s">
        <v>53</v>
      </c>
      <c r="L9" s="10" t="n">
        <v>0.3</v>
      </c>
      <c r="M9" s="9" t="s">
        <v>42</v>
      </c>
      <c r="N9" s="7" t="s">
        <v>91</v>
      </c>
      <c r="O9" s="7" t="s">
        <v>92</v>
      </c>
      <c r="P9" s="6" t="s">
        <v>93</v>
      </c>
      <c r="Q9" s="6" t="n">
        <v>4</v>
      </c>
      <c r="R9" s="6" t="n">
        <v>2.8</v>
      </c>
      <c r="S9" s="7" t="s">
        <v>94</v>
      </c>
      <c r="T9" s="7" t="s">
        <v>87</v>
      </c>
    </row>
    <row r="10" customFormat="false" ht="46.25" hidden="false" customHeight="false" outlineLevel="0" collapsed="false">
      <c r="A10" s="11" t="s">
        <v>95</v>
      </c>
      <c r="B10" s="12" t="s">
        <v>32</v>
      </c>
      <c r="C10" s="13" t="s">
        <v>33</v>
      </c>
      <c r="D10" s="13" t="s">
        <v>96</v>
      </c>
      <c r="E10" s="12" t="s">
        <v>97</v>
      </c>
      <c r="F10" s="12" t="s">
        <v>98</v>
      </c>
      <c r="G10" s="12" t="s">
        <v>99</v>
      </c>
      <c r="H10" s="12" t="s">
        <v>100</v>
      </c>
      <c r="I10" s="12" t="s">
        <v>100</v>
      </c>
      <c r="J10" s="17" t="s">
        <v>69</v>
      </c>
      <c r="K10" s="17" t="s">
        <v>41</v>
      </c>
      <c r="L10" s="16" t="n">
        <v>0.65</v>
      </c>
      <c r="M10" s="17" t="s">
        <v>42</v>
      </c>
      <c r="N10" s="13" t="s">
        <v>101</v>
      </c>
      <c r="O10" s="13" t="s">
        <v>102</v>
      </c>
      <c r="P10" s="12" t="s">
        <v>103</v>
      </c>
      <c r="Q10" s="12" t="n">
        <v>4</v>
      </c>
      <c r="R10" s="12" t="n">
        <v>1.4</v>
      </c>
      <c r="S10" s="13" t="s">
        <v>46</v>
      </c>
      <c r="T10" s="13" t="s">
        <v>104</v>
      </c>
    </row>
    <row r="11" customFormat="false" ht="68.65" hidden="false" customHeight="false" outlineLevel="0" collapsed="false">
      <c r="A11" s="5" t="s">
        <v>105</v>
      </c>
      <c r="B11" s="6" t="s">
        <v>32</v>
      </c>
      <c r="C11" s="7" t="s">
        <v>106</v>
      </c>
      <c r="D11" s="7" t="s">
        <v>107</v>
      </c>
      <c r="E11" s="6" t="s">
        <v>108</v>
      </c>
      <c r="F11" s="6" t="s">
        <v>109</v>
      </c>
      <c r="G11" s="6" t="s">
        <v>110</v>
      </c>
      <c r="H11" s="6" t="s">
        <v>111</v>
      </c>
      <c r="I11" s="6" t="s">
        <v>112</v>
      </c>
      <c r="J11" s="8" t="s">
        <v>40</v>
      </c>
      <c r="K11" s="19" t="s">
        <v>113</v>
      </c>
      <c r="L11" s="10" t="n">
        <v>0.9</v>
      </c>
      <c r="M11" s="19" t="s">
        <v>114</v>
      </c>
      <c r="N11" s="7" t="s">
        <v>115</v>
      </c>
      <c r="O11" s="7" t="s">
        <v>116</v>
      </c>
      <c r="P11" s="6" t="s">
        <v>103</v>
      </c>
      <c r="Q11" s="6" t="n">
        <v>4</v>
      </c>
      <c r="R11" s="6" t="n">
        <v>0.5</v>
      </c>
      <c r="S11" s="7" t="s">
        <v>31</v>
      </c>
      <c r="T11" s="7" t="s">
        <v>65</v>
      </c>
    </row>
    <row r="12" customFormat="false" ht="23.85" hidden="false" customHeight="false" outlineLevel="0" collapsed="false">
      <c r="A12" s="11" t="s">
        <v>117</v>
      </c>
      <c r="B12" s="12" t="s">
        <v>32</v>
      </c>
      <c r="C12" s="13" t="s">
        <v>106</v>
      </c>
      <c r="D12" s="13" t="s">
        <v>118</v>
      </c>
      <c r="E12" s="12" t="s">
        <v>119</v>
      </c>
      <c r="F12" s="12" t="s">
        <v>120</v>
      </c>
      <c r="G12" s="12" t="s">
        <v>110</v>
      </c>
      <c r="H12" s="12" t="s">
        <v>111</v>
      </c>
      <c r="I12" s="12" t="s">
        <v>121</v>
      </c>
      <c r="J12" s="14" t="s">
        <v>40</v>
      </c>
      <c r="K12" s="17" t="s">
        <v>62</v>
      </c>
      <c r="L12" s="16" t="n">
        <v>0.85</v>
      </c>
      <c r="M12" s="14" t="s">
        <v>122</v>
      </c>
      <c r="N12" s="13" t="s">
        <v>123</v>
      </c>
      <c r="O12" s="13" t="s">
        <v>124</v>
      </c>
      <c r="P12" s="12" t="s">
        <v>93</v>
      </c>
      <c r="Q12" s="12" t="n">
        <v>2</v>
      </c>
      <c r="R12" s="12" t="n">
        <v>0.3</v>
      </c>
      <c r="S12" s="13" t="s">
        <v>65</v>
      </c>
      <c r="T12" s="13" t="s">
        <v>73</v>
      </c>
    </row>
    <row r="13" customFormat="false" ht="23.85" hidden="false" customHeight="false" outlineLevel="0" collapsed="false">
      <c r="A13" s="5" t="s">
        <v>125</v>
      </c>
      <c r="B13" s="6" t="s">
        <v>32</v>
      </c>
      <c r="C13" s="7" t="s">
        <v>106</v>
      </c>
      <c r="D13" s="7" t="s">
        <v>126</v>
      </c>
      <c r="E13" s="6" t="s">
        <v>119</v>
      </c>
      <c r="F13" s="6" t="s">
        <v>127</v>
      </c>
      <c r="G13" s="6" t="s">
        <v>128</v>
      </c>
      <c r="H13" s="6" t="s">
        <v>111</v>
      </c>
      <c r="I13" s="6" t="s">
        <v>121</v>
      </c>
      <c r="J13" s="9" t="s">
        <v>69</v>
      </c>
      <c r="K13" s="9" t="s">
        <v>62</v>
      </c>
      <c r="L13" s="10" t="n">
        <v>0.8</v>
      </c>
      <c r="M13" s="8" t="s">
        <v>122</v>
      </c>
      <c r="N13" s="7" t="s">
        <v>129</v>
      </c>
      <c r="O13" s="7" t="s">
        <v>130</v>
      </c>
      <c r="P13" s="6" t="s">
        <v>93</v>
      </c>
      <c r="Q13" s="6" t="n">
        <v>2</v>
      </c>
      <c r="R13" s="6" t="n">
        <v>0.4</v>
      </c>
      <c r="S13" s="7" t="s">
        <v>65</v>
      </c>
      <c r="T13" s="7" t="s">
        <v>80</v>
      </c>
    </row>
    <row r="14" customFormat="false" ht="23.85" hidden="false" customHeight="false" outlineLevel="0" collapsed="false">
      <c r="A14" s="11" t="s">
        <v>131</v>
      </c>
      <c r="B14" s="12" t="s">
        <v>32</v>
      </c>
      <c r="C14" s="13" t="s">
        <v>106</v>
      </c>
      <c r="D14" s="13" t="s">
        <v>132</v>
      </c>
      <c r="E14" s="12" t="s">
        <v>59</v>
      </c>
      <c r="F14" s="12" t="s">
        <v>60</v>
      </c>
      <c r="G14" s="12" t="s">
        <v>37</v>
      </c>
      <c r="H14" s="12" t="s">
        <v>61</v>
      </c>
      <c r="I14" s="12" t="s">
        <v>61</v>
      </c>
      <c r="J14" s="14" t="s">
        <v>40</v>
      </c>
      <c r="K14" s="17" t="s">
        <v>62</v>
      </c>
      <c r="L14" s="16" t="n">
        <v>0.55</v>
      </c>
      <c r="M14" s="17" t="s">
        <v>42</v>
      </c>
      <c r="N14" s="13" t="s">
        <v>133</v>
      </c>
      <c r="O14" s="13" t="s">
        <v>134</v>
      </c>
      <c r="P14" s="12" t="s">
        <v>56</v>
      </c>
      <c r="Q14" s="12" t="n">
        <v>5</v>
      </c>
      <c r="R14" s="12" t="n">
        <v>2.2</v>
      </c>
      <c r="S14" s="13" t="s">
        <v>31</v>
      </c>
      <c r="T14" s="13" t="s">
        <v>95</v>
      </c>
    </row>
    <row r="15" customFormat="false" ht="23.85" hidden="false" customHeight="false" outlineLevel="0" collapsed="false">
      <c r="A15" s="5" t="s">
        <v>135</v>
      </c>
      <c r="B15" s="6" t="s">
        <v>32</v>
      </c>
      <c r="C15" s="7" t="s">
        <v>106</v>
      </c>
      <c r="D15" s="7" t="s">
        <v>136</v>
      </c>
      <c r="E15" s="6" t="s">
        <v>75</v>
      </c>
      <c r="F15" s="6" t="s">
        <v>137</v>
      </c>
      <c r="G15" s="6" t="s">
        <v>138</v>
      </c>
      <c r="H15" s="6" t="s">
        <v>111</v>
      </c>
      <c r="I15" s="6" t="s">
        <v>139</v>
      </c>
      <c r="J15" s="8" t="s">
        <v>40</v>
      </c>
      <c r="K15" s="9" t="s">
        <v>62</v>
      </c>
      <c r="L15" s="10" t="n">
        <v>0.5</v>
      </c>
      <c r="M15" s="8" t="s">
        <v>122</v>
      </c>
      <c r="N15" s="7" t="s">
        <v>140</v>
      </c>
      <c r="O15" s="7" t="s">
        <v>141</v>
      </c>
      <c r="P15" s="6" t="s">
        <v>103</v>
      </c>
      <c r="Q15" s="6" t="n">
        <v>5</v>
      </c>
      <c r="R15" s="6" t="n">
        <v>2.5</v>
      </c>
      <c r="S15" s="7" t="s">
        <v>65</v>
      </c>
      <c r="T15" s="7" t="s">
        <v>105</v>
      </c>
    </row>
    <row r="16" customFormat="false" ht="46.25" hidden="false" customHeight="false" outlineLevel="0" collapsed="false">
      <c r="A16" s="11" t="s">
        <v>142</v>
      </c>
      <c r="B16" s="12" t="s">
        <v>32</v>
      </c>
      <c r="C16" s="13" t="s">
        <v>106</v>
      </c>
      <c r="D16" s="13" t="s">
        <v>143</v>
      </c>
      <c r="E16" s="12" t="s">
        <v>119</v>
      </c>
      <c r="F16" s="12" t="s">
        <v>144</v>
      </c>
      <c r="G16" s="12" t="s">
        <v>145</v>
      </c>
      <c r="H16" s="12" t="s">
        <v>111</v>
      </c>
      <c r="I16" s="12" t="s">
        <v>121</v>
      </c>
      <c r="J16" s="14" t="s">
        <v>40</v>
      </c>
      <c r="K16" s="17" t="s">
        <v>62</v>
      </c>
      <c r="L16" s="16" t="n">
        <v>0.4</v>
      </c>
      <c r="M16" s="14" t="s">
        <v>122</v>
      </c>
      <c r="N16" s="13" t="s">
        <v>146</v>
      </c>
      <c r="O16" s="13" t="s">
        <v>147</v>
      </c>
      <c r="P16" s="12" t="s">
        <v>93</v>
      </c>
      <c r="Q16" s="12" t="n">
        <v>3</v>
      </c>
      <c r="R16" s="12" t="n">
        <v>3</v>
      </c>
      <c r="S16" s="13" t="s">
        <v>65</v>
      </c>
      <c r="T16" s="13" t="s">
        <v>117</v>
      </c>
    </row>
    <row r="17" customFormat="false" ht="57.45" hidden="false" customHeight="false" outlineLevel="0" collapsed="false">
      <c r="A17" s="5" t="s">
        <v>148</v>
      </c>
      <c r="B17" s="6" t="s">
        <v>32</v>
      </c>
      <c r="C17" s="7" t="s">
        <v>106</v>
      </c>
      <c r="D17" s="7" t="s">
        <v>149</v>
      </c>
      <c r="E17" s="6" t="s">
        <v>150</v>
      </c>
      <c r="F17" s="6" t="s">
        <v>151</v>
      </c>
      <c r="G17" s="6" t="s">
        <v>145</v>
      </c>
      <c r="H17" s="6" t="s">
        <v>152</v>
      </c>
      <c r="I17" s="6" t="s">
        <v>61</v>
      </c>
      <c r="J17" s="8" t="s">
        <v>40</v>
      </c>
      <c r="K17" s="18" t="s">
        <v>53</v>
      </c>
      <c r="L17" s="10" t="n">
        <v>0</v>
      </c>
      <c r="M17" s="8" t="s">
        <v>122</v>
      </c>
      <c r="N17" s="7" t="s">
        <v>153</v>
      </c>
      <c r="O17" s="7" t="s">
        <v>154</v>
      </c>
      <c r="P17" s="6" t="s">
        <v>155</v>
      </c>
      <c r="Q17" s="6" t="n">
        <v>6</v>
      </c>
      <c r="R17" s="6" t="n">
        <v>6</v>
      </c>
      <c r="S17" s="7"/>
      <c r="T17" s="7" t="s">
        <v>86</v>
      </c>
    </row>
    <row r="18" customFormat="false" ht="35.05" hidden="false" customHeight="false" outlineLevel="0" collapsed="false">
      <c r="A18" s="11" t="s">
        <v>156</v>
      </c>
      <c r="B18" s="12" t="s">
        <v>32</v>
      </c>
      <c r="C18" s="13" t="s">
        <v>106</v>
      </c>
      <c r="D18" s="13" t="s">
        <v>157</v>
      </c>
      <c r="E18" s="12" t="s">
        <v>158</v>
      </c>
      <c r="F18" s="12" t="s">
        <v>159</v>
      </c>
      <c r="G18" s="12" t="s">
        <v>138</v>
      </c>
      <c r="H18" s="12" t="s">
        <v>160</v>
      </c>
      <c r="I18" s="12" t="s">
        <v>161</v>
      </c>
      <c r="J18" s="14" t="s">
        <v>40</v>
      </c>
      <c r="K18" s="15" t="s">
        <v>53</v>
      </c>
      <c r="L18" s="16" t="n">
        <v>0</v>
      </c>
      <c r="M18" s="14" t="s">
        <v>122</v>
      </c>
      <c r="N18" s="13" t="s">
        <v>162</v>
      </c>
      <c r="O18" s="13" t="s">
        <v>163</v>
      </c>
      <c r="P18" s="12" t="s">
        <v>164</v>
      </c>
      <c r="Q18" s="12" t="n">
        <v>3</v>
      </c>
      <c r="R18" s="12" t="n">
        <v>3</v>
      </c>
      <c r="S18" s="13" t="s">
        <v>117</v>
      </c>
      <c r="T18" s="13" t="s">
        <v>125</v>
      </c>
    </row>
    <row r="19" customFormat="false" ht="35.05" hidden="false" customHeight="false" outlineLevel="0" collapsed="false">
      <c r="A19" s="5" t="s">
        <v>165</v>
      </c>
      <c r="B19" s="6" t="s">
        <v>32</v>
      </c>
      <c r="C19" s="7" t="s">
        <v>106</v>
      </c>
      <c r="D19" s="7" t="s">
        <v>166</v>
      </c>
      <c r="E19" s="6" t="s">
        <v>167</v>
      </c>
      <c r="F19" s="6" t="s">
        <v>168</v>
      </c>
      <c r="G19" s="6" t="s">
        <v>51</v>
      </c>
      <c r="H19" s="6" t="s">
        <v>169</v>
      </c>
      <c r="I19" s="6" t="s">
        <v>121</v>
      </c>
      <c r="J19" s="18" t="s">
        <v>76</v>
      </c>
      <c r="K19" s="9" t="s">
        <v>62</v>
      </c>
      <c r="L19" s="10" t="n">
        <v>0.7</v>
      </c>
      <c r="M19" s="8" t="s">
        <v>122</v>
      </c>
      <c r="N19" s="7" t="s">
        <v>170</v>
      </c>
      <c r="O19" s="7" t="s">
        <v>171</v>
      </c>
      <c r="P19" s="6" t="s">
        <v>155</v>
      </c>
      <c r="Q19" s="6" t="n">
        <v>2</v>
      </c>
      <c r="R19" s="6" t="n">
        <v>0.6</v>
      </c>
      <c r="S19" s="7"/>
      <c r="T19" s="7" t="s">
        <v>86</v>
      </c>
    </row>
    <row r="20" customFormat="false" ht="79.85" hidden="false" customHeight="false" outlineLevel="0" collapsed="false">
      <c r="A20" s="11" t="s">
        <v>104</v>
      </c>
      <c r="B20" s="12" t="s">
        <v>32</v>
      </c>
      <c r="C20" s="13" t="s">
        <v>106</v>
      </c>
      <c r="D20" s="13" t="s">
        <v>172</v>
      </c>
      <c r="E20" s="12" t="s">
        <v>167</v>
      </c>
      <c r="F20" s="12" t="s">
        <v>173</v>
      </c>
      <c r="G20" s="12" t="s">
        <v>174</v>
      </c>
      <c r="H20" s="12" t="s">
        <v>169</v>
      </c>
      <c r="I20" s="12" t="s">
        <v>121</v>
      </c>
      <c r="J20" s="14" t="s">
        <v>40</v>
      </c>
      <c r="K20" s="17" t="s">
        <v>62</v>
      </c>
      <c r="L20" s="16" t="n">
        <v>0.6</v>
      </c>
      <c r="M20" s="14" t="s">
        <v>122</v>
      </c>
      <c r="N20" s="13" t="s">
        <v>175</v>
      </c>
      <c r="O20" s="13" t="s">
        <v>176</v>
      </c>
      <c r="P20" s="12" t="s">
        <v>155</v>
      </c>
      <c r="Q20" s="12" t="n">
        <v>4</v>
      </c>
      <c r="R20" s="12" t="n">
        <v>1</v>
      </c>
      <c r="S20" s="13"/>
      <c r="T20" s="13" t="s">
        <v>86</v>
      </c>
    </row>
    <row r="21" customFormat="false" ht="68.65" hidden="false" customHeight="false" outlineLevel="0" collapsed="false">
      <c r="A21" s="5" t="s">
        <v>177</v>
      </c>
      <c r="B21" s="6" t="s">
        <v>32</v>
      </c>
      <c r="C21" s="7" t="s">
        <v>106</v>
      </c>
      <c r="D21" s="7" t="s">
        <v>178</v>
      </c>
      <c r="E21" s="6" t="s">
        <v>167</v>
      </c>
      <c r="F21" s="6" t="s">
        <v>179</v>
      </c>
      <c r="G21" s="6" t="s">
        <v>174</v>
      </c>
      <c r="H21" s="6" t="s">
        <v>169</v>
      </c>
      <c r="I21" s="6" t="s">
        <v>121</v>
      </c>
      <c r="J21" s="8" t="s">
        <v>40</v>
      </c>
      <c r="K21" s="9" t="s">
        <v>62</v>
      </c>
      <c r="L21" s="10" t="n">
        <v>0.5</v>
      </c>
      <c r="M21" s="8" t="s">
        <v>122</v>
      </c>
      <c r="N21" s="7" t="s">
        <v>180</v>
      </c>
      <c r="O21" s="7" t="s">
        <v>181</v>
      </c>
      <c r="P21" s="6" t="s">
        <v>155</v>
      </c>
      <c r="Q21" s="6" t="n">
        <v>4</v>
      </c>
      <c r="R21" s="6" t="n">
        <v>1.5</v>
      </c>
      <c r="S21" s="7"/>
      <c r="T21" s="7" t="s">
        <v>86</v>
      </c>
    </row>
    <row r="22" customFormat="false" ht="46.25" hidden="false" customHeight="false" outlineLevel="0" collapsed="false">
      <c r="A22" s="11" t="s">
        <v>182</v>
      </c>
      <c r="B22" s="12" t="s">
        <v>32</v>
      </c>
      <c r="C22" s="13" t="s">
        <v>106</v>
      </c>
      <c r="D22" s="13" t="s">
        <v>183</v>
      </c>
      <c r="E22" s="12" t="s">
        <v>167</v>
      </c>
      <c r="F22" s="12" t="s">
        <v>184</v>
      </c>
      <c r="G22" s="12" t="s">
        <v>110</v>
      </c>
      <c r="H22" s="12" t="s">
        <v>169</v>
      </c>
      <c r="I22" s="12" t="s">
        <v>121</v>
      </c>
      <c r="J22" s="14" t="s">
        <v>40</v>
      </c>
      <c r="K22" s="17" t="s">
        <v>62</v>
      </c>
      <c r="L22" s="16" t="n">
        <v>0.5</v>
      </c>
      <c r="M22" s="14" t="s">
        <v>122</v>
      </c>
      <c r="N22" s="13" t="s">
        <v>185</v>
      </c>
      <c r="O22" s="13" t="s">
        <v>186</v>
      </c>
      <c r="P22" s="12" t="s">
        <v>155</v>
      </c>
      <c r="Q22" s="12" t="n">
        <v>6</v>
      </c>
      <c r="R22" s="12" t="n">
        <v>2.5</v>
      </c>
      <c r="S22" s="13"/>
      <c r="T22" s="13" t="s">
        <v>86</v>
      </c>
    </row>
    <row r="23" customFormat="false" ht="23.85" hidden="false" customHeight="false" outlineLevel="0" collapsed="false">
      <c r="A23" s="5" t="s">
        <v>187</v>
      </c>
      <c r="B23" s="6" t="s">
        <v>32</v>
      </c>
      <c r="C23" s="7" t="s">
        <v>106</v>
      </c>
      <c r="D23" s="7" t="s">
        <v>188</v>
      </c>
      <c r="E23" s="6" t="s">
        <v>167</v>
      </c>
      <c r="F23" s="6" t="s">
        <v>179</v>
      </c>
      <c r="G23" s="6" t="s">
        <v>110</v>
      </c>
      <c r="H23" s="6" t="s">
        <v>169</v>
      </c>
      <c r="I23" s="6" t="s">
        <v>121</v>
      </c>
      <c r="J23" s="8" t="s">
        <v>40</v>
      </c>
      <c r="K23" s="9" t="s">
        <v>62</v>
      </c>
      <c r="L23" s="10" t="n">
        <v>0.5</v>
      </c>
      <c r="M23" s="8" t="s">
        <v>122</v>
      </c>
      <c r="N23" s="7" t="s">
        <v>189</v>
      </c>
      <c r="O23" s="7" t="s">
        <v>190</v>
      </c>
      <c r="P23" s="6" t="s">
        <v>155</v>
      </c>
      <c r="Q23" s="6" t="n">
        <v>4</v>
      </c>
      <c r="R23" s="6" t="n">
        <v>2</v>
      </c>
      <c r="S23" s="7"/>
      <c r="T23" s="7" t="s">
        <v>86</v>
      </c>
    </row>
    <row r="24" customFormat="false" ht="57.45" hidden="false" customHeight="false" outlineLevel="0" collapsed="false">
      <c r="A24" s="11" t="s">
        <v>191</v>
      </c>
      <c r="B24" s="12" t="s">
        <v>32</v>
      </c>
      <c r="C24" s="13" t="s">
        <v>106</v>
      </c>
      <c r="D24" s="13" t="s">
        <v>192</v>
      </c>
      <c r="E24" s="12" t="s">
        <v>167</v>
      </c>
      <c r="F24" s="12" t="s">
        <v>193</v>
      </c>
      <c r="G24" s="12" t="s">
        <v>194</v>
      </c>
      <c r="H24" s="12" t="s">
        <v>169</v>
      </c>
      <c r="I24" s="12" t="s">
        <v>121</v>
      </c>
      <c r="J24" s="14" t="s">
        <v>40</v>
      </c>
      <c r="K24" s="17" t="s">
        <v>62</v>
      </c>
      <c r="L24" s="16" t="n">
        <v>0.4</v>
      </c>
      <c r="M24" s="14" t="s">
        <v>122</v>
      </c>
      <c r="N24" s="13" t="s">
        <v>195</v>
      </c>
      <c r="O24" s="13" t="s">
        <v>196</v>
      </c>
      <c r="P24" s="12" t="s">
        <v>155</v>
      </c>
      <c r="Q24" s="12" t="n">
        <v>6</v>
      </c>
      <c r="R24" s="12" t="n">
        <v>3</v>
      </c>
      <c r="S24" s="13"/>
      <c r="T24" s="13" t="s">
        <v>86</v>
      </c>
    </row>
    <row r="25" customFormat="false" ht="57.45" hidden="false" customHeight="false" outlineLevel="0" collapsed="false">
      <c r="A25" s="5" t="s">
        <v>197</v>
      </c>
      <c r="B25" s="6" t="s">
        <v>32</v>
      </c>
      <c r="C25" s="7" t="s">
        <v>106</v>
      </c>
      <c r="D25" s="7" t="s">
        <v>198</v>
      </c>
      <c r="E25" s="6" t="s">
        <v>167</v>
      </c>
      <c r="F25" s="6" t="s">
        <v>199</v>
      </c>
      <c r="G25" s="6" t="s">
        <v>200</v>
      </c>
      <c r="H25" s="6" t="s">
        <v>169</v>
      </c>
      <c r="I25" s="6" t="s">
        <v>121</v>
      </c>
      <c r="J25" s="8" t="s">
        <v>40</v>
      </c>
      <c r="K25" s="9" t="s">
        <v>62</v>
      </c>
      <c r="L25" s="10" t="n">
        <v>0.5</v>
      </c>
      <c r="M25" s="8" t="s">
        <v>122</v>
      </c>
      <c r="N25" s="7" t="s">
        <v>201</v>
      </c>
      <c r="O25" s="7" t="s">
        <v>202</v>
      </c>
      <c r="P25" s="6" t="s">
        <v>155</v>
      </c>
      <c r="Q25" s="6" t="n">
        <v>5</v>
      </c>
      <c r="R25" s="6" t="n">
        <v>2.5</v>
      </c>
      <c r="S25" s="7"/>
      <c r="T25" s="7" t="s">
        <v>86</v>
      </c>
    </row>
    <row r="26" customFormat="false" ht="46.25" hidden="false" customHeight="false" outlineLevel="0" collapsed="false">
      <c r="A26" s="11" t="s">
        <v>203</v>
      </c>
      <c r="B26" s="12" t="s">
        <v>32</v>
      </c>
      <c r="C26" s="13" t="s">
        <v>106</v>
      </c>
      <c r="D26" s="13" t="s">
        <v>204</v>
      </c>
      <c r="E26" s="12" t="s">
        <v>167</v>
      </c>
      <c r="F26" s="12" t="s">
        <v>205</v>
      </c>
      <c r="G26" s="12" t="s">
        <v>145</v>
      </c>
      <c r="H26" s="12" t="s">
        <v>169</v>
      </c>
      <c r="I26" s="12" t="s">
        <v>61</v>
      </c>
      <c r="J26" s="14" t="s">
        <v>40</v>
      </c>
      <c r="K26" s="15" t="s">
        <v>53</v>
      </c>
      <c r="L26" s="16" t="n">
        <v>0</v>
      </c>
      <c r="M26" s="14" t="s">
        <v>122</v>
      </c>
      <c r="N26" s="13" t="s">
        <v>206</v>
      </c>
      <c r="O26" s="13" t="s">
        <v>207</v>
      </c>
      <c r="P26" s="12" t="s">
        <v>155</v>
      </c>
      <c r="Q26" s="12" t="n">
        <v>6</v>
      </c>
      <c r="R26" s="12" t="n">
        <v>6</v>
      </c>
      <c r="S26" s="13"/>
      <c r="T26" s="13" t="s">
        <v>86</v>
      </c>
    </row>
    <row r="27" customFormat="false" ht="46.25" hidden="false" customHeight="false" outlineLevel="0" collapsed="false">
      <c r="A27" s="5" t="s">
        <v>208</v>
      </c>
      <c r="B27" s="6" t="s">
        <v>32</v>
      </c>
      <c r="C27" s="7" t="s">
        <v>209</v>
      </c>
      <c r="D27" s="7" t="s">
        <v>210</v>
      </c>
      <c r="E27" s="6" t="s">
        <v>211</v>
      </c>
      <c r="F27" s="6" t="s">
        <v>212</v>
      </c>
      <c r="G27" s="6" t="s">
        <v>138</v>
      </c>
      <c r="H27" s="6" t="s">
        <v>160</v>
      </c>
      <c r="I27" s="6" t="s">
        <v>161</v>
      </c>
      <c r="J27" s="9" t="s">
        <v>69</v>
      </c>
      <c r="K27" s="9" t="s">
        <v>41</v>
      </c>
      <c r="L27" s="10" t="n">
        <v>0.8</v>
      </c>
      <c r="M27" s="8" t="s">
        <v>122</v>
      </c>
      <c r="N27" s="7" t="s">
        <v>213</v>
      </c>
      <c r="O27" s="7" t="s">
        <v>214</v>
      </c>
      <c r="P27" s="6" t="s">
        <v>164</v>
      </c>
      <c r="Q27" s="6" t="n">
        <v>2</v>
      </c>
      <c r="R27" s="6" t="n">
        <v>0.4</v>
      </c>
      <c r="S27" s="7" t="s">
        <v>125</v>
      </c>
      <c r="T27" s="7" t="s">
        <v>131</v>
      </c>
    </row>
    <row r="28" customFormat="false" ht="46.25" hidden="false" customHeight="false" outlineLevel="0" collapsed="false">
      <c r="A28" s="11" t="s">
        <v>215</v>
      </c>
      <c r="B28" s="12" t="s">
        <v>32</v>
      </c>
      <c r="C28" s="13" t="s">
        <v>209</v>
      </c>
      <c r="D28" s="13" t="s">
        <v>216</v>
      </c>
      <c r="E28" s="12" t="s">
        <v>211</v>
      </c>
      <c r="F28" s="12" t="s">
        <v>217</v>
      </c>
      <c r="G28" s="12" t="s">
        <v>218</v>
      </c>
      <c r="H28" s="12" t="s">
        <v>100</v>
      </c>
      <c r="I28" s="12" t="s">
        <v>161</v>
      </c>
      <c r="J28" s="17" t="s">
        <v>69</v>
      </c>
      <c r="K28" s="17" t="s">
        <v>41</v>
      </c>
      <c r="L28" s="16" t="n">
        <v>0.8</v>
      </c>
      <c r="M28" s="14" t="s">
        <v>122</v>
      </c>
      <c r="N28" s="13" t="s">
        <v>219</v>
      </c>
      <c r="O28" s="13" t="s">
        <v>220</v>
      </c>
      <c r="P28" s="12" t="s">
        <v>164</v>
      </c>
      <c r="Q28" s="12" t="n">
        <v>4</v>
      </c>
      <c r="R28" s="12" t="n">
        <v>0.8</v>
      </c>
      <c r="S28" s="13" t="s">
        <v>46</v>
      </c>
      <c r="T28" s="13" t="s">
        <v>135</v>
      </c>
    </row>
    <row r="29" customFormat="false" ht="35.05" hidden="false" customHeight="false" outlineLevel="0" collapsed="false">
      <c r="A29" s="5" t="s">
        <v>221</v>
      </c>
      <c r="B29" s="6" t="s">
        <v>32</v>
      </c>
      <c r="C29" s="7" t="s">
        <v>209</v>
      </c>
      <c r="D29" s="7" t="s">
        <v>222</v>
      </c>
      <c r="E29" s="6" t="s">
        <v>211</v>
      </c>
      <c r="F29" s="6" t="s">
        <v>223</v>
      </c>
      <c r="G29" s="6" t="s">
        <v>46</v>
      </c>
      <c r="H29" s="6" t="s">
        <v>100</v>
      </c>
      <c r="I29" s="6" t="s">
        <v>161</v>
      </c>
      <c r="J29" s="9" t="s">
        <v>69</v>
      </c>
      <c r="K29" s="9" t="s">
        <v>41</v>
      </c>
      <c r="L29" s="10" t="n">
        <v>0.8</v>
      </c>
      <c r="M29" s="8" t="s">
        <v>122</v>
      </c>
      <c r="N29" s="7" t="s">
        <v>224</v>
      </c>
      <c r="O29" s="7" t="s">
        <v>225</v>
      </c>
      <c r="P29" s="6" t="s">
        <v>164</v>
      </c>
      <c r="Q29" s="6" t="n">
        <v>2</v>
      </c>
      <c r="R29" s="6" t="n">
        <v>0.4</v>
      </c>
      <c r="S29" s="7" t="s">
        <v>46</v>
      </c>
      <c r="T29" s="7" t="s">
        <v>142</v>
      </c>
    </row>
    <row r="30" customFormat="false" ht="46.25" hidden="false" customHeight="false" outlineLevel="0" collapsed="false">
      <c r="A30" s="11" t="s">
        <v>226</v>
      </c>
      <c r="B30" s="12" t="s">
        <v>32</v>
      </c>
      <c r="C30" s="13" t="s">
        <v>209</v>
      </c>
      <c r="D30" s="13" t="s">
        <v>227</v>
      </c>
      <c r="E30" s="12" t="s">
        <v>228</v>
      </c>
      <c r="F30" s="12" t="s">
        <v>229</v>
      </c>
      <c r="G30" s="12" t="s">
        <v>99</v>
      </c>
      <c r="H30" s="12" t="s">
        <v>100</v>
      </c>
      <c r="I30" s="12" t="s">
        <v>161</v>
      </c>
      <c r="J30" s="17" t="s">
        <v>69</v>
      </c>
      <c r="K30" s="15" t="s">
        <v>53</v>
      </c>
      <c r="L30" s="16" t="n">
        <v>0</v>
      </c>
      <c r="M30" s="14" t="s">
        <v>122</v>
      </c>
      <c r="N30" s="13" t="s">
        <v>230</v>
      </c>
      <c r="O30" s="13" t="s">
        <v>231</v>
      </c>
      <c r="P30" s="12" t="s">
        <v>164</v>
      </c>
      <c r="Q30" s="12" t="n">
        <v>3</v>
      </c>
      <c r="R30" s="12" t="n">
        <v>3</v>
      </c>
      <c r="S30" s="13" t="s">
        <v>46</v>
      </c>
      <c r="T30" s="13" t="s">
        <v>148</v>
      </c>
    </row>
    <row r="31" customFormat="false" ht="35.05" hidden="false" customHeight="false" outlineLevel="0" collapsed="false">
      <c r="A31" s="5" t="s">
        <v>232</v>
      </c>
      <c r="B31" s="6" t="s">
        <v>32</v>
      </c>
      <c r="C31" s="7" t="s">
        <v>209</v>
      </c>
      <c r="D31" s="7" t="s">
        <v>233</v>
      </c>
      <c r="E31" s="6" t="s">
        <v>211</v>
      </c>
      <c r="F31" s="6" t="s">
        <v>234</v>
      </c>
      <c r="G31" s="6" t="s">
        <v>46</v>
      </c>
      <c r="H31" s="6" t="s">
        <v>100</v>
      </c>
      <c r="I31" s="6" t="s">
        <v>161</v>
      </c>
      <c r="J31" s="9" t="s">
        <v>69</v>
      </c>
      <c r="K31" s="9" t="s">
        <v>41</v>
      </c>
      <c r="L31" s="10" t="n">
        <v>0.8</v>
      </c>
      <c r="M31" s="8" t="s">
        <v>122</v>
      </c>
      <c r="N31" s="7" t="s">
        <v>235</v>
      </c>
      <c r="O31" s="7" t="s">
        <v>236</v>
      </c>
      <c r="P31" s="6" t="s">
        <v>164</v>
      </c>
      <c r="Q31" s="6" t="n">
        <v>2</v>
      </c>
      <c r="R31" s="6" t="n">
        <v>0.4</v>
      </c>
      <c r="S31" s="7" t="s">
        <v>46</v>
      </c>
      <c r="T31" s="7" t="s">
        <v>156</v>
      </c>
    </row>
    <row r="32" customFormat="false" ht="23.85" hidden="false" customHeight="false" outlineLevel="0" collapsed="false">
      <c r="A32" s="11" t="s">
        <v>237</v>
      </c>
      <c r="B32" s="12" t="s">
        <v>32</v>
      </c>
      <c r="C32" s="13" t="s">
        <v>209</v>
      </c>
      <c r="D32" s="13" t="s">
        <v>238</v>
      </c>
      <c r="E32" s="12" t="s">
        <v>97</v>
      </c>
      <c r="F32" s="12" t="s">
        <v>98</v>
      </c>
      <c r="G32" s="12" t="s">
        <v>99</v>
      </c>
      <c r="H32" s="12" t="s">
        <v>100</v>
      </c>
      <c r="I32" s="12" t="s">
        <v>161</v>
      </c>
      <c r="J32" s="15" t="s">
        <v>76</v>
      </c>
      <c r="K32" s="15" t="s">
        <v>53</v>
      </c>
      <c r="L32" s="16" t="n">
        <v>0</v>
      </c>
      <c r="M32" s="17" t="s">
        <v>42</v>
      </c>
      <c r="N32" s="13" t="s">
        <v>239</v>
      </c>
      <c r="O32" s="13" t="s">
        <v>240</v>
      </c>
      <c r="P32" s="12" t="s">
        <v>164</v>
      </c>
      <c r="Q32" s="12" t="n">
        <v>3</v>
      </c>
      <c r="R32" s="12" t="n">
        <v>3</v>
      </c>
      <c r="S32" s="13" t="s">
        <v>125</v>
      </c>
      <c r="T32" s="13" t="s">
        <v>165</v>
      </c>
    </row>
    <row r="33" customFormat="false" ht="57.45" hidden="false" customHeight="false" outlineLevel="0" collapsed="false">
      <c r="A33" s="5" t="s">
        <v>241</v>
      </c>
      <c r="B33" s="6" t="s">
        <v>32</v>
      </c>
      <c r="C33" s="7" t="s">
        <v>209</v>
      </c>
      <c r="D33" s="7" t="s">
        <v>242</v>
      </c>
      <c r="E33" s="6" t="s">
        <v>97</v>
      </c>
      <c r="F33" s="6" t="s">
        <v>243</v>
      </c>
      <c r="G33" s="6" t="s">
        <v>244</v>
      </c>
      <c r="H33" s="6" t="s">
        <v>100</v>
      </c>
      <c r="I33" s="6" t="s">
        <v>100</v>
      </c>
      <c r="J33" s="8" t="s">
        <v>40</v>
      </c>
      <c r="K33" s="19" t="s">
        <v>245</v>
      </c>
      <c r="L33" s="10" t="n">
        <v>1</v>
      </c>
      <c r="M33" s="19" t="s">
        <v>114</v>
      </c>
      <c r="N33" s="7" t="s">
        <v>246</v>
      </c>
      <c r="O33" s="7" t="s">
        <v>247</v>
      </c>
      <c r="P33" s="6" t="s">
        <v>248</v>
      </c>
      <c r="Q33" s="6" t="n">
        <v>5</v>
      </c>
      <c r="R33" s="6" t="n">
        <v>0</v>
      </c>
      <c r="S33" s="7"/>
      <c r="T33" s="7" t="s">
        <v>249</v>
      </c>
    </row>
    <row r="34" customFormat="false" ht="23.85" hidden="false" customHeight="false" outlineLevel="0" collapsed="false">
      <c r="A34" s="11" t="s">
        <v>250</v>
      </c>
      <c r="B34" s="12" t="s">
        <v>32</v>
      </c>
      <c r="C34" s="13" t="s">
        <v>209</v>
      </c>
      <c r="D34" s="13" t="s">
        <v>251</v>
      </c>
      <c r="E34" s="12" t="s">
        <v>97</v>
      </c>
      <c r="F34" s="12" t="s">
        <v>252</v>
      </c>
      <c r="G34" s="12" t="s">
        <v>244</v>
      </c>
      <c r="H34" s="12" t="s">
        <v>100</v>
      </c>
      <c r="I34" s="12" t="s">
        <v>100</v>
      </c>
      <c r="J34" s="17" t="s">
        <v>69</v>
      </c>
      <c r="K34" s="20" t="s">
        <v>245</v>
      </c>
      <c r="L34" s="16" t="n">
        <v>1</v>
      </c>
      <c r="M34" s="20" t="s">
        <v>114</v>
      </c>
      <c r="N34" s="13" t="s">
        <v>253</v>
      </c>
      <c r="O34" s="13" t="s">
        <v>254</v>
      </c>
      <c r="P34" s="12" t="s">
        <v>255</v>
      </c>
      <c r="Q34" s="12" t="n">
        <v>2</v>
      </c>
      <c r="R34" s="12" t="n">
        <v>0</v>
      </c>
      <c r="S34" s="13"/>
      <c r="T34" s="13" t="s">
        <v>249</v>
      </c>
    </row>
    <row r="35" customFormat="false" ht="35.05" hidden="false" customHeight="false" outlineLevel="0" collapsed="false">
      <c r="A35" s="5" t="s">
        <v>256</v>
      </c>
      <c r="B35" s="6" t="s">
        <v>32</v>
      </c>
      <c r="C35" s="7" t="s">
        <v>33</v>
      </c>
      <c r="D35" s="7" t="s">
        <v>257</v>
      </c>
      <c r="E35" s="6" t="s">
        <v>59</v>
      </c>
      <c r="F35" s="6" t="s">
        <v>60</v>
      </c>
      <c r="G35" s="6" t="s">
        <v>37</v>
      </c>
      <c r="H35" s="6" t="s">
        <v>61</v>
      </c>
      <c r="I35" s="6" t="s">
        <v>139</v>
      </c>
      <c r="J35" s="9" t="s">
        <v>69</v>
      </c>
      <c r="K35" s="19" t="s">
        <v>245</v>
      </c>
      <c r="L35" s="10" t="n">
        <v>1</v>
      </c>
      <c r="M35" s="19" t="s">
        <v>114</v>
      </c>
      <c r="N35" s="7" t="s">
        <v>258</v>
      </c>
      <c r="O35" s="7" t="s">
        <v>259</v>
      </c>
      <c r="P35" s="6" t="s">
        <v>255</v>
      </c>
      <c r="Q35" s="6" t="n">
        <v>1</v>
      </c>
      <c r="R35" s="6" t="n">
        <v>0</v>
      </c>
      <c r="S35" s="7"/>
      <c r="T35" s="7" t="s">
        <v>249</v>
      </c>
    </row>
    <row r="36" customFormat="false" ht="57.45" hidden="false" customHeight="false" outlineLevel="0" collapsed="false">
      <c r="A36" s="11" t="s">
        <v>260</v>
      </c>
      <c r="B36" s="12" t="s">
        <v>32</v>
      </c>
      <c r="C36" s="13" t="s">
        <v>106</v>
      </c>
      <c r="D36" s="13" t="s">
        <v>261</v>
      </c>
      <c r="E36" s="12" t="s">
        <v>108</v>
      </c>
      <c r="F36" s="12" t="s">
        <v>262</v>
      </c>
      <c r="G36" s="12" t="s">
        <v>145</v>
      </c>
      <c r="H36" s="12" t="s">
        <v>111</v>
      </c>
      <c r="I36" s="12" t="s">
        <v>121</v>
      </c>
      <c r="J36" s="14" t="s">
        <v>40</v>
      </c>
      <c r="K36" s="20" t="s">
        <v>245</v>
      </c>
      <c r="L36" s="16" t="n">
        <v>1</v>
      </c>
      <c r="M36" s="20" t="s">
        <v>114</v>
      </c>
      <c r="N36" s="13" t="s">
        <v>263</v>
      </c>
      <c r="O36" s="13" t="s">
        <v>264</v>
      </c>
      <c r="P36" s="12" t="s">
        <v>255</v>
      </c>
      <c r="Q36" s="12" t="n">
        <v>6</v>
      </c>
      <c r="R36" s="12" t="n">
        <v>0</v>
      </c>
      <c r="S36" s="13"/>
      <c r="T36" s="13" t="s">
        <v>265</v>
      </c>
    </row>
    <row r="37" customFormat="false" ht="79.85" hidden="false" customHeight="false" outlineLevel="0" collapsed="false">
      <c r="A37" s="5" t="s">
        <v>266</v>
      </c>
      <c r="B37" s="6" t="s">
        <v>32</v>
      </c>
      <c r="C37" s="7" t="s">
        <v>267</v>
      </c>
      <c r="D37" s="7" t="s">
        <v>268</v>
      </c>
      <c r="E37" s="6" t="s">
        <v>269</v>
      </c>
      <c r="F37" s="6" t="s">
        <v>270</v>
      </c>
      <c r="G37" s="6" t="s">
        <v>145</v>
      </c>
      <c r="H37" s="6" t="s">
        <v>271</v>
      </c>
      <c r="I37" s="6" t="s">
        <v>121</v>
      </c>
      <c r="J37" s="8" t="s">
        <v>40</v>
      </c>
      <c r="K37" s="18" t="s">
        <v>53</v>
      </c>
      <c r="L37" s="10" t="n">
        <v>0</v>
      </c>
      <c r="M37" s="8" t="s">
        <v>122</v>
      </c>
      <c r="N37" s="7" t="s">
        <v>272</v>
      </c>
      <c r="O37" s="7" t="s">
        <v>273</v>
      </c>
      <c r="P37" s="6" t="s">
        <v>45</v>
      </c>
      <c r="Q37" s="6" t="n">
        <v>8</v>
      </c>
      <c r="R37" s="6" t="n">
        <v>8</v>
      </c>
      <c r="S37" s="7" t="s">
        <v>260</v>
      </c>
      <c r="T37" s="7" t="s">
        <v>274</v>
      </c>
    </row>
    <row r="38" customFormat="false" ht="57.45" hidden="false" customHeight="false" outlineLevel="0" collapsed="false">
      <c r="A38" s="11" t="s">
        <v>275</v>
      </c>
      <c r="B38" s="12" t="s">
        <v>32</v>
      </c>
      <c r="C38" s="13" t="s">
        <v>267</v>
      </c>
      <c r="D38" s="13" t="s">
        <v>276</v>
      </c>
      <c r="E38" s="12" t="s">
        <v>59</v>
      </c>
      <c r="F38" s="12" t="s">
        <v>277</v>
      </c>
      <c r="G38" s="12" t="s">
        <v>145</v>
      </c>
      <c r="H38" s="12" t="s">
        <v>271</v>
      </c>
      <c r="I38" s="12" t="s">
        <v>121</v>
      </c>
      <c r="J38" s="17" t="s">
        <v>69</v>
      </c>
      <c r="K38" s="15" t="s">
        <v>53</v>
      </c>
      <c r="L38" s="16" t="n">
        <v>0</v>
      </c>
      <c r="M38" s="17" t="s">
        <v>42</v>
      </c>
      <c r="N38" s="13" t="s">
        <v>278</v>
      </c>
      <c r="O38" s="13" t="s">
        <v>279</v>
      </c>
      <c r="P38" s="12" t="s">
        <v>45</v>
      </c>
      <c r="Q38" s="12" t="n">
        <v>6</v>
      </c>
      <c r="R38" s="12" t="n">
        <v>6</v>
      </c>
      <c r="S38" s="13" t="s">
        <v>266</v>
      </c>
      <c r="T38" s="13" t="s">
        <v>280</v>
      </c>
    </row>
    <row r="39" customFormat="false" ht="46.25" hidden="false" customHeight="false" outlineLevel="0" collapsed="false">
      <c r="A39" s="5" t="s">
        <v>281</v>
      </c>
      <c r="B39" s="6" t="s">
        <v>32</v>
      </c>
      <c r="C39" s="7" t="s">
        <v>267</v>
      </c>
      <c r="D39" s="7" t="s">
        <v>282</v>
      </c>
      <c r="E39" s="6" t="s">
        <v>59</v>
      </c>
      <c r="F39" s="6" t="s">
        <v>60</v>
      </c>
      <c r="G39" s="6" t="s">
        <v>145</v>
      </c>
      <c r="H39" s="6" t="s">
        <v>271</v>
      </c>
      <c r="I39" s="6" t="s">
        <v>61</v>
      </c>
      <c r="J39" s="9" t="s">
        <v>69</v>
      </c>
      <c r="K39" s="18" t="s">
        <v>53</v>
      </c>
      <c r="L39" s="10" t="n">
        <v>0</v>
      </c>
      <c r="M39" s="9" t="s">
        <v>42</v>
      </c>
      <c r="N39" s="7" t="s">
        <v>283</v>
      </c>
      <c r="O39" s="7" t="s">
        <v>284</v>
      </c>
      <c r="P39" s="6" t="s">
        <v>155</v>
      </c>
      <c r="Q39" s="6" t="n">
        <v>3</v>
      </c>
      <c r="R39" s="6" t="n">
        <v>3</v>
      </c>
      <c r="S39" s="7" t="s">
        <v>275</v>
      </c>
      <c r="T39" s="7" t="s">
        <v>249</v>
      </c>
    </row>
    <row r="40" customFormat="false" ht="35.05" hidden="false" customHeight="false" outlineLevel="0" collapsed="false">
      <c r="A40" s="11" t="s">
        <v>285</v>
      </c>
      <c r="B40" s="12" t="s">
        <v>32</v>
      </c>
      <c r="C40" s="13" t="s">
        <v>267</v>
      </c>
      <c r="D40" s="13" t="s">
        <v>286</v>
      </c>
      <c r="E40" s="12" t="s">
        <v>287</v>
      </c>
      <c r="F40" s="12" t="s">
        <v>270</v>
      </c>
      <c r="G40" s="12" t="s">
        <v>145</v>
      </c>
      <c r="H40" s="12" t="s">
        <v>111</v>
      </c>
      <c r="I40" s="12" t="s">
        <v>121</v>
      </c>
      <c r="J40" s="15" t="s">
        <v>76</v>
      </c>
      <c r="K40" s="15" t="s">
        <v>53</v>
      </c>
      <c r="L40" s="16" t="n">
        <v>0</v>
      </c>
      <c r="M40" s="14" t="s">
        <v>122</v>
      </c>
      <c r="N40" s="13" t="s">
        <v>288</v>
      </c>
      <c r="O40" s="13" t="s">
        <v>289</v>
      </c>
      <c r="P40" s="12" t="s">
        <v>248</v>
      </c>
      <c r="Q40" s="12" t="n">
        <v>3</v>
      </c>
      <c r="R40" s="12" t="n">
        <v>3</v>
      </c>
      <c r="S40" s="13"/>
      <c r="T40" s="13" t="s">
        <v>249</v>
      </c>
    </row>
    <row r="41" customFormat="false" ht="35.05" hidden="false" customHeight="false" outlineLevel="0" collapsed="false">
      <c r="A41" s="5" t="s">
        <v>290</v>
      </c>
      <c r="B41" s="6" t="s">
        <v>32</v>
      </c>
      <c r="C41" s="7" t="s">
        <v>267</v>
      </c>
      <c r="D41" s="7" t="s">
        <v>291</v>
      </c>
      <c r="E41" s="6" t="s">
        <v>269</v>
      </c>
      <c r="F41" s="6" t="s">
        <v>292</v>
      </c>
      <c r="G41" s="6" t="s">
        <v>145</v>
      </c>
      <c r="H41" s="6" t="s">
        <v>271</v>
      </c>
      <c r="I41" s="6" t="s">
        <v>121</v>
      </c>
      <c r="J41" s="18" t="s">
        <v>76</v>
      </c>
      <c r="K41" s="18" t="s">
        <v>53</v>
      </c>
      <c r="L41" s="10" t="n">
        <v>0</v>
      </c>
      <c r="M41" s="8" t="s">
        <v>122</v>
      </c>
      <c r="N41" s="7" t="s">
        <v>293</v>
      </c>
      <c r="O41" s="7" t="s">
        <v>294</v>
      </c>
      <c r="P41" s="6" t="s">
        <v>45</v>
      </c>
      <c r="Q41" s="6" t="n">
        <v>2</v>
      </c>
      <c r="R41" s="6" t="n">
        <v>2</v>
      </c>
      <c r="S41" s="7" t="s">
        <v>260</v>
      </c>
      <c r="T41" s="7" t="s">
        <v>249</v>
      </c>
    </row>
    <row r="42" customFormat="false" ht="35.05" hidden="false" customHeight="false" outlineLevel="0" collapsed="false">
      <c r="A42" s="11" t="s">
        <v>295</v>
      </c>
      <c r="B42" s="12" t="s">
        <v>32</v>
      </c>
      <c r="C42" s="13" t="s">
        <v>267</v>
      </c>
      <c r="D42" s="13" t="s">
        <v>296</v>
      </c>
      <c r="E42" s="12" t="s">
        <v>59</v>
      </c>
      <c r="F42" s="12" t="s">
        <v>297</v>
      </c>
      <c r="G42" s="12" t="s">
        <v>37</v>
      </c>
      <c r="H42" s="12" t="s">
        <v>38</v>
      </c>
      <c r="I42" s="12" t="s">
        <v>39</v>
      </c>
      <c r="J42" s="15" t="s">
        <v>76</v>
      </c>
      <c r="K42" s="15" t="s">
        <v>53</v>
      </c>
      <c r="L42" s="16" t="n">
        <v>0</v>
      </c>
      <c r="M42" s="14" t="s">
        <v>122</v>
      </c>
      <c r="N42" s="13" t="s">
        <v>298</v>
      </c>
      <c r="O42" s="13" t="s">
        <v>299</v>
      </c>
      <c r="P42" s="12" t="s">
        <v>255</v>
      </c>
      <c r="Q42" s="12" t="n">
        <v>1</v>
      </c>
      <c r="R42" s="12" t="n">
        <v>1</v>
      </c>
      <c r="S42" s="13"/>
      <c r="T42" s="13" t="s">
        <v>300</v>
      </c>
    </row>
    <row r="43" customFormat="false" ht="46.25" hidden="false" customHeight="false" outlineLevel="0" collapsed="false">
      <c r="A43" s="5" t="s">
        <v>301</v>
      </c>
      <c r="B43" s="6" t="s">
        <v>32</v>
      </c>
      <c r="C43" s="7" t="s">
        <v>106</v>
      </c>
      <c r="D43" s="7" t="s">
        <v>302</v>
      </c>
      <c r="E43" s="6" t="s">
        <v>75</v>
      </c>
      <c r="F43" s="6" t="s">
        <v>303</v>
      </c>
      <c r="G43" s="6" t="s">
        <v>138</v>
      </c>
      <c r="H43" s="6" t="s">
        <v>271</v>
      </c>
      <c r="I43" s="6" t="s">
        <v>139</v>
      </c>
      <c r="J43" s="8" t="s">
        <v>40</v>
      </c>
      <c r="K43" s="18" t="s">
        <v>53</v>
      </c>
      <c r="L43" s="10" t="n">
        <v>0</v>
      </c>
      <c r="M43" s="8" t="s">
        <v>122</v>
      </c>
      <c r="N43" s="7" t="s">
        <v>304</v>
      </c>
      <c r="O43" s="7" t="s">
        <v>305</v>
      </c>
      <c r="P43" s="6" t="s">
        <v>306</v>
      </c>
      <c r="Q43" s="6" t="n">
        <v>6</v>
      </c>
      <c r="R43" s="6" t="n">
        <v>6</v>
      </c>
      <c r="S43" s="7"/>
      <c r="T43" s="7" t="s">
        <v>307</v>
      </c>
    </row>
    <row r="44" customFormat="false" ht="46.25" hidden="false" customHeight="false" outlineLevel="0" collapsed="false">
      <c r="A44" s="11" t="s">
        <v>308</v>
      </c>
      <c r="B44" s="12" t="s">
        <v>32</v>
      </c>
      <c r="C44" s="13" t="s">
        <v>106</v>
      </c>
      <c r="D44" s="13" t="s">
        <v>309</v>
      </c>
      <c r="E44" s="12" t="s">
        <v>119</v>
      </c>
      <c r="F44" s="12" t="s">
        <v>310</v>
      </c>
      <c r="G44" s="12" t="s">
        <v>138</v>
      </c>
      <c r="H44" s="12" t="s">
        <v>311</v>
      </c>
      <c r="I44" s="12" t="s">
        <v>139</v>
      </c>
      <c r="J44" s="14" t="s">
        <v>40</v>
      </c>
      <c r="K44" s="15" t="s">
        <v>53</v>
      </c>
      <c r="L44" s="16" t="n">
        <v>0</v>
      </c>
      <c r="M44" s="14" t="s">
        <v>122</v>
      </c>
      <c r="N44" s="13" t="s">
        <v>312</v>
      </c>
      <c r="O44" s="13" t="s">
        <v>313</v>
      </c>
      <c r="P44" s="12" t="s">
        <v>255</v>
      </c>
      <c r="Q44" s="12" t="n">
        <v>8</v>
      </c>
      <c r="R44" s="12" t="n">
        <v>8</v>
      </c>
      <c r="S44" s="13" t="s">
        <v>314</v>
      </c>
      <c r="T44" s="13" t="s">
        <v>249</v>
      </c>
    </row>
    <row r="45" customFormat="false" ht="46.25" hidden="false" customHeight="false" outlineLevel="0" collapsed="false">
      <c r="A45" s="5" t="s">
        <v>315</v>
      </c>
      <c r="B45" s="6" t="s">
        <v>32</v>
      </c>
      <c r="C45" s="7" t="s">
        <v>106</v>
      </c>
      <c r="D45" s="7" t="s">
        <v>316</v>
      </c>
      <c r="E45" s="6" t="s">
        <v>158</v>
      </c>
      <c r="F45" s="6" t="s">
        <v>317</v>
      </c>
      <c r="G45" s="6" t="s">
        <v>99</v>
      </c>
      <c r="H45" s="6" t="s">
        <v>311</v>
      </c>
      <c r="I45" s="6" t="s">
        <v>139</v>
      </c>
      <c r="J45" s="9" t="s">
        <v>69</v>
      </c>
      <c r="K45" s="18" t="s">
        <v>53</v>
      </c>
      <c r="L45" s="10" t="n">
        <v>0</v>
      </c>
      <c r="M45" s="8" t="s">
        <v>122</v>
      </c>
      <c r="N45" s="7" t="s">
        <v>318</v>
      </c>
      <c r="O45" s="7" t="s">
        <v>319</v>
      </c>
      <c r="P45" s="6" t="s">
        <v>306</v>
      </c>
      <c r="Q45" s="6" t="n">
        <v>4</v>
      </c>
      <c r="R45" s="6" t="n">
        <v>4</v>
      </c>
      <c r="S45" s="7" t="s">
        <v>308</v>
      </c>
      <c r="T45" s="7" t="s">
        <v>300</v>
      </c>
    </row>
    <row r="46" customFormat="false" ht="68.65" hidden="false" customHeight="false" outlineLevel="0" collapsed="false">
      <c r="A46" s="11" t="s">
        <v>320</v>
      </c>
      <c r="B46" s="12" t="s">
        <v>321</v>
      </c>
      <c r="C46" s="13" t="s">
        <v>322</v>
      </c>
      <c r="D46" s="13" t="s">
        <v>323</v>
      </c>
      <c r="E46" s="12" t="s">
        <v>324</v>
      </c>
      <c r="F46" s="12" t="s">
        <v>325</v>
      </c>
      <c r="G46" s="12" t="s">
        <v>218</v>
      </c>
      <c r="H46" s="12" t="s">
        <v>311</v>
      </c>
      <c r="I46" s="12" t="s">
        <v>139</v>
      </c>
      <c r="J46" s="14" t="s">
        <v>40</v>
      </c>
      <c r="K46" s="17" t="s">
        <v>62</v>
      </c>
      <c r="L46" s="16" t="n">
        <v>0.7</v>
      </c>
      <c r="M46" s="17" t="s">
        <v>326</v>
      </c>
      <c r="N46" s="13" t="s">
        <v>327</v>
      </c>
      <c r="O46" s="13" t="s">
        <v>328</v>
      </c>
      <c r="P46" s="12" t="s">
        <v>306</v>
      </c>
      <c r="Q46" s="12" t="n">
        <v>10</v>
      </c>
      <c r="R46" s="12" t="n">
        <v>3</v>
      </c>
      <c r="S46" s="13"/>
      <c r="T46" s="13" t="s">
        <v>86</v>
      </c>
    </row>
    <row r="47" customFormat="false" ht="46.25" hidden="false" customHeight="false" outlineLevel="0" collapsed="false">
      <c r="A47" s="5" t="s">
        <v>329</v>
      </c>
      <c r="B47" s="6" t="s">
        <v>321</v>
      </c>
      <c r="C47" s="7" t="s">
        <v>322</v>
      </c>
      <c r="D47" s="7" t="s">
        <v>330</v>
      </c>
      <c r="E47" s="6" t="s">
        <v>324</v>
      </c>
      <c r="F47" s="6" t="s">
        <v>331</v>
      </c>
      <c r="G47" s="6" t="s">
        <v>200</v>
      </c>
      <c r="H47" s="6" t="s">
        <v>311</v>
      </c>
      <c r="I47" s="6" t="s">
        <v>139</v>
      </c>
      <c r="J47" s="9" t="s">
        <v>69</v>
      </c>
      <c r="K47" s="9" t="s">
        <v>62</v>
      </c>
      <c r="L47" s="10" t="n">
        <v>0.55</v>
      </c>
      <c r="M47" s="9" t="s">
        <v>326</v>
      </c>
      <c r="N47" s="7" t="s">
        <v>332</v>
      </c>
      <c r="O47" s="7" t="s">
        <v>333</v>
      </c>
      <c r="P47" s="6" t="s">
        <v>56</v>
      </c>
      <c r="Q47" s="6" t="n">
        <v>8</v>
      </c>
      <c r="R47" s="6" t="n">
        <v>3.6</v>
      </c>
      <c r="S47" s="7"/>
      <c r="T47" s="7" t="s">
        <v>86</v>
      </c>
    </row>
    <row r="48" customFormat="false" ht="57.45" hidden="false" customHeight="false" outlineLevel="0" collapsed="false">
      <c r="A48" s="11" t="s">
        <v>334</v>
      </c>
      <c r="B48" s="12" t="s">
        <v>321</v>
      </c>
      <c r="C48" s="13" t="s">
        <v>322</v>
      </c>
      <c r="D48" s="13" t="s">
        <v>335</v>
      </c>
      <c r="E48" s="12" t="s">
        <v>119</v>
      </c>
      <c r="F48" s="12" t="s">
        <v>336</v>
      </c>
      <c r="G48" s="12" t="s">
        <v>200</v>
      </c>
      <c r="H48" s="12" t="s">
        <v>311</v>
      </c>
      <c r="I48" s="12" t="s">
        <v>139</v>
      </c>
      <c r="J48" s="17" t="s">
        <v>69</v>
      </c>
      <c r="K48" s="17" t="s">
        <v>62</v>
      </c>
      <c r="L48" s="16" t="n">
        <v>0.7</v>
      </c>
      <c r="M48" s="17" t="s">
        <v>326</v>
      </c>
      <c r="N48" s="13" t="s">
        <v>337</v>
      </c>
      <c r="O48" s="13" t="s">
        <v>338</v>
      </c>
      <c r="P48" s="12" t="s">
        <v>155</v>
      </c>
      <c r="Q48" s="12" t="n">
        <v>6</v>
      </c>
      <c r="R48" s="12" t="n">
        <v>1.8</v>
      </c>
      <c r="S48" s="13"/>
      <c r="T48" s="13" t="s">
        <v>86</v>
      </c>
    </row>
    <row r="49" customFormat="false" ht="23.85" hidden="false" customHeight="false" outlineLevel="0" collapsed="false">
      <c r="A49" s="5" t="s">
        <v>339</v>
      </c>
      <c r="B49" s="6" t="s">
        <v>321</v>
      </c>
      <c r="C49" s="7" t="s">
        <v>322</v>
      </c>
      <c r="D49" s="7" t="s">
        <v>340</v>
      </c>
      <c r="E49" s="6" t="s">
        <v>119</v>
      </c>
      <c r="F49" s="6" t="s">
        <v>310</v>
      </c>
      <c r="G49" s="6" t="s">
        <v>200</v>
      </c>
      <c r="H49" s="6" t="s">
        <v>311</v>
      </c>
      <c r="I49" s="6" t="s">
        <v>311</v>
      </c>
      <c r="J49" s="9" t="s">
        <v>69</v>
      </c>
      <c r="K49" s="18" t="s">
        <v>53</v>
      </c>
      <c r="L49" s="10" t="n">
        <v>0</v>
      </c>
      <c r="M49" s="9" t="s">
        <v>42</v>
      </c>
      <c r="N49" s="7" t="s">
        <v>341</v>
      </c>
      <c r="O49" s="7" t="s">
        <v>342</v>
      </c>
      <c r="P49" s="6" t="s">
        <v>103</v>
      </c>
      <c r="Q49" s="6" t="n">
        <v>12</v>
      </c>
      <c r="R49" s="6" t="n">
        <v>12</v>
      </c>
      <c r="S49" s="7" t="s">
        <v>65</v>
      </c>
      <c r="T49" s="7" t="s">
        <v>343</v>
      </c>
    </row>
    <row r="50" customFormat="false" ht="23.85" hidden="false" customHeight="false" outlineLevel="0" collapsed="false">
      <c r="A50" s="11" t="s">
        <v>344</v>
      </c>
      <c r="B50" s="12" t="s">
        <v>321</v>
      </c>
      <c r="C50" s="13" t="s">
        <v>322</v>
      </c>
      <c r="D50" s="13" t="s">
        <v>345</v>
      </c>
      <c r="E50" s="12" t="s">
        <v>158</v>
      </c>
      <c r="F50" s="12" t="s">
        <v>346</v>
      </c>
      <c r="G50" s="12" t="s">
        <v>200</v>
      </c>
      <c r="H50" s="12" t="s">
        <v>311</v>
      </c>
      <c r="I50" s="12" t="s">
        <v>311</v>
      </c>
      <c r="J50" s="17" t="s">
        <v>69</v>
      </c>
      <c r="K50" s="17" t="s">
        <v>62</v>
      </c>
      <c r="L50" s="16" t="n">
        <v>0.55</v>
      </c>
      <c r="M50" s="17" t="s">
        <v>42</v>
      </c>
      <c r="N50" s="13" t="s">
        <v>347</v>
      </c>
      <c r="O50" s="13" t="s">
        <v>348</v>
      </c>
      <c r="P50" s="12" t="s">
        <v>103</v>
      </c>
      <c r="Q50" s="12" t="n">
        <v>10</v>
      </c>
      <c r="R50" s="12" t="n">
        <v>4.5</v>
      </c>
      <c r="S50" s="13" t="s">
        <v>65</v>
      </c>
      <c r="T50" s="13" t="s">
        <v>349</v>
      </c>
    </row>
    <row r="51" customFormat="false" ht="15" hidden="false" customHeight="false" outlineLevel="0" collapsed="false">
      <c r="A51" s="5" t="s">
        <v>350</v>
      </c>
      <c r="B51" s="6" t="s">
        <v>321</v>
      </c>
      <c r="C51" s="7" t="s">
        <v>322</v>
      </c>
      <c r="D51" s="7" t="s">
        <v>351</v>
      </c>
      <c r="E51" s="6" t="s">
        <v>352</v>
      </c>
      <c r="F51" s="6" t="s">
        <v>317</v>
      </c>
      <c r="G51" s="6" t="s">
        <v>353</v>
      </c>
      <c r="H51" s="6" t="s">
        <v>311</v>
      </c>
      <c r="I51" s="6" t="s">
        <v>61</v>
      </c>
      <c r="J51" s="18" t="s">
        <v>76</v>
      </c>
      <c r="K51" s="18" t="s">
        <v>53</v>
      </c>
      <c r="L51" s="10" t="n">
        <v>0</v>
      </c>
      <c r="M51" s="9" t="s">
        <v>42</v>
      </c>
      <c r="N51" s="7" t="s">
        <v>354</v>
      </c>
      <c r="O51" s="7" t="s">
        <v>355</v>
      </c>
      <c r="P51" s="6" t="s">
        <v>103</v>
      </c>
      <c r="Q51" s="6" t="n">
        <v>6</v>
      </c>
      <c r="R51" s="6" t="n">
        <v>6</v>
      </c>
      <c r="S51" s="7" t="s">
        <v>46</v>
      </c>
      <c r="T51" s="7" t="s">
        <v>356</v>
      </c>
    </row>
    <row r="52" customFormat="false" ht="23.85" hidden="false" customHeight="false" outlineLevel="0" collapsed="false">
      <c r="A52" s="11" t="s">
        <v>357</v>
      </c>
      <c r="B52" s="12" t="s">
        <v>321</v>
      </c>
      <c r="C52" s="13" t="s">
        <v>358</v>
      </c>
      <c r="D52" s="13" t="s">
        <v>359</v>
      </c>
      <c r="E52" s="12" t="s">
        <v>59</v>
      </c>
      <c r="F52" s="12" t="s">
        <v>60</v>
      </c>
      <c r="G52" s="12" t="s">
        <v>37</v>
      </c>
      <c r="H52" s="12" t="s">
        <v>61</v>
      </c>
      <c r="I52" s="12" t="s">
        <v>61</v>
      </c>
      <c r="J52" s="14" t="s">
        <v>40</v>
      </c>
      <c r="K52" s="17" t="s">
        <v>62</v>
      </c>
      <c r="L52" s="16" t="n">
        <v>0.3</v>
      </c>
      <c r="M52" s="17" t="s">
        <v>42</v>
      </c>
      <c r="N52" s="13" t="s">
        <v>360</v>
      </c>
      <c r="O52" s="13" t="s">
        <v>361</v>
      </c>
      <c r="P52" s="12" t="s">
        <v>56</v>
      </c>
      <c r="Q52" s="12" t="n">
        <v>10</v>
      </c>
      <c r="R52" s="12" t="n">
        <v>7</v>
      </c>
      <c r="S52" s="13" t="s">
        <v>57</v>
      </c>
      <c r="T52" s="13" t="s">
        <v>320</v>
      </c>
    </row>
    <row r="53" customFormat="false" ht="23.85" hidden="false" customHeight="false" outlineLevel="0" collapsed="false">
      <c r="A53" s="5" t="s">
        <v>362</v>
      </c>
      <c r="B53" s="6" t="s">
        <v>321</v>
      </c>
      <c r="C53" s="7" t="s">
        <v>358</v>
      </c>
      <c r="D53" s="7" t="s">
        <v>363</v>
      </c>
      <c r="E53" s="6" t="s">
        <v>269</v>
      </c>
      <c r="F53" s="6" t="s">
        <v>364</v>
      </c>
      <c r="G53" s="6" t="s">
        <v>145</v>
      </c>
      <c r="H53" s="6" t="s">
        <v>121</v>
      </c>
      <c r="I53" s="6" t="s">
        <v>121</v>
      </c>
      <c r="J53" s="18" t="s">
        <v>76</v>
      </c>
      <c r="K53" s="9" t="s">
        <v>62</v>
      </c>
      <c r="L53" s="10" t="n">
        <v>0.1</v>
      </c>
      <c r="M53" s="9" t="s">
        <v>42</v>
      </c>
      <c r="N53" s="7" t="s">
        <v>365</v>
      </c>
      <c r="O53" s="7" t="s">
        <v>366</v>
      </c>
      <c r="P53" s="6" t="s">
        <v>45</v>
      </c>
      <c r="Q53" s="6" t="n">
        <v>14</v>
      </c>
      <c r="R53" s="6" t="n">
        <v>12.6</v>
      </c>
      <c r="S53" s="7" t="s">
        <v>339</v>
      </c>
      <c r="T53" s="7" t="s">
        <v>329</v>
      </c>
    </row>
    <row r="54" customFormat="false" ht="23.85" hidden="false" customHeight="false" outlineLevel="0" collapsed="false">
      <c r="A54" s="11" t="s">
        <v>367</v>
      </c>
      <c r="B54" s="12" t="s">
        <v>321</v>
      </c>
      <c r="C54" s="13" t="s">
        <v>358</v>
      </c>
      <c r="D54" s="13" t="s">
        <v>368</v>
      </c>
      <c r="E54" s="12" t="s">
        <v>269</v>
      </c>
      <c r="F54" s="12" t="s">
        <v>369</v>
      </c>
      <c r="G54" s="12" t="s">
        <v>145</v>
      </c>
      <c r="H54" s="12" t="s">
        <v>61</v>
      </c>
      <c r="I54" s="12" t="s">
        <v>61</v>
      </c>
      <c r="J54" s="17" t="s">
        <v>69</v>
      </c>
      <c r="K54" s="17" t="s">
        <v>62</v>
      </c>
      <c r="L54" s="16" t="n">
        <v>0.4</v>
      </c>
      <c r="M54" s="17" t="s">
        <v>42</v>
      </c>
      <c r="N54" s="13" t="s">
        <v>370</v>
      </c>
      <c r="O54" s="13" t="s">
        <v>371</v>
      </c>
      <c r="P54" s="12" t="s">
        <v>103</v>
      </c>
      <c r="Q54" s="12" t="n">
        <v>8</v>
      </c>
      <c r="R54" s="12" t="n">
        <v>4.8</v>
      </c>
      <c r="S54" s="13" t="s">
        <v>117</v>
      </c>
      <c r="T54" s="13" t="s">
        <v>334</v>
      </c>
    </row>
    <row r="55" customFormat="false" ht="23.85" hidden="false" customHeight="false" outlineLevel="0" collapsed="false">
      <c r="A55" s="5" t="s">
        <v>372</v>
      </c>
      <c r="B55" s="6" t="s">
        <v>321</v>
      </c>
      <c r="C55" s="7" t="s">
        <v>358</v>
      </c>
      <c r="D55" s="7" t="s">
        <v>373</v>
      </c>
      <c r="E55" s="6" t="s">
        <v>374</v>
      </c>
      <c r="F55" s="6" t="s">
        <v>375</v>
      </c>
      <c r="G55" s="6" t="s">
        <v>145</v>
      </c>
      <c r="H55" s="6" t="s">
        <v>61</v>
      </c>
      <c r="I55" s="6" t="s">
        <v>61</v>
      </c>
      <c r="J55" s="18" t="s">
        <v>76</v>
      </c>
      <c r="K55" s="18" t="s">
        <v>53</v>
      </c>
      <c r="L55" s="10" t="n">
        <v>0</v>
      </c>
      <c r="M55" s="9" t="s">
        <v>42</v>
      </c>
      <c r="N55" s="7" t="s">
        <v>376</v>
      </c>
      <c r="O55" s="7" t="s">
        <v>377</v>
      </c>
      <c r="P55" s="6" t="s">
        <v>103</v>
      </c>
      <c r="Q55" s="6" t="n">
        <v>6</v>
      </c>
      <c r="R55" s="6" t="n">
        <v>6</v>
      </c>
      <c r="S55" s="7" t="s">
        <v>46</v>
      </c>
      <c r="T55" s="7" t="s">
        <v>339</v>
      </c>
    </row>
    <row r="56" customFormat="false" ht="23.85" hidden="false" customHeight="false" outlineLevel="0" collapsed="false">
      <c r="A56" s="11" t="s">
        <v>378</v>
      </c>
      <c r="B56" s="12" t="s">
        <v>321</v>
      </c>
      <c r="C56" s="13" t="s">
        <v>358</v>
      </c>
      <c r="D56" s="13" t="s">
        <v>379</v>
      </c>
      <c r="E56" s="12" t="s">
        <v>119</v>
      </c>
      <c r="F56" s="12" t="s">
        <v>380</v>
      </c>
      <c r="G56" s="12" t="s">
        <v>145</v>
      </c>
      <c r="H56" s="12" t="s">
        <v>121</v>
      </c>
      <c r="I56" s="12" t="s">
        <v>61</v>
      </c>
      <c r="J56" s="15" t="s">
        <v>76</v>
      </c>
      <c r="K56" s="15" t="s">
        <v>53</v>
      </c>
      <c r="L56" s="16" t="n">
        <v>0</v>
      </c>
      <c r="M56" s="17" t="s">
        <v>42</v>
      </c>
      <c r="N56" s="13" t="s">
        <v>381</v>
      </c>
      <c r="O56" s="13" t="s">
        <v>382</v>
      </c>
      <c r="P56" s="12" t="s">
        <v>103</v>
      </c>
      <c r="Q56" s="12" t="n">
        <v>8</v>
      </c>
      <c r="R56" s="12" t="n">
        <v>8</v>
      </c>
      <c r="S56" s="13" t="s">
        <v>46</v>
      </c>
      <c r="T56" s="13" t="s">
        <v>383</v>
      </c>
    </row>
    <row r="57" customFormat="false" ht="23.85" hidden="false" customHeight="false" outlineLevel="0" collapsed="false">
      <c r="A57" s="5" t="s">
        <v>384</v>
      </c>
      <c r="B57" s="6" t="s">
        <v>321</v>
      </c>
      <c r="C57" s="7" t="s">
        <v>358</v>
      </c>
      <c r="D57" s="7" t="s">
        <v>385</v>
      </c>
      <c r="E57" s="6" t="s">
        <v>97</v>
      </c>
      <c r="F57" s="6" t="s">
        <v>98</v>
      </c>
      <c r="G57" s="6" t="s">
        <v>99</v>
      </c>
      <c r="H57" s="6" t="s">
        <v>100</v>
      </c>
      <c r="I57" s="6" t="s">
        <v>139</v>
      </c>
      <c r="J57" s="18" t="s">
        <v>76</v>
      </c>
      <c r="K57" s="9" t="s">
        <v>62</v>
      </c>
      <c r="L57" s="10" t="n">
        <v>0.3</v>
      </c>
      <c r="M57" s="9" t="s">
        <v>42</v>
      </c>
      <c r="N57" s="7" t="s">
        <v>386</v>
      </c>
      <c r="O57" s="7" t="s">
        <v>387</v>
      </c>
      <c r="P57" s="6" t="s">
        <v>103</v>
      </c>
      <c r="Q57" s="6" t="n">
        <v>6</v>
      </c>
      <c r="R57" s="6" t="n">
        <v>4.2</v>
      </c>
      <c r="S57" s="7" t="s">
        <v>104</v>
      </c>
      <c r="T57" s="7" t="s">
        <v>388</v>
      </c>
    </row>
    <row r="58" customFormat="false" ht="23.85" hidden="false" customHeight="false" outlineLevel="0" collapsed="false">
      <c r="A58" s="11" t="s">
        <v>72</v>
      </c>
      <c r="B58" s="12" t="s">
        <v>321</v>
      </c>
      <c r="C58" s="13" t="s">
        <v>389</v>
      </c>
      <c r="D58" s="13" t="s">
        <v>390</v>
      </c>
      <c r="E58" s="12" t="s">
        <v>391</v>
      </c>
      <c r="F58" s="12" t="s">
        <v>392</v>
      </c>
      <c r="G58" s="12" t="s">
        <v>51</v>
      </c>
      <c r="H58" s="12" t="s">
        <v>52</v>
      </c>
      <c r="I58" s="12" t="s">
        <v>139</v>
      </c>
      <c r="J58" s="17" t="s">
        <v>69</v>
      </c>
      <c r="K58" s="15" t="s">
        <v>53</v>
      </c>
      <c r="L58" s="16" t="n">
        <v>0</v>
      </c>
      <c r="M58" s="17" t="s">
        <v>42</v>
      </c>
      <c r="N58" s="13" t="s">
        <v>393</v>
      </c>
      <c r="O58" s="13" t="s">
        <v>394</v>
      </c>
      <c r="P58" s="12" t="s">
        <v>103</v>
      </c>
      <c r="Q58" s="12" t="n">
        <v>8</v>
      </c>
      <c r="R58" s="12" t="n">
        <v>8</v>
      </c>
      <c r="S58" s="13" t="s">
        <v>46</v>
      </c>
      <c r="T58" s="13" t="s">
        <v>357</v>
      </c>
    </row>
    <row r="59" customFormat="false" ht="35.05" hidden="false" customHeight="false" outlineLevel="0" collapsed="false">
      <c r="A59" s="5" t="s">
        <v>79</v>
      </c>
      <c r="B59" s="6" t="s">
        <v>321</v>
      </c>
      <c r="C59" s="7" t="s">
        <v>389</v>
      </c>
      <c r="D59" s="7" t="s">
        <v>395</v>
      </c>
      <c r="E59" s="6" t="s">
        <v>211</v>
      </c>
      <c r="F59" s="6" t="s">
        <v>396</v>
      </c>
      <c r="G59" s="6" t="s">
        <v>51</v>
      </c>
      <c r="H59" s="6" t="s">
        <v>52</v>
      </c>
      <c r="I59" s="6" t="s">
        <v>139</v>
      </c>
      <c r="J59" s="9" t="s">
        <v>69</v>
      </c>
      <c r="K59" s="9" t="s">
        <v>62</v>
      </c>
      <c r="L59" s="10" t="n">
        <v>0.2</v>
      </c>
      <c r="M59" s="9" t="s">
        <v>42</v>
      </c>
      <c r="N59" s="7" t="s">
        <v>397</v>
      </c>
      <c r="O59" s="7" t="s">
        <v>398</v>
      </c>
      <c r="P59" s="6" t="s">
        <v>103</v>
      </c>
      <c r="Q59" s="6" t="n">
        <v>12</v>
      </c>
      <c r="R59" s="6" t="n">
        <v>9.6</v>
      </c>
      <c r="S59" s="7" t="s">
        <v>46</v>
      </c>
      <c r="T59" s="7" t="s">
        <v>362</v>
      </c>
    </row>
    <row r="60" customFormat="false" ht="68.65" hidden="false" customHeight="false" outlineLevel="0" collapsed="false">
      <c r="A60" s="11" t="s">
        <v>399</v>
      </c>
      <c r="B60" s="12" t="s">
        <v>321</v>
      </c>
      <c r="C60" s="13" t="s">
        <v>389</v>
      </c>
      <c r="D60" s="13" t="s">
        <v>400</v>
      </c>
      <c r="E60" s="12" t="s">
        <v>352</v>
      </c>
      <c r="F60" s="12" t="s">
        <v>401</v>
      </c>
      <c r="G60" s="12" t="s">
        <v>51</v>
      </c>
      <c r="H60" s="12" t="s">
        <v>52</v>
      </c>
      <c r="I60" s="12" t="s">
        <v>52</v>
      </c>
      <c r="J60" s="17" t="s">
        <v>69</v>
      </c>
      <c r="K60" s="15" t="s">
        <v>53</v>
      </c>
      <c r="L60" s="16" t="n">
        <v>0</v>
      </c>
      <c r="M60" s="17" t="s">
        <v>42</v>
      </c>
      <c r="N60" s="13" t="s">
        <v>402</v>
      </c>
      <c r="O60" s="13" t="s">
        <v>403</v>
      </c>
      <c r="P60" s="12" t="s">
        <v>103</v>
      </c>
      <c r="Q60" s="12" t="n">
        <v>10</v>
      </c>
      <c r="R60" s="12" t="n">
        <v>10</v>
      </c>
      <c r="S60" s="13" t="s">
        <v>46</v>
      </c>
      <c r="T60" s="13" t="s">
        <v>367</v>
      </c>
    </row>
    <row r="61" customFormat="false" ht="23.85" hidden="false" customHeight="false" outlineLevel="0" collapsed="false">
      <c r="A61" s="5" t="s">
        <v>404</v>
      </c>
      <c r="B61" s="6" t="s">
        <v>321</v>
      </c>
      <c r="C61" s="7" t="s">
        <v>389</v>
      </c>
      <c r="D61" s="7" t="s">
        <v>405</v>
      </c>
      <c r="E61" s="6" t="s">
        <v>211</v>
      </c>
      <c r="F61" s="6" t="s">
        <v>406</v>
      </c>
      <c r="G61" s="6" t="s">
        <v>218</v>
      </c>
      <c r="H61" s="6" t="s">
        <v>52</v>
      </c>
      <c r="I61" s="6" t="s">
        <v>139</v>
      </c>
      <c r="J61" s="9" t="s">
        <v>69</v>
      </c>
      <c r="K61" s="9" t="s">
        <v>62</v>
      </c>
      <c r="L61" s="10" t="n">
        <v>0.55</v>
      </c>
      <c r="M61" s="9" t="s">
        <v>42</v>
      </c>
      <c r="N61" s="7" t="s">
        <v>407</v>
      </c>
      <c r="O61" s="7" t="s">
        <v>408</v>
      </c>
      <c r="P61" s="6" t="s">
        <v>103</v>
      </c>
      <c r="Q61" s="6" t="n">
        <v>10</v>
      </c>
      <c r="R61" s="6" t="n">
        <v>4.5</v>
      </c>
      <c r="S61" s="7" t="s">
        <v>46</v>
      </c>
      <c r="T61" s="7" t="s">
        <v>372</v>
      </c>
    </row>
    <row r="62" customFormat="false" ht="23.85" hidden="false" customHeight="false" outlineLevel="0" collapsed="false">
      <c r="A62" s="11" t="s">
        <v>343</v>
      </c>
      <c r="B62" s="12" t="s">
        <v>321</v>
      </c>
      <c r="C62" s="13" t="s">
        <v>389</v>
      </c>
      <c r="D62" s="13" t="s">
        <v>409</v>
      </c>
      <c r="E62" s="12" t="s">
        <v>391</v>
      </c>
      <c r="F62" s="12" t="s">
        <v>410</v>
      </c>
      <c r="G62" s="12" t="s">
        <v>353</v>
      </c>
      <c r="H62" s="12" t="s">
        <v>311</v>
      </c>
      <c r="I62" s="12" t="s">
        <v>139</v>
      </c>
      <c r="J62" s="17" t="s">
        <v>69</v>
      </c>
      <c r="K62" s="17" t="s">
        <v>62</v>
      </c>
      <c r="L62" s="16" t="n">
        <v>0.5</v>
      </c>
      <c r="M62" s="17" t="s">
        <v>42</v>
      </c>
      <c r="N62" s="13" t="s">
        <v>411</v>
      </c>
      <c r="O62" s="13" t="s">
        <v>412</v>
      </c>
      <c r="P62" s="12" t="s">
        <v>103</v>
      </c>
      <c r="Q62" s="12" t="n">
        <v>7</v>
      </c>
      <c r="R62" s="12" t="n">
        <v>3.5</v>
      </c>
      <c r="S62" s="13" t="s">
        <v>46</v>
      </c>
      <c r="T62" s="13" t="s">
        <v>413</v>
      </c>
    </row>
    <row r="63" customFormat="false" ht="35.05" hidden="false" customHeight="false" outlineLevel="0" collapsed="false">
      <c r="A63" s="5" t="s">
        <v>349</v>
      </c>
      <c r="B63" s="6" t="s">
        <v>321</v>
      </c>
      <c r="C63" s="7" t="s">
        <v>414</v>
      </c>
      <c r="D63" s="7" t="s">
        <v>415</v>
      </c>
      <c r="E63" s="6" t="s">
        <v>119</v>
      </c>
      <c r="F63" s="6" t="s">
        <v>159</v>
      </c>
      <c r="G63" s="6" t="s">
        <v>46</v>
      </c>
      <c r="H63" s="6" t="s">
        <v>161</v>
      </c>
      <c r="I63" s="6" t="s">
        <v>161</v>
      </c>
      <c r="J63" s="18" t="s">
        <v>76</v>
      </c>
      <c r="K63" s="9" t="s">
        <v>41</v>
      </c>
      <c r="L63" s="10" t="n">
        <v>0.7</v>
      </c>
      <c r="M63" s="9" t="s">
        <v>42</v>
      </c>
      <c r="N63" s="7" t="s">
        <v>416</v>
      </c>
      <c r="O63" s="7" t="s">
        <v>417</v>
      </c>
      <c r="P63" s="6" t="s">
        <v>164</v>
      </c>
      <c r="Q63" s="6" t="n">
        <v>6</v>
      </c>
      <c r="R63" s="6" t="n">
        <v>1.8</v>
      </c>
      <c r="S63" s="7" t="s">
        <v>125</v>
      </c>
      <c r="T63" s="7" t="s">
        <v>418</v>
      </c>
    </row>
    <row r="64" customFormat="false" ht="35.05" hidden="false" customHeight="false" outlineLevel="0" collapsed="false">
      <c r="A64" s="11" t="s">
        <v>356</v>
      </c>
      <c r="B64" s="12" t="s">
        <v>321</v>
      </c>
      <c r="C64" s="13" t="s">
        <v>414</v>
      </c>
      <c r="D64" s="13" t="s">
        <v>419</v>
      </c>
      <c r="E64" s="12" t="s">
        <v>75</v>
      </c>
      <c r="F64" s="12" t="s">
        <v>68</v>
      </c>
      <c r="G64" s="12" t="s">
        <v>37</v>
      </c>
      <c r="H64" s="12" t="s">
        <v>161</v>
      </c>
      <c r="I64" s="12" t="s">
        <v>161</v>
      </c>
      <c r="J64" s="15" t="s">
        <v>76</v>
      </c>
      <c r="K64" s="17" t="s">
        <v>41</v>
      </c>
      <c r="L64" s="16" t="n">
        <v>0.7</v>
      </c>
      <c r="M64" s="17" t="s">
        <v>42</v>
      </c>
      <c r="N64" s="13" t="s">
        <v>420</v>
      </c>
      <c r="O64" s="13" t="s">
        <v>421</v>
      </c>
      <c r="P64" s="12" t="s">
        <v>164</v>
      </c>
      <c r="Q64" s="12" t="n">
        <v>8</v>
      </c>
      <c r="R64" s="12" t="n">
        <v>2.4</v>
      </c>
      <c r="S64" s="13" t="s">
        <v>46</v>
      </c>
      <c r="T64" s="13" t="s">
        <v>422</v>
      </c>
    </row>
    <row r="65" customFormat="false" ht="35.05" hidden="false" customHeight="false" outlineLevel="0" collapsed="false">
      <c r="A65" s="5" t="s">
        <v>413</v>
      </c>
      <c r="B65" s="6" t="s">
        <v>321</v>
      </c>
      <c r="C65" s="7" t="s">
        <v>414</v>
      </c>
      <c r="D65" s="7" t="s">
        <v>423</v>
      </c>
      <c r="E65" s="6" t="s">
        <v>75</v>
      </c>
      <c r="F65" s="6" t="s">
        <v>424</v>
      </c>
      <c r="G65" s="6" t="s">
        <v>46</v>
      </c>
      <c r="H65" s="6" t="s">
        <v>161</v>
      </c>
      <c r="I65" s="6" t="s">
        <v>161</v>
      </c>
      <c r="J65" s="18" t="s">
        <v>76</v>
      </c>
      <c r="K65" s="9" t="s">
        <v>41</v>
      </c>
      <c r="L65" s="10" t="n">
        <v>0.7</v>
      </c>
      <c r="M65" s="9" t="s">
        <v>42</v>
      </c>
      <c r="N65" s="7" t="s">
        <v>425</v>
      </c>
      <c r="O65" s="7" t="s">
        <v>426</v>
      </c>
      <c r="P65" s="6" t="s">
        <v>164</v>
      </c>
      <c r="Q65" s="6" t="n">
        <v>10</v>
      </c>
      <c r="R65" s="6" t="n">
        <v>3</v>
      </c>
      <c r="S65" s="7" t="s">
        <v>46</v>
      </c>
      <c r="T65" s="7" t="s">
        <v>427</v>
      </c>
    </row>
    <row r="66" customFormat="false" ht="35.05" hidden="false" customHeight="false" outlineLevel="0" collapsed="false">
      <c r="A66" s="11" t="s">
        <v>428</v>
      </c>
      <c r="B66" s="12" t="s">
        <v>321</v>
      </c>
      <c r="C66" s="13" t="s">
        <v>414</v>
      </c>
      <c r="D66" s="13" t="s">
        <v>429</v>
      </c>
      <c r="E66" s="12" t="s">
        <v>391</v>
      </c>
      <c r="F66" s="12" t="s">
        <v>430</v>
      </c>
      <c r="G66" s="12" t="s">
        <v>51</v>
      </c>
      <c r="H66" s="12" t="s">
        <v>161</v>
      </c>
      <c r="I66" s="12" t="s">
        <v>161</v>
      </c>
      <c r="J66" s="15" t="s">
        <v>76</v>
      </c>
      <c r="K66" s="17" t="s">
        <v>41</v>
      </c>
      <c r="L66" s="16" t="n">
        <v>0.85</v>
      </c>
      <c r="M66" s="17" t="s">
        <v>42</v>
      </c>
      <c r="N66" s="13" t="s">
        <v>431</v>
      </c>
      <c r="O66" s="13" t="s">
        <v>432</v>
      </c>
      <c r="P66" s="12" t="s">
        <v>164</v>
      </c>
      <c r="Q66" s="12" t="n">
        <v>6</v>
      </c>
      <c r="R66" s="12" t="n">
        <v>0.9</v>
      </c>
      <c r="S66" s="13" t="s">
        <v>46</v>
      </c>
      <c r="T66" s="13" t="s">
        <v>433</v>
      </c>
    </row>
    <row r="67" customFormat="false" ht="23.85" hidden="false" customHeight="false" outlineLevel="0" collapsed="false">
      <c r="A67" s="5" t="s">
        <v>388</v>
      </c>
      <c r="B67" s="6" t="s">
        <v>321</v>
      </c>
      <c r="C67" s="7" t="s">
        <v>414</v>
      </c>
      <c r="D67" s="7" t="s">
        <v>434</v>
      </c>
      <c r="E67" s="6" t="s">
        <v>59</v>
      </c>
      <c r="F67" s="6" t="s">
        <v>435</v>
      </c>
      <c r="G67" s="6" t="s">
        <v>46</v>
      </c>
      <c r="H67" s="6" t="s">
        <v>161</v>
      </c>
      <c r="I67" s="6" t="s">
        <v>161</v>
      </c>
      <c r="J67" s="18" t="s">
        <v>436</v>
      </c>
      <c r="K67" s="18" t="s">
        <v>53</v>
      </c>
      <c r="L67" s="10" t="n">
        <v>0</v>
      </c>
      <c r="M67" s="9" t="s">
        <v>42</v>
      </c>
      <c r="N67" s="7" t="s">
        <v>437</v>
      </c>
      <c r="O67" s="7" t="s">
        <v>438</v>
      </c>
      <c r="P67" s="6" t="s">
        <v>164</v>
      </c>
      <c r="Q67" s="6" t="n">
        <v>4</v>
      </c>
      <c r="R67" s="6" t="n">
        <v>4</v>
      </c>
      <c r="S67" s="7" t="s">
        <v>46</v>
      </c>
      <c r="T67" s="7" t="s">
        <v>439</v>
      </c>
    </row>
    <row r="68" customFormat="false" ht="35.05" hidden="false" customHeight="false" outlineLevel="0" collapsed="false">
      <c r="A68" s="11" t="s">
        <v>418</v>
      </c>
      <c r="B68" s="12" t="s">
        <v>321</v>
      </c>
      <c r="C68" s="13" t="s">
        <v>414</v>
      </c>
      <c r="D68" s="13" t="s">
        <v>440</v>
      </c>
      <c r="E68" s="12" t="s">
        <v>228</v>
      </c>
      <c r="F68" s="12" t="s">
        <v>441</v>
      </c>
      <c r="G68" s="12" t="s">
        <v>99</v>
      </c>
      <c r="H68" s="12" t="s">
        <v>100</v>
      </c>
      <c r="I68" s="12" t="s">
        <v>100</v>
      </c>
      <c r="J68" s="15" t="s">
        <v>76</v>
      </c>
      <c r="K68" s="17" t="s">
        <v>41</v>
      </c>
      <c r="L68" s="16" t="n">
        <v>0.7</v>
      </c>
      <c r="M68" s="17" t="s">
        <v>42</v>
      </c>
      <c r="N68" s="13" t="s">
        <v>442</v>
      </c>
      <c r="O68" s="13" t="s">
        <v>443</v>
      </c>
      <c r="P68" s="12" t="s">
        <v>164</v>
      </c>
      <c r="Q68" s="12" t="n">
        <v>5</v>
      </c>
      <c r="R68" s="12" t="n">
        <v>1.5</v>
      </c>
      <c r="S68" s="13" t="s">
        <v>46</v>
      </c>
      <c r="T68" s="13" t="s">
        <v>404</v>
      </c>
    </row>
    <row r="69" customFormat="false" ht="46.25" hidden="false" customHeight="false" outlineLevel="0" collapsed="false">
      <c r="A69" s="5" t="s">
        <v>422</v>
      </c>
      <c r="B69" s="6" t="s">
        <v>321</v>
      </c>
      <c r="C69" s="7" t="s">
        <v>414</v>
      </c>
      <c r="D69" s="7" t="s">
        <v>444</v>
      </c>
      <c r="E69" s="6" t="s">
        <v>59</v>
      </c>
      <c r="F69" s="6" t="s">
        <v>277</v>
      </c>
      <c r="G69" s="6" t="s">
        <v>46</v>
      </c>
      <c r="H69" s="6" t="s">
        <v>161</v>
      </c>
      <c r="I69" s="6" t="s">
        <v>112</v>
      </c>
      <c r="J69" s="18" t="s">
        <v>76</v>
      </c>
      <c r="K69" s="18" t="s">
        <v>53</v>
      </c>
      <c r="L69" s="10" t="n">
        <v>0</v>
      </c>
      <c r="M69" s="9" t="s">
        <v>42</v>
      </c>
      <c r="N69" s="7" t="s">
        <v>445</v>
      </c>
      <c r="O69" s="7" t="s">
        <v>446</v>
      </c>
      <c r="P69" s="6" t="s">
        <v>45</v>
      </c>
      <c r="Q69" s="6" t="n">
        <v>18</v>
      </c>
      <c r="R69" s="6" t="n">
        <v>18</v>
      </c>
      <c r="S69" s="7" t="s">
        <v>46</v>
      </c>
      <c r="T69" s="7" t="s">
        <v>447</v>
      </c>
    </row>
    <row r="70" customFormat="false" ht="46.25" hidden="false" customHeight="false" outlineLevel="0" collapsed="false">
      <c r="A70" s="11" t="s">
        <v>427</v>
      </c>
      <c r="B70" s="12" t="s">
        <v>321</v>
      </c>
      <c r="C70" s="13" t="s">
        <v>358</v>
      </c>
      <c r="D70" s="13" t="s">
        <v>448</v>
      </c>
      <c r="E70" s="12" t="s">
        <v>449</v>
      </c>
      <c r="F70" s="12" t="s">
        <v>450</v>
      </c>
      <c r="G70" s="12" t="s">
        <v>37</v>
      </c>
      <c r="H70" s="12" t="s">
        <v>56</v>
      </c>
      <c r="I70" s="12" t="s">
        <v>139</v>
      </c>
      <c r="J70" s="17" t="s">
        <v>69</v>
      </c>
      <c r="K70" s="17" t="s">
        <v>62</v>
      </c>
      <c r="L70" s="16" t="n">
        <v>0.3</v>
      </c>
      <c r="M70" s="17" t="s">
        <v>42</v>
      </c>
      <c r="N70" s="13" t="s">
        <v>451</v>
      </c>
      <c r="O70" s="13" t="s">
        <v>452</v>
      </c>
      <c r="P70" s="12" t="s">
        <v>56</v>
      </c>
      <c r="Q70" s="12" t="n">
        <v>6</v>
      </c>
      <c r="R70" s="12" t="n">
        <v>4.2</v>
      </c>
      <c r="S70" s="13"/>
      <c r="T70" s="13" t="s">
        <v>86</v>
      </c>
    </row>
    <row r="71" customFormat="false" ht="57.45" hidden="false" customHeight="false" outlineLevel="0" collapsed="false">
      <c r="A71" s="5" t="s">
        <v>433</v>
      </c>
      <c r="B71" s="6" t="s">
        <v>321</v>
      </c>
      <c r="C71" s="7" t="s">
        <v>358</v>
      </c>
      <c r="D71" s="7" t="s">
        <v>453</v>
      </c>
      <c r="E71" s="6" t="s">
        <v>75</v>
      </c>
      <c r="F71" s="6" t="s">
        <v>179</v>
      </c>
      <c r="G71" s="6" t="s">
        <v>37</v>
      </c>
      <c r="H71" s="6" t="s">
        <v>56</v>
      </c>
      <c r="I71" s="6" t="s">
        <v>139</v>
      </c>
      <c r="J71" s="9" t="s">
        <v>69</v>
      </c>
      <c r="K71" s="18" t="s">
        <v>53</v>
      </c>
      <c r="L71" s="10" t="n">
        <v>0</v>
      </c>
      <c r="M71" s="9" t="s">
        <v>42</v>
      </c>
      <c r="N71" s="7" t="s">
        <v>454</v>
      </c>
      <c r="O71" s="7" t="s">
        <v>455</v>
      </c>
      <c r="P71" s="6" t="s">
        <v>306</v>
      </c>
      <c r="Q71" s="6" t="n">
        <v>8</v>
      </c>
      <c r="R71" s="6" t="n">
        <v>8</v>
      </c>
      <c r="S71" s="7"/>
      <c r="T71" s="7" t="s">
        <v>86</v>
      </c>
    </row>
    <row r="72" customFormat="false" ht="46.25" hidden="false" customHeight="false" outlineLevel="0" collapsed="false">
      <c r="A72" s="11" t="s">
        <v>439</v>
      </c>
      <c r="B72" s="12" t="s">
        <v>321</v>
      </c>
      <c r="C72" s="13" t="s">
        <v>389</v>
      </c>
      <c r="D72" s="13" t="s">
        <v>456</v>
      </c>
      <c r="E72" s="12" t="s">
        <v>167</v>
      </c>
      <c r="F72" s="12" t="s">
        <v>179</v>
      </c>
      <c r="G72" s="12" t="s">
        <v>145</v>
      </c>
      <c r="H72" s="12" t="s">
        <v>169</v>
      </c>
      <c r="I72" s="12" t="s">
        <v>121</v>
      </c>
      <c r="J72" s="15" t="s">
        <v>76</v>
      </c>
      <c r="K72" s="15" t="s">
        <v>53</v>
      </c>
      <c r="L72" s="16" t="n">
        <v>0</v>
      </c>
      <c r="M72" s="17" t="s">
        <v>42</v>
      </c>
      <c r="N72" s="13" t="s">
        <v>457</v>
      </c>
      <c r="O72" s="13" t="s">
        <v>458</v>
      </c>
      <c r="P72" s="12" t="s">
        <v>306</v>
      </c>
      <c r="Q72" s="12" t="n">
        <v>10</v>
      </c>
      <c r="R72" s="12" t="n">
        <v>10</v>
      </c>
      <c r="S72" s="13"/>
      <c r="T72" s="13" t="s">
        <v>86</v>
      </c>
    </row>
    <row r="73" customFormat="false" ht="68.65" hidden="false" customHeight="false" outlineLevel="0" collapsed="false">
      <c r="A73" s="5" t="s">
        <v>447</v>
      </c>
      <c r="B73" s="6" t="s">
        <v>321</v>
      </c>
      <c r="C73" s="7" t="s">
        <v>322</v>
      </c>
      <c r="D73" s="7" t="s">
        <v>459</v>
      </c>
      <c r="E73" s="6" t="s">
        <v>460</v>
      </c>
      <c r="F73" s="6" t="s">
        <v>461</v>
      </c>
      <c r="G73" s="6" t="s">
        <v>110</v>
      </c>
      <c r="H73" s="6" t="s">
        <v>169</v>
      </c>
      <c r="I73" s="6" t="s">
        <v>139</v>
      </c>
      <c r="J73" s="8" t="s">
        <v>40</v>
      </c>
      <c r="K73" s="18" t="s">
        <v>53</v>
      </c>
      <c r="L73" s="10" t="n">
        <v>0</v>
      </c>
      <c r="M73" s="9" t="s">
        <v>42</v>
      </c>
      <c r="N73" s="7" t="s">
        <v>462</v>
      </c>
      <c r="O73" s="7" t="s">
        <v>463</v>
      </c>
      <c r="P73" s="6" t="s">
        <v>306</v>
      </c>
      <c r="Q73" s="6" t="n">
        <v>24</v>
      </c>
      <c r="R73" s="6" t="n">
        <v>24</v>
      </c>
      <c r="S73" s="7"/>
      <c r="T73" s="7" t="s">
        <v>86</v>
      </c>
    </row>
    <row r="74" customFormat="false" ht="68.65" hidden="false" customHeight="false" outlineLevel="0" collapsed="false">
      <c r="A74" s="11" t="s">
        <v>464</v>
      </c>
      <c r="B74" s="12" t="s">
        <v>321</v>
      </c>
      <c r="C74" s="13" t="s">
        <v>358</v>
      </c>
      <c r="D74" s="13" t="s">
        <v>465</v>
      </c>
      <c r="E74" s="12" t="s">
        <v>466</v>
      </c>
      <c r="F74" s="12" t="s">
        <v>461</v>
      </c>
      <c r="G74" s="12" t="s">
        <v>467</v>
      </c>
      <c r="H74" s="12" t="s">
        <v>56</v>
      </c>
      <c r="I74" s="12" t="s">
        <v>61</v>
      </c>
      <c r="J74" s="14" t="s">
        <v>40</v>
      </c>
      <c r="K74" s="15" t="s">
        <v>53</v>
      </c>
      <c r="L74" s="16" t="n">
        <v>0</v>
      </c>
      <c r="M74" s="17" t="s">
        <v>42</v>
      </c>
      <c r="N74" s="13" t="s">
        <v>468</v>
      </c>
      <c r="O74" s="13" t="s">
        <v>469</v>
      </c>
      <c r="P74" s="12" t="s">
        <v>56</v>
      </c>
      <c r="Q74" s="12" t="n">
        <v>6</v>
      </c>
      <c r="R74" s="12" t="n">
        <v>6</v>
      </c>
      <c r="S74" s="13"/>
      <c r="T74" s="13"/>
    </row>
    <row r="75" customFormat="false" ht="46.25" hidden="false" customHeight="false" outlineLevel="0" collapsed="false">
      <c r="A75" s="5" t="s">
        <v>470</v>
      </c>
      <c r="B75" s="6" t="s">
        <v>321</v>
      </c>
      <c r="C75" s="7" t="s">
        <v>358</v>
      </c>
      <c r="D75" s="7" t="s">
        <v>471</v>
      </c>
      <c r="E75" s="6" t="s">
        <v>75</v>
      </c>
      <c r="F75" s="6" t="s">
        <v>303</v>
      </c>
      <c r="G75" s="6" t="s">
        <v>138</v>
      </c>
      <c r="H75" s="6" t="s">
        <v>271</v>
      </c>
      <c r="I75" s="6" t="s">
        <v>139</v>
      </c>
      <c r="J75" s="8" t="s">
        <v>40</v>
      </c>
      <c r="K75" s="18" t="s">
        <v>53</v>
      </c>
      <c r="L75" s="10" t="n">
        <v>0</v>
      </c>
      <c r="M75" s="9" t="s">
        <v>42</v>
      </c>
      <c r="N75" s="7" t="s">
        <v>472</v>
      </c>
      <c r="O75" s="7" t="s">
        <v>473</v>
      </c>
      <c r="P75" s="6" t="s">
        <v>306</v>
      </c>
      <c r="Q75" s="6" t="n">
        <v>8</v>
      </c>
      <c r="R75" s="6" t="n">
        <v>8</v>
      </c>
      <c r="S75" s="7"/>
      <c r="T75" s="7" t="s">
        <v>474</v>
      </c>
    </row>
    <row r="76" customFormat="false" ht="46.25" hidden="false" customHeight="false" outlineLevel="0" collapsed="false">
      <c r="A76" s="11" t="s">
        <v>475</v>
      </c>
      <c r="B76" s="12" t="s">
        <v>321</v>
      </c>
      <c r="C76" s="13" t="s">
        <v>358</v>
      </c>
      <c r="D76" s="13" t="s">
        <v>476</v>
      </c>
      <c r="E76" s="12" t="s">
        <v>67</v>
      </c>
      <c r="F76" s="12" t="s">
        <v>477</v>
      </c>
      <c r="G76" s="12" t="s">
        <v>138</v>
      </c>
      <c r="H76" s="12" t="s">
        <v>271</v>
      </c>
      <c r="I76" s="12" t="s">
        <v>139</v>
      </c>
      <c r="J76" s="14" t="s">
        <v>40</v>
      </c>
      <c r="K76" s="15" t="s">
        <v>53</v>
      </c>
      <c r="L76" s="16" t="n">
        <v>0</v>
      </c>
      <c r="M76" s="17" t="s">
        <v>42</v>
      </c>
      <c r="N76" s="13" t="s">
        <v>478</v>
      </c>
      <c r="O76" s="13" t="s">
        <v>479</v>
      </c>
      <c r="P76" s="12" t="s">
        <v>306</v>
      </c>
      <c r="Q76" s="12" t="n">
        <v>12</v>
      </c>
      <c r="R76" s="12" t="n">
        <v>12</v>
      </c>
      <c r="S76" s="13" t="s">
        <v>470</v>
      </c>
      <c r="T76" s="13" t="s">
        <v>474</v>
      </c>
    </row>
    <row r="77" customFormat="false" ht="35.05" hidden="false" customHeight="false" outlineLevel="0" collapsed="false">
      <c r="A77" s="5" t="s">
        <v>480</v>
      </c>
      <c r="B77" s="6" t="s">
        <v>321</v>
      </c>
      <c r="C77" s="7" t="s">
        <v>358</v>
      </c>
      <c r="D77" s="7" t="s">
        <v>481</v>
      </c>
      <c r="E77" s="6" t="s">
        <v>75</v>
      </c>
      <c r="F77" s="6" t="s">
        <v>303</v>
      </c>
      <c r="G77" s="6" t="s">
        <v>138</v>
      </c>
      <c r="H77" s="6" t="s">
        <v>271</v>
      </c>
      <c r="I77" s="6" t="s">
        <v>139</v>
      </c>
      <c r="J77" s="9" t="s">
        <v>69</v>
      </c>
      <c r="K77" s="18" t="s">
        <v>53</v>
      </c>
      <c r="L77" s="10" t="n">
        <v>0</v>
      </c>
      <c r="M77" s="9" t="s">
        <v>42</v>
      </c>
      <c r="N77" s="7" t="s">
        <v>482</v>
      </c>
      <c r="O77" s="7" t="s">
        <v>483</v>
      </c>
      <c r="P77" s="6" t="s">
        <v>306</v>
      </c>
      <c r="Q77" s="6" t="n">
        <v>4</v>
      </c>
      <c r="R77" s="6" t="n">
        <v>4</v>
      </c>
      <c r="S77" s="7" t="s">
        <v>484</v>
      </c>
      <c r="T77" s="7" t="s">
        <v>485</v>
      </c>
    </row>
    <row r="78" customFormat="false" ht="35.05" hidden="false" customHeight="false" outlineLevel="0" collapsed="false">
      <c r="A78" s="11" t="s">
        <v>486</v>
      </c>
      <c r="B78" s="12" t="s">
        <v>321</v>
      </c>
      <c r="C78" s="13" t="s">
        <v>358</v>
      </c>
      <c r="D78" s="13" t="s">
        <v>487</v>
      </c>
      <c r="E78" s="12" t="s">
        <v>488</v>
      </c>
      <c r="F78" s="12" t="s">
        <v>303</v>
      </c>
      <c r="G78" s="12" t="s">
        <v>138</v>
      </c>
      <c r="H78" s="12" t="s">
        <v>111</v>
      </c>
      <c r="I78" s="12" t="s">
        <v>139</v>
      </c>
      <c r="J78" s="17" t="s">
        <v>69</v>
      </c>
      <c r="K78" s="15" t="s">
        <v>53</v>
      </c>
      <c r="L78" s="16" t="n">
        <v>0</v>
      </c>
      <c r="M78" s="17" t="s">
        <v>42</v>
      </c>
      <c r="N78" s="13" t="s">
        <v>489</v>
      </c>
      <c r="O78" s="13" t="s">
        <v>490</v>
      </c>
      <c r="P78" s="12" t="s">
        <v>306</v>
      </c>
      <c r="Q78" s="12" t="n">
        <v>4</v>
      </c>
      <c r="R78" s="12" t="n">
        <v>4</v>
      </c>
      <c r="S78" s="13" t="s">
        <v>491</v>
      </c>
      <c r="T78" s="13" t="s">
        <v>474</v>
      </c>
    </row>
    <row r="79" customFormat="false" ht="35.05" hidden="false" customHeight="false" outlineLevel="0" collapsed="false">
      <c r="A79" s="5" t="s">
        <v>492</v>
      </c>
      <c r="B79" s="6" t="s">
        <v>493</v>
      </c>
      <c r="C79" s="7" t="s">
        <v>494</v>
      </c>
      <c r="D79" s="7" t="s">
        <v>495</v>
      </c>
      <c r="E79" s="6" t="s">
        <v>391</v>
      </c>
      <c r="F79" s="6" t="s">
        <v>496</v>
      </c>
      <c r="G79" s="6" t="s">
        <v>51</v>
      </c>
      <c r="H79" s="6" t="s">
        <v>52</v>
      </c>
      <c r="I79" s="6" t="s">
        <v>112</v>
      </c>
      <c r="J79" s="9" t="s">
        <v>69</v>
      </c>
      <c r="K79" s="9" t="s">
        <v>62</v>
      </c>
      <c r="L79" s="10" t="n">
        <v>0.4</v>
      </c>
      <c r="M79" s="18" t="s">
        <v>497</v>
      </c>
      <c r="N79" s="7" t="s">
        <v>498</v>
      </c>
      <c r="O79" s="7" t="s">
        <v>499</v>
      </c>
      <c r="P79" s="6" t="s">
        <v>103</v>
      </c>
      <c r="Q79" s="6" t="n">
        <v>10</v>
      </c>
      <c r="R79" s="6" t="n">
        <v>6</v>
      </c>
      <c r="S79" s="7" t="s">
        <v>46</v>
      </c>
      <c r="T79" s="7" t="s">
        <v>378</v>
      </c>
    </row>
    <row r="80" customFormat="false" ht="23.85" hidden="false" customHeight="false" outlineLevel="0" collapsed="false">
      <c r="A80" s="11" t="s">
        <v>500</v>
      </c>
      <c r="B80" s="12" t="s">
        <v>493</v>
      </c>
      <c r="C80" s="13" t="s">
        <v>494</v>
      </c>
      <c r="D80" s="13" t="s">
        <v>501</v>
      </c>
      <c r="E80" s="12" t="s">
        <v>391</v>
      </c>
      <c r="F80" s="12" t="s">
        <v>502</v>
      </c>
      <c r="G80" s="12" t="s">
        <v>51</v>
      </c>
      <c r="H80" s="12" t="s">
        <v>52</v>
      </c>
      <c r="I80" s="12" t="s">
        <v>39</v>
      </c>
      <c r="J80" s="15" t="s">
        <v>76</v>
      </c>
      <c r="K80" s="15" t="s">
        <v>53</v>
      </c>
      <c r="L80" s="16" t="n">
        <v>0</v>
      </c>
      <c r="M80" s="15" t="s">
        <v>497</v>
      </c>
      <c r="N80" s="13" t="s">
        <v>503</v>
      </c>
      <c r="O80" s="13" t="s">
        <v>504</v>
      </c>
      <c r="P80" s="12" t="s">
        <v>56</v>
      </c>
      <c r="Q80" s="12" t="n">
        <v>6</v>
      </c>
      <c r="R80" s="12" t="n">
        <v>6</v>
      </c>
      <c r="S80" s="13" t="s">
        <v>46</v>
      </c>
      <c r="T80" s="13" t="s">
        <v>384</v>
      </c>
    </row>
    <row r="81" customFormat="false" ht="35.05" hidden="false" customHeight="false" outlineLevel="0" collapsed="false">
      <c r="A81" s="5" t="s">
        <v>505</v>
      </c>
      <c r="B81" s="6" t="s">
        <v>493</v>
      </c>
      <c r="C81" s="7" t="s">
        <v>494</v>
      </c>
      <c r="D81" s="7" t="s">
        <v>506</v>
      </c>
      <c r="E81" s="6" t="s">
        <v>391</v>
      </c>
      <c r="F81" s="6" t="s">
        <v>507</v>
      </c>
      <c r="G81" s="6" t="s">
        <v>51</v>
      </c>
      <c r="H81" s="6" t="s">
        <v>39</v>
      </c>
      <c r="I81" s="6" t="s">
        <v>39</v>
      </c>
      <c r="J81" s="18" t="s">
        <v>436</v>
      </c>
      <c r="K81" s="18" t="s">
        <v>53</v>
      </c>
      <c r="L81" s="10" t="n">
        <v>0</v>
      </c>
      <c r="M81" s="18" t="s">
        <v>497</v>
      </c>
      <c r="N81" s="7" t="s">
        <v>508</v>
      </c>
      <c r="O81" s="7" t="s">
        <v>509</v>
      </c>
      <c r="P81" s="6" t="s">
        <v>56</v>
      </c>
      <c r="Q81" s="6" t="n">
        <v>4</v>
      </c>
      <c r="R81" s="6" t="n">
        <v>4</v>
      </c>
      <c r="S81" s="7" t="s">
        <v>72</v>
      </c>
      <c r="T81" s="7" t="s">
        <v>399</v>
      </c>
    </row>
    <row r="82" customFormat="false" ht="15" hidden="false" customHeight="false" outlineLevel="0" collapsed="false">
      <c r="A82" s="11" t="s">
        <v>510</v>
      </c>
      <c r="B82" s="12" t="s">
        <v>493</v>
      </c>
      <c r="C82" s="13" t="s">
        <v>494</v>
      </c>
      <c r="D82" s="13" t="s">
        <v>511</v>
      </c>
      <c r="E82" s="12" t="s">
        <v>391</v>
      </c>
      <c r="F82" s="12" t="s">
        <v>512</v>
      </c>
      <c r="G82" s="12" t="s">
        <v>513</v>
      </c>
      <c r="H82" s="12" t="s">
        <v>52</v>
      </c>
      <c r="I82" s="12" t="s">
        <v>139</v>
      </c>
      <c r="J82" s="17" t="s">
        <v>69</v>
      </c>
      <c r="K82" s="17" t="s">
        <v>62</v>
      </c>
      <c r="L82" s="16" t="n">
        <v>0.5</v>
      </c>
      <c r="M82" s="15" t="s">
        <v>497</v>
      </c>
      <c r="N82" s="13" t="s">
        <v>514</v>
      </c>
      <c r="O82" s="13" t="s">
        <v>515</v>
      </c>
      <c r="P82" s="12" t="s">
        <v>103</v>
      </c>
      <c r="Q82" s="12" t="n">
        <v>7</v>
      </c>
      <c r="R82" s="12" t="n">
        <v>3.5</v>
      </c>
      <c r="S82" s="13" t="s">
        <v>46</v>
      </c>
      <c r="T82" s="13" t="s">
        <v>428</v>
      </c>
    </row>
    <row r="83" customFormat="false" ht="23.85" hidden="false" customHeight="false" outlineLevel="0" collapsed="false">
      <c r="A83" s="5" t="s">
        <v>516</v>
      </c>
      <c r="B83" s="6" t="s">
        <v>493</v>
      </c>
      <c r="C83" s="7" t="s">
        <v>494</v>
      </c>
      <c r="D83" s="7" t="s">
        <v>517</v>
      </c>
      <c r="E83" s="6" t="s">
        <v>59</v>
      </c>
      <c r="F83" s="6" t="s">
        <v>518</v>
      </c>
      <c r="G83" s="6" t="s">
        <v>37</v>
      </c>
      <c r="H83" s="6" t="s">
        <v>61</v>
      </c>
      <c r="I83" s="6" t="s">
        <v>90</v>
      </c>
      <c r="J83" s="9" t="s">
        <v>69</v>
      </c>
      <c r="K83" s="9" t="s">
        <v>62</v>
      </c>
      <c r="L83" s="10" t="n">
        <v>0.3</v>
      </c>
      <c r="M83" s="18" t="s">
        <v>497</v>
      </c>
      <c r="N83" s="7" t="s">
        <v>519</v>
      </c>
      <c r="O83" s="7" t="s">
        <v>520</v>
      </c>
      <c r="P83" s="6" t="s">
        <v>103</v>
      </c>
      <c r="Q83" s="6" t="n">
        <v>6</v>
      </c>
      <c r="R83" s="6" t="n">
        <v>4.2</v>
      </c>
      <c r="S83" s="7" t="s">
        <v>320</v>
      </c>
      <c r="T83" s="7" t="s">
        <v>344</v>
      </c>
    </row>
    <row r="84" customFormat="false" ht="15" hidden="false" customHeight="false" outlineLevel="0" collapsed="false">
      <c r="A84" s="11" t="s">
        <v>521</v>
      </c>
      <c r="B84" s="12" t="s">
        <v>493</v>
      </c>
      <c r="C84" s="13" t="s">
        <v>494</v>
      </c>
      <c r="D84" s="13" t="s">
        <v>522</v>
      </c>
      <c r="E84" s="12" t="s">
        <v>59</v>
      </c>
      <c r="F84" s="12" t="s">
        <v>518</v>
      </c>
      <c r="G84" s="12" t="s">
        <v>37</v>
      </c>
      <c r="H84" s="12" t="s">
        <v>61</v>
      </c>
      <c r="I84" s="12" t="s">
        <v>100</v>
      </c>
      <c r="J84" s="15" t="s">
        <v>436</v>
      </c>
      <c r="K84" s="15" t="s">
        <v>53</v>
      </c>
      <c r="L84" s="16" t="n">
        <v>0</v>
      </c>
      <c r="M84" s="15" t="s">
        <v>497</v>
      </c>
      <c r="N84" s="13" t="s">
        <v>523</v>
      </c>
      <c r="O84" s="13" t="s">
        <v>524</v>
      </c>
      <c r="P84" s="12" t="s">
        <v>103</v>
      </c>
      <c r="Q84" s="12" t="n">
        <v>5</v>
      </c>
      <c r="R84" s="12" t="n">
        <v>5</v>
      </c>
      <c r="S84" s="13" t="s">
        <v>344</v>
      </c>
      <c r="T84" s="13" t="s">
        <v>350</v>
      </c>
    </row>
    <row r="85" customFormat="false" ht="23.85" hidden="false" customHeight="false" outlineLevel="0" collapsed="false">
      <c r="A85" s="5" t="s">
        <v>525</v>
      </c>
      <c r="B85" s="6" t="s">
        <v>493</v>
      </c>
      <c r="C85" s="7" t="s">
        <v>494</v>
      </c>
      <c r="D85" s="7" t="s">
        <v>526</v>
      </c>
      <c r="E85" s="6" t="s">
        <v>59</v>
      </c>
      <c r="F85" s="6" t="s">
        <v>527</v>
      </c>
      <c r="G85" s="6" t="s">
        <v>46</v>
      </c>
      <c r="H85" s="6" t="s">
        <v>112</v>
      </c>
      <c r="I85" s="6" t="s">
        <v>112</v>
      </c>
      <c r="J85" s="18" t="s">
        <v>436</v>
      </c>
      <c r="K85" s="18" t="s">
        <v>53</v>
      </c>
      <c r="L85" s="10" t="n">
        <v>0</v>
      </c>
      <c r="M85" s="18" t="s">
        <v>497</v>
      </c>
      <c r="N85" s="7" t="s">
        <v>528</v>
      </c>
      <c r="O85" s="7" t="s">
        <v>529</v>
      </c>
      <c r="P85" s="6" t="s">
        <v>45</v>
      </c>
      <c r="Q85" s="6" t="n">
        <v>4</v>
      </c>
      <c r="R85" s="6" t="n">
        <v>4</v>
      </c>
      <c r="S85" s="7" t="s">
        <v>46</v>
      </c>
      <c r="T85" s="7" t="s">
        <v>464</v>
      </c>
    </row>
    <row r="86" customFormat="false" ht="23.85" hidden="false" customHeight="false" outlineLevel="0" collapsed="false">
      <c r="A86" s="11" t="s">
        <v>530</v>
      </c>
      <c r="B86" s="12" t="s">
        <v>493</v>
      </c>
      <c r="C86" s="13" t="s">
        <v>531</v>
      </c>
      <c r="D86" s="13" t="s">
        <v>532</v>
      </c>
      <c r="E86" s="12" t="s">
        <v>269</v>
      </c>
      <c r="F86" s="12" t="s">
        <v>533</v>
      </c>
      <c r="G86" s="12" t="s">
        <v>194</v>
      </c>
      <c r="H86" s="12" t="s">
        <v>160</v>
      </c>
      <c r="I86" s="12" t="s">
        <v>112</v>
      </c>
      <c r="J86" s="17" t="s">
        <v>69</v>
      </c>
      <c r="K86" s="15" t="s">
        <v>53</v>
      </c>
      <c r="L86" s="16" t="n">
        <v>0</v>
      </c>
      <c r="M86" s="15" t="s">
        <v>497</v>
      </c>
      <c r="N86" s="13" t="s">
        <v>534</v>
      </c>
      <c r="O86" s="13" t="s">
        <v>535</v>
      </c>
      <c r="P86" s="12" t="s">
        <v>103</v>
      </c>
      <c r="Q86" s="12" t="n">
        <v>14</v>
      </c>
      <c r="R86" s="12" t="n">
        <v>14</v>
      </c>
      <c r="S86" s="13" t="s">
        <v>65</v>
      </c>
      <c r="T86" s="13" t="s">
        <v>492</v>
      </c>
    </row>
    <row r="87" customFormat="false" ht="15" hidden="false" customHeight="false" outlineLevel="0" collapsed="false">
      <c r="A87" s="5" t="s">
        <v>536</v>
      </c>
      <c r="B87" s="6" t="s">
        <v>493</v>
      </c>
      <c r="C87" s="7" t="s">
        <v>531</v>
      </c>
      <c r="D87" s="7" t="s">
        <v>537</v>
      </c>
      <c r="E87" s="6" t="s">
        <v>269</v>
      </c>
      <c r="F87" s="6" t="s">
        <v>533</v>
      </c>
      <c r="G87" s="6" t="s">
        <v>194</v>
      </c>
      <c r="H87" s="6" t="s">
        <v>160</v>
      </c>
      <c r="I87" s="6" t="s">
        <v>112</v>
      </c>
      <c r="J87" s="9" t="s">
        <v>69</v>
      </c>
      <c r="K87" s="18" t="s">
        <v>53</v>
      </c>
      <c r="L87" s="10" t="n">
        <v>0</v>
      </c>
      <c r="M87" s="18" t="s">
        <v>497</v>
      </c>
      <c r="N87" s="7" t="s">
        <v>538</v>
      </c>
      <c r="O87" s="7" t="s">
        <v>539</v>
      </c>
      <c r="P87" s="6" t="s">
        <v>103</v>
      </c>
      <c r="Q87" s="6" t="n">
        <v>12</v>
      </c>
      <c r="R87" s="6" t="n">
        <v>12</v>
      </c>
      <c r="S87" s="7" t="s">
        <v>492</v>
      </c>
      <c r="T87" s="7" t="s">
        <v>500</v>
      </c>
    </row>
    <row r="88" customFormat="false" ht="23.85" hidden="false" customHeight="false" outlineLevel="0" collapsed="false">
      <c r="A88" s="11" t="s">
        <v>383</v>
      </c>
      <c r="B88" s="12" t="s">
        <v>493</v>
      </c>
      <c r="C88" s="13" t="s">
        <v>531</v>
      </c>
      <c r="D88" s="13" t="s">
        <v>540</v>
      </c>
      <c r="E88" s="12" t="s">
        <v>35</v>
      </c>
      <c r="F88" s="12" t="s">
        <v>541</v>
      </c>
      <c r="G88" s="12" t="s">
        <v>110</v>
      </c>
      <c r="H88" s="12" t="s">
        <v>111</v>
      </c>
      <c r="I88" s="12" t="s">
        <v>121</v>
      </c>
      <c r="J88" s="17" t="s">
        <v>69</v>
      </c>
      <c r="K88" s="15" t="s">
        <v>53</v>
      </c>
      <c r="L88" s="16" t="n">
        <v>0</v>
      </c>
      <c r="M88" s="15" t="s">
        <v>497</v>
      </c>
      <c r="N88" s="13" t="s">
        <v>542</v>
      </c>
      <c r="O88" s="13" t="s">
        <v>543</v>
      </c>
      <c r="P88" s="12" t="s">
        <v>103</v>
      </c>
      <c r="Q88" s="12" t="n">
        <v>12</v>
      </c>
      <c r="R88" s="12" t="n">
        <v>12</v>
      </c>
      <c r="S88" s="13" t="s">
        <v>65</v>
      </c>
      <c r="T88" s="13" t="s">
        <v>505</v>
      </c>
    </row>
    <row r="89" customFormat="false" ht="15" hidden="false" customHeight="false" outlineLevel="0" collapsed="false">
      <c r="A89" s="5" t="s">
        <v>544</v>
      </c>
      <c r="B89" s="6" t="s">
        <v>493</v>
      </c>
      <c r="C89" s="7" t="s">
        <v>531</v>
      </c>
      <c r="D89" s="7" t="s">
        <v>545</v>
      </c>
      <c r="E89" s="6" t="s">
        <v>119</v>
      </c>
      <c r="F89" s="6" t="s">
        <v>533</v>
      </c>
      <c r="G89" s="6" t="s">
        <v>138</v>
      </c>
      <c r="H89" s="6" t="s">
        <v>160</v>
      </c>
      <c r="I89" s="6" t="s">
        <v>90</v>
      </c>
      <c r="J89" s="18" t="s">
        <v>76</v>
      </c>
      <c r="K89" s="9" t="s">
        <v>62</v>
      </c>
      <c r="L89" s="10" t="n">
        <v>0.6</v>
      </c>
      <c r="M89" s="18" t="s">
        <v>497</v>
      </c>
      <c r="N89" s="7" t="s">
        <v>546</v>
      </c>
      <c r="O89" s="7" t="s">
        <v>547</v>
      </c>
      <c r="P89" s="6" t="s">
        <v>103</v>
      </c>
      <c r="Q89" s="6" t="n">
        <v>6</v>
      </c>
      <c r="R89" s="6" t="n">
        <v>2.4</v>
      </c>
      <c r="S89" s="7" t="s">
        <v>492</v>
      </c>
      <c r="T89" s="7" t="s">
        <v>510</v>
      </c>
    </row>
    <row r="90" customFormat="false" ht="15" hidden="false" customHeight="false" outlineLevel="0" collapsed="false">
      <c r="A90" s="11" t="s">
        <v>548</v>
      </c>
      <c r="B90" s="12" t="s">
        <v>493</v>
      </c>
      <c r="C90" s="13" t="s">
        <v>531</v>
      </c>
      <c r="D90" s="13" t="s">
        <v>549</v>
      </c>
      <c r="E90" s="12" t="s">
        <v>49</v>
      </c>
      <c r="F90" s="12" t="s">
        <v>550</v>
      </c>
      <c r="G90" s="12" t="s">
        <v>174</v>
      </c>
      <c r="H90" s="12" t="s">
        <v>111</v>
      </c>
      <c r="I90" s="12" t="s">
        <v>139</v>
      </c>
      <c r="J90" s="17" t="s">
        <v>69</v>
      </c>
      <c r="K90" s="15" t="s">
        <v>53</v>
      </c>
      <c r="L90" s="16" t="n">
        <v>0</v>
      </c>
      <c r="M90" s="15" t="s">
        <v>497</v>
      </c>
      <c r="N90" s="13" t="s">
        <v>551</v>
      </c>
      <c r="O90" s="13" t="s">
        <v>552</v>
      </c>
      <c r="P90" s="12" t="s">
        <v>103</v>
      </c>
      <c r="Q90" s="12" t="n">
        <v>12</v>
      </c>
      <c r="R90" s="12" t="n">
        <v>12</v>
      </c>
      <c r="S90" s="13" t="s">
        <v>46</v>
      </c>
      <c r="T90" s="13" t="s">
        <v>516</v>
      </c>
    </row>
    <row r="91" customFormat="false" ht="23.85" hidden="false" customHeight="false" outlineLevel="0" collapsed="false">
      <c r="A91" s="5" t="s">
        <v>553</v>
      </c>
      <c r="B91" s="6" t="s">
        <v>493</v>
      </c>
      <c r="C91" s="7" t="s">
        <v>531</v>
      </c>
      <c r="D91" s="7" t="s">
        <v>554</v>
      </c>
      <c r="E91" s="6" t="s">
        <v>75</v>
      </c>
      <c r="F91" s="6" t="s">
        <v>68</v>
      </c>
      <c r="G91" s="6" t="s">
        <v>37</v>
      </c>
      <c r="H91" s="6" t="s">
        <v>39</v>
      </c>
      <c r="I91" s="6" t="s">
        <v>90</v>
      </c>
      <c r="J91" s="9" t="s">
        <v>69</v>
      </c>
      <c r="K91" s="18" t="s">
        <v>53</v>
      </c>
      <c r="L91" s="10" t="n">
        <v>0</v>
      </c>
      <c r="M91" s="18" t="s">
        <v>497</v>
      </c>
      <c r="N91" s="7" t="s">
        <v>555</v>
      </c>
      <c r="O91" s="7" t="s">
        <v>556</v>
      </c>
      <c r="P91" s="6" t="s">
        <v>103</v>
      </c>
      <c r="Q91" s="6" t="n">
        <v>8</v>
      </c>
      <c r="R91" s="6" t="n">
        <v>8</v>
      </c>
      <c r="S91" s="7" t="s">
        <v>72</v>
      </c>
      <c r="T91" s="7" t="s">
        <v>521</v>
      </c>
    </row>
    <row r="92" customFormat="false" ht="15" hidden="false" customHeight="false" outlineLevel="0" collapsed="false">
      <c r="A92" s="11" t="s">
        <v>557</v>
      </c>
      <c r="B92" s="12" t="s">
        <v>493</v>
      </c>
      <c r="C92" s="13" t="s">
        <v>558</v>
      </c>
      <c r="D92" s="13" t="s">
        <v>559</v>
      </c>
      <c r="E92" s="12" t="s">
        <v>97</v>
      </c>
      <c r="F92" s="12" t="s">
        <v>560</v>
      </c>
      <c r="G92" s="12" t="s">
        <v>244</v>
      </c>
      <c r="H92" s="12" t="s">
        <v>121</v>
      </c>
      <c r="I92" s="12" t="s">
        <v>121</v>
      </c>
      <c r="J92" s="15" t="s">
        <v>76</v>
      </c>
      <c r="K92" s="15" t="s">
        <v>53</v>
      </c>
      <c r="L92" s="16" t="n">
        <v>0</v>
      </c>
      <c r="M92" s="15" t="s">
        <v>497</v>
      </c>
      <c r="N92" s="13" t="s">
        <v>561</v>
      </c>
      <c r="O92" s="13" t="s">
        <v>562</v>
      </c>
      <c r="P92" s="12" t="s">
        <v>103</v>
      </c>
      <c r="Q92" s="12" t="n">
        <v>10</v>
      </c>
      <c r="R92" s="12" t="n">
        <v>10</v>
      </c>
      <c r="S92" s="13" t="s">
        <v>46</v>
      </c>
      <c r="T92" s="13" t="s">
        <v>525</v>
      </c>
    </row>
    <row r="93" customFormat="false" ht="15" hidden="false" customHeight="false" outlineLevel="0" collapsed="false">
      <c r="A93" s="5" t="s">
        <v>563</v>
      </c>
      <c r="B93" s="6" t="s">
        <v>493</v>
      </c>
      <c r="C93" s="7" t="s">
        <v>558</v>
      </c>
      <c r="D93" s="7" t="s">
        <v>564</v>
      </c>
      <c r="E93" s="6" t="s">
        <v>97</v>
      </c>
      <c r="F93" s="6" t="s">
        <v>560</v>
      </c>
      <c r="G93" s="6" t="s">
        <v>244</v>
      </c>
      <c r="H93" s="6" t="s">
        <v>121</v>
      </c>
      <c r="I93" s="6" t="s">
        <v>121</v>
      </c>
      <c r="J93" s="18" t="s">
        <v>76</v>
      </c>
      <c r="K93" s="18" t="s">
        <v>53</v>
      </c>
      <c r="L93" s="10" t="n">
        <v>0</v>
      </c>
      <c r="M93" s="18" t="s">
        <v>497</v>
      </c>
      <c r="N93" s="7" t="s">
        <v>565</v>
      </c>
      <c r="O93" s="7" t="s">
        <v>566</v>
      </c>
      <c r="P93" s="6" t="s">
        <v>103</v>
      </c>
      <c r="Q93" s="6" t="n">
        <v>8</v>
      </c>
      <c r="R93" s="6" t="n">
        <v>8</v>
      </c>
      <c r="S93" s="7" t="s">
        <v>536</v>
      </c>
      <c r="T93" s="7" t="s">
        <v>530</v>
      </c>
    </row>
    <row r="94" customFormat="false" ht="15" hidden="false" customHeight="false" outlineLevel="0" collapsed="false">
      <c r="A94" s="11" t="s">
        <v>567</v>
      </c>
      <c r="B94" s="12" t="s">
        <v>493</v>
      </c>
      <c r="C94" s="13" t="s">
        <v>558</v>
      </c>
      <c r="D94" s="13" t="s">
        <v>568</v>
      </c>
      <c r="E94" s="12" t="s">
        <v>59</v>
      </c>
      <c r="F94" s="12" t="s">
        <v>569</v>
      </c>
      <c r="G94" s="12" t="s">
        <v>244</v>
      </c>
      <c r="H94" s="12" t="s">
        <v>121</v>
      </c>
      <c r="I94" s="12" t="s">
        <v>139</v>
      </c>
      <c r="J94" s="15" t="s">
        <v>76</v>
      </c>
      <c r="K94" s="15" t="s">
        <v>53</v>
      </c>
      <c r="L94" s="16" t="n">
        <v>0</v>
      </c>
      <c r="M94" s="15" t="s">
        <v>497</v>
      </c>
      <c r="N94" s="13" t="s">
        <v>570</v>
      </c>
      <c r="O94" s="13" t="s">
        <v>571</v>
      </c>
      <c r="P94" s="12" t="s">
        <v>45</v>
      </c>
      <c r="Q94" s="12" t="n">
        <v>8</v>
      </c>
      <c r="R94" s="12" t="n">
        <v>8</v>
      </c>
      <c r="S94" s="13" t="s">
        <v>46</v>
      </c>
      <c r="T94" s="13" t="s">
        <v>536</v>
      </c>
    </row>
    <row r="95" customFormat="false" ht="15" hidden="false" customHeight="false" outlineLevel="0" collapsed="false">
      <c r="A95" s="5" t="s">
        <v>572</v>
      </c>
      <c r="B95" s="6" t="s">
        <v>493</v>
      </c>
      <c r="C95" s="7" t="s">
        <v>558</v>
      </c>
      <c r="D95" s="7" t="s">
        <v>573</v>
      </c>
      <c r="E95" s="6" t="s">
        <v>75</v>
      </c>
      <c r="F95" s="6" t="s">
        <v>68</v>
      </c>
      <c r="G95" s="6" t="s">
        <v>37</v>
      </c>
      <c r="H95" s="6" t="s">
        <v>61</v>
      </c>
      <c r="I95" s="6" t="s">
        <v>61</v>
      </c>
      <c r="J95" s="18" t="s">
        <v>76</v>
      </c>
      <c r="K95" s="18" t="s">
        <v>53</v>
      </c>
      <c r="L95" s="10" t="n">
        <v>0</v>
      </c>
      <c r="M95" s="18" t="s">
        <v>497</v>
      </c>
      <c r="N95" s="7" t="s">
        <v>574</v>
      </c>
      <c r="O95" s="7" t="s">
        <v>575</v>
      </c>
      <c r="P95" s="6" t="s">
        <v>103</v>
      </c>
      <c r="Q95" s="6" t="n">
        <v>8</v>
      </c>
      <c r="R95" s="6" t="n">
        <v>8</v>
      </c>
      <c r="S95" s="7" t="s">
        <v>46</v>
      </c>
      <c r="T95" s="7" t="s">
        <v>544</v>
      </c>
    </row>
    <row r="96" customFormat="false" ht="35.05" hidden="false" customHeight="false" outlineLevel="0" collapsed="false">
      <c r="A96" s="11" t="s">
        <v>576</v>
      </c>
      <c r="B96" s="12" t="s">
        <v>493</v>
      </c>
      <c r="C96" s="13" t="s">
        <v>558</v>
      </c>
      <c r="D96" s="13" t="s">
        <v>577</v>
      </c>
      <c r="E96" s="12" t="s">
        <v>578</v>
      </c>
      <c r="F96" s="12" t="s">
        <v>579</v>
      </c>
      <c r="G96" s="12" t="s">
        <v>37</v>
      </c>
      <c r="H96" s="12" t="s">
        <v>39</v>
      </c>
      <c r="I96" s="12" t="s">
        <v>90</v>
      </c>
      <c r="J96" s="15" t="s">
        <v>76</v>
      </c>
      <c r="K96" s="15" t="s">
        <v>53</v>
      </c>
      <c r="L96" s="16" t="n">
        <v>0</v>
      </c>
      <c r="M96" s="15" t="s">
        <v>497</v>
      </c>
      <c r="N96" s="13" t="s">
        <v>580</v>
      </c>
      <c r="O96" s="13" t="s">
        <v>581</v>
      </c>
      <c r="P96" s="12" t="s">
        <v>56</v>
      </c>
      <c r="Q96" s="12" t="n">
        <v>6</v>
      </c>
      <c r="R96" s="12" t="n">
        <v>6</v>
      </c>
      <c r="S96" s="13" t="s">
        <v>72</v>
      </c>
      <c r="T96" s="13" t="s">
        <v>548</v>
      </c>
    </row>
    <row r="97" customFormat="false" ht="15" hidden="false" customHeight="false" outlineLevel="0" collapsed="false">
      <c r="A97" s="5" t="s">
        <v>582</v>
      </c>
      <c r="B97" s="6" t="s">
        <v>493</v>
      </c>
      <c r="C97" s="7" t="s">
        <v>558</v>
      </c>
      <c r="D97" s="7" t="s">
        <v>583</v>
      </c>
      <c r="E97" s="6" t="s">
        <v>97</v>
      </c>
      <c r="F97" s="6" t="s">
        <v>441</v>
      </c>
      <c r="G97" s="6" t="s">
        <v>99</v>
      </c>
      <c r="H97" s="6" t="s">
        <v>100</v>
      </c>
      <c r="I97" s="6" t="s">
        <v>100</v>
      </c>
      <c r="J97" s="18" t="s">
        <v>584</v>
      </c>
      <c r="K97" s="18" t="s">
        <v>53</v>
      </c>
      <c r="L97" s="10" t="n">
        <v>0</v>
      </c>
      <c r="M97" s="18" t="s">
        <v>497</v>
      </c>
      <c r="N97" s="7" t="s">
        <v>585</v>
      </c>
      <c r="O97" s="7" t="s">
        <v>586</v>
      </c>
      <c r="P97" s="6" t="s">
        <v>164</v>
      </c>
      <c r="Q97" s="6" t="n">
        <v>7</v>
      </c>
      <c r="R97" s="6" t="n">
        <v>7</v>
      </c>
      <c r="S97" s="7" t="s">
        <v>46</v>
      </c>
      <c r="T97" s="7" t="s">
        <v>553</v>
      </c>
    </row>
    <row r="98" customFormat="false" ht="15" hidden="false" customHeight="false" outlineLevel="0" collapsed="false">
      <c r="A98" s="11" t="s">
        <v>587</v>
      </c>
      <c r="B98" s="12" t="s">
        <v>493</v>
      </c>
      <c r="C98" s="13" t="s">
        <v>558</v>
      </c>
      <c r="D98" s="13" t="s">
        <v>588</v>
      </c>
      <c r="E98" s="12" t="s">
        <v>97</v>
      </c>
      <c r="F98" s="12" t="s">
        <v>441</v>
      </c>
      <c r="G98" s="12" t="s">
        <v>99</v>
      </c>
      <c r="H98" s="12" t="s">
        <v>100</v>
      </c>
      <c r="I98" s="12" t="s">
        <v>100</v>
      </c>
      <c r="J98" s="15" t="s">
        <v>584</v>
      </c>
      <c r="K98" s="15" t="s">
        <v>53</v>
      </c>
      <c r="L98" s="16" t="n">
        <v>0</v>
      </c>
      <c r="M98" s="15" t="s">
        <v>497</v>
      </c>
      <c r="N98" s="13" t="s">
        <v>589</v>
      </c>
      <c r="O98" s="13" t="s">
        <v>590</v>
      </c>
      <c r="P98" s="12" t="s">
        <v>164</v>
      </c>
      <c r="Q98" s="12" t="n">
        <v>7</v>
      </c>
      <c r="R98" s="12" t="n">
        <v>7</v>
      </c>
      <c r="S98" s="13" t="s">
        <v>46</v>
      </c>
      <c r="T98" s="13" t="s">
        <v>557</v>
      </c>
    </row>
    <row r="99" customFormat="false" ht="68.65" hidden="false" customHeight="false" outlineLevel="0" collapsed="false">
      <c r="A99" s="5" t="s">
        <v>591</v>
      </c>
      <c r="B99" s="6" t="s">
        <v>493</v>
      </c>
      <c r="C99" s="7" t="s">
        <v>494</v>
      </c>
      <c r="D99" s="7" t="s">
        <v>592</v>
      </c>
      <c r="E99" s="6" t="s">
        <v>593</v>
      </c>
      <c r="F99" s="6" t="s">
        <v>594</v>
      </c>
      <c r="G99" s="6" t="s">
        <v>51</v>
      </c>
      <c r="H99" s="6" t="s">
        <v>56</v>
      </c>
      <c r="I99" s="6" t="s">
        <v>112</v>
      </c>
      <c r="J99" s="9" t="s">
        <v>69</v>
      </c>
      <c r="K99" s="18" t="s">
        <v>53</v>
      </c>
      <c r="L99" s="10" t="n">
        <v>0</v>
      </c>
      <c r="M99" s="18" t="s">
        <v>497</v>
      </c>
      <c r="N99" s="7" t="s">
        <v>595</v>
      </c>
      <c r="O99" s="7" t="s">
        <v>596</v>
      </c>
      <c r="P99" s="6" t="s">
        <v>56</v>
      </c>
      <c r="Q99" s="6" t="n">
        <v>16</v>
      </c>
      <c r="R99" s="6" t="n">
        <v>16</v>
      </c>
      <c r="S99" s="7"/>
      <c r="T99" s="7" t="s">
        <v>86</v>
      </c>
    </row>
    <row r="100" customFormat="false" ht="57.45" hidden="false" customHeight="false" outlineLevel="0" collapsed="false">
      <c r="A100" s="11" t="s">
        <v>597</v>
      </c>
      <c r="B100" s="12" t="s">
        <v>493</v>
      </c>
      <c r="C100" s="13" t="s">
        <v>494</v>
      </c>
      <c r="D100" s="13" t="s">
        <v>598</v>
      </c>
      <c r="E100" s="12" t="s">
        <v>599</v>
      </c>
      <c r="F100" s="12" t="s">
        <v>600</v>
      </c>
      <c r="G100" s="12" t="s">
        <v>200</v>
      </c>
      <c r="H100" s="12" t="s">
        <v>56</v>
      </c>
      <c r="I100" s="12" t="s">
        <v>139</v>
      </c>
      <c r="J100" s="15" t="s">
        <v>76</v>
      </c>
      <c r="K100" s="15" t="s">
        <v>53</v>
      </c>
      <c r="L100" s="16" t="n">
        <v>0</v>
      </c>
      <c r="M100" s="15" t="s">
        <v>497</v>
      </c>
      <c r="N100" s="13" t="s">
        <v>601</v>
      </c>
      <c r="O100" s="13" t="s">
        <v>602</v>
      </c>
      <c r="P100" s="12" t="s">
        <v>56</v>
      </c>
      <c r="Q100" s="12" t="n">
        <v>8</v>
      </c>
      <c r="R100" s="12" t="n">
        <v>8</v>
      </c>
      <c r="S100" s="13"/>
      <c r="T100" s="13" t="s">
        <v>86</v>
      </c>
    </row>
    <row r="101" customFormat="false" ht="35.05" hidden="false" customHeight="false" outlineLevel="0" collapsed="false">
      <c r="A101" s="5" t="s">
        <v>603</v>
      </c>
      <c r="B101" s="6" t="s">
        <v>493</v>
      </c>
      <c r="C101" s="7" t="s">
        <v>494</v>
      </c>
      <c r="D101" s="7" t="s">
        <v>604</v>
      </c>
      <c r="E101" s="6" t="s">
        <v>605</v>
      </c>
      <c r="F101" s="6" t="s">
        <v>450</v>
      </c>
      <c r="G101" s="6" t="s">
        <v>37</v>
      </c>
      <c r="H101" s="6" t="s">
        <v>56</v>
      </c>
      <c r="I101" s="6" t="s">
        <v>39</v>
      </c>
      <c r="J101" s="18" t="s">
        <v>436</v>
      </c>
      <c r="K101" s="18" t="s">
        <v>53</v>
      </c>
      <c r="L101" s="10" t="n">
        <v>0</v>
      </c>
      <c r="M101" s="18" t="s">
        <v>497</v>
      </c>
      <c r="N101" s="7" t="s">
        <v>606</v>
      </c>
      <c r="O101" s="7" t="s">
        <v>607</v>
      </c>
      <c r="P101" s="6" t="s">
        <v>56</v>
      </c>
      <c r="Q101" s="6" t="n">
        <v>4</v>
      </c>
      <c r="R101" s="6" t="n">
        <v>4</v>
      </c>
      <c r="S101" s="7"/>
      <c r="T101" s="7" t="s">
        <v>86</v>
      </c>
    </row>
    <row r="102" customFormat="false" ht="15" hidden="false" customHeight="false" outlineLevel="0" collapsed="false">
      <c r="A102" s="11" t="s">
        <v>608</v>
      </c>
      <c r="B102" s="12" t="s">
        <v>609</v>
      </c>
      <c r="C102" s="13" t="s">
        <v>610</v>
      </c>
      <c r="D102" s="13" t="s">
        <v>611</v>
      </c>
      <c r="E102" s="12" t="s">
        <v>75</v>
      </c>
      <c r="F102" s="12" t="s">
        <v>68</v>
      </c>
      <c r="G102" s="12" t="s">
        <v>37</v>
      </c>
      <c r="H102" s="12" t="s">
        <v>39</v>
      </c>
      <c r="I102" s="12" t="s">
        <v>90</v>
      </c>
      <c r="J102" s="17" t="s">
        <v>69</v>
      </c>
      <c r="K102" s="15" t="s">
        <v>53</v>
      </c>
      <c r="L102" s="16" t="n">
        <v>0</v>
      </c>
      <c r="M102" s="15" t="s">
        <v>497</v>
      </c>
      <c r="N102" s="13" t="s">
        <v>612</v>
      </c>
      <c r="O102" s="13" t="s">
        <v>613</v>
      </c>
      <c r="P102" s="12" t="s">
        <v>103</v>
      </c>
      <c r="Q102" s="12" t="n">
        <v>8</v>
      </c>
      <c r="R102" s="12" t="n">
        <v>8</v>
      </c>
      <c r="S102" s="13" t="s">
        <v>46</v>
      </c>
      <c r="T102" s="13" t="s">
        <v>608</v>
      </c>
    </row>
    <row r="103" customFormat="false" ht="23.85" hidden="false" customHeight="false" outlineLevel="0" collapsed="false">
      <c r="A103" s="5" t="s">
        <v>614</v>
      </c>
      <c r="B103" s="6" t="s">
        <v>609</v>
      </c>
      <c r="C103" s="7" t="s">
        <v>610</v>
      </c>
      <c r="D103" s="7" t="s">
        <v>615</v>
      </c>
      <c r="E103" s="6" t="s">
        <v>75</v>
      </c>
      <c r="F103" s="6" t="s">
        <v>68</v>
      </c>
      <c r="G103" s="6" t="s">
        <v>37</v>
      </c>
      <c r="H103" s="6" t="s">
        <v>39</v>
      </c>
      <c r="I103" s="6" t="s">
        <v>90</v>
      </c>
      <c r="J103" s="18" t="s">
        <v>76</v>
      </c>
      <c r="K103" s="18" t="s">
        <v>53</v>
      </c>
      <c r="L103" s="10" t="n">
        <v>0.3</v>
      </c>
      <c r="M103" s="18" t="s">
        <v>497</v>
      </c>
      <c r="N103" s="7" t="s">
        <v>616</v>
      </c>
      <c r="O103" s="7" t="s">
        <v>617</v>
      </c>
      <c r="P103" s="6" t="s">
        <v>93</v>
      </c>
      <c r="Q103" s="6" t="n">
        <v>5</v>
      </c>
      <c r="R103" s="6" t="n">
        <v>3.5</v>
      </c>
      <c r="S103" s="7" t="s">
        <v>46</v>
      </c>
      <c r="T103" s="7" t="s">
        <v>614</v>
      </c>
    </row>
    <row r="104" customFormat="false" ht="23.85" hidden="false" customHeight="false" outlineLevel="0" collapsed="false">
      <c r="A104" s="11" t="s">
        <v>618</v>
      </c>
      <c r="B104" s="12" t="s">
        <v>609</v>
      </c>
      <c r="C104" s="13" t="s">
        <v>610</v>
      </c>
      <c r="D104" s="13" t="s">
        <v>619</v>
      </c>
      <c r="E104" s="12" t="s">
        <v>75</v>
      </c>
      <c r="F104" s="12" t="s">
        <v>620</v>
      </c>
      <c r="G104" s="12" t="s">
        <v>37</v>
      </c>
      <c r="H104" s="12" t="s">
        <v>39</v>
      </c>
      <c r="I104" s="12" t="s">
        <v>112</v>
      </c>
      <c r="J104" s="17" t="s">
        <v>69</v>
      </c>
      <c r="K104" s="15" t="s">
        <v>53</v>
      </c>
      <c r="L104" s="16" t="n">
        <v>0</v>
      </c>
      <c r="M104" s="15" t="s">
        <v>497</v>
      </c>
      <c r="N104" s="13" t="s">
        <v>621</v>
      </c>
      <c r="O104" s="13" t="s">
        <v>622</v>
      </c>
      <c r="P104" s="12" t="s">
        <v>103</v>
      </c>
      <c r="Q104" s="12" t="n">
        <v>12</v>
      </c>
      <c r="R104" s="12" t="n">
        <v>12</v>
      </c>
      <c r="S104" s="13" t="s">
        <v>46</v>
      </c>
      <c r="T104" s="13" t="s">
        <v>618</v>
      </c>
    </row>
    <row r="105" customFormat="false" ht="23.85" hidden="false" customHeight="false" outlineLevel="0" collapsed="false">
      <c r="A105" s="5" t="s">
        <v>623</v>
      </c>
      <c r="B105" s="6" t="s">
        <v>609</v>
      </c>
      <c r="C105" s="7" t="s">
        <v>610</v>
      </c>
      <c r="D105" s="7" t="s">
        <v>624</v>
      </c>
      <c r="E105" s="6" t="s">
        <v>391</v>
      </c>
      <c r="F105" s="6" t="s">
        <v>550</v>
      </c>
      <c r="G105" s="6" t="s">
        <v>513</v>
      </c>
      <c r="H105" s="6" t="s">
        <v>39</v>
      </c>
      <c r="I105" s="6" t="s">
        <v>139</v>
      </c>
      <c r="J105" s="9" t="s">
        <v>69</v>
      </c>
      <c r="K105" s="18" t="s">
        <v>53</v>
      </c>
      <c r="L105" s="10" t="n">
        <v>0</v>
      </c>
      <c r="M105" s="18" t="s">
        <v>497</v>
      </c>
      <c r="N105" s="7" t="s">
        <v>625</v>
      </c>
      <c r="O105" s="7" t="s">
        <v>626</v>
      </c>
      <c r="P105" s="6" t="s">
        <v>103</v>
      </c>
      <c r="Q105" s="6" t="n">
        <v>12</v>
      </c>
      <c r="R105" s="6" t="n">
        <v>12</v>
      </c>
      <c r="S105" s="7" t="s">
        <v>46</v>
      </c>
      <c r="T105" s="7" t="s">
        <v>623</v>
      </c>
    </row>
    <row r="106" customFormat="false" ht="23.85" hidden="false" customHeight="false" outlineLevel="0" collapsed="false">
      <c r="A106" s="11" t="s">
        <v>627</v>
      </c>
      <c r="B106" s="12" t="s">
        <v>609</v>
      </c>
      <c r="C106" s="13" t="s">
        <v>610</v>
      </c>
      <c r="D106" s="13" t="s">
        <v>628</v>
      </c>
      <c r="E106" s="12" t="s">
        <v>211</v>
      </c>
      <c r="F106" s="12" t="s">
        <v>629</v>
      </c>
      <c r="G106" s="12" t="s">
        <v>218</v>
      </c>
      <c r="H106" s="12" t="s">
        <v>139</v>
      </c>
      <c r="I106" s="12" t="s">
        <v>139</v>
      </c>
      <c r="J106" s="17" t="s">
        <v>69</v>
      </c>
      <c r="K106" s="15" t="s">
        <v>53</v>
      </c>
      <c r="L106" s="16" t="n">
        <v>0</v>
      </c>
      <c r="M106" s="15" t="s">
        <v>497</v>
      </c>
      <c r="N106" s="13" t="s">
        <v>630</v>
      </c>
      <c r="O106" s="13" t="s">
        <v>631</v>
      </c>
      <c r="P106" s="12" t="s">
        <v>103</v>
      </c>
      <c r="Q106" s="12" t="n">
        <v>10</v>
      </c>
      <c r="R106" s="12" t="n">
        <v>10</v>
      </c>
      <c r="S106" s="13" t="s">
        <v>46</v>
      </c>
      <c r="T106" s="13" t="s">
        <v>627</v>
      </c>
    </row>
    <row r="107" customFormat="false" ht="15" hidden="false" customHeight="false" outlineLevel="0" collapsed="false">
      <c r="A107" s="5" t="s">
        <v>632</v>
      </c>
      <c r="B107" s="6" t="s">
        <v>609</v>
      </c>
      <c r="C107" s="7" t="s">
        <v>610</v>
      </c>
      <c r="D107" s="7" t="s">
        <v>633</v>
      </c>
      <c r="E107" s="6" t="s">
        <v>59</v>
      </c>
      <c r="F107" s="6" t="s">
        <v>60</v>
      </c>
      <c r="G107" s="6" t="s">
        <v>145</v>
      </c>
      <c r="H107" s="6" t="s">
        <v>61</v>
      </c>
      <c r="I107" s="6" t="s">
        <v>61</v>
      </c>
      <c r="J107" s="18" t="s">
        <v>76</v>
      </c>
      <c r="K107" s="18" t="s">
        <v>53</v>
      </c>
      <c r="L107" s="10" t="n">
        <v>0</v>
      </c>
      <c r="M107" s="18" t="s">
        <v>497</v>
      </c>
      <c r="N107" s="7" t="s">
        <v>634</v>
      </c>
      <c r="O107" s="7" t="s">
        <v>635</v>
      </c>
      <c r="P107" s="6" t="s">
        <v>103</v>
      </c>
      <c r="Q107" s="6" t="n">
        <v>6</v>
      </c>
      <c r="R107" s="6" t="n">
        <v>6</v>
      </c>
      <c r="S107" s="7" t="s">
        <v>46</v>
      </c>
      <c r="T107" s="7" t="s">
        <v>632</v>
      </c>
    </row>
    <row r="108" customFormat="false" ht="15" hidden="false" customHeight="false" outlineLevel="0" collapsed="false">
      <c r="A108" s="11" t="s">
        <v>636</v>
      </c>
      <c r="B108" s="12" t="s">
        <v>609</v>
      </c>
      <c r="C108" s="13" t="s">
        <v>610</v>
      </c>
      <c r="D108" s="13" t="s">
        <v>637</v>
      </c>
      <c r="E108" s="12" t="s">
        <v>75</v>
      </c>
      <c r="F108" s="12" t="s">
        <v>68</v>
      </c>
      <c r="G108" s="12" t="s">
        <v>37</v>
      </c>
      <c r="H108" s="12" t="s">
        <v>61</v>
      </c>
      <c r="I108" s="12" t="s">
        <v>61</v>
      </c>
      <c r="J108" s="17" t="s">
        <v>69</v>
      </c>
      <c r="K108" s="15" t="s">
        <v>53</v>
      </c>
      <c r="L108" s="16" t="n">
        <v>0</v>
      </c>
      <c r="M108" s="15" t="s">
        <v>497</v>
      </c>
      <c r="N108" s="13" t="s">
        <v>638</v>
      </c>
      <c r="O108" s="13" t="s">
        <v>639</v>
      </c>
      <c r="P108" s="12" t="s">
        <v>103</v>
      </c>
      <c r="Q108" s="12" t="n">
        <v>8</v>
      </c>
      <c r="R108" s="12" t="n">
        <v>8</v>
      </c>
      <c r="S108" s="13" t="s">
        <v>46</v>
      </c>
      <c r="T108" s="13" t="s">
        <v>636</v>
      </c>
    </row>
    <row r="109" customFormat="false" ht="15" hidden="false" customHeight="false" outlineLevel="0" collapsed="false">
      <c r="A109" s="5" t="s">
        <v>640</v>
      </c>
      <c r="B109" s="6" t="s">
        <v>609</v>
      </c>
      <c r="C109" s="7" t="s">
        <v>641</v>
      </c>
      <c r="D109" s="7" t="s">
        <v>642</v>
      </c>
      <c r="E109" s="6" t="s">
        <v>391</v>
      </c>
      <c r="F109" s="6" t="s">
        <v>502</v>
      </c>
      <c r="G109" s="6" t="s">
        <v>643</v>
      </c>
      <c r="H109" s="6" t="s">
        <v>161</v>
      </c>
      <c r="I109" s="6" t="s">
        <v>52</v>
      </c>
      <c r="J109" s="9" t="s">
        <v>69</v>
      </c>
      <c r="K109" s="18" t="s">
        <v>53</v>
      </c>
      <c r="L109" s="10" t="n">
        <v>0</v>
      </c>
      <c r="M109" s="18" t="s">
        <v>497</v>
      </c>
      <c r="N109" s="7" t="s">
        <v>644</v>
      </c>
      <c r="O109" s="7" t="s">
        <v>645</v>
      </c>
      <c r="P109" s="6" t="s">
        <v>164</v>
      </c>
      <c r="Q109" s="6" t="n">
        <v>10</v>
      </c>
      <c r="R109" s="6" t="n">
        <v>10</v>
      </c>
      <c r="S109" s="7" t="s">
        <v>46</v>
      </c>
      <c r="T109" s="7" t="s">
        <v>640</v>
      </c>
    </row>
    <row r="110" customFormat="false" ht="15" hidden="false" customHeight="false" outlineLevel="0" collapsed="false">
      <c r="A110" s="11" t="s">
        <v>646</v>
      </c>
      <c r="B110" s="12" t="s">
        <v>609</v>
      </c>
      <c r="C110" s="13" t="s">
        <v>641</v>
      </c>
      <c r="D110" s="13" t="s">
        <v>647</v>
      </c>
      <c r="E110" s="12" t="s">
        <v>391</v>
      </c>
      <c r="F110" s="12" t="s">
        <v>502</v>
      </c>
      <c r="G110" s="12" t="s">
        <v>643</v>
      </c>
      <c r="H110" s="12" t="s">
        <v>161</v>
      </c>
      <c r="I110" s="12" t="s">
        <v>52</v>
      </c>
      <c r="J110" s="15" t="s">
        <v>76</v>
      </c>
      <c r="K110" s="15" t="s">
        <v>53</v>
      </c>
      <c r="L110" s="16" t="n">
        <v>0</v>
      </c>
      <c r="M110" s="15" t="s">
        <v>497</v>
      </c>
      <c r="N110" s="13" t="s">
        <v>648</v>
      </c>
      <c r="O110" s="13" t="s">
        <v>649</v>
      </c>
      <c r="P110" s="12" t="s">
        <v>164</v>
      </c>
      <c r="Q110" s="12" t="n">
        <v>8</v>
      </c>
      <c r="R110" s="12" t="n">
        <v>8</v>
      </c>
      <c r="S110" s="13" t="s">
        <v>46</v>
      </c>
      <c r="T110" s="13" t="s">
        <v>646</v>
      </c>
    </row>
    <row r="111" customFormat="false" ht="15" hidden="false" customHeight="false" outlineLevel="0" collapsed="false">
      <c r="A111" s="5" t="s">
        <v>650</v>
      </c>
      <c r="B111" s="6" t="s">
        <v>609</v>
      </c>
      <c r="C111" s="7" t="s">
        <v>641</v>
      </c>
      <c r="D111" s="7" t="s">
        <v>651</v>
      </c>
      <c r="E111" s="6" t="s">
        <v>391</v>
      </c>
      <c r="F111" s="6" t="s">
        <v>502</v>
      </c>
      <c r="G111" s="6" t="s">
        <v>643</v>
      </c>
      <c r="H111" s="6" t="s">
        <v>161</v>
      </c>
      <c r="I111" s="6" t="s">
        <v>52</v>
      </c>
      <c r="J111" s="18" t="s">
        <v>584</v>
      </c>
      <c r="K111" s="18" t="s">
        <v>53</v>
      </c>
      <c r="L111" s="10" t="n">
        <v>0</v>
      </c>
      <c r="M111" s="18" t="s">
        <v>497</v>
      </c>
      <c r="N111" s="7" t="s">
        <v>652</v>
      </c>
      <c r="O111" s="7" t="s">
        <v>653</v>
      </c>
      <c r="P111" s="6" t="s">
        <v>164</v>
      </c>
      <c r="Q111" s="6" t="n">
        <v>12</v>
      </c>
      <c r="R111" s="6" t="n">
        <v>12</v>
      </c>
      <c r="S111" s="7" t="s">
        <v>46</v>
      </c>
      <c r="T111" s="7" t="s">
        <v>650</v>
      </c>
    </row>
    <row r="112" customFormat="false" ht="15" hidden="false" customHeight="false" outlineLevel="0" collapsed="false">
      <c r="A112" s="11" t="s">
        <v>654</v>
      </c>
      <c r="B112" s="12" t="s">
        <v>609</v>
      </c>
      <c r="C112" s="13" t="s">
        <v>641</v>
      </c>
      <c r="D112" s="13" t="s">
        <v>655</v>
      </c>
      <c r="E112" s="12" t="s">
        <v>75</v>
      </c>
      <c r="F112" s="12" t="s">
        <v>68</v>
      </c>
      <c r="G112" s="12" t="s">
        <v>46</v>
      </c>
      <c r="H112" s="12" t="s">
        <v>100</v>
      </c>
      <c r="I112" s="12" t="s">
        <v>100</v>
      </c>
      <c r="J112" s="15" t="s">
        <v>436</v>
      </c>
      <c r="K112" s="15" t="s">
        <v>53</v>
      </c>
      <c r="L112" s="16" t="n">
        <v>0</v>
      </c>
      <c r="M112" s="15" t="s">
        <v>497</v>
      </c>
      <c r="N112" s="13" t="s">
        <v>656</v>
      </c>
      <c r="O112" s="13" t="s">
        <v>657</v>
      </c>
      <c r="P112" s="12" t="s">
        <v>164</v>
      </c>
      <c r="Q112" s="12" t="n">
        <v>4</v>
      </c>
      <c r="R112" s="12" t="n">
        <v>4</v>
      </c>
      <c r="S112" s="13" t="s">
        <v>46</v>
      </c>
      <c r="T112" s="13" t="s">
        <v>654</v>
      </c>
    </row>
    <row r="113" customFormat="false" ht="15" hidden="false" customHeight="false" outlineLevel="0" collapsed="false">
      <c r="A113" s="5" t="s">
        <v>658</v>
      </c>
      <c r="B113" s="6" t="s">
        <v>609</v>
      </c>
      <c r="C113" s="7" t="s">
        <v>641</v>
      </c>
      <c r="D113" s="7" t="s">
        <v>659</v>
      </c>
      <c r="E113" s="6" t="s">
        <v>59</v>
      </c>
      <c r="F113" s="6" t="s">
        <v>518</v>
      </c>
      <c r="G113" s="6" t="s">
        <v>46</v>
      </c>
      <c r="H113" s="6" t="s">
        <v>311</v>
      </c>
      <c r="I113" s="6" t="s">
        <v>61</v>
      </c>
      <c r="J113" s="18" t="s">
        <v>76</v>
      </c>
      <c r="K113" s="18" t="s">
        <v>53</v>
      </c>
      <c r="L113" s="10" t="n">
        <v>0</v>
      </c>
      <c r="M113" s="18" t="s">
        <v>497</v>
      </c>
      <c r="N113" s="7" t="s">
        <v>660</v>
      </c>
      <c r="O113" s="7" t="s">
        <v>661</v>
      </c>
      <c r="P113" s="6" t="s">
        <v>103</v>
      </c>
      <c r="Q113" s="6" t="n">
        <v>10</v>
      </c>
      <c r="R113" s="6" t="n">
        <v>10</v>
      </c>
      <c r="S113" s="7" t="s">
        <v>46</v>
      </c>
      <c r="T113" s="7" t="s">
        <v>658</v>
      </c>
    </row>
    <row r="114" customFormat="false" ht="15" hidden="false" customHeight="false" outlineLevel="0" collapsed="false">
      <c r="A114" s="11" t="s">
        <v>662</v>
      </c>
      <c r="B114" s="12" t="s">
        <v>609</v>
      </c>
      <c r="C114" s="13" t="s">
        <v>641</v>
      </c>
      <c r="D114" s="13" t="s">
        <v>663</v>
      </c>
      <c r="E114" s="12" t="s">
        <v>75</v>
      </c>
      <c r="F114" s="12" t="s">
        <v>137</v>
      </c>
      <c r="G114" s="12" t="s">
        <v>138</v>
      </c>
      <c r="H114" s="12" t="s">
        <v>160</v>
      </c>
      <c r="I114" s="12" t="s">
        <v>161</v>
      </c>
      <c r="J114" s="17" t="s">
        <v>69</v>
      </c>
      <c r="K114" s="15" t="s">
        <v>53</v>
      </c>
      <c r="L114" s="16" t="n">
        <v>0</v>
      </c>
      <c r="M114" s="15" t="s">
        <v>497</v>
      </c>
      <c r="N114" s="13" t="s">
        <v>664</v>
      </c>
      <c r="O114" s="13" t="s">
        <v>665</v>
      </c>
      <c r="P114" s="12" t="s">
        <v>164</v>
      </c>
      <c r="Q114" s="12" t="n">
        <v>4</v>
      </c>
      <c r="R114" s="12" t="n">
        <v>4</v>
      </c>
      <c r="S114" s="13" t="s">
        <v>105</v>
      </c>
      <c r="T114" s="13" t="s">
        <v>662</v>
      </c>
    </row>
    <row r="115" customFormat="false" ht="23.85" hidden="false" customHeight="false" outlineLevel="0" collapsed="false">
      <c r="A115" s="5" t="s">
        <v>666</v>
      </c>
      <c r="B115" s="6" t="s">
        <v>609</v>
      </c>
      <c r="C115" s="7" t="s">
        <v>641</v>
      </c>
      <c r="D115" s="7" t="s">
        <v>667</v>
      </c>
      <c r="E115" s="6" t="s">
        <v>75</v>
      </c>
      <c r="F115" s="6" t="s">
        <v>68</v>
      </c>
      <c r="G115" s="6" t="s">
        <v>46</v>
      </c>
      <c r="H115" s="6" t="s">
        <v>161</v>
      </c>
      <c r="I115" s="6" t="s">
        <v>161</v>
      </c>
      <c r="J115" s="18" t="s">
        <v>76</v>
      </c>
      <c r="K115" s="18" t="s">
        <v>53</v>
      </c>
      <c r="L115" s="10" t="n">
        <v>0.3</v>
      </c>
      <c r="M115" s="18" t="s">
        <v>497</v>
      </c>
      <c r="N115" s="7" t="s">
        <v>668</v>
      </c>
      <c r="O115" s="7" t="s">
        <v>669</v>
      </c>
      <c r="P115" s="6" t="s">
        <v>164</v>
      </c>
      <c r="Q115" s="6" t="n">
        <v>8</v>
      </c>
      <c r="R115" s="6" t="n">
        <v>5.6</v>
      </c>
      <c r="S115" s="7" t="s">
        <v>422</v>
      </c>
      <c r="T115" s="7" t="s">
        <v>666</v>
      </c>
    </row>
    <row r="116" customFormat="false" ht="15" hidden="false" customHeight="false" outlineLevel="0" collapsed="false">
      <c r="A116" s="11" t="s">
        <v>670</v>
      </c>
      <c r="B116" s="12" t="s">
        <v>609</v>
      </c>
      <c r="C116" s="13" t="s">
        <v>671</v>
      </c>
      <c r="D116" s="13" t="s">
        <v>672</v>
      </c>
      <c r="E116" s="12" t="s">
        <v>211</v>
      </c>
      <c r="F116" s="12" t="s">
        <v>46</v>
      </c>
      <c r="G116" s="12" t="s">
        <v>46</v>
      </c>
      <c r="H116" s="12" t="s">
        <v>100</v>
      </c>
      <c r="I116" s="12" t="s">
        <v>161</v>
      </c>
      <c r="J116" s="17" t="s">
        <v>69</v>
      </c>
      <c r="K116" s="15" t="s">
        <v>53</v>
      </c>
      <c r="L116" s="16" t="n">
        <v>0</v>
      </c>
      <c r="M116" s="15" t="s">
        <v>497</v>
      </c>
      <c r="N116" s="13" t="s">
        <v>673</v>
      </c>
      <c r="O116" s="13" t="s">
        <v>674</v>
      </c>
      <c r="P116" s="12" t="s">
        <v>164</v>
      </c>
      <c r="Q116" s="12" t="n">
        <v>8</v>
      </c>
      <c r="R116" s="12" t="n">
        <v>8</v>
      </c>
      <c r="S116" s="13" t="s">
        <v>46</v>
      </c>
      <c r="T116" s="13" t="s">
        <v>670</v>
      </c>
    </row>
    <row r="117" customFormat="false" ht="23.85" hidden="false" customHeight="false" outlineLevel="0" collapsed="false">
      <c r="A117" s="5" t="s">
        <v>675</v>
      </c>
      <c r="B117" s="6" t="s">
        <v>609</v>
      </c>
      <c r="C117" s="7" t="s">
        <v>671</v>
      </c>
      <c r="D117" s="7" t="s">
        <v>676</v>
      </c>
      <c r="E117" s="6" t="s">
        <v>211</v>
      </c>
      <c r="F117" s="6" t="s">
        <v>46</v>
      </c>
      <c r="G117" s="6" t="s">
        <v>46</v>
      </c>
      <c r="H117" s="6" t="s">
        <v>161</v>
      </c>
      <c r="I117" s="6" t="s">
        <v>161</v>
      </c>
      <c r="J117" s="9" t="s">
        <v>69</v>
      </c>
      <c r="K117" s="18" t="s">
        <v>53</v>
      </c>
      <c r="L117" s="10" t="n">
        <v>0</v>
      </c>
      <c r="M117" s="18" t="s">
        <v>497</v>
      </c>
      <c r="N117" s="7" t="s">
        <v>677</v>
      </c>
      <c r="O117" s="7" t="s">
        <v>678</v>
      </c>
      <c r="P117" s="6" t="s">
        <v>164</v>
      </c>
      <c r="Q117" s="6" t="n">
        <v>8</v>
      </c>
      <c r="R117" s="6" t="n">
        <v>8</v>
      </c>
      <c r="S117" s="7" t="s">
        <v>46</v>
      </c>
      <c r="T117" s="7" t="s">
        <v>675</v>
      </c>
    </row>
    <row r="118" customFormat="false" ht="15" hidden="false" customHeight="false" outlineLevel="0" collapsed="false">
      <c r="A118" s="11" t="s">
        <v>679</v>
      </c>
      <c r="B118" s="12" t="s">
        <v>609</v>
      </c>
      <c r="C118" s="13" t="s">
        <v>671</v>
      </c>
      <c r="D118" s="13" t="s">
        <v>680</v>
      </c>
      <c r="E118" s="12" t="s">
        <v>211</v>
      </c>
      <c r="F118" s="12" t="s">
        <v>46</v>
      </c>
      <c r="G118" s="12" t="s">
        <v>46</v>
      </c>
      <c r="H118" s="12" t="s">
        <v>100</v>
      </c>
      <c r="I118" s="12" t="s">
        <v>161</v>
      </c>
      <c r="J118" s="17" t="s">
        <v>69</v>
      </c>
      <c r="K118" s="15" t="s">
        <v>53</v>
      </c>
      <c r="L118" s="16" t="n">
        <v>0</v>
      </c>
      <c r="M118" s="15" t="s">
        <v>497</v>
      </c>
      <c r="N118" s="13" t="s">
        <v>681</v>
      </c>
      <c r="O118" s="13" t="s">
        <v>682</v>
      </c>
      <c r="P118" s="12" t="s">
        <v>164</v>
      </c>
      <c r="Q118" s="12" t="n">
        <v>10</v>
      </c>
      <c r="R118" s="12" t="n">
        <v>10</v>
      </c>
      <c r="S118" s="13" t="s">
        <v>46</v>
      </c>
      <c r="T118" s="13" t="s">
        <v>679</v>
      </c>
    </row>
    <row r="119" customFormat="false" ht="15" hidden="false" customHeight="false" outlineLevel="0" collapsed="false">
      <c r="A119" s="5" t="s">
        <v>683</v>
      </c>
      <c r="B119" s="6" t="s">
        <v>609</v>
      </c>
      <c r="C119" s="7" t="s">
        <v>671</v>
      </c>
      <c r="D119" s="7" t="s">
        <v>684</v>
      </c>
      <c r="E119" s="6" t="s">
        <v>211</v>
      </c>
      <c r="F119" s="6" t="s">
        <v>46</v>
      </c>
      <c r="G119" s="6" t="s">
        <v>46</v>
      </c>
      <c r="H119" s="6" t="s">
        <v>100</v>
      </c>
      <c r="I119" s="6" t="s">
        <v>161</v>
      </c>
      <c r="J119" s="8" t="s">
        <v>40</v>
      </c>
      <c r="K119" s="18" t="s">
        <v>53</v>
      </c>
      <c r="L119" s="10" t="n">
        <v>0</v>
      </c>
      <c r="M119" s="18" t="s">
        <v>497</v>
      </c>
      <c r="N119" s="7" t="s">
        <v>685</v>
      </c>
      <c r="O119" s="7" t="s">
        <v>686</v>
      </c>
      <c r="P119" s="6" t="s">
        <v>164</v>
      </c>
      <c r="Q119" s="6" t="n">
        <v>12</v>
      </c>
      <c r="R119" s="6" t="n">
        <v>12</v>
      </c>
      <c r="S119" s="7" t="s">
        <v>156</v>
      </c>
      <c r="T119" s="7" t="s">
        <v>683</v>
      </c>
    </row>
    <row r="120" customFormat="false" ht="15" hidden="false" customHeight="false" outlineLevel="0" collapsed="false">
      <c r="A120" s="11" t="s">
        <v>687</v>
      </c>
      <c r="B120" s="12" t="s">
        <v>609</v>
      </c>
      <c r="C120" s="13" t="s">
        <v>671</v>
      </c>
      <c r="D120" s="13" t="s">
        <v>688</v>
      </c>
      <c r="E120" s="12" t="s">
        <v>211</v>
      </c>
      <c r="F120" s="12" t="s">
        <v>346</v>
      </c>
      <c r="G120" s="12" t="s">
        <v>218</v>
      </c>
      <c r="H120" s="12" t="s">
        <v>311</v>
      </c>
      <c r="I120" s="12" t="s">
        <v>311</v>
      </c>
      <c r="J120" s="14" t="s">
        <v>40</v>
      </c>
      <c r="K120" s="15" t="s">
        <v>53</v>
      </c>
      <c r="L120" s="16" t="n">
        <v>0</v>
      </c>
      <c r="M120" s="15" t="s">
        <v>497</v>
      </c>
      <c r="N120" s="13" t="s">
        <v>689</v>
      </c>
      <c r="O120" s="13" t="s">
        <v>690</v>
      </c>
      <c r="P120" s="12" t="s">
        <v>103</v>
      </c>
      <c r="Q120" s="12" t="n">
        <v>8</v>
      </c>
      <c r="R120" s="12" t="n">
        <v>8</v>
      </c>
      <c r="S120" s="13" t="s">
        <v>683</v>
      </c>
      <c r="T120" s="13" t="s">
        <v>687</v>
      </c>
    </row>
    <row r="121" customFormat="false" ht="15" hidden="false" customHeight="false" outlineLevel="0" collapsed="false">
      <c r="A121" s="5" t="s">
        <v>691</v>
      </c>
      <c r="B121" s="6" t="s">
        <v>609</v>
      </c>
      <c r="C121" s="7" t="s">
        <v>671</v>
      </c>
      <c r="D121" s="7" t="s">
        <v>692</v>
      </c>
      <c r="E121" s="6" t="s">
        <v>693</v>
      </c>
      <c r="F121" s="6" t="s">
        <v>46</v>
      </c>
      <c r="G121" s="6" t="s">
        <v>46</v>
      </c>
      <c r="H121" s="6" t="s">
        <v>111</v>
      </c>
      <c r="I121" s="6" t="s">
        <v>139</v>
      </c>
      <c r="J121" s="8" t="s">
        <v>40</v>
      </c>
      <c r="K121" s="18" t="s">
        <v>53</v>
      </c>
      <c r="L121" s="10" t="n">
        <v>0</v>
      </c>
      <c r="M121" s="18" t="s">
        <v>497</v>
      </c>
      <c r="N121" s="7" t="s">
        <v>694</v>
      </c>
      <c r="O121" s="7" t="s">
        <v>695</v>
      </c>
      <c r="P121" s="6" t="s">
        <v>103</v>
      </c>
      <c r="Q121" s="6" t="n">
        <v>20</v>
      </c>
      <c r="R121" s="6" t="n">
        <v>20</v>
      </c>
      <c r="S121" s="7" t="s">
        <v>683</v>
      </c>
      <c r="T121" s="7" t="s">
        <v>691</v>
      </c>
    </row>
    <row r="122" customFormat="false" ht="15" hidden="false" customHeight="false" outlineLevel="0" collapsed="false">
      <c r="A122" s="11" t="s">
        <v>696</v>
      </c>
      <c r="B122" s="12" t="s">
        <v>609</v>
      </c>
      <c r="C122" s="13" t="s">
        <v>671</v>
      </c>
      <c r="D122" s="13" t="s">
        <v>697</v>
      </c>
      <c r="E122" s="12" t="s">
        <v>211</v>
      </c>
      <c r="F122" s="12" t="s">
        <v>46</v>
      </c>
      <c r="G122" s="12" t="s">
        <v>46</v>
      </c>
      <c r="H122" s="12" t="s">
        <v>100</v>
      </c>
      <c r="I122" s="12" t="s">
        <v>161</v>
      </c>
      <c r="J122" s="14" t="s">
        <v>40</v>
      </c>
      <c r="K122" s="15" t="s">
        <v>53</v>
      </c>
      <c r="L122" s="16" t="n">
        <v>0</v>
      </c>
      <c r="M122" s="15" t="s">
        <v>497</v>
      </c>
      <c r="N122" s="13" t="s">
        <v>698</v>
      </c>
      <c r="O122" s="13" t="s">
        <v>699</v>
      </c>
      <c r="P122" s="12" t="s">
        <v>164</v>
      </c>
      <c r="Q122" s="12" t="n">
        <v>12</v>
      </c>
      <c r="R122" s="12" t="n">
        <v>12</v>
      </c>
      <c r="S122" s="13" t="s">
        <v>691</v>
      </c>
      <c r="T122" s="13" t="s">
        <v>696</v>
      </c>
    </row>
    <row r="123" customFormat="false" ht="15" hidden="false" customHeight="false" outlineLevel="0" collapsed="false">
      <c r="A123" s="5" t="s">
        <v>700</v>
      </c>
      <c r="B123" s="6" t="s">
        <v>609</v>
      </c>
      <c r="C123" s="7" t="s">
        <v>671</v>
      </c>
      <c r="D123" s="7" t="s">
        <v>701</v>
      </c>
      <c r="E123" s="6" t="s">
        <v>211</v>
      </c>
      <c r="F123" s="6" t="s">
        <v>46</v>
      </c>
      <c r="G123" s="6" t="s">
        <v>46</v>
      </c>
      <c r="H123" s="6" t="s">
        <v>100</v>
      </c>
      <c r="I123" s="6" t="s">
        <v>161</v>
      </c>
      <c r="J123" s="9" t="s">
        <v>69</v>
      </c>
      <c r="K123" s="18" t="s">
        <v>53</v>
      </c>
      <c r="L123" s="10" t="n">
        <v>0</v>
      </c>
      <c r="M123" s="18" t="s">
        <v>497</v>
      </c>
      <c r="N123" s="7" t="s">
        <v>702</v>
      </c>
      <c r="O123" s="7" t="s">
        <v>703</v>
      </c>
      <c r="P123" s="6" t="s">
        <v>164</v>
      </c>
      <c r="Q123" s="6" t="n">
        <v>6</v>
      </c>
      <c r="R123" s="6" t="n">
        <v>6</v>
      </c>
      <c r="S123" s="7" t="s">
        <v>696</v>
      </c>
      <c r="T123" s="7" t="s">
        <v>700</v>
      </c>
    </row>
    <row r="124" customFormat="false" ht="15" hidden="false" customHeight="false" outlineLevel="0" collapsed="false">
      <c r="A124" s="11" t="s">
        <v>704</v>
      </c>
      <c r="B124" s="12" t="s">
        <v>609</v>
      </c>
      <c r="C124" s="13" t="s">
        <v>671</v>
      </c>
      <c r="D124" s="13" t="s">
        <v>705</v>
      </c>
      <c r="E124" s="12" t="s">
        <v>211</v>
      </c>
      <c r="F124" s="12" t="s">
        <v>46</v>
      </c>
      <c r="G124" s="12" t="s">
        <v>46</v>
      </c>
      <c r="H124" s="12" t="s">
        <v>100</v>
      </c>
      <c r="I124" s="12" t="s">
        <v>161</v>
      </c>
      <c r="J124" s="17" t="s">
        <v>69</v>
      </c>
      <c r="K124" s="15" t="s">
        <v>53</v>
      </c>
      <c r="L124" s="16" t="n">
        <v>0</v>
      </c>
      <c r="M124" s="15" t="s">
        <v>497</v>
      </c>
      <c r="N124" s="13" t="s">
        <v>706</v>
      </c>
      <c r="O124" s="13" t="s">
        <v>707</v>
      </c>
      <c r="P124" s="12" t="s">
        <v>164</v>
      </c>
      <c r="Q124" s="12" t="n">
        <v>12</v>
      </c>
      <c r="R124" s="12" t="n">
        <v>12</v>
      </c>
      <c r="S124" s="13" t="s">
        <v>46</v>
      </c>
      <c r="T124" s="13" t="s">
        <v>704</v>
      </c>
    </row>
    <row r="125" customFormat="false" ht="15" hidden="false" customHeight="false" outlineLevel="0" collapsed="false">
      <c r="A125" s="5" t="s">
        <v>708</v>
      </c>
      <c r="B125" s="6" t="s">
        <v>609</v>
      </c>
      <c r="C125" s="7" t="s">
        <v>671</v>
      </c>
      <c r="D125" s="7" t="s">
        <v>709</v>
      </c>
      <c r="E125" s="6" t="s">
        <v>75</v>
      </c>
      <c r="F125" s="6" t="s">
        <v>46</v>
      </c>
      <c r="G125" s="6" t="s">
        <v>46</v>
      </c>
      <c r="H125" s="6" t="s">
        <v>161</v>
      </c>
      <c r="I125" s="6" t="s">
        <v>161</v>
      </c>
      <c r="J125" s="18" t="s">
        <v>76</v>
      </c>
      <c r="K125" s="18" t="s">
        <v>53</v>
      </c>
      <c r="L125" s="10" t="n">
        <v>0</v>
      </c>
      <c r="M125" s="18" t="s">
        <v>497</v>
      </c>
      <c r="N125" s="7" t="s">
        <v>710</v>
      </c>
      <c r="O125" s="7" t="s">
        <v>711</v>
      </c>
      <c r="P125" s="6" t="s">
        <v>164</v>
      </c>
      <c r="Q125" s="6" t="n">
        <v>5</v>
      </c>
      <c r="R125" s="6" t="n">
        <v>5</v>
      </c>
      <c r="S125" s="7" t="s">
        <v>46</v>
      </c>
      <c r="T125" s="7" t="s">
        <v>708</v>
      </c>
    </row>
    <row r="126" customFormat="false" ht="15" hidden="false" customHeight="false" outlineLevel="0" collapsed="false">
      <c r="A126" s="11" t="s">
        <v>712</v>
      </c>
      <c r="B126" s="12" t="s">
        <v>609</v>
      </c>
      <c r="C126" s="13" t="s">
        <v>671</v>
      </c>
      <c r="D126" s="13" t="s">
        <v>713</v>
      </c>
      <c r="E126" s="12" t="s">
        <v>211</v>
      </c>
      <c r="F126" s="12" t="s">
        <v>46</v>
      </c>
      <c r="G126" s="12" t="s">
        <v>46</v>
      </c>
      <c r="H126" s="12" t="s">
        <v>100</v>
      </c>
      <c r="I126" s="12" t="s">
        <v>161</v>
      </c>
      <c r="J126" s="15" t="s">
        <v>436</v>
      </c>
      <c r="K126" s="15" t="s">
        <v>53</v>
      </c>
      <c r="L126" s="16" t="n">
        <v>0</v>
      </c>
      <c r="M126" s="15" t="s">
        <v>497</v>
      </c>
      <c r="N126" s="13" t="s">
        <v>714</v>
      </c>
      <c r="O126" s="13" t="s">
        <v>715</v>
      </c>
      <c r="P126" s="12" t="s">
        <v>164</v>
      </c>
      <c r="Q126" s="12" t="n">
        <v>4</v>
      </c>
      <c r="R126" s="12" t="n">
        <v>4</v>
      </c>
      <c r="S126" s="13" t="s">
        <v>46</v>
      </c>
      <c r="T126" s="13" t="s">
        <v>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E6A2"/>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3" min="3" style="0" width="12"/>
    <col collapsed="false" customWidth="true" hidden="false" outlineLevel="0" max="4" min="4" style="0" width="14"/>
  </cols>
  <sheetData>
    <row r="1" customFormat="false" ht="17.35" hidden="false" customHeight="false" outlineLevel="0" collapsed="false">
      <c r="A1" s="21" t="s">
        <v>716</v>
      </c>
      <c r="B1" s="22"/>
      <c r="C1" s="22"/>
      <c r="D1" s="22"/>
    </row>
    <row r="2" customFormat="false" ht="15" hidden="false" customHeight="false" outlineLevel="0" collapsed="false">
      <c r="A2" s="23" t="s">
        <v>12</v>
      </c>
      <c r="B2" s="23" t="s">
        <v>717</v>
      </c>
      <c r="C2" s="23" t="s">
        <v>718</v>
      </c>
      <c r="D2" s="23" t="s">
        <v>28</v>
      </c>
    </row>
    <row r="3" customFormat="false" ht="15" hidden="false" customHeight="false" outlineLevel="0" collapsed="false">
      <c r="A3" s="24" t="s">
        <v>32</v>
      </c>
      <c r="B3" s="22" t="n">
        <f aca="false">COUNTIF(Backlog!B3:B126,A3)</f>
        <v>43</v>
      </c>
      <c r="C3" s="22" t="n">
        <f aca="false">SUMIF(Backlog!B3:B126,A3,Backlog!Q3:Q126)</f>
        <v>176</v>
      </c>
      <c r="D3" s="22" t="n">
        <f aca="false">SUMIF(Backlog!B3:B126,A3,Backlog!R3:R126)</f>
        <v>113.1</v>
      </c>
    </row>
    <row r="4" customFormat="false" ht="15" hidden="false" customHeight="false" outlineLevel="0" collapsed="false">
      <c r="A4" s="24" t="s">
        <v>321</v>
      </c>
      <c r="B4" s="22" t="n">
        <f aca="false">COUNTIF(Backlog!B3:B126,A4)</f>
        <v>33</v>
      </c>
      <c r="C4" s="22" t="n">
        <f aca="false">SUMIF(Backlog!B3:B126,A4,Backlog!Q3:Q126)</f>
        <v>290</v>
      </c>
      <c r="D4" s="22" t="n">
        <f aca="false">SUMIF(Backlog!B3:B126,A4,Backlog!R3:R126)</f>
        <v>220.9</v>
      </c>
    </row>
    <row r="5" customFormat="false" ht="15" hidden="false" customHeight="false" outlineLevel="0" collapsed="false">
      <c r="A5" s="24" t="s">
        <v>493</v>
      </c>
      <c r="B5" s="22" t="n">
        <f aca="false">COUNTIF(Backlog!B3:B126,A5)</f>
        <v>23</v>
      </c>
      <c r="C5" s="22" t="n">
        <f aca="false">SUMIF(Backlog!B3:B126,A5,Backlog!Q3:Q126)</f>
        <v>188</v>
      </c>
      <c r="D5" s="22" t="n">
        <f aca="false">SUMIF(Backlog!B3:B126,A5,Backlog!R3:R126)</f>
        <v>175.1</v>
      </c>
    </row>
    <row r="6" customFormat="false" ht="15" hidden="false" customHeight="false" outlineLevel="0" collapsed="false">
      <c r="A6" s="24" t="s">
        <v>609</v>
      </c>
      <c r="B6" s="22" t="n">
        <f aca="false">COUNTIF(Backlog!B3:B126,A6)</f>
        <v>25</v>
      </c>
      <c r="C6" s="22" t="n">
        <f aca="false">SUMIF(Backlog!B3:B126,A6,Backlog!Q3:Q126)</f>
        <v>222</v>
      </c>
      <c r="D6" s="22" t="n">
        <f aca="false">SUMIF(Backlog!B3:B126,A6,Backlog!R3:R126)</f>
        <v>218.1</v>
      </c>
    </row>
    <row r="7" customFormat="false" ht="15" hidden="false" customHeight="false" outlineLevel="0" collapsed="false">
      <c r="A7" s="25" t="s">
        <v>719</v>
      </c>
      <c r="B7" s="22" t="n">
        <f aca="false">B3+B4+B5+B6</f>
        <v>124</v>
      </c>
      <c r="C7" s="22" t="n">
        <f aca="false">C3+C4+C5+C6</f>
        <v>876</v>
      </c>
      <c r="D7" s="22" t="n">
        <f aca="false">D3+D4+D5+D6</f>
        <v>727.2</v>
      </c>
    </row>
    <row r="8" customFormat="false" ht="15" hidden="false" customHeight="false" outlineLevel="0" collapsed="false">
      <c r="A8" s="22"/>
      <c r="B8" s="22"/>
      <c r="C8" s="22"/>
      <c r="D8" s="22"/>
    </row>
    <row r="9" customFormat="false" ht="15" hidden="false" customHeight="false" outlineLevel="0" collapsed="false">
      <c r="A9" s="26" t="s">
        <v>720</v>
      </c>
      <c r="B9" s="22"/>
      <c r="C9" s="22"/>
      <c r="D9" s="22"/>
    </row>
    <row r="10" customFormat="false" ht="15" hidden="false" customHeight="false" outlineLevel="0" collapsed="false">
      <c r="A10" s="23" t="s">
        <v>23</v>
      </c>
      <c r="B10" s="23" t="s">
        <v>717</v>
      </c>
      <c r="C10" s="23" t="s">
        <v>28</v>
      </c>
      <c r="D10" s="22"/>
    </row>
    <row r="11" customFormat="false" ht="15" hidden="false" customHeight="false" outlineLevel="0" collapsed="false">
      <c r="A11" s="27" t="s">
        <v>114</v>
      </c>
      <c r="B11" s="22" t="n">
        <f aca="false">COUNTIF(Backlog!M3:M126,A11)</f>
        <v>5</v>
      </c>
      <c r="C11" s="22" t="n">
        <f aca="false">SUMIF(Backlog!M3:M126,A11,Backlog!R3:R126)</f>
        <v>0.5</v>
      </c>
      <c r="D11" s="22"/>
    </row>
    <row r="12" customFormat="false" ht="15" hidden="false" customHeight="false" outlineLevel="0" collapsed="false">
      <c r="A12" s="27" t="s">
        <v>122</v>
      </c>
      <c r="B12" s="22" t="n">
        <f aca="false">COUNTIF(Backlog!M3:M126,A12)</f>
        <v>26</v>
      </c>
      <c r="C12" s="22" t="n">
        <f aca="false">SUMIF(Backlog!M3:M126,A12,Backlog!R3:R126)</f>
        <v>71.3</v>
      </c>
      <c r="D12" s="22"/>
    </row>
    <row r="13" customFormat="false" ht="15" hidden="false" customHeight="false" outlineLevel="0" collapsed="false">
      <c r="A13" s="27" t="s">
        <v>42</v>
      </c>
      <c r="B13" s="22" t="n">
        <f aca="false">COUNTIF(Backlog!M3:M126,A13)</f>
        <v>42</v>
      </c>
      <c r="C13" s="22" t="n">
        <f aca="false">SUMIF(Backlog!M3:M126,A13,Backlog!R3:R126)</f>
        <v>253.8</v>
      </c>
      <c r="D13" s="22"/>
    </row>
    <row r="14" customFormat="false" ht="15" hidden="false" customHeight="false" outlineLevel="0" collapsed="false">
      <c r="A14" s="27" t="s">
        <v>326</v>
      </c>
      <c r="B14" s="22" t="n">
        <f aca="false">COUNTIF(Backlog!M3:M126,A14)</f>
        <v>3</v>
      </c>
      <c r="C14" s="22" t="n">
        <f aca="false">SUMIF(Backlog!M3:M126,A14,Backlog!R3:R126)</f>
        <v>8.4</v>
      </c>
      <c r="D14" s="22"/>
    </row>
    <row r="15" customFormat="false" ht="15" hidden="false" customHeight="false" outlineLevel="0" collapsed="false">
      <c r="A15" s="27" t="s">
        <v>497</v>
      </c>
      <c r="B15" s="22" t="n">
        <f aca="false">COUNTIF(Backlog!M3:M126,A15)</f>
        <v>48</v>
      </c>
      <c r="C15" s="22" t="n">
        <f aca="false">SUMIF(Backlog!M3:M126,A15,Backlog!R3:R126)</f>
        <v>393.2</v>
      </c>
      <c r="D15" s="22"/>
    </row>
    <row r="16" customFormat="false" ht="15" hidden="false" customHeight="false" outlineLevel="0" collapsed="false">
      <c r="A16" s="22"/>
      <c r="B16" s="22"/>
      <c r="C16" s="22"/>
      <c r="D16"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2026-07-03T11:33:03Z</dcterms:created>
  <dc:creator>openpyxl</dc:creator>
  <dc:description/>
  <dc:language>en-US</dc:language>
  <cp:lastModifiedBy/>
  <dcterms:modified xsi:type="dcterms:W3CDTF">2026-07-03T11:33:03Z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