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cklog" sheetId="2" state="visible" r:id="rId4"/>
    <sheet name="Milestone 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<sst xmlns="http://schemas.openxmlformats.org/spreadsheetml/2006/main" count="919" uniqueCount="476">
  <si>
    <t xml:space="preserve">PlantProcess IQ — Product Backlog v3.1</t>
  </si>
  <si>
    <t xml:space="preserve">Operationalizes PPIQ_Product_Roadmap_v3.md · adjusted for the market benchmark + the pilot-then-license model</t>
  </si>
  <si>
    <t xml:space="preserve">THE RULE THAT FIXES 6-JUNE: every task carries a HARD, reproducible validation (a real command/test with an expected result) and a value gate it serves. A task is done when its validation passes and the evidence exists — never because code compiles. What is not measured is not achieved.</t>
  </si>
  <si>
    <t xml:space="preserve">VALUE vs CASH (v3.1 adjustment)</t>
  </si>
  <si>
    <t xml:space="preserve">•  The €35k→€60k→€120k→€250k labels are MARKET VALUE (willingness-to-pay), not the invoice.</t>
  </si>
  <si>
    <t xml:space="preserve">•  CASH you propose: a €30–40k PAID PILOT now (lean €30k for the first customer) that CREDITS TOWARD a €120k/yr license.</t>
  </si>
  <si>
    <t xml:space="preserve">•  €120k is the LICENSE you convert to after PROVEN ROI on the customer's data (M2-T29) — not a value reached by solo building.</t>
  </si>
  <si>
    <t xml:space="preserve">•  M2 overlaps the CONTRACT process: hardening + proven-ROI happen on the first customer's engagement, customer-funded.</t>
  </si>
  <si>
    <t xml:space="preserve">•  The first contract closes ~2–3 months after the presentation; 1 Jan 2027 = 'referenceable + viable, ready to command €250k'.</t>
  </si>
  <si>
    <t xml:space="preserve">LEGEND — SEVERITY</t>
  </si>
  <si>
    <t xml:space="preserve">Critical</t>
  </si>
  <si>
    <t xml:space="preserve">blocks the milestone's value gate — do first</t>
  </si>
  <si>
    <t xml:space="preserve">Very Important</t>
  </si>
  <si>
    <t xml:space="preserve">strongly lifts a lens or unblocks others</t>
  </si>
  <si>
    <t xml:space="preserve">Important</t>
  </si>
  <si>
    <t xml:space="preserve">closes a real gap a buyer notices</t>
  </si>
  <si>
    <t xml:space="preserve">Normal</t>
  </si>
  <si>
    <t xml:space="preserve">polish / supporting</t>
  </si>
  <si>
    <t xml:space="preserve">Optional</t>
  </si>
  <si>
    <t xml:space="preserve">deferrable — not the binding constraint</t>
  </si>
  <si>
    <t xml:space="preserve">LEGEND — MILESTONE</t>
  </si>
  <si>
    <t xml:space="preserve">M1 · 5 days · €60k</t>
  </si>
  <si>
    <t xml:space="preserve">present + a €30–40k pilot crediting toward a €120k license (gates M1-T09–11 live demo, T23 ROI model, T24 credibility, T20 offer)</t>
  </si>
  <si>
    <t xml:space="preserve">M2 · mid-July · €120k</t>
  </si>
  <si>
    <t xml:space="preserve">convert the customer to a paid pilot (M2-T28) + PROVE ROI on their data (M2-T29) + harden, in the contract window</t>
  </si>
  <si>
    <t xml:space="preserve">M3 · 1 Jan 2027 · €250k</t>
  </si>
  <si>
    <t xml:space="preserve">referenceable + a viability story = ready to command €250k (the first contract itself closes earlier)</t>
  </si>
  <si>
    <t xml:space="preserve">PPIQ Product Backlog v3.1  —  71 tasks  ·  deep description + hard validation on every task  ·  value vs cash re-layered (pilot → license)</t>
  </si>
  <si>
    <t xml:space="preserve">Task ID</t>
  </si>
  <si>
    <t xml:space="preserve">Task Name</t>
  </si>
  <si>
    <t xml:space="preserve">Milestone</t>
  </si>
  <si>
    <t xml:space="preserve">Track</t>
  </si>
  <si>
    <t xml:space="preserve">Module</t>
  </si>
  <si>
    <t xml:space="preserve">Submodule</t>
  </si>
  <si>
    <t xml:space="preserve">Severity</t>
  </si>
  <si>
    <t xml:space="preserve">Description  (junior-dev-actionable)</t>
  </si>
  <si>
    <t xml:space="preserve">Validation / Acceptance check  (hard, reproducible — never 'build passes')</t>
  </si>
  <si>
    <t xml:space="preserve">Task Type</t>
  </si>
  <si>
    <t xml:space="preserve">Effort (h)</t>
  </si>
  <si>
    <t xml:space="preserve">Prereq</t>
  </si>
  <si>
    <t xml:space="preserve">Value gate served</t>
  </si>
  <si>
    <t xml:space="preserve">M1-T01</t>
  </si>
  <si>
    <t xml:space="preserve">Converge to one canonical compose base</t>
  </si>
  <si>
    <t xml:space="preserve">Environment</t>
  </si>
  <si>
    <t xml:space="preserve">Infra</t>
  </si>
  <si>
    <t xml:space="preserve">Compose</t>
  </si>
  <si>
    <t xml:space="preserve">Delete the three parallel compose trees (Infrastructure/deploy/, deploy/live/, and the duplicate deploy/compose/docker-compose.demo.yml). Create one base docker-compose.yml plus thin overlays (local/ci/server). The base declares only the app Postgres; sources live in a separate file. Move the canonical file to deploy/compose/ and update the Jenkinsfile COMPOSE_FILE to point at it.</t>
  </si>
  <si>
    <t xml:space="preserve">Run `grep -rl "docker-compose.demo.yml" .` from repo root — it must return zero matches. Run `ls deploy/compose/*.yml` and confirm exactly one base + the named overlays, no duplicates. `docker compose -f deploy/compose/docker-compose.yml config` parses with no error.</t>
  </si>
  <si>
    <t xml:space="preserve">refactor</t>
  </si>
  <si>
    <t xml:space="preserve">—</t>
  </si>
  <si>
    <t xml:space="preserve">€60k env</t>
  </si>
  <si>
    <t xml:space="preserve">M1-T02</t>
  </si>
  <si>
    <t xml:space="preserve">Author committed .env.dev (local-only, non-secret)</t>
  </si>
  <si>
    <t xml:space="preserve">Config</t>
  </si>
  <si>
    <t xml:space="preserve">Create deploy/compose/.env.dev holding deterministic LOCAL credentials (Postgres user/pass/db, the PlantProcessDb connection string, PPIQ_TEST_CONNECTION_STRING, PPIQ_FORCE_EXTERNAL_API_TEST_HOST=1, a DEV_ONLY_ 64-char signing key, the five seeded role users, the dev license paths). Add a header stating these are local-only and never used in prod. Commit it. Keep real secrets only in /var/lib/ppiq-preserve/.env on the VPS (git-ignored).</t>
  </si>
  <si>
    <t xml:space="preserve">From a FRESH `git clone`, with no shell variables set, `dotnet run --project Backend/PlantProcess.Api` in Development boots with no missing-config exception. Confirm the file is tracked: `git ls-files deploy/compose/.env.dev` returns the path. Confirm P01P02StartupGuard still rejects the same DEV_ONLY_ key when ASPNETCORE_ENVIRONMENT=Production (run once, expect throw).</t>
  </si>
  <si>
    <t xml:space="preserve">new feature</t>
  </si>
  <si>
    <t xml:space="preserve">M1-T03</t>
  </si>
  <si>
    <t xml:space="preserve">Two-schema migration 000_schemas.sql</t>
  </si>
  <si>
    <t xml:space="preserve">Database</t>
  </si>
  <si>
    <t xml:space="preserve">Schema</t>
  </si>
  <si>
    <t xml:space="preserve">Add Backend/database/scripts/000_schemas.sql that creates ppiq_meta (app metadata: dashboards, widgets, jobs, pages, users, roles, license) and ppiq_plant (customer data after staging transform, RLS per tenant), idempotently with CREATE SCHEMA IF NOT EXISTS and COMMENTs. Ensure it sorts/applies before all numbered migrations and that existing migrations target the correct schema via search_path.</t>
  </si>
  <si>
    <t xml:space="preserve">After `ppiq.ps1 migrate`, run `psql -c "\dn"` and confirm BOTH ppiq_meta and ppiq_plant are listed. Run the migration twice — second run makes no changes and throws no error (idempotent). Confirm at least one metadata table resolves under ppiq_meta and one plant table under ppiq_plant via `\dt ppiq_meta.*` and `\dt ppiq_plant.*`.</t>
  </si>
  <si>
    <t xml:space="preserve">M1-T04</t>
  </si>
  <si>
    <t xml:space="preserve">Demo-sources compose + committed fixtures</t>
  </si>
  <si>
    <t xml:space="preserve">Demo-Sources</t>
  </si>
  <si>
    <t xml:space="preserve">Create deploy/compose/docker-compose.sources.yml bringing up the eight emulated customer systems on loopback offset ports (Melt PG 15432, Caster Oracle 11521, HSM Oracle 11522, PKL MSSQL 11433, Downtime MySQL 13306, Parsytec MySQL 13307; Yard + QA Excel as file mounts). Commit the realism seeds (~630 heats / ~5,600 coils) under deploy/fixtures/demo/ so the demo data never has to be regenerated by hand.</t>
  </si>
  <si>
    <t xml:space="preserve">Run `ppiq.ps1 up-sources`; `docker compose -f docker-compose.sources.yml ps` shows all 8 healthy. Connect to Melt PG and run `SELECT count(*) FROM heats` and the coil table count — they must be ≈630 and ≈5,600 (±5%). Re-running up-sources on a clean volume reproduces identical counts (determinism check).</t>
  </si>
  <si>
    <t xml:space="preserve">M1-T05</t>
  </si>
  <si>
    <t xml:space="preserve">Seed one user per role via config</t>
  </si>
  <si>
    <t xml:space="preserve">Security</t>
  </si>
  <si>
    <t xml:space="preserve">Auth-Users</t>
  </si>
  <si>
    <t xml:space="preserve">In .env.dev seed five users (admin/exec/engineer/operator/viewer) with known dev passwords under PlantProcess__Auth__Users__N. The app hashes them with Argon2id on load; keep bootstrap admin disabled. This gives e2e and the live demo a deterministic identity per role with zero runtime user creation.</t>
  </si>
  <si>
    <t xml:space="preserve">Start the app and POST /auth/login for EACH of the five users — every login returns 200 with a bearer token. Confirm each token's role claim matches the seeded role. Confirm the bootstrap path is NOT used: logs show no bootstrap-admin provisioning, and login as a disabled bootstrap user returns 401.</t>
  </si>
  <si>
    <t xml:space="preserve">M1-T06</t>
  </si>
  <si>
    <t xml:space="preserve">Dev Ed25519 license keypair + per-tier tokens</t>
  </si>
  <si>
    <t xml:space="preserve">Licensing</t>
  </si>
  <si>
    <t xml:space="preserve">Add deploy/scripts/gen-dev-license.ps1 that generates a DEV-ONLY Ed25519 keypair and mints one signed token per tier (light/pro/proplus/enterprise) via the existing VerifiedEd25519LicenseService dev-mint path so the token schema matches the verifier. Commit dev_public.pem and the four *.token under deploy/fixtures/license/. Production uses SOU's real key, never this one.</t>
  </si>
  <si>
    <t xml:space="preserve">For each tier token, run the verifier against dev_public.pem — all four verify TRUE. Load enterprise.token in the running app and confirm enterprise-only features render; swap to pro.token and confirm those features disappear (live tier toggle). Run Phase5_LicenseTierTamperTests — it passes, proving editing the tier row changes nothing.</t>
  </si>
  <si>
    <t xml:space="preserve">M1-T07</t>
  </si>
  <si>
    <t xml:space="preserve">ppiq.ps1 single entrypoint</t>
  </si>
  <si>
    <t xml:space="preserve">Tooling</t>
  </si>
  <si>
    <t xml:space="preserve">Create deploy/scripts/ppiq.ps1 exposing up / up-sources / migrate / seed / test / e2e / demo / reset / down. It loads .env.dev into the process, composes the right overlays, and runs dotnet/npm. 'demo' brings up DB+sources+migrate+seed then starts API and web; 'reset' tears down volumes and rebuilds clean. No command should ever require a hand-set environment variable.</t>
  </si>
  <si>
    <t xml:space="preserve">On a FRESH clone, run `ppiq.ps1 reset` then `ppiq.ps1 demo` — the full seeded stack comes up and the app is reachable at localhost, with zero manual env setup. Each verb runs without error twice consecutively. Closing the shell and re-running `ppiq.ps1 demo` reproduces the same working state (no vanished credentials).</t>
  </si>
  <si>
    <t xml:space="preserve">M1-T02,M1-T03,M1-T04</t>
  </si>
  <si>
    <t xml:space="preserve">M1-T08</t>
  </si>
  <si>
    <t xml:space="preserve">Commit test config — permanently fix the 83 failures</t>
  </si>
  <si>
    <t xml:space="preserve">Testing</t>
  </si>
  <si>
    <t xml:space="preserve">Test-Harness</t>
  </si>
  <si>
    <t xml:space="preserve">Finish the skip-gating started earlier and commit an appsettings.Test.json plus the .env.dev values so `dotnet test` always finds a reachable DB, the external API host flag, a valid signing key and the seeded admin. The two known root causes (WebApplicationFactory never booting Program without PPIQ_FORCE_EXTERNAL_API_TEST_HOST; 28P01 with no plantprocess_admin) are both resolved by the committed config — no per-session variables.</t>
  </si>
  <si>
    <t xml:space="preserve">On a clean machine, `ppiq.ps1 test` exits 0 TWICE in a row with the full suite executed (no --filter). Confirm the previously-failing classes (AuthLifecycleTests, OpenApiContractTests, MappingLifecycleProofTests, Phase4DemoCorrectnessAndJobsTests) now PASS or SKIP-with-registered-reason, and the run summary reads failed: 0. Any skip appears in Backend/tests/TESTS.md.</t>
  </si>
  <si>
    <t xml:space="preserve">test</t>
  </si>
  <si>
    <t xml:space="preserve">€60k env / green-twice</t>
  </si>
  <si>
    <t xml:space="preserve">M1-T09</t>
  </si>
  <si>
    <t xml:space="preserve">Make the app boot under Playwright</t>
  </si>
  <si>
    <t xml:space="preserve">Demo</t>
  </si>
  <si>
    <t xml:space="preserve">FrontEnd</t>
  </si>
  <si>
    <t xml:space="preserve">E2E-Host</t>
  </si>
  <si>
    <t xml:space="preserve">Fix the Playwright webServer early-exit (the recorded dry-run blocker). Point playwright.config webServer at `ppiq.ps1 demo` (or the API+web start) reading .env.dev, with a generous health-gated startup timeout and the seeded DB already up. The same seeded environment that makes tests green makes the app boot for e2e.</t>
  </si>
  <si>
    <t xml:space="preserve">Run `ppiq.ps1 e2e` — Playwright starts the app and executes at least one spec to green (no 'Process from config.webServer exited early'). The HTML report shows ≥1 passing test. Re-run once more: it boots again without manual intervention.</t>
  </si>
  <si>
    <t xml:space="preserve">bug fix</t>
  </si>
  <si>
    <t xml:space="preserve">€60k demo (blocker)</t>
  </si>
  <si>
    <t xml:space="preserve">M1-T10</t>
  </si>
  <si>
    <t xml:space="preserve">One-click readiness check passes live</t>
  </si>
  <si>
    <t xml:space="preserve">Backend</t>
  </si>
  <si>
    <t xml:space="preserve">Readiness</t>
  </si>
  <si>
    <t xml:space="preserve">Drive the PPIQ-103 readiness endpoint + HMI panel against the seeded demo DB so the one-click readiness check returns green (all blocking dimensions satisfied or honestly stated). Ensure the readiness gate surface reads the seeded ~630-heat dataset and reports population, not a blank or fabricated state.</t>
  </si>
  <si>
    <t xml:space="preserve">Trigger the readiness check through the HMI — it returns a PASS with each dimension's state/reason shown. Confirm against the data: the 'X of Y heats' count matches the seeded heat count. Capture the screen showing green readiness as the artifact.</t>
  </si>
  <si>
    <t xml:space="preserve">modification</t>
  </si>
  <si>
    <t xml:space="preserve">€60k demo</t>
  </si>
  <si>
    <t xml:space="preserve">M1-T11</t>
  </si>
  <si>
    <t xml:space="preserve">Record the clean dry-run video</t>
  </si>
  <si>
    <t xml:space="preserve">Dry-Run</t>
  </si>
  <si>
    <t xml:space="preserve">Record a Playwright (or screen-capture) walk of the full readiness + 9-step demo on the seeded stack, producing the recorded clean dry-run artifact every pilot asks for. This is also the insurance shown if the live demo ever fails in the room.</t>
  </si>
  <si>
    <t xml:space="preserve">An MP4 exists showing the end-to-end walk with NO error toast, NO dead click, and the readiness gate green. A reviewer who never saw the app can follow the recording start-to-finish. File is saved and named with the build commit hash.</t>
  </si>
  <si>
    <t xml:space="preserve">M1-T12</t>
  </si>
  <si>
    <t xml:space="preserve">Fix every demo-path button</t>
  </si>
  <si>
    <t xml:space="preserve">Buttons</t>
  </si>
  <si>
    <t xml:space="preserve">From the button-inventory.csv, isolate ONLY the buttons that appear on the 9-step demo path and fix any that are non-standard or unwired (correct handler, standard component, correct min/max/calc/load behavior). Defer the other ~40 to M2 deliberately. A dead button mid-demo is fatal.</t>
  </si>
  <si>
    <t xml:space="preserve">Click EVERY button on the 9-step script in the running app — each performs its function with no console error. An e2e spec drives the demo path and asserts each control's effect (not just presence). Zero unhandled promise rejections in the console across the path.</t>
  </si>
  <si>
    <t xml:space="preserve">€60k demo / A3-1</t>
  </si>
  <si>
    <t xml:space="preserve">M1-T13</t>
  </si>
  <si>
    <t xml:space="preserve">Verify genealogy both directions on C-0044170</t>
  </si>
  <si>
    <t xml:space="preserve">Genealogy</t>
  </si>
  <si>
    <t xml:space="preserve">Confirm the seeded data contains the C-0044170 reference thread and that the HMI walks it BOTH directions on the customer's own keys (coil→…→melt chemistry and back). If the seed or the walk is incomplete, repair via the genealogy spine + business-key reconciliation so the live thread resolves.</t>
  </si>
  <si>
    <t xml:space="preserve">In the running app, click from coil C-0044170 up to the heat chemistry and back down — both directions resolve with no break, using the customer key names (C-0044170 ≡ 44170). Phase3GoldenThreadAndAttributionTests passes against the seeded DB (the AmbiguousJoinKey rollback assertion included).</t>
  </si>
  <si>
    <t xml:space="preserve">€60k demo / A3-5</t>
  </si>
  <si>
    <t xml:space="preserve">M1-T14</t>
  </si>
  <si>
    <t xml:space="preserve">Verify transition-coil weighted attribution</t>
  </si>
  <si>
    <t xml:space="preserve">AI+ML</t>
  </si>
  <si>
    <t xml:space="preserve">Provenance</t>
  </si>
  <si>
    <t xml:space="preserve">Confirm a casting-transition coil in the seed reports weighted shared attribution between two heats (e.g. H-3361 ≈70% / H-3362 ≈30%), never a single fabricated heat. Repair blended-provenance edges if the weights are missing.</t>
  </si>
  <si>
    <t xml:space="preserve">In the app, open the transition coil and confirm it shows two parent heats with weights summing to 100% and neither = 100%. The displayed split matches the seeded truth table. Capture the screen as the 'wow #2' artifact.</t>
  </si>
  <si>
    <t xml:space="preserve">€60k demo / A3-8</t>
  </si>
  <si>
    <t xml:space="preserve">M1-T23</t>
  </si>
  <si>
    <t xml:space="preserve">Illustrative ROI model for the presentation</t>
  </si>
  <si>
    <t xml:space="preserve">ROI-Model</t>
  </si>
  <si>
    <t xml:space="preserve">Build a defensible PROJECTED-ROI view on the demo data that converts a finding into euros for the executive buyer: e.g. 'a defect/downgrade of this class, at your throughput and grade mix, is worth ~€X/year; PPIQ surfaces N such suspected drivers'. Make assumptions explicit and conservative; ground the plant-size numbers in your 14-year domain experience. This is ILLUSTRATIVE/projected ROI on demo data — NOT proven ROI, which is the pilot's deliverable (M2-T29) on the customer's real data.</t>
  </si>
  <si>
    <t xml:space="preserve">A reviewer sees a euro figure with stated assumptions traceable to a real finding in the demo and can challenge each assumption; the number is conservative (survives push-back); the slide/handout explicitly labels it projected-not-proven; at least one euro figure ties to a live finding shown in the demo.</t>
  </si>
  <si>
    <t xml:space="preserve">€60k pilot / projected ROI</t>
  </si>
  <si>
    <t xml:space="preserve">M1-T15</t>
  </si>
  <si>
    <t xml:space="preserve">Rehearse the 9-step demo script cold</t>
  </si>
  <si>
    <t xml:space="preserve">Docs</t>
  </si>
  <si>
    <t xml:space="preserve">Rehearsal</t>
  </si>
  <si>
    <t xml:space="preserve">Write the exact 9-step script (link→map→build page→run job→genealogy→transition coil→value €→tier toggle→assistant) and rehearse it three times end-to-end on the live stack until it runs without notes. Pre-stage any slow step and know the fallback (the recorded video) for each.</t>
  </si>
  <si>
    <t xml:space="preserve">Perform the full 9-step demo from a clean `ppiq.ps1 demo` with no notes and no dead click, timed under your presentation slot. Do it twice in a row successfully. The script doc lists, per step, the expected on-screen result and the fallback.</t>
  </si>
  <si>
    <t xml:space="preserve">M1-T11,M1-T12,M1-T13,M1-T14</t>
  </si>
  <si>
    <t xml:space="preserve">M1-T16</t>
  </si>
  <si>
    <t xml:space="preserve">Wire website CTA to a real inbox</t>
  </si>
  <si>
    <t xml:space="preserve">Collateral</t>
  </si>
  <si>
    <t xml:space="preserve">Web</t>
  </si>
  <si>
    <t xml:space="preserve">Lead-Capture</t>
  </si>
  <si>
    <t xml:space="preserve">Replace the localStorage-only RequestDemoForm capture with a real delivery: POST to a minimal endpoint (or a form service) that emails the lead to you and/or writes a row. A lead from the talk or the site must actually reach you, not sit in a browser.</t>
  </si>
  <si>
    <t xml:space="preserve">Submit the form on the deployed site — you RECEIVE the lead (email arrives or a DB row appears) within a minute. Submit a second test lead and confirm it also arrives (not overwritten). The success state shown to the user only appears after delivery succeeds.</t>
  </si>
  <si>
    <t xml:space="preserve">€60k / A6-10</t>
  </si>
  <si>
    <t xml:space="preserve">M1-T17</t>
  </si>
  <si>
    <t xml:space="preserve">Pitch deck (10–12 slides)</t>
  </si>
  <si>
    <t xml:space="preserve">Deck</t>
  </si>
  <si>
    <t xml:space="preserve">Build a dark-industrial branded deck: 1 problem (quality/downtime cost), 2 why BI/spreadsheets fail, 3 PPIQ evidence-grade approach, 4–8 LIVE DEMO, 9 value story, 10 honest boundary as a feature, 11 read-only/OT-safe, 12 pilot offer + price. Calm and industrial, not consumer-AI.</t>
  </si>
  <si>
    <t xml:space="preserve">The deck is ≤12 slides, on-brand (exact palette, Inter), and you rehearse it once end-to-end with the live demo slotted at 4–8. A neutral reviewer can follow the narrative without you speaking. Exported to PDF for sending.</t>
  </si>
  <si>
    <t xml:space="preserve">€60k collateral</t>
  </si>
  <si>
    <t xml:space="preserve">M1-T18</t>
  </si>
  <si>
    <t xml:space="preserve">One-page product brief (light-surface PDF)</t>
  </si>
  <si>
    <t xml:space="preserve">Brief</t>
  </si>
  <si>
    <t xml:space="preserve">Produce a one-page leave-behind on the light report surface (#F4F6F8) with brand header/footer: what it is, the read-only/evidence-grade differentiator, the pilot scope, and the data-dump ask. Use the branded light-PDF writer already wired.</t>
  </si>
  <si>
    <t xml:space="preserve">The PDF renders on the light surface with brand header/footer and fits one page. It states the differentiator, the pilot, and exactly what you need from the customer. Open it on two devices — layout holds.</t>
  </si>
  <si>
    <t xml:space="preserve">M1-T19</t>
  </si>
  <si>
    <t xml:space="preserve">Cut the 2–3 minute demo video</t>
  </si>
  <si>
    <t xml:space="preserve">Video</t>
  </si>
  <si>
    <t xml:space="preserve">From the dry-run recording, cut a tight 2–3 minute narrated walkthrough of the 9-step script for follow-up and LinkedIn. Trim dead time; caption the key moments (genealogy, transition coil, value €, assistant refusing an uncited number).</t>
  </si>
  <si>
    <t xml:space="preserve">A 2–3 min MP4 exists with no dead click on screen and the four key moments captioned. It plays cleanly on mobile and desktop. Length is within 120–180s.</t>
  </si>
  <si>
    <t xml:space="preserve">M1-T20</t>
  </si>
  <si>
    <t xml:space="preserve">Pilot offer document</t>
  </si>
  <si>
    <t xml:space="preserve">Offer</t>
  </si>
  <si>
    <t xml:space="preserve">Write a one-page pilot offer structured as: a €30–40k PAID PILOT (8 weeks, on their data) that CREDITS TOWARD a €120k/yr annual license on conversion. State scope, timeline, deliverables, the explicit ask (one month of source dumps + a contact), and that the pilot's deliverable is PROVEN ROI on their data. Anchor the €120k license value openly; ask only for the pilot now. For the FIRST customer, lean to the low end (€30k) — the reference is worth more than the fee.</t>
  </si>
  <si>
    <t xml:space="preserve">The offer is one page and contains: the pilot price (€30–40k), the credited annual-license figure (€120k/yr), the 8-week deliverable (proven ROI on their data), and the data-dump ask. A buyer can say yes/no without further questions. Saved as PDF.</t>
  </si>
  <si>
    <t xml:space="preserve">€60k price gate</t>
  </si>
  <si>
    <t xml:space="preserve">M1-T24</t>
  </si>
  <si>
    <t xml:space="preserve">Founder domain-credibility pack</t>
  </si>
  <si>
    <t xml:space="preserve">Credibility</t>
  </si>
  <si>
    <t xml:space="preserve">Produce a one-page (and one deck slide) establishing your 14 years at PSI Metals, SMS group and EzzSteel — the specific processes, plants and systems you have run — as the trust asset that lets a serious plant take a solo vendor seriously. In this market buyers buy from people they trust to understand their process; this is the single highest-leverage NON-CODE lever a solo founder has, and it is currently missing from the deck.</t>
  </si>
  <si>
    <t xml:space="preserve">The one-pager + slide exist, name SPECIFIC plants/processes/systems (not generic 'experienced'), and sit in the deck immediately before the pilot-offer slide. A neutral reader concludes 'this person understands my process' in under a minute.</t>
  </si>
  <si>
    <t xml:space="preserve">€60k pilot / credibility</t>
  </si>
  <si>
    <t xml:space="preserve">M1-T21</t>
  </si>
  <si>
    <t xml:space="preserve">Sharpen the PlantProcess IQ product page</t>
  </si>
  <si>
    <t xml:space="preserve">Website</t>
  </si>
  <si>
    <t xml:space="preserve">Make the single PlantProcess IQ product page sharp and complete (description, benefit, honesty-proof blocks, a screenshot/graphic, the CTA). Leave MES/QES/Yard/Energy as honest 'coming soon' stubs — one sharp page beats five thin ones for a first impression.</t>
  </si>
  <si>
    <t xml:space="preserve">The IQ page passes the website honesty-lint guard (no forbidden claims), renders correctly at phone/tablet/desktop, and the CTA works. The four other products are clearly marked 'coming soon', not broken links.</t>
  </si>
  <si>
    <t xml:space="preserve">€60k / A6</t>
  </si>
  <si>
    <t xml:space="preserve">M1-T22</t>
  </si>
  <si>
    <t xml:space="preserve">Company LinkedIn page + founder post</t>
  </si>
  <si>
    <t xml:space="preserve">Presence</t>
  </si>
  <si>
    <t xml:space="preserve">Create the SOU company LinkedIn page and a founder post: 'building an evidence-grade, read-only process-to-quality intelligence layer for steel plants — 2-min walkthrough', attaching the demo video. This is the cheapest down-payment on the vendor-viability gap (proving you exist and are serious).</t>
  </si>
  <si>
    <t xml:space="preserve">The company page is live with logo, tagline and a description. The founder post is published (or queued) with the video attached and renders correctly. The URLs are saved.</t>
  </si>
  <si>
    <t xml:space="preserve">€60k presence</t>
  </si>
  <si>
    <t xml:space="preserve">M2-T01</t>
  </si>
  <si>
    <t xml:space="preserve">Full suite green twice (quarantine flakies)</t>
  </si>
  <si>
    <t xml:space="preserve">Codebase</t>
  </si>
  <si>
    <t xml:space="preserve">Stability</t>
  </si>
  <si>
    <t xml:space="preserve">Bring the entire backend + frontend + e2e suite to green twice consecutively on a clean machine. Convert any remaining direct-Factory.CreateClient tests to the skip-guard, quarantine and ticket any flaky test in TESTS.md, and ensure no environment-specific config is needed beyond .env.dev.</t>
  </si>
  <si>
    <t xml:space="preserve">`ppiq.ps1 test &amp;&amp; ppiq.ps1 e2e` exit 0 on two consecutive clean runs with failed: 0. No test is skipped without a TESTS.md row. The CI nightly (M2-T13) reproduces the same green on the ephemeral stack.</t>
  </si>
  <si>
    <t xml:space="preserve">€120k Track A</t>
  </si>
  <si>
    <t xml:space="preserve">M2-T02</t>
  </si>
  <si>
    <t xml:space="preserve">Build PlantProcess IQ product page to depth</t>
  </si>
  <si>
    <t xml:space="preserve">Products</t>
  </si>
  <si>
    <t xml:space="preserve">Create a full ProductPageModel for PlantProcess IQ (description, benefit, interactive graphics, licensing, full detail) matching the depth of the existing mes/yardWarehouse pages, and register it in the products index. This is part of closing the one Critical (only 2 of 5 products built).</t>
  </si>
  <si>
    <t xml:space="preserve">products/index.generated.ts exports a plantProcessIq model; the /product page renders all sections with graphics and licensing. The website honesty-lint guard passes. A reviewer sees parity with the MES page depth.</t>
  </si>
  <si>
    <t xml:space="preserve">€120k / A6-7</t>
  </si>
  <si>
    <t xml:space="preserve">M2-T03</t>
  </si>
  <si>
    <t xml:space="preserve">Build QES product page to depth</t>
  </si>
  <si>
    <t xml:space="preserve">DEFER (brand polish, not willingness-to-pay — a referenceless 5-product site still prices at €120k): Create a full content model + /products/qes page for the Quality Execution System product (description, benefit, graphics, licensing, detail) to equal depth, registered in the index and guarded by the phase10 route check.</t>
  </si>
  <si>
    <t xml:space="preserve">/products/qes renders the full model; website-phase10-guard required-routes check passes for qes; honesty-lint green. Visual parity with MES confirmed by a reviewer.</t>
  </si>
  <si>
    <t xml:space="preserve">M2-T04</t>
  </si>
  <si>
    <t xml:space="preserve">Build Energy Management product page to depth</t>
  </si>
  <si>
    <t xml:space="preserve">DEFER (brand polish, not willingness-to-pay): Create a full content model + /products/energy page for Energy Management to equal depth, registered and route-guarded, completing the five-product set the rubric requires.</t>
  </si>
  <si>
    <t xml:space="preserve">/products/energy renders the full model; the required-routes guard now passes for ALL five products; honesty-lint green. The five-products Critical is cleared (band ≥70).</t>
  </si>
  <si>
    <t xml:space="preserve">M2-T05</t>
  </si>
  <si>
    <t xml:space="preserve">Real lead-capture backend</t>
  </si>
  <si>
    <t xml:space="preserve">Promote the M1 CTA wiring to a proper backend: an endpoint that validates, persists the lead to a table, and emails a notification, with basic spam protection. Replace any remaining localStorage path.</t>
  </si>
  <si>
    <t xml:space="preserve">An e2e test submits the form and asserts (a) a DB row is created and (b) a notification is sent (mock SMTP captured). Submitting twice yields two rows. The localStorage key is gone from the bundle (grep the build).</t>
  </si>
  <si>
    <t xml:space="preserve">M2-T06</t>
  </si>
  <si>
    <t xml:space="preserve">E2E action-matrix over the demo path</t>
  </si>
  <si>
    <t xml:space="preserve">Action-Matrix</t>
  </si>
  <si>
    <t xml:space="preserve">Write an e2e spec that ENUMERATES every interactive control on each demo page and asserts each performs its function (the no-dead-button proof, executed not claimed). Drive it from the page registry so new controls are auto-covered.</t>
  </si>
  <si>
    <t xml:space="preserve">The matrix spec lists N controls and asserts N effects; it fails if any control no-ops. Run it twice green. Adding a deliberately-broken button makes the matrix fail (negative control verified once, then reverted).</t>
  </si>
  <si>
    <t xml:space="preserve">€120k / A3-1,A3-3</t>
  </si>
  <si>
    <t xml:space="preserve">M2-T07</t>
  </si>
  <si>
    <t xml:space="preserve">Visual-regression harness</t>
  </si>
  <si>
    <t xml:space="preserve">Visual-Regression</t>
  </si>
  <si>
    <t xml:space="preserve">Add Playwright visual-regression snapshots across the demo path in both light/dark, failing on unintended pixel diffs, to standardize styling (the uniform-styling proof) and catch the non-standard-button class permanently.</t>
  </si>
  <si>
    <t xml:space="preserve">Baseline snapshots committed; the suite passes; a deliberate style break fails the diff (verified once). Runs in CI. Tolerance configured to avoid font-AA flakiness.</t>
  </si>
  <si>
    <t xml:space="preserve">€120k / A3-3</t>
  </si>
  <si>
    <t xml:space="preserve">M2-T08</t>
  </si>
  <si>
    <t xml:space="preserve">Wire SourceLoadProtectionPolicy into the query path</t>
  </si>
  <si>
    <t xml:space="preserve">Source-Protection</t>
  </si>
  <si>
    <t xml:space="preserve">Move the SourceLoadProtectionPolicy from standalone logic into the real connector/query execution path so row-caps, statement timeouts, rate limits and overnight windows are ENFORCED on live source reads, not just unit-tested.</t>
  </si>
  <si>
    <t xml:space="preserve">Induce an over-budget query against a demo source — it is throttled/refused with a typed reason, not run unbounded (observed live + asserted in an integration test). A backfill respects the window. The V2Policy tests still pass.</t>
  </si>
  <si>
    <t xml:space="preserve">€120k / A2-3</t>
  </si>
  <si>
    <t xml:space="preserve">M2-T09</t>
  </si>
  <si>
    <t xml:space="preserve">Wire DataBoundaryPolicy into assistant dispatch</t>
  </si>
  <si>
    <t xml:space="preserve">Data-Boundary</t>
  </si>
  <si>
    <t xml:space="preserve">Wire the DataBoundaryPolicy (no-egress / plant-data-leak / local-vs-remote scoping) into the real assistant model-gateway dispatch so a tenant no-egress toggle actually blocks an outbound call, not just in policy tests.</t>
  </si>
  <si>
    <t xml:space="preserve">With no-egress ON for a tenant, an assistant call that would egress is blocked with a clear reason (observed + integration-tested). With a self-hosted endpoint it proceeds. The V2Policy/data-boundary tests pass.</t>
  </si>
  <si>
    <t xml:space="preserve">€120k / A2-8</t>
  </si>
  <si>
    <t xml:space="preserve">M2-T10</t>
  </si>
  <si>
    <t xml:space="preserve">Performance-at-scale validation</t>
  </si>
  <si>
    <t xml:space="preserve">Performance</t>
  </si>
  <si>
    <t xml:space="preserve">Validate and tune performance at realism scale (~630 heats / ~5,600 coils / 1 month): a full two-stage import within target, virtualized tables, progress states on long loads. Record the numbers.</t>
  </si>
  <si>
    <t xml:space="preserve">A performance test runs the full-month import and asserts it completes under the target time; the heaviest table virtualizes (DOM node count bounded regardless of rows); a long load shows a progress percentage. Numbers captured in a short perf report.</t>
  </si>
  <si>
    <t xml:space="preserve">€120k / A3-9</t>
  </si>
  <si>
    <t xml:space="preserve">M2-T11</t>
  </si>
  <si>
    <t xml:space="preserve">Clear the remaining ~40 non-standard buttons</t>
  </si>
  <si>
    <t xml:space="preserve">Migrate every remaining non-standard button in button-inventory.csv to the standard component with the correct wired handler, eliminating the styling-mismatch class app-wide (not just on the demo path).</t>
  </si>
  <si>
    <t xml:space="preserve">button-inventory.csv shows 0 rows with standardStatus=non-standard. The noRawStandardElements arch test passes. Visual-regression (M2-T07) stays green across the app.</t>
  </si>
  <si>
    <t xml:space="preserve">€120k / A1-1,A3-3</t>
  </si>
  <si>
    <t xml:space="preserve">M2-T12</t>
  </si>
  <si>
    <t xml:space="preserve">Final compose convergence + delete orphans</t>
  </si>
  <si>
    <t xml:space="preserve">Remove any residual orphaned compose/Caddy/Jenkins artifacts, confirm one canonical project name the proxy serves, and document the overlay model. Close the repo-structure finding completely.</t>
  </si>
  <si>
    <t xml:space="preserve">`docker compose ls` on the server shows one project; no plantprocess-* orphan containers exist; the canonical compose has the caddy service and the correct ConnectionStrings__PlantProcessDb key. A push deploys FE+BE in place (verified on the server).</t>
  </si>
  <si>
    <t xml:space="preserve">hardening</t>
  </si>
  <si>
    <t xml:space="preserve">€120k / A1-3</t>
  </si>
  <si>
    <t xml:space="preserve">M2-T13</t>
  </si>
  <si>
    <t xml:space="preserve">Nightly full-suite CI job</t>
  </si>
  <si>
    <t xml:space="preserve">Non-code-technical</t>
  </si>
  <si>
    <t xml:space="preserve">CI-Nightly</t>
  </si>
  <si>
    <t xml:space="preserve">Add a Jenkins cron job (e.g. 02:00) running `up → migrate → seed → test → e2e` blocking on the ephemeral CI stack, publishing a pass/fail trend. This is the backbone of 'kept tested for days'.</t>
  </si>
  <si>
    <t xml:space="preserve">The nightly job runs unattended and reports green on the seeded stack; an injected failing test turns the build red and blocks (verified once). A trend chart shows the last N nights.</t>
  </si>
  <si>
    <t xml:space="preserve">€120k Track B</t>
  </si>
  <si>
    <t xml:space="preserve">M2-T14</t>
  </si>
  <si>
    <t xml:space="preserve">Soak job (24–72h)</t>
  </si>
  <si>
    <t xml:space="preserve">Soak</t>
  </si>
  <si>
    <t xml:space="preserve">Build a soak harness that holds the stack up 24–72h under a synthetic load driver hitting the demo path, asserting no memory growth, no unhandled rejections and no crashed jobs — the 'tested for days' evidence and a reliability down-payment.</t>
  </si>
  <si>
    <t xml:space="preserve">A 24h soak completes with bounded memory (no monotonic growth), zero unhandled rejections logged, and all standing jobs healthy at the end. The soak report is archived. A seeded leak is caught (verified once).</t>
  </si>
  <si>
    <t xml:space="preserve">M2-T15</t>
  </si>
  <si>
    <t xml:space="preserve">AI triage loop (agent drafts fix PRs)</t>
  </si>
  <si>
    <t xml:space="preserve">AI-Pipeline</t>
  </si>
  <si>
    <t xml:space="preserve">Stand up an agent (e.g. Claude Code in the repo) on a schedule that reads the latest CI failure + failing test + surrounding code and opens a PR with a proposed diff and explanation — for human review, never auto-merge. It also flags and quarantines flakies with a ticket.</t>
  </si>
  <si>
    <t xml:space="preserve">On a seeded failing test, the agent opens a PR containing a plausible diff + rationale within the cycle; the PR is NOT auto-merged. A flaky is quarantined with a TESTS.md row and a ticket. You review and accept/reject manually.</t>
  </si>
  <si>
    <t xml:space="preserve">M2-T16</t>
  </si>
  <si>
    <t xml:space="preserve">Health dashboard</t>
  </si>
  <si>
    <t xml:space="preserve">Dashboard</t>
  </si>
  <si>
    <t xml:space="preserve">Build a one-page dashboard showing suite pass-rate, e2e pass-rate, last soak result and open-flaky count, so you can glance at health each morning instead of digging through logs.</t>
  </si>
  <si>
    <t xml:space="preserve">The dashboard renders the four metrics from the latest CI/soak runs and updates after each nightly. A red metric is visually obvious. Accessible via a bookmark.</t>
  </si>
  <si>
    <t xml:space="preserve">M2-T17</t>
  </si>
  <si>
    <t xml:space="preserve">Recorded certified dry-run</t>
  </si>
  <si>
    <t xml:space="preserve">Produce the certified dry-run: one-click readiness green captured on video against the polished demo dataset, as the formal pilot acceptance artifact (stronger than the M1 insurance cut).</t>
  </si>
  <si>
    <t xml:space="preserve">An MP4 shows readiness green and the full certified walk with zero errors, tagged to a commit. It is referenced in the pilot offer as the acceptance proof.</t>
  </si>
  <si>
    <t xml:space="preserve">M2-T01,M2-T22</t>
  </si>
  <si>
    <t xml:space="preserve">M2-T18</t>
  </si>
  <si>
    <t xml:space="preserve">Admin / Operator guide</t>
  </si>
  <si>
    <t xml:space="preserve">Documentation</t>
  </si>
  <si>
    <t xml:space="preserve">Write the Admin/Operator guide: source onboarding, mapping/KPI authoring, jobs monitor, schema-drift handling, user/role management, backup/restore. Aim it at a customer admin who has never seen the app.</t>
  </si>
  <si>
    <t xml:space="preserve">A reviewer who is not you follows the guide to link a source and build a page on a fresh install with no extra help. Every screen referenced exists. Versioned in docs/.</t>
  </si>
  <si>
    <t xml:space="preserve">M2-T19</t>
  </si>
  <si>
    <t xml:space="preserve">Security whitepaper</t>
  </si>
  <si>
    <t xml:space="preserve">Security-Docs</t>
  </si>
  <si>
    <t xml:space="preserve">Document the security posture procurement needs: read-only enforcement, OT-safe topology, token model (in-memory + __Host- cookie), Argon2id, RLS tenant isolation, signed licensing, audit immutability, no-egress AI. Cite the implementing components.</t>
  </si>
  <si>
    <t xml:space="preserve">Each claim in the whitepaper maps to a real component/test (spot-check 5). An IT reviewer can answer the standard procurement questions from it. Exported to branded PDF.</t>
  </si>
  <si>
    <t xml:space="preserve">€120k Track B / A2</t>
  </si>
  <si>
    <t xml:space="preserve">M2-T20</t>
  </si>
  <si>
    <t xml:space="preserve">Deployment runbook</t>
  </si>
  <si>
    <t xml:space="preserve">Deploy-Docs</t>
  </si>
  <si>
    <t xml:space="preserve">Write the deployment/operations runbook: server bootstrap, the canonical compose + .env, migrate/seed, health checks, rollback to :previous, and the restore drill — enough that a clean machine reaches a working login by runbook only.</t>
  </si>
  <si>
    <t xml:space="preserve">Following the runbook on a clean VM reaches a working login with no tribal knowledge. The rollback and restore steps are executed once and confirmed. Versioned in docs/.</t>
  </si>
  <si>
    <t xml:space="preserve">€120k Track B / A4-9</t>
  </si>
  <si>
    <t xml:space="preserve">M2-T21</t>
  </si>
  <si>
    <t xml:space="preserve">API reference</t>
  </si>
  <si>
    <t xml:space="preserve">API-Docs</t>
  </si>
  <si>
    <t xml:space="preserve">Generate/curate an API reference from the OpenAPI surface (you have the snapshot guard) so an integrator can see endpoints, auth, and entitlements. Keep it in sync via the contract test.</t>
  </si>
  <si>
    <t xml:space="preserve">The reference covers the public endpoints; the OpenAPI snapshot test passes (no drift). An integrator can authenticate and call one endpoint using only the docs.</t>
  </si>
  <si>
    <t xml:space="preserve">M2-T22</t>
  </si>
  <si>
    <t xml:space="preserve">Demo dataset polish + scripted reset</t>
  </si>
  <si>
    <t xml:space="preserve">Demo-Data</t>
  </si>
  <si>
    <t xml:space="preserve">Polish the realism dataset (clean edge cases, ensure the deliberate imperfections produce the intended findings) and script a one-command reset so every prospect sees the identical clean story without per-meeting fiddling.</t>
  </si>
  <si>
    <t xml:space="preserve">`ppiq.ps1 reset` reproduces the exact demo state every time; the seeded imperfections yield the expected findings (asserted by the Phase4 correctness test). Two resets produce identical row counts and identical top findings.</t>
  </si>
  <si>
    <t xml:space="preserve">M2-T23</t>
  </si>
  <si>
    <t xml:space="preserve">Incorporate (UG/GmbH)</t>
  </si>
  <si>
    <t xml:space="preserve">Admin-business</t>
  </si>
  <si>
    <t xml:space="preserve">Legal-Entity</t>
  </si>
  <si>
    <t xml:space="preserve">Register the operating entity (UG or GmbH) so you can invoice a pilot and present as a company — the first concrete brick in the vendor-viability wall. Engage a Steuerberater/notary as needed.</t>
  </si>
  <si>
    <t xml:space="preserve">The entity is registered (Handelsregister entry / confirmation in hand) and can issue an invoice. A bank account exists. This is a binary external fact, not a code check.</t>
  </si>
  <si>
    <t xml:space="preserve">€120k Track C / viability</t>
  </si>
  <si>
    <t xml:space="preserve">M2-T24</t>
  </si>
  <si>
    <t xml:space="preserve">Company website page + imprint</t>
  </si>
  <si>
    <t xml:space="preserve">Company-Page</t>
  </si>
  <si>
    <t xml:space="preserve">Add a real company/about page and a legally-required Impressum/imprint, establishing legitimacy for an EU/MENA buyer evaluating a vendor.</t>
  </si>
  <si>
    <t xml:space="preserve">The about + imprint pages are live with correct legal details and load on mobile/desktop. A reviewer can identify who the vendor is and how to contact them.</t>
  </si>
  <si>
    <t xml:space="preserve">€120k Track C</t>
  </si>
  <si>
    <t xml:space="preserve">M2-T25</t>
  </si>
  <si>
    <t xml:space="preserve">Pricing &amp; license-tiers page</t>
  </si>
  <si>
    <t xml:space="preserve">Pricing</t>
  </si>
  <si>
    <t xml:space="preserve">Publish the commercial tiers page answering the buyer's exact license questions: what each tier grants, renewal model, expiry, and whether tiers cap users or source connections — backed by the signed-token mechanism.</t>
  </si>
  <si>
    <t xml:space="preserve">The page lists all four tiers with grants/caps/renewal and matches the signed-token feature flags. A buyer can self-qualify which tier they need. Honesty-lint passes (no overclaim).</t>
  </si>
  <si>
    <t xml:space="preserve">M2-T26</t>
  </si>
  <si>
    <t xml:space="preserve">Pilot contract + MNDA + DPA templates</t>
  </si>
  <si>
    <t xml:space="preserve">Legal-Templates</t>
  </si>
  <si>
    <t xml:space="preserve">Prepare lawyer-reviewed templates: an 8-week paid-pilot agreement, a mutual NDA, and a data-processing agreement for the customer's plant data — so you can sign the moment the M1 presentation lands.</t>
  </si>
  <si>
    <t xml:space="preserve">Three templates exist and have had at least one legal review pass. The pilot agreement matches the M1 offer scope/price. You could send them to a prospect tomorrow.</t>
  </si>
  <si>
    <t xml:space="preserve">M2-T27</t>
  </si>
  <si>
    <t xml:space="preserve">Target list + outreach sequence</t>
  </si>
  <si>
    <t xml:space="preserve">Outreach</t>
  </si>
  <si>
    <t xml:space="preserve">Build a named list of 8–12 flat-steel/process plants in MENA/EU (use the PSI network for warm intros) and a short outreach sequence leading with the 2-min demo video. This is the funnel that produces the M3 reference.</t>
  </si>
  <si>
    <t xml:space="preserve">A list of ≥8 named targets with a contact path exists; the sequence is sent; ≥3 real conversations are opened (replies/calls booked). Tracked in a simple CRM/sheet.</t>
  </si>
  <si>
    <t xml:space="preserve">€120k Track C / M3 reference</t>
  </si>
  <si>
    <t xml:space="preserve">M2-T28</t>
  </si>
  <si>
    <t xml:space="preserve">Convert presentation customer into a signed paid pilot (M2 spine)</t>
  </si>
  <si>
    <t xml:space="preserve">Design-Partner</t>
  </si>
  <si>
    <t xml:space="preserve">Turn the M1 presentation into a signed paid pilot with the first customer (your design partner): a plant that gives a month of source dumps + feedback for the €30–40k pilot. This is the SPINE of M2 — a plant visibly using PPIQ is worth more to your valuation than the extra product pages combined, and it is the path to the M3 reference. The pilot/contract process runs in PARALLEL with the M2 hardening below, customer-funded.</t>
  </si>
  <si>
    <t xml:space="preserve">One customer has signed the paid-pilot agreement (counter-signed) and provided their data-dump or a scheduled date. Binary external milestone.</t>
  </si>
  <si>
    <t xml:space="preserve">€120k unlock / first reference</t>
  </si>
  <si>
    <t xml:space="preserve">M2-T29</t>
  </si>
  <si>
    <t xml:space="preserve">Prove ROI on the customer's real data (pilot deliverable)</t>
  </si>
  <si>
    <t xml:space="preserve">ROI-Proof</t>
  </si>
  <si>
    <t xml:space="preserve">During the pilot/contract window, onboard the customer's real source dumps, run the engine, and produce a QUANTIFIED, customer-agreed outcome (a measured euro/quality figure on THEIR data) — the proven ROI that turns the projected number from M1-T23 into fact. This is the deliverable that unlocks the €120k license and turns the customer into your reference. The M2 hardening tasks happen around this engagement, customer-funded.</t>
  </si>
  <si>
    <t xml:space="preserve">The customer signs off on a measured before/after or a quantified finding on their own data (a number they accept), documented with their agreement to use as a reference. The figure is defensible and reproducible from their data.</t>
  </si>
  <si>
    <t xml:space="preserve">€120k license unlock / reference</t>
  </si>
  <si>
    <t xml:space="preserve">M3-T01</t>
  </si>
  <si>
    <t xml:space="preserve">Backup / restore drill</t>
  </si>
  <si>
    <t xml:space="preserve">Deploy</t>
  </si>
  <si>
    <t xml:space="preserve">Backup-Restore</t>
  </si>
  <si>
    <t xml:space="preserve">Implement and DRILL backup + restore of the app DB (both schemas) and config, so a real customer's 'what if it breaks' is answered. Automate the backup and document the restore.</t>
  </si>
  <si>
    <t xml:space="preserve">A backup is taken, the DB is destroyed, and a restore brings the app back to a working login with data intact — performed and recorded once end-to-end. Restore time is measured and documented.</t>
  </si>
  <si>
    <t xml:space="preserve">€250k Track A</t>
  </si>
  <si>
    <t xml:space="preserve">M3-T02</t>
  </si>
  <si>
    <t xml:space="preserve">Verify deploy rollback to :previous</t>
  </si>
  <si>
    <t xml:space="preserve">Rollback</t>
  </si>
  <si>
    <t xml:space="preserve">Confirm and harden the deploy-canonical rollback path so a failed health gate rolls back to the :previous image automatically, eliminating the 'failed deploy with no rollback' risk for a live customer.</t>
  </si>
  <si>
    <t xml:space="preserve">Force a deploy to fail its health gate — the stack rolls back to :previous and stays serving (observed once). The rollback is logged. The happy path still deploys green.</t>
  </si>
  <si>
    <t xml:space="preserve">M3-T03</t>
  </si>
  <si>
    <t xml:space="preserve">Historian connector to GA</t>
  </si>
  <si>
    <t xml:space="preserve">Connectors</t>
  </si>
  <si>
    <t xml:space="preserve">Take one process-historian connector to general availability (read-only) with behavioural tests, extending breadth toward incumbent connectivity. Keep the honest 'beta' label on anything not certified.</t>
  </si>
  <si>
    <t xml:space="preserve">The historian connector passes the connector behavioural certification (test-before-save, masked read-back, source-shaped staging, read-only) live against a historian instance. It is registerable/mappable in the HMI.</t>
  </si>
  <si>
    <t xml:space="preserve">M3-T04</t>
  </si>
  <si>
    <t xml:space="preserve">Deployable OT-safe edge agent</t>
  </si>
  <si>
    <t xml:space="preserve">Edge-Agent</t>
  </si>
  <si>
    <t xml:space="preserve">Package the OT-safe edge collector as a deployable one-way agent feeding the acceptance gateway, with management UX and no-egress certification — making the OT-safe story tangible for a real plant.</t>
  </si>
  <si>
    <t xml:space="preserve">The agent deploys and pushes one-way into the gateway; the core never initiates a connection into OT (verified by network observation + test). No-egress certification passes. Management UX shows agent health.</t>
  </si>
  <si>
    <t xml:space="preserve">€250k Track A / A2-2</t>
  </si>
  <si>
    <t xml:space="preserve">M3-T05</t>
  </si>
  <si>
    <t xml:space="preserve">Human-approved advisory write-back</t>
  </si>
  <si>
    <t xml:space="preserve">Advisory</t>
  </si>
  <si>
    <t xml:space="preserve">Implement human-approved advisory write-back to the BUSINESS quality workflow (QA/MES note), never to OT control: a recommendation requires explicit human approval and is fully audited. This is the SST/Fero value lever kept read-only-safe. PULL FORWARD: begin this in the late-M2 / contract window — the benchmark shows read-only caps your price ceiling, and this human-approved advisory path is the ceiling-raiser; it should not wait until the end.</t>
  </si>
  <si>
    <t xml:space="preserve">A write-back cannot occur without explicit human approval (attempting auto-write is rejected); every write is audit-logged with actor + evidence handle. The target is a business workflow, never a control setpoint (code-searched + tested).</t>
  </si>
  <si>
    <t xml:space="preserve">M3-T06</t>
  </si>
  <si>
    <t xml:space="preserve">Enforce performance budgets in CI</t>
  </si>
  <si>
    <t xml:space="preserve">Perf-Budgets</t>
  </si>
  <si>
    <t xml:space="preserve">Add enforced performance budgets (latency/throughput thresholds) to CI so regressions fail the build, locking in the perf-at-scale gains under real customer load.</t>
  </si>
  <si>
    <t xml:space="preserve">A budgeted endpoint exceeding its threshold fails CI (verified once with a seeded regression). Budgets are documented. The nightly enforces them.</t>
  </si>
  <si>
    <t xml:space="preserve">M3-T07</t>
  </si>
  <si>
    <t xml:space="preserve">Load-test at the reference plant's scale</t>
  </si>
  <si>
    <t xml:space="preserve">Load-Test</t>
  </si>
  <si>
    <t xml:space="preserve">Run a load test at the actual reference plant's data scale (from the design-partner dump) to prove 'works on THEIR data', not just the demo dataset.</t>
  </si>
  <si>
    <t xml:space="preserve">A load test at the partner's real scale completes within the documented budgets with no errors. Results are captured for the case study. Any bottleneck found is fixed and re-tested.</t>
  </si>
  <si>
    <t xml:space="preserve">M2-T28,M3-T06</t>
  </si>
  <si>
    <t xml:space="preserve">M3-T08</t>
  </si>
  <si>
    <t xml:space="preserve">Start SOC 2 Type II observation window</t>
  </si>
  <si>
    <t xml:space="preserve">SOC2</t>
  </si>
  <si>
    <t xml:space="preserve">Open the SOC 2 Type II observation window NOW (it runs 6–12 months) with an auditor or a compliance-automation tool, mapping controls to your existing security posture. Starting late gates you for a year.</t>
  </si>
  <si>
    <t xml:space="preserve">The observation window is formally opened (auditor engaged or tool configured collecting evidence) with a start date on record. Initial control mapping submitted. Binary external milestone.</t>
  </si>
  <si>
    <t xml:space="preserve">€250k Track B</t>
  </si>
  <si>
    <t xml:space="preserve">M3-T09</t>
  </si>
  <si>
    <t xml:space="preserve">ISO 27001 mapping + sensitive-data catalog</t>
  </si>
  <si>
    <t xml:space="preserve">ISO27001</t>
  </si>
  <si>
    <t xml:space="preserve">Produce an ISO 27001 control mapping and a sensitive-data catalog (you have the audit-trail + data-catalog substance), pairing with SOC 2 for procurement readiness.</t>
  </si>
  <si>
    <t xml:space="preserve">A control-mapping document and a sensitive-data catalog exist and are internally reviewed. A procurement reviewer can locate how each control is met. Versioned.</t>
  </si>
  <si>
    <t xml:space="preserve">M3-T10</t>
  </si>
  <si>
    <t xml:space="preserve">Full operator/admin/security docs</t>
  </si>
  <si>
    <t xml:space="preserve">Complete the customer-grade documentation set (operator, admin, security, integration) beyond the M2 drafts, so a customer can run it and you can support it without heroics.</t>
  </si>
  <si>
    <t xml:space="preserve">The doc set covers install, operate, secure, integrate; a non-author completes each top task by docs only. Published and linked from the product. Reviewed once.</t>
  </si>
  <si>
    <t xml:space="preserve">M3-T11</t>
  </si>
  <si>
    <t xml:space="preserve">Public status page</t>
  </si>
  <si>
    <t xml:space="preserve">Status-Page</t>
  </si>
  <si>
    <t xml:space="preserve">Stand up a status page (uptime/incident history) so a customer can see operational transparency — a small but real trust/viability signal.</t>
  </si>
  <si>
    <t xml:space="preserve">The status page is live and reflects real health checks; an incident can be posted. Reachable at a stable URL.</t>
  </si>
  <si>
    <t xml:space="preserve">M3-T12</t>
  </si>
  <si>
    <t xml:space="preserve">One-command customer-install package</t>
  </si>
  <si>
    <t xml:space="preserve">Installer</t>
  </si>
  <si>
    <t xml:space="preserve">Package the server overlay + a customer .env template + a one-command installer so deploying for a customer is a script, not a project — essential when you are solo.</t>
  </si>
  <si>
    <t xml:space="preserve">On a clean machine, one command (with the customer .env filled) reaches a working install with the two schemas, seeded admin, and a valid license. Documented in the runbook. Performed once end-to-end.</t>
  </si>
  <si>
    <t xml:space="preserve">M2-T20,M3-T01</t>
  </si>
  <si>
    <t xml:space="preserve">M3-T13</t>
  </si>
  <si>
    <t xml:space="preserve">Run the paid pilot</t>
  </si>
  <si>
    <t xml:space="preserve">Pilot-Delivery</t>
  </si>
  <si>
    <t xml:space="preserve">Deliver the 8-week pilot to the design partner on their real data: onboard sources, build their pages, run learning jobs, and produce findings — the engagement that creates the reference and the case study. NOTE: under the pilot-then-license model this begins right after the M1 presentation (the contract window), NOT at 1 Jan 2027 — it runs alongside M2 hardening.</t>
  </si>
  <si>
    <t xml:space="preserve">The pilot runs to completion on the partner's data with their sign-off that the deliverables were met. Findings are produced on their real data. Their satisfaction is documented (a quote).</t>
  </si>
  <si>
    <t xml:space="preserve">M2-T28,M3-T12</t>
  </si>
  <si>
    <t xml:space="preserve">€250k Track C (unlock)</t>
  </si>
  <si>
    <t xml:space="preserve">M3-T14</t>
  </si>
  <si>
    <t xml:space="preserve">Convert pilot to a signed contract</t>
  </si>
  <si>
    <t xml:space="preserve">Contract</t>
  </si>
  <si>
    <t xml:space="preserve">Convert the successful pilot into a signed commercial contract (license + support) — THE €250k unlock. Negotiate scope, price, and term from the pilot evidence. NOTE: the FIRST contract closes ~2–3 months after the M1 presentation; 1 Jan 2027 marks 'referenceable + viable, ready to command €250k', not the first signature.</t>
  </si>
  <si>
    <t xml:space="preserve">A signed contract exists (counter-signed by the customer). The price/term are recorded. This is the single binary milestone that defines the €250k.</t>
  </si>
  <si>
    <t xml:space="preserve">€250k (unlock)</t>
  </si>
  <si>
    <t xml:space="preserve">M3-T15</t>
  </si>
  <si>
    <t xml:space="preserve">Produce the case study / reference</t>
  </si>
  <si>
    <t xml:space="preserve">Case-Study</t>
  </si>
  <si>
    <t xml:space="preserve">Turn the pilot into a quotable, numbers-backed case study (measured before/after, the value found) — your most valuable sales asset for the NEXT buyer.</t>
  </si>
  <si>
    <t xml:space="preserve">A case study exists with at least one measured outcome and a customer quote, approved by the customer for use. Published or sales-ready.</t>
  </si>
  <si>
    <t xml:space="preserve">€250k Track C</t>
  </si>
  <si>
    <t xml:space="preserve">M3-T16</t>
  </si>
  <si>
    <t xml:space="preserve">Viability arrangement</t>
  </si>
  <si>
    <t xml:space="preserve">Viability</t>
  </si>
  <si>
    <t xml:space="preserve">Address the solo-vendor bus-factor concretely with ONE of: a co-founder/first hire, OR source-code escrow + a BCP, OR an OEM/partnership with an incumbent who needs the explainable read-only layer. Lowers the objection from blocker to managed.</t>
  </si>
  <si>
    <t xml:space="preserve">One of the three is in place and documented (a hire contract, an escrow agreement + BCP, or a signed partnership). A buyer's continuity question has a real answer. Binary external milestone.</t>
  </si>
  <si>
    <t xml:space="preserve">€250k Track C / viability</t>
  </si>
  <si>
    <t xml:space="preserve">M3-T17</t>
  </si>
  <si>
    <t xml:space="preserve">Support SLA offering</t>
  </si>
  <si>
    <t xml:space="preserve">Support-SLA</t>
  </si>
  <si>
    <t xml:space="preserve">Define and publish a support SLA offering (tiers, response times) even if small, so you can charge a contract price rather than a pilot price.</t>
  </si>
  <si>
    <t xml:space="preserve">Published SLA tiers with response-time commitments exist and are referenced in the contract. A customer can see what support they buy.</t>
  </si>
  <si>
    <t xml:space="preserve">M3-T18</t>
  </si>
  <si>
    <t xml:space="preserve">Funding / partnership decision</t>
  </si>
  <si>
    <t xml:space="preserve">Strategy</t>
  </si>
  <si>
    <t xml:space="preserve">Make and document the path decision: bootstrap on pilot revenue, raise a small round, or partner — determining whether €250k→€1M is reachable and how fast.</t>
  </si>
  <si>
    <t xml:space="preserve">A written decision with the next concrete step exists (e.g. 'bootstrap; hire #1 at X revenue' or 'raise €Y; deck ready' or 'partner with Z; term sheet started'). Reviewed and dated.</t>
  </si>
  <si>
    <t xml:space="preserve">Milestone Summary v3.1  —  market value vs the cash you actually propose</t>
  </si>
  <si>
    <t xml:space="preserve">Tasks</t>
  </si>
  <si>
    <t xml:space="preserve">Market value</t>
  </si>
  <si>
    <t xml:space="preserve">Cash / what you propose</t>
  </si>
  <si>
    <t xml:space="preserve">Defining gate (what makes it green)</t>
  </si>
  <si>
    <t xml:space="preserve">Deployable outcome</t>
  </si>
  <si>
    <t xml:space="preserve">€60k</t>
  </si>
  <si>
    <t xml:space="preserve">ASK = €30–40k paid pilot, crediting toward the €120k license (lean €30k for the first customer). €60k = demonstrated value, not the invoice.</t>
  </si>
  <si>
    <t xml:space="preserve">Live recorded demo (M1-T09–11) + ROI model (M1-T23) + credibility pack (M1-T24) + structured pilot offer (M1-T20) + real CTA. €60k only with a live demo; else €15–35k.</t>
  </si>
  <si>
    <t xml:space="preserve">A reproducible env, a live recorded demo, a projected-ROI slide, your credibility pack, and a pilot offer a buyer can sign.</t>
  </si>
  <si>
    <t xml:space="preserve">€120k</t>
  </si>
  <si>
    <t xml:space="preserve">The €120k ANNUAL LICENSE you convert to after proving ROI on the customer's data. Pilot cash already collected at M1.</t>
  </si>
  <si>
    <t xml:space="preserve">Customer signs the paid pilot (M2-T28) + PROVEN ROI on their data (M2-T29) + derisk stack + advisory ceiling-raiser pulled in (M3-T05).</t>
  </si>
  <si>
    <t xml:space="preserve">A signed paid pilot running on a real plant, a customer-agreed ROI number, and a hardened product — the contract window.</t>
  </si>
  <si>
    <t xml:space="preserve">€250k</t>
  </si>
  <si>
    <t xml:space="preserve">Expansion + a second deal toward €250k. The FIRST contract closes earlier (2–3 months after the presentation), smaller.</t>
  </si>
  <si>
    <t xml:space="preserve">A signed contract + a published case study + SOC 2 window open + a viability arrangement. Reference + viability, not 'first signature'.</t>
  </si>
  <si>
    <t xml:space="preserve">A supportable product delivered to a paying REFERENCE customer under a signed contract + SLA, with a continuity story.</t>
  </si>
  <si>
    <t xml:space="preserve">TOTAL</t>
  </si>
  <si>
    <t xml:space="preserve">Effort = code/technical hours. The pilot/contract/reference arc is calendar-and-relationship gated and now starts right after the M1 presentation, not at the end.</t>
  </si>
</sst>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2"/>
      <charset val="1"/>
    </font>
    <font>
      <sz val="10"/>
      <name val="Arial"/>
      <family val="0"/>
    </font>
    <font>
      <sz val="10"/>
      <name val="Arial"/>
      <family val="0"/>
    </font>
    <font>
      <sz val="10"/>
      <name val="Arial"/>
      <family val="0"/>
    </font>
    <font>
      <b val="true"/>
      <sz val="20"/>
      <color rgb="FF00D4FF"/>
      <name val="Segoe UI"/>
      <family val="0"/>
      <charset val="1"/>
    </font>
    <font>
      <sz val="11"/>
      <color rgb="FF8EA7C1"/>
      <name val="Segoe UI"/>
      <family val="0"/>
      <charset val="1"/>
    </font>
    <font>
      <b val="true"/>
      <sz val="11"/>
      <color rgb="FFEAF6FF"/>
      <name val="Segoe UI"/>
      <family val="0"/>
      <charset val="1"/>
    </font>
    <font>
      <b val="true"/>
      <sz val="12"/>
      <color rgb="FF00D4FF"/>
      <name val="Segoe UI"/>
      <family val="0"/>
      <charset val="1"/>
    </font>
    <font>
      <sz val="10.5"/>
      <color rgb="FFEAF6FF"/>
      <name val="Segoe UI"/>
      <family val="0"/>
      <charset val="1"/>
    </font>
    <font>
      <b val="true"/>
      <sz val="10.5"/>
      <color rgb="FFFF4D6D"/>
      <name val="Segoe UI"/>
      <family val="0"/>
      <charset val="1"/>
    </font>
    <font>
      <b val="true"/>
      <sz val="10.5"/>
      <color rgb="FFFFB020"/>
      <name val="Segoe UI"/>
      <family val="0"/>
      <charset val="1"/>
    </font>
    <font>
      <b val="true"/>
      <sz val="10.5"/>
      <color rgb="FF00D4FF"/>
      <name val="Segoe UI"/>
      <family val="0"/>
      <charset val="1"/>
    </font>
    <font>
      <b val="true"/>
      <sz val="10.5"/>
      <color rgb="FF8EA7C1"/>
      <name val="Segoe UI"/>
      <family val="0"/>
      <charset val="1"/>
    </font>
    <font>
      <b val="true"/>
      <sz val="10.5"/>
      <color rgb="FF2CE6A2"/>
      <name val="Segoe UI"/>
      <family val="0"/>
      <charset val="1"/>
    </font>
    <font>
      <b val="true"/>
      <sz val="13"/>
      <color rgb="FF00D4FF"/>
      <name val="Segoe UI"/>
      <family val="0"/>
      <charset val="1"/>
    </font>
    <font>
      <b val="true"/>
      <sz val="9.5"/>
      <color rgb="FF00D4FF"/>
      <name val="Segoe UI"/>
      <family val="0"/>
      <charset val="1"/>
    </font>
    <font>
      <b val="true"/>
      <sz val="9.5"/>
      <color rgb="FF00D4FF"/>
      <name val="Consolas"/>
      <family val="0"/>
      <charset val="1"/>
    </font>
    <font>
      <b val="true"/>
      <sz val="10"/>
      <color rgb="FFEAF6FF"/>
      <name val="Segoe UI"/>
      <family val="0"/>
      <charset val="1"/>
    </font>
    <font>
      <b val="true"/>
      <sz val="9"/>
      <color rgb="FFFFB020"/>
      <name val="Segoe UI"/>
      <family val="0"/>
      <charset val="1"/>
    </font>
    <font>
      <sz val="9.5"/>
      <color rgb="FF8EA7C1"/>
      <name val="Segoe UI"/>
      <family val="0"/>
      <charset val="1"/>
    </font>
    <font>
      <b val="true"/>
      <sz val="9.5"/>
      <color rgb="FFFF4D6D"/>
      <name val="Segoe UI"/>
      <family val="0"/>
      <charset val="1"/>
    </font>
    <font>
      <sz val="9.5"/>
      <color rgb="FFEAF6FF"/>
      <name val="Segoe UI"/>
      <family val="0"/>
      <charset val="1"/>
    </font>
    <font>
      <sz val="9"/>
      <color rgb="FF8EA7C1"/>
      <name val="Segoe UI"/>
      <family val="0"/>
      <charset val="1"/>
    </font>
    <font>
      <b val="true"/>
      <sz val="9.5"/>
      <color rgb="FFFFB020"/>
      <name val="Segoe UI"/>
      <family val="0"/>
      <charset val="1"/>
    </font>
    <font>
      <b val="true"/>
      <sz val="9"/>
      <color rgb="FF00D4FF"/>
      <name val="Segoe UI"/>
      <family val="0"/>
      <charset val="1"/>
    </font>
    <font>
      <b val="true"/>
      <sz val="9.5"/>
      <color rgb="FF8EA7C1"/>
      <name val="Segoe UI"/>
      <family val="0"/>
      <charset val="1"/>
    </font>
    <font>
      <b val="true"/>
      <sz val="9"/>
      <color rgb="FF2CE6A2"/>
      <name val="Segoe UI"/>
      <family val="0"/>
      <charset val="1"/>
    </font>
    <font>
      <b val="true"/>
      <sz val="10"/>
      <color rgb="FF00D4FF"/>
      <name val="Segoe UI"/>
      <family val="0"/>
      <charset val="1"/>
    </font>
    <font>
      <b val="true"/>
      <sz val="12"/>
      <color rgb="FFFFB020"/>
      <name val="Segoe UI"/>
      <family val="0"/>
      <charset val="1"/>
    </font>
    <font>
      <b val="true"/>
      <sz val="12"/>
      <color rgb="FF2CE6A2"/>
      <name val="Segoe UI"/>
      <family val="0"/>
      <charset val="1"/>
    </font>
    <font>
      <b val="true"/>
      <sz val="11"/>
      <color rgb="FF00D4FF"/>
      <name val="Segoe UI"/>
      <family val="0"/>
      <charset val="1"/>
    </font>
    <font>
      <i val="true"/>
      <sz val="9.5"/>
      <color rgb="FF8EA7C1"/>
      <name val="Segoe UI"/>
      <family val="0"/>
      <charset val="1"/>
    </font>
  </fonts>
  <fills count="6">
    <fill>
      <patternFill patternType="none"/>
    </fill>
    <fill>
      <patternFill patternType="gray125"/>
    </fill>
    <fill>
      <patternFill patternType="solid">
        <fgColor rgb="FF050B18"/>
        <bgColor rgb="FF0A1426"/>
      </patternFill>
    </fill>
    <fill>
      <patternFill patternType="solid">
        <fgColor rgb="FF102A43"/>
        <bgColor rgb="FF1C3354"/>
      </patternFill>
    </fill>
    <fill>
      <patternFill patternType="solid">
        <fgColor rgb="FF0B1730"/>
        <bgColor rgb="FF0A1426"/>
      </patternFill>
    </fill>
    <fill>
      <patternFill patternType="solid">
        <fgColor rgb="FF0A1426"/>
        <bgColor rgb="FF0B1730"/>
      </patternFill>
    </fill>
  </fills>
  <borders count="2">
    <border diagonalUp="false" diagonalDown="false">
      <left/>
      <right/>
      <top/>
      <bottom/>
      <diagonal/>
    </border>
    <border diagonalUp="false" diagonalDown="false">
      <left style="thin">
        <color rgb="FF1C3354"/>
      </left>
      <right style="thin">
        <color rgb="FF1C3354"/>
      </right>
      <top style="thin">
        <color rgb="FF1C3354"/>
      </top>
      <bottom style="thin">
        <color rgb="FF1C335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64" fontId="11" fillId="2" borderId="0" xfId="0" applyFont="true" applyBorder="false" applyAlignment="true" applyProtection="false">
      <alignment horizontal="left" vertical="center" textRotation="0" wrapText="tru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left" vertical="top" textRotation="0" wrapText="tru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left"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left" vertical="top"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22" fillId="5" borderId="1" xfId="0" applyFont="true" applyBorder="true" applyAlignment="true" applyProtection="false">
      <alignment horizontal="left" vertical="top"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24" fillId="4" borderId="1" xfId="0" applyFont="true" applyBorder="true" applyAlignment="true" applyProtection="false">
      <alignment horizontal="left" vertical="top" textRotation="0" wrapText="true" indent="0" shrinkToFit="false"/>
      <protection locked="true" hidden="false"/>
    </xf>
    <xf numFmtId="164" fontId="24" fillId="5" borderId="1" xfId="0" applyFont="true" applyBorder="true" applyAlignment="true" applyProtection="false">
      <alignment horizontal="left" vertical="top" textRotation="0" wrapText="true" indent="0" shrinkToFit="false"/>
      <protection locked="true" hidden="false"/>
    </xf>
    <xf numFmtId="164" fontId="25" fillId="4" borderId="1" xfId="0" applyFont="true" applyBorder="true" applyAlignment="true" applyProtection="false">
      <alignment horizontal="center" vertical="center" textRotation="0" wrapText="true" indent="0" shrinkToFit="false"/>
      <protection locked="true" hidden="false"/>
    </xf>
    <xf numFmtId="164" fontId="25" fillId="5" borderId="1" xfId="0" applyFont="true" applyBorder="true" applyAlignment="true" applyProtection="false">
      <alignment horizontal="center" vertical="center" textRotation="0" wrapText="true" indent="0" shrinkToFit="false"/>
      <protection locked="true" hidden="false"/>
    </xf>
    <xf numFmtId="164" fontId="26" fillId="5" borderId="1" xfId="0" applyFont="true" applyBorder="true" applyAlignment="true" applyProtection="false">
      <alignment horizontal="left" vertical="top" textRotation="0" wrapText="true" indent="0" shrinkToFit="false"/>
      <protection locked="true" hidden="false"/>
    </xf>
    <xf numFmtId="164" fontId="26" fillId="4" borderId="1" xfId="0" applyFont="true" applyBorder="true" applyAlignment="true" applyProtection="false">
      <alignment horizontal="left" vertical="top" textRotation="0" wrapText="true" indent="0" shrinkToFit="false"/>
      <protection locked="true" hidden="false"/>
    </xf>
    <xf numFmtId="164" fontId="27"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28"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29" fillId="4" borderId="1"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left" vertical="center" textRotation="0" wrapText="true" indent="0" shrinkToFit="false"/>
      <protection locked="true" hidden="false"/>
    </xf>
    <xf numFmtId="165" fontId="30"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31"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6FF"/>
      <rgbColor rgb="FFFF0000"/>
      <rgbColor rgb="FF00FF00"/>
      <rgbColor rgb="FF0000FF"/>
      <rgbColor rgb="FFFFFF00"/>
      <rgbColor rgb="FFFF00FF"/>
      <rgbColor rgb="FF00FFFF"/>
      <rgbColor rgb="FF800000"/>
      <rgbColor rgb="FF008000"/>
      <rgbColor rgb="FF0A1426"/>
      <rgbColor rgb="FF808000"/>
      <rgbColor rgb="FF800080"/>
      <rgbColor rgb="FF008080"/>
      <rgbColor rgb="FFC0C0C0"/>
      <rgbColor rgb="FF808080"/>
      <rgbColor rgb="FF9999FF"/>
      <rgbColor rgb="FF993366"/>
      <rgbColor rgb="FFFFFFCC"/>
      <rgbColor rgb="FFCCFFFF"/>
      <rgbColor rgb="FF660066"/>
      <rgbColor rgb="FFFF4D6D"/>
      <rgbColor rgb="FF0066CC"/>
      <rgbColor rgb="FFCCCCFF"/>
      <rgbColor rgb="FF050B18"/>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CC00"/>
      <rgbColor rgb="FFFFB020"/>
      <rgbColor rgb="FFFF6600"/>
      <rgbColor rgb="FF666699"/>
      <rgbColor rgb="FF8EA7C1"/>
      <rgbColor rgb="FF102A43"/>
      <rgbColor rgb="FF339966"/>
      <rgbColor rgb="FF0B1730"/>
      <rgbColor rgb="FF333300"/>
      <rgbColor rgb="FF993300"/>
      <rgbColor rgb="FF993366"/>
      <rgbColor rgb="FF333399"/>
      <rgbColor rgb="FF1C33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7" min="2" style="0" width="22"/>
  </cols>
  <sheetData>
    <row r="1" customFormat="false" ht="15" hidden="false" customHeight="false" outlineLevel="0" collapsed="false">
      <c r="A1" s="1"/>
      <c r="B1" s="1"/>
      <c r="C1" s="1"/>
      <c r="D1" s="1"/>
      <c r="E1" s="1"/>
      <c r="F1" s="1"/>
      <c r="G1" s="1"/>
    </row>
    <row r="2" customFormat="false" ht="24.6" hidden="false" customHeight="true" outlineLevel="0" collapsed="false">
      <c r="A2" s="1"/>
      <c r="B2" s="2" t="s">
        <v>0</v>
      </c>
      <c r="C2" s="2"/>
      <c r="D2" s="2"/>
      <c r="E2" s="2"/>
      <c r="F2" s="2"/>
      <c r="G2" s="2"/>
    </row>
    <row r="3" customFormat="false" ht="15" hidden="false" customHeight="true" outlineLevel="0" collapsed="false">
      <c r="A3" s="1"/>
      <c r="B3" s="3" t="s">
        <v>1</v>
      </c>
      <c r="C3" s="3"/>
      <c r="D3" s="3"/>
      <c r="E3" s="3"/>
      <c r="F3" s="3"/>
      <c r="G3" s="3"/>
    </row>
    <row r="4" customFormat="false" ht="15" hidden="false" customHeight="false" outlineLevel="0" collapsed="false">
      <c r="A4" s="1"/>
      <c r="B4" s="1"/>
      <c r="C4" s="1"/>
      <c r="D4" s="1"/>
      <c r="E4" s="1"/>
      <c r="F4" s="1"/>
      <c r="G4" s="1"/>
    </row>
    <row r="5" customFormat="false" ht="15" hidden="false" customHeight="true" outlineLevel="0" collapsed="false">
      <c r="A5" s="1"/>
      <c r="B5" s="4" t="s">
        <v>2</v>
      </c>
      <c r="C5" s="4"/>
      <c r="D5" s="4"/>
      <c r="E5" s="4"/>
      <c r="F5" s="4"/>
      <c r="G5" s="4"/>
    </row>
    <row r="6" customFormat="false" ht="15" hidden="false" customHeight="false" outlineLevel="0" collapsed="false">
      <c r="A6" s="1"/>
      <c r="B6" s="4"/>
      <c r="C6" s="4"/>
      <c r="D6" s="4"/>
      <c r="E6" s="4"/>
      <c r="F6" s="4"/>
      <c r="G6" s="4"/>
    </row>
    <row r="7" customFormat="false" ht="15" hidden="false" customHeight="false" outlineLevel="0" collapsed="false">
      <c r="A7" s="1"/>
      <c r="B7" s="1"/>
      <c r="C7" s="1"/>
      <c r="D7" s="1"/>
      <c r="E7" s="1"/>
      <c r="F7" s="1"/>
      <c r="G7" s="1"/>
    </row>
    <row r="8" customFormat="false" ht="44" hidden="false" customHeight="false" outlineLevel="0" collapsed="false">
      <c r="A8" s="1"/>
      <c r="B8" s="5" t="s">
        <v>3</v>
      </c>
      <c r="C8" s="1"/>
      <c r="D8" s="1"/>
      <c r="E8" s="1"/>
      <c r="F8" s="1"/>
      <c r="G8" s="1"/>
    </row>
    <row r="9" customFormat="false" ht="15" hidden="false" customHeight="true" outlineLevel="0" collapsed="false">
      <c r="A9" s="1"/>
      <c r="B9" s="6" t="s">
        <v>4</v>
      </c>
      <c r="C9" s="6"/>
      <c r="D9" s="6"/>
      <c r="E9" s="6"/>
      <c r="F9" s="6"/>
      <c r="G9" s="6"/>
    </row>
    <row r="10" customFormat="false" ht="15" hidden="false" customHeight="true" outlineLevel="0" collapsed="false">
      <c r="A10" s="1"/>
      <c r="B10" s="6" t="s">
        <v>5</v>
      </c>
      <c r="C10" s="6"/>
      <c r="D10" s="6"/>
      <c r="E10" s="6"/>
      <c r="F10" s="6"/>
      <c r="G10" s="6"/>
    </row>
    <row r="11" customFormat="false" ht="15" hidden="false" customHeight="true" outlineLevel="0" collapsed="false">
      <c r="A11" s="1"/>
      <c r="B11" s="6" t="s">
        <v>6</v>
      </c>
      <c r="C11" s="6"/>
      <c r="D11" s="6"/>
      <c r="E11" s="6"/>
      <c r="F11" s="6"/>
      <c r="G11" s="6"/>
    </row>
    <row r="12" customFormat="false" ht="15" hidden="false" customHeight="true" outlineLevel="0" collapsed="false">
      <c r="A12" s="1"/>
      <c r="B12" s="6" t="s">
        <v>7</v>
      </c>
      <c r="C12" s="6"/>
      <c r="D12" s="6"/>
      <c r="E12" s="6"/>
      <c r="F12" s="6"/>
      <c r="G12" s="6"/>
    </row>
    <row r="13" customFormat="false" ht="15" hidden="false" customHeight="true" outlineLevel="0" collapsed="false">
      <c r="A13" s="1"/>
      <c r="B13" s="6" t="s">
        <v>8</v>
      </c>
      <c r="C13" s="6"/>
      <c r="D13" s="6"/>
      <c r="E13" s="6"/>
      <c r="F13" s="6"/>
      <c r="G13" s="6"/>
    </row>
    <row r="14" customFormat="false" ht="15" hidden="false" customHeight="false" outlineLevel="0" collapsed="false">
      <c r="A14" s="1"/>
      <c r="B14" s="1"/>
      <c r="C14" s="1"/>
      <c r="D14" s="1"/>
      <c r="E14" s="1"/>
      <c r="F14" s="1"/>
      <c r="G14" s="1"/>
    </row>
    <row r="15" customFormat="false" ht="29.85" hidden="false" customHeight="false" outlineLevel="0" collapsed="false">
      <c r="A15" s="1"/>
      <c r="B15" s="5" t="s">
        <v>9</v>
      </c>
      <c r="C15" s="1"/>
      <c r="D15" s="1"/>
      <c r="E15" s="1"/>
      <c r="F15" s="1"/>
      <c r="G15" s="1"/>
    </row>
    <row r="16" customFormat="false" ht="15" hidden="false" customHeight="true" outlineLevel="0" collapsed="false">
      <c r="A16" s="1"/>
      <c r="B16" s="7" t="s">
        <v>10</v>
      </c>
      <c r="C16" s="6" t="s">
        <v>11</v>
      </c>
      <c r="D16" s="6"/>
      <c r="E16" s="6"/>
      <c r="F16" s="6"/>
      <c r="G16" s="6"/>
    </row>
    <row r="17" customFormat="false" ht="15" hidden="false" customHeight="true" outlineLevel="0" collapsed="false">
      <c r="A17" s="1"/>
      <c r="B17" s="8" t="s">
        <v>12</v>
      </c>
      <c r="C17" s="6" t="s">
        <v>13</v>
      </c>
      <c r="D17" s="6"/>
      <c r="E17" s="6"/>
      <c r="F17" s="6"/>
      <c r="G17" s="6"/>
    </row>
    <row r="18" customFormat="false" ht="15" hidden="false" customHeight="true" outlineLevel="0" collapsed="false">
      <c r="A18" s="1"/>
      <c r="B18" s="9" t="s">
        <v>14</v>
      </c>
      <c r="C18" s="6" t="s">
        <v>15</v>
      </c>
      <c r="D18" s="6"/>
      <c r="E18" s="6"/>
      <c r="F18" s="6"/>
      <c r="G18" s="6"/>
    </row>
    <row r="19" customFormat="false" ht="15" hidden="false" customHeight="true" outlineLevel="0" collapsed="false">
      <c r="A19" s="1"/>
      <c r="B19" s="10" t="s">
        <v>16</v>
      </c>
      <c r="C19" s="6" t="s">
        <v>17</v>
      </c>
      <c r="D19" s="6"/>
      <c r="E19" s="6"/>
      <c r="F19" s="6"/>
      <c r="G19" s="6"/>
    </row>
    <row r="20" customFormat="false" ht="15" hidden="false" customHeight="true" outlineLevel="0" collapsed="false">
      <c r="A20" s="1"/>
      <c r="B20" s="10" t="s">
        <v>18</v>
      </c>
      <c r="C20" s="6" t="s">
        <v>19</v>
      </c>
      <c r="D20" s="6"/>
      <c r="E20" s="6"/>
      <c r="F20" s="6"/>
      <c r="G20" s="6"/>
    </row>
    <row r="21" customFormat="false" ht="15" hidden="false" customHeight="false" outlineLevel="0" collapsed="false">
      <c r="A21" s="1"/>
      <c r="B21" s="1"/>
      <c r="C21" s="1"/>
      <c r="D21" s="1"/>
      <c r="E21" s="1"/>
      <c r="F21" s="1"/>
      <c r="G21" s="1"/>
    </row>
    <row r="22" customFormat="false" ht="29.85" hidden="false" customHeight="false" outlineLevel="0" collapsed="false">
      <c r="A22" s="1"/>
      <c r="B22" s="5" t="s">
        <v>20</v>
      </c>
      <c r="C22" s="1"/>
      <c r="D22" s="1"/>
      <c r="E22" s="1"/>
      <c r="F22" s="1"/>
      <c r="G22" s="1"/>
    </row>
    <row r="23" customFormat="false" ht="25.35" hidden="false" customHeight="true" outlineLevel="0" collapsed="false">
      <c r="A23" s="1"/>
      <c r="B23" s="8" t="s">
        <v>21</v>
      </c>
      <c r="C23" s="6" t="s">
        <v>22</v>
      </c>
      <c r="D23" s="6"/>
      <c r="E23" s="6"/>
      <c r="F23" s="6"/>
      <c r="G23" s="6"/>
    </row>
    <row r="24" customFormat="false" ht="25.35" hidden="false" customHeight="true" outlineLevel="0" collapsed="false">
      <c r="A24" s="1"/>
      <c r="B24" s="9" t="s">
        <v>23</v>
      </c>
      <c r="C24" s="6" t="s">
        <v>24</v>
      </c>
      <c r="D24" s="6"/>
      <c r="E24" s="6"/>
      <c r="F24" s="6"/>
      <c r="G24" s="6"/>
    </row>
    <row r="25" customFormat="false" ht="25.35" hidden="false" customHeight="true" outlineLevel="0" collapsed="false">
      <c r="A25" s="1"/>
      <c r="B25" s="11" t="s">
        <v>25</v>
      </c>
      <c r="C25" s="6" t="s">
        <v>26</v>
      </c>
      <c r="D25" s="6"/>
      <c r="E25" s="6"/>
      <c r="F25" s="6"/>
      <c r="G25" s="6"/>
    </row>
    <row r="26" customFormat="false" ht="15" hidden="false" customHeight="false" outlineLevel="0" collapsed="false">
      <c r="A26" s="1"/>
      <c r="B26" s="1"/>
      <c r="C26" s="1"/>
      <c r="D26" s="1"/>
      <c r="E26" s="1"/>
      <c r="F26" s="1"/>
      <c r="G26" s="1"/>
    </row>
    <row r="27" customFormat="false" ht="15" hidden="false" customHeight="false" outlineLevel="0" collapsed="false">
      <c r="A27" s="1"/>
      <c r="B27" s="1"/>
      <c r="C27" s="1"/>
      <c r="D27" s="1"/>
      <c r="E27" s="1"/>
      <c r="F27" s="1"/>
      <c r="G27" s="1"/>
    </row>
    <row r="28" customFormat="false" ht="15" hidden="false" customHeight="false" outlineLevel="0" collapsed="false">
      <c r="A28" s="1"/>
      <c r="B28" s="1"/>
      <c r="C28" s="1"/>
      <c r="D28" s="1"/>
      <c r="E28" s="1"/>
      <c r="F28" s="1"/>
      <c r="G28" s="1"/>
    </row>
    <row r="29" customFormat="false" ht="15" hidden="false" customHeight="false" outlineLevel="0" collapsed="false">
      <c r="A29" s="1"/>
      <c r="B29" s="1"/>
      <c r="C29" s="1"/>
      <c r="D29" s="1"/>
      <c r="E29" s="1"/>
      <c r="F29" s="1"/>
      <c r="G29" s="1"/>
    </row>
    <row r="30" customFormat="false" ht="15" hidden="false" customHeight="false" outlineLevel="0" collapsed="false">
      <c r="A30" s="1"/>
      <c r="B30" s="1"/>
      <c r="C30" s="1"/>
      <c r="D30" s="1"/>
      <c r="E30" s="1"/>
      <c r="F30" s="1"/>
      <c r="G30" s="1"/>
    </row>
    <row r="31" customFormat="false" ht="15" hidden="false" customHeight="false" outlineLevel="0" collapsed="false">
      <c r="A31" s="1"/>
      <c r="B31" s="1"/>
      <c r="C31" s="1"/>
      <c r="D31" s="1"/>
      <c r="E31" s="1"/>
      <c r="F31" s="1"/>
      <c r="G31" s="1"/>
    </row>
    <row r="32" customFormat="false" ht="15" hidden="false" customHeight="false" outlineLevel="0" collapsed="false">
      <c r="A32" s="1"/>
      <c r="B32" s="1"/>
      <c r="C32" s="1"/>
      <c r="D32" s="1"/>
      <c r="E32" s="1"/>
      <c r="F32" s="1"/>
      <c r="G32" s="1"/>
    </row>
    <row r="33" customFormat="false" ht="15" hidden="false" customHeight="false" outlineLevel="0" collapsed="false">
      <c r="A33" s="1"/>
      <c r="B33" s="1"/>
      <c r="C33" s="1"/>
      <c r="D33" s="1"/>
      <c r="E33" s="1"/>
      <c r="F33" s="1"/>
      <c r="G33" s="1"/>
    </row>
    <row r="34" customFormat="false" ht="15" hidden="false" customHeight="false" outlineLevel="0" collapsed="false">
      <c r="A34" s="1"/>
      <c r="B34" s="1"/>
      <c r="C34" s="1"/>
      <c r="D34" s="1"/>
      <c r="E34" s="1"/>
      <c r="F34" s="1"/>
      <c r="G34" s="1"/>
    </row>
    <row r="35" customFormat="false" ht="15" hidden="false" customHeight="false" outlineLevel="0" collapsed="false">
      <c r="A35" s="1"/>
      <c r="B35" s="1"/>
      <c r="C35" s="1"/>
      <c r="D35" s="1"/>
      <c r="E35" s="1"/>
      <c r="F35" s="1"/>
      <c r="G35" s="1"/>
    </row>
    <row r="36" customFormat="false" ht="15" hidden="false" customHeight="false" outlineLevel="0" collapsed="false">
      <c r="A36" s="1"/>
      <c r="B36" s="1"/>
      <c r="C36" s="1"/>
      <c r="D36" s="1"/>
      <c r="E36" s="1"/>
      <c r="F36" s="1"/>
      <c r="G36" s="1"/>
    </row>
    <row r="37" customFormat="false" ht="15" hidden="false" customHeight="false" outlineLevel="0" collapsed="false">
      <c r="A37" s="1"/>
      <c r="B37" s="1"/>
      <c r="C37" s="1"/>
      <c r="D37" s="1"/>
      <c r="E37" s="1"/>
      <c r="F37" s="1"/>
      <c r="G37" s="1"/>
    </row>
    <row r="38" customFormat="false" ht="15" hidden="false" customHeight="false" outlineLevel="0" collapsed="false">
      <c r="A38" s="1"/>
      <c r="B38" s="1"/>
      <c r="C38" s="1"/>
      <c r="D38" s="1"/>
      <c r="E38" s="1"/>
      <c r="F38" s="1"/>
      <c r="G38" s="1"/>
    </row>
    <row r="39" customFormat="false" ht="15" hidden="false" customHeight="false" outlineLevel="0" collapsed="false">
      <c r="A39" s="1"/>
      <c r="B39" s="1"/>
      <c r="C39" s="1"/>
      <c r="D39" s="1"/>
      <c r="E39" s="1"/>
      <c r="F39" s="1"/>
      <c r="G39" s="1"/>
    </row>
    <row r="40" customFormat="false" ht="15" hidden="false" customHeight="false" outlineLevel="0" collapsed="false">
      <c r="A40" s="1"/>
      <c r="B40" s="1"/>
      <c r="C40" s="1"/>
      <c r="D40" s="1"/>
      <c r="E40" s="1"/>
      <c r="F40" s="1"/>
      <c r="G40" s="1"/>
    </row>
    <row r="41" customFormat="false" ht="15" hidden="false" customHeight="false" outlineLevel="0" collapsed="false">
      <c r="A41" s="1"/>
      <c r="B41" s="1"/>
      <c r="C41" s="1"/>
      <c r="D41" s="1"/>
      <c r="E41" s="1"/>
      <c r="F41" s="1"/>
      <c r="G41" s="1"/>
    </row>
    <row r="42" customFormat="false" ht="15" hidden="false" customHeight="false" outlineLevel="0" collapsed="false">
      <c r="A42" s="1"/>
      <c r="B42" s="1"/>
      <c r="C42" s="1"/>
      <c r="D42" s="1"/>
      <c r="E42" s="1"/>
      <c r="F42" s="1"/>
      <c r="G42" s="1"/>
    </row>
    <row r="43" customFormat="false" ht="15" hidden="false" customHeight="false" outlineLevel="0" collapsed="false">
      <c r="A43" s="1"/>
      <c r="B43" s="1"/>
      <c r="C43" s="1"/>
      <c r="D43" s="1"/>
      <c r="E43" s="1"/>
      <c r="F43" s="1"/>
      <c r="G43" s="1"/>
    </row>
    <row r="44" customFormat="false" ht="15" hidden="false" customHeight="false" outlineLevel="0" collapsed="false">
      <c r="A44" s="1"/>
      <c r="B44" s="1"/>
      <c r="C44" s="1"/>
      <c r="D44" s="1"/>
      <c r="E44" s="1"/>
      <c r="F44" s="1"/>
      <c r="G44" s="1"/>
    </row>
    <row r="45" customFormat="false" ht="15" hidden="false" customHeight="false" outlineLevel="0" collapsed="false">
      <c r="A45" s="1"/>
      <c r="B45" s="1"/>
      <c r="C45" s="1"/>
      <c r="D45" s="1"/>
      <c r="E45" s="1"/>
      <c r="F45" s="1"/>
      <c r="G45" s="1"/>
    </row>
    <row r="46" customFormat="false" ht="15" hidden="false" customHeight="false" outlineLevel="0" collapsed="false">
      <c r="A46" s="1"/>
      <c r="B46" s="1"/>
      <c r="C46" s="1"/>
      <c r="D46" s="1"/>
      <c r="E46" s="1"/>
      <c r="F46" s="1"/>
      <c r="G46" s="1"/>
    </row>
    <row r="47" customFormat="false" ht="15" hidden="false" customHeight="false" outlineLevel="0" collapsed="false">
      <c r="A47" s="1"/>
      <c r="B47" s="1"/>
      <c r="C47" s="1"/>
      <c r="D47" s="1"/>
      <c r="E47" s="1"/>
      <c r="F47" s="1"/>
      <c r="G47" s="1"/>
    </row>
    <row r="48" customFormat="false" ht="15" hidden="false" customHeight="false" outlineLevel="0" collapsed="false">
      <c r="A48" s="1"/>
      <c r="B48" s="1"/>
      <c r="C48" s="1"/>
      <c r="D48" s="1"/>
      <c r="E48" s="1"/>
      <c r="F48" s="1"/>
      <c r="G48" s="1"/>
    </row>
    <row r="49" customFormat="false" ht="15" hidden="false" customHeight="false" outlineLevel="0" collapsed="false">
      <c r="A49" s="1"/>
      <c r="B49" s="1"/>
      <c r="C49" s="1"/>
      <c r="D49" s="1"/>
      <c r="E49" s="1"/>
      <c r="F49" s="1"/>
      <c r="G49" s="1"/>
    </row>
    <row r="50" customFormat="false" ht="15" hidden="false" customHeight="false" outlineLevel="0" collapsed="false">
      <c r="A50" s="1"/>
      <c r="B50" s="1"/>
      <c r="C50" s="1"/>
      <c r="D50" s="1"/>
      <c r="E50" s="1"/>
      <c r="F50" s="1"/>
      <c r="G50" s="1"/>
    </row>
    <row r="51" customFormat="false" ht="15" hidden="false" customHeight="false" outlineLevel="0" collapsed="false">
      <c r="A51" s="1"/>
      <c r="B51" s="1"/>
      <c r="C51" s="1"/>
      <c r="D51" s="1"/>
      <c r="E51" s="1"/>
      <c r="F51" s="1"/>
      <c r="G51" s="1"/>
    </row>
  </sheetData>
  <mergeCells count="16">
    <mergeCell ref="B2:G2"/>
    <mergeCell ref="B3:G3"/>
    <mergeCell ref="B5:G6"/>
    <mergeCell ref="B9:G9"/>
    <mergeCell ref="B10:G10"/>
    <mergeCell ref="B11:G11"/>
    <mergeCell ref="B12:G12"/>
    <mergeCell ref="B13:G13"/>
    <mergeCell ref="C16:G16"/>
    <mergeCell ref="C17:G17"/>
    <mergeCell ref="C18:G18"/>
    <mergeCell ref="C19:G19"/>
    <mergeCell ref="C20:G20"/>
    <mergeCell ref="C23:G23"/>
    <mergeCell ref="C24:G24"/>
    <mergeCell ref="C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9"/>
    <col collapsed="false" customWidth="true" hidden="false" outlineLevel="0" max="4" min="4" style="0" width="15"/>
    <col collapsed="false" customWidth="true" hidden="false" outlineLevel="0" max="5" min="5" style="0" width="12"/>
    <col collapsed="false" customWidth="true" hidden="false" outlineLevel="0" max="6" min="6" style="0" width="15"/>
    <col collapsed="false" customWidth="true" hidden="false" outlineLevel="0" max="7" min="7" style="0" width="14"/>
    <col collapsed="false" customWidth="true" hidden="false" outlineLevel="0" max="8" min="8" style="0" width="64"/>
    <col collapsed="false" customWidth="true" hidden="false" outlineLevel="0" max="9" min="9" style="0" width="62"/>
    <col collapsed="false" customWidth="true" hidden="false" outlineLevel="0" max="10" min="10" style="0" width="13"/>
    <col collapsed="false" customWidth="true" hidden="false" outlineLevel="0" max="11" min="11" style="0" width="9"/>
    <col collapsed="false" customWidth="true" hidden="false" outlineLevel="0" max="12" min="12" style="0" width="13"/>
    <col collapsed="false" customWidth="true" hidden="false" outlineLevel="0" max="13" min="13" style="0" width="19"/>
  </cols>
  <sheetData>
    <row r="1" customFormat="false" ht="24" hidden="false" customHeight="true" outlineLevel="0" collapsed="false">
      <c r="A1" s="12" t="s">
        <v>27</v>
      </c>
      <c r="B1" s="12"/>
      <c r="C1" s="12"/>
      <c r="D1" s="12"/>
      <c r="E1" s="12"/>
      <c r="F1" s="12"/>
      <c r="G1" s="12"/>
      <c r="H1" s="12"/>
      <c r="I1" s="12"/>
      <c r="J1" s="12"/>
      <c r="K1" s="12"/>
      <c r="L1" s="12"/>
      <c r="M1" s="12"/>
    </row>
    <row r="2" customFormat="false" ht="42" hidden="false" customHeight="true" outlineLevel="0" collapsed="false">
      <c r="A2" s="13" t="s">
        <v>28</v>
      </c>
      <c r="B2" s="13" t="s">
        <v>29</v>
      </c>
      <c r="C2" s="13" t="s">
        <v>30</v>
      </c>
      <c r="D2" s="13" t="s">
        <v>31</v>
      </c>
      <c r="E2" s="13" t="s">
        <v>32</v>
      </c>
      <c r="F2" s="13" t="s">
        <v>33</v>
      </c>
      <c r="G2" s="13" t="s">
        <v>34</v>
      </c>
      <c r="H2" s="13" t="s">
        <v>35</v>
      </c>
      <c r="I2" s="13" t="s">
        <v>36</v>
      </c>
      <c r="J2" s="13" t="s">
        <v>37</v>
      </c>
      <c r="K2" s="13" t="s">
        <v>38</v>
      </c>
      <c r="L2" s="13" t="s">
        <v>39</v>
      </c>
      <c r="M2" s="13" t="s">
        <v>40</v>
      </c>
    </row>
    <row r="3" customFormat="false" ht="98.25" hidden="false" customHeight="true" outlineLevel="0" collapsed="false">
      <c r="A3" s="14" t="s">
        <v>41</v>
      </c>
      <c r="B3" s="15" t="s">
        <v>42</v>
      </c>
      <c r="C3" s="16" t="s">
        <v>21</v>
      </c>
      <c r="D3" s="17" t="s">
        <v>43</v>
      </c>
      <c r="E3" s="17" t="s">
        <v>44</v>
      </c>
      <c r="F3" s="17" t="s">
        <v>45</v>
      </c>
      <c r="G3" s="18" t="s">
        <v>10</v>
      </c>
      <c r="H3" s="19" t="s">
        <v>46</v>
      </c>
      <c r="I3" s="19" t="s">
        <v>47</v>
      </c>
      <c r="J3" s="17" t="s">
        <v>48</v>
      </c>
      <c r="K3" s="20" t="n">
        <v>4</v>
      </c>
      <c r="L3" s="17" t="s">
        <v>49</v>
      </c>
      <c r="M3" s="21" t="s">
        <v>50</v>
      </c>
    </row>
    <row r="4" customFormat="false" ht="111" hidden="false" customHeight="true" outlineLevel="0" collapsed="false">
      <c r="A4" s="22" t="s">
        <v>51</v>
      </c>
      <c r="B4" s="23" t="s">
        <v>52</v>
      </c>
      <c r="C4" s="24" t="s">
        <v>21</v>
      </c>
      <c r="D4" s="25" t="s">
        <v>43</v>
      </c>
      <c r="E4" s="25" t="s">
        <v>44</v>
      </c>
      <c r="F4" s="25" t="s">
        <v>53</v>
      </c>
      <c r="G4" s="26" t="s">
        <v>10</v>
      </c>
      <c r="H4" s="27" t="s">
        <v>54</v>
      </c>
      <c r="I4" s="27" t="s">
        <v>55</v>
      </c>
      <c r="J4" s="25" t="s">
        <v>56</v>
      </c>
      <c r="K4" s="28" t="n">
        <v>3</v>
      </c>
      <c r="L4" s="25" t="s">
        <v>41</v>
      </c>
      <c r="M4" s="29" t="s">
        <v>50</v>
      </c>
    </row>
    <row r="5" customFormat="false" ht="98.25" hidden="false" customHeight="true" outlineLevel="0" collapsed="false">
      <c r="A5" s="14" t="s">
        <v>57</v>
      </c>
      <c r="B5" s="15" t="s">
        <v>58</v>
      </c>
      <c r="C5" s="16" t="s">
        <v>21</v>
      </c>
      <c r="D5" s="17" t="s">
        <v>43</v>
      </c>
      <c r="E5" s="17" t="s">
        <v>59</v>
      </c>
      <c r="F5" s="17" t="s">
        <v>60</v>
      </c>
      <c r="G5" s="18" t="s">
        <v>10</v>
      </c>
      <c r="H5" s="19" t="s">
        <v>61</v>
      </c>
      <c r="I5" s="19" t="s">
        <v>62</v>
      </c>
      <c r="J5" s="17" t="s">
        <v>56</v>
      </c>
      <c r="K5" s="20" t="n">
        <v>4</v>
      </c>
      <c r="L5" s="17" t="s">
        <v>41</v>
      </c>
      <c r="M5" s="21" t="s">
        <v>50</v>
      </c>
    </row>
    <row r="6" customFormat="false" ht="98.25" hidden="false" customHeight="true" outlineLevel="0" collapsed="false">
      <c r="A6" s="22" t="s">
        <v>63</v>
      </c>
      <c r="B6" s="23" t="s">
        <v>64</v>
      </c>
      <c r="C6" s="24" t="s">
        <v>21</v>
      </c>
      <c r="D6" s="25" t="s">
        <v>43</v>
      </c>
      <c r="E6" s="25" t="s">
        <v>44</v>
      </c>
      <c r="F6" s="25" t="s">
        <v>65</v>
      </c>
      <c r="G6" s="26" t="s">
        <v>10</v>
      </c>
      <c r="H6" s="27" t="s">
        <v>66</v>
      </c>
      <c r="I6" s="27" t="s">
        <v>67</v>
      </c>
      <c r="J6" s="25" t="s">
        <v>56</v>
      </c>
      <c r="K6" s="28" t="n">
        <v>5</v>
      </c>
      <c r="L6" s="25" t="s">
        <v>41</v>
      </c>
      <c r="M6" s="29" t="s">
        <v>50</v>
      </c>
    </row>
    <row r="7" customFormat="false" ht="84.75" hidden="false" customHeight="true" outlineLevel="0" collapsed="false">
      <c r="A7" s="14" t="s">
        <v>68</v>
      </c>
      <c r="B7" s="15" t="s">
        <v>69</v>
      </c>
      <c r="C7" s="16" t="s">
        <v>21</v>
      </c>
      <c r="D7" s="17" t="s">
        <v>43</v>
      </c>
      <c r="E7" s="17" t="s">
        <v>70</v>
      </c>
      <c r="F7" s="17" t="s">
        <v>71</v>
      </c>
      <c r="G7" s="30" t="s">
        <v>12</v>
      </c>
      <c r="H7" s="19" t="s">
        <v>72</v>
      </c>
      <c r="I7" s="19" t="s">
        <v>73</v>
      </c>
      <c r="J7" s="17" t="s">
        <v>56</v>
      </c>
      <c r="K7" s="20" t="n">
        <v>3</v>
      </c>
      <c r="L7" s="17" t="s">
        <v>51</v>
      </c>
      <c r="M7" s="21" t="s">
        <v>50</v>
      </c>
    </row>
    <row r="8" customFormat="false" ht="98.25" hidden="false" customHeight="true" outlineLevel="0" collapsed="false">
      <c r="A8" s="22" t="s">
        <v>74</v>
      </c>
      <c r="B8" s="23" t="s">
        <v>75</v>
      </c>
      <c r="C8" s="24" t="s">
        <v>21</v>
      </c>
      <c r="D8" s="25" t="s">
        <v>43</v>
      </c>
      <c r="E8" s="25" t="s">
        <v>70</v>
      </c>
      <c r="F8" s="25" t="s">
        <v>76</v>
      </c>
      <c r="G8" s="31" t="s">
        <v>12</v>
      </c>
      <c r="H8" s="27" t="s">
        <v>77</v>
      </c>
      <c r="I8" s="27" t="s">
        <v>78</v>
      </c>
      <c r="J8" s="25" t="s">
        <v>56</v>
      </c>
      <c r="K8" s="28" t="n">
        <v>4</v>
      </c>
      <c r="L8" s="25" t="s">
        <v>51</v>
      </c>
      <c r="M8" s="29" t="s">
        <v>50</v>
      </c>
    </row>
    <row r="9" customFormat="false" ht="98.25" hidden="false" customHeight="true" outlineLevel="0" collapsed="false">
      <c r="A9" s="14" t="s">
        <v>79</v>
      </c>
      <c r="B9" s="15" t="s">
        <v>80</v>
      </c>
      <c r="C9" s="16" t="s">
        <v>21</v>
      </c>
      <c r="D9" s="17" t="s">
        <v>43</v>
      </c>
      <c r="E9" s="17" t="s">
        <v>44</v>
      </c>
      <c r="F9" s="17" t="s">
        <v>81</v>
      </c>
      <c r="G9" s="18" t="s">
        <v>10</v>
      </c>
      <c r="H9" s="19" t="s">
        <v>82</v>
      </c>
      <c r="I9" s="19" t="s">
        <v>83</v>
      </c>
      <c r="J9" s="17" t="s">
        <v>56</v>
      </c>
      <c r="K9" s="20" t="n">
        <v>5</v>
      </c>
      <c r="L9" s="17" t="s">
        <v>84</v>
      </c>
      <c r="M9" s="21" t="s">
        <v>50</v>
      </c>
    </row>
    <row r="10" customFormat="false" ht="111" hidden="false" customHeight="true" outlineLevel="0" collapsed="false">
      <c r="A10" s="22" t="s">
        <v>85</v>
      </c>
      <c r="B10" s="23" t="s">
        <v>86</v>
      </c>
      <c r="C10" s="24" t="s">
        <v>21</v>
      </c>
      <c r="D10" s="25" t="s">
        <v>43</v>
      </c>
      <c r="E10" s="25" t="s">
        <v>87</v>
      </c>
      <c r="F10" s="25" t="s">
        <v>88</v>
      </c>
      <c r="G10" s="26" t="s">
        <v>10</v>
      </c>
      <c r="H10" s="27" t="s">
        <v>89</v>
      </c>
      <c r="I10" s="27" t="s">
        <v>90</v>
      </c>
      <c r="J10" s="25" t="s">
        <v>91</v>
      </c>
      <c r="K10" s="28" t="n">
        <v>6</v>
      </c>
      <c r="L10" s="25" t="s">
        <v>79</v>
      </c>
      <c r="M10" s="29" t="s">
        <v>92</v>
      </c>
    </row>
    <row r="11" customFormat="false" ht="84.75" hidden="false" customHeight="true" outlineLevel="0" collapsed="false">
      <c r="A11" s="14" t="s">
        <v>93</v>
      </c>
      <c r="B11" s="15" t="s">
        <v>94</v>
      </c>
      <c r="C11" s="16" t="s">
        <v>21</v>
      </c>
      <c r="D11" s="17" t="s">
        <v>95</v>
      </c>
      <c r="E11" s="17" t="s">
        <v>96</v>
      </c>
      <c r="F11" s="17" t="s">
        <v>97</v>
      </c>
      <c r="G11" s="18" t="s">
        <v>10</v>
      </c>
      <c r="H11" s="19" t="s">
        <v>98</v>
      </c>
      <c r="I11" s="19" t="s">
        <v>99</v>
      </c>
      <c r="J11" s="17" t="s">
        <v>100</v>
      </c>
      <c r="K11" s="20" t="n">
        <v>5</v>
      </c>
      <c r="L11" s="17" t="s">
        <v>85</v>
      </c>
      <c r="M11" s="21" t="s">
        <v>101</v>
      </c>
    </row>
    <row r="12" customFormat="false" ht="84.75" hidden="false" customHeight="true" outlineLevel="0" collapsed="false">
      <c r="A12" s="22" t="s">
        <v>102</v>
      </c>
      <c r="B12" s="23" t="s">
        <v>103</v>
      </c>
      <c r="C12" s="24" t="s">
        <v>21</v>
      </c>
      <c r="D12" s="25" t="s">
        <v>95</v>
      </c>
      <c r="E12" s="25" t="s">
        <v>104</v>
      </c>
      <c r="F12" s="25" t="s">
        <v>105</v>
      </c>
      <c r="G12" s="26" t="s">
        <v>10</v>
      </c>
      <c r="H12" s="27" t="s">
        <v>106</v>
      </c>
      <c r="I12" s="27" t="s">
        <v>107</v>
      </c>
      <c r="J12" s="25" t="s">
        <v>108</v>
      </c>
      <c r="K12" s="28" t="n">
        <v>4</v>
      </c>
      <c r="L12" s="25" t="s">
        <v>93</v>
      </c>
      <c r="M12" s="29" t="s">
        <v>109</v>
      </c>
    </row>
    <row r="13" customFormat="false" ht="72" hidden="false" customHeight="true" outlineLevel="0" collapsed="false">
      <c r="A13" s="14" t="s">
        <v>110</v>
      </c>
      <c r="B13" s="15" t="s">
        <v>111</v>
      </c>
      <c r="C13" s="16" t="s">
        <v>21</v>
      </c>
      <c r="D13" s="17" t="s">
        <v>95</v>
      </c>
      <c r="E13" s="17" t="s">
        <v>87</v>
      </c>
      <c r="F13" s="17" t="s">
        <v>112</v>
      </c>
      <c r="G13" s="18" t="s">
        <v>10</v>
      </c>
      <c r="H13" s="19" t="s">
        <v>113</v>
      </c>
      <c r="I13" s="19" t="s">
        <v>114</v>
      </c>
      <c r="J13" s="17" t="s">
        <v>91</v>
      </c>
      <c r="K13" s="20" t="n">
        <v>3</v>
      </c>
      <c r="L13" s="17" t="s">
        <v>102</v>
      </c>
      <c r="M13" s="21" t="s">
        <v>109</v>
      </c>
    </row>
    <row r="14" customFormat="false" ht="72" hidden="false" customHeight="true" outlineLevel="0" collapsed="false">
      <c r="A14" s="22" t="s">
        <v>115</v>
      </c>
      <c r="B14" s="23" t="s">
        <v>116</v>
      </c>
      <c r="C14" s="24" t="s">
        <v>21</v>
      </c>
      <c r="D14" s="25" t="s">
        <v>95</v>
      </c>
      <c r="E14" s="25" t="s">
        <v>96</v>
      </c>
      <c r="F14" s="25" t="s">
        <v>117</v>
      </c>
      <c r="G14" s="26" t="s">
        <v>10</v>
      </c>
      <c r="H14" s="27" t="s">
        <v>118</v>
      </c>
      <c r="I14" s="27" t="s">
        <v>119</v>
      </c>
      <c r="J14" s="25" t="s">
        <v>100</v>
      </c>
      <c r="K14" s="28" t="n">
        <v>5</v>
      </c>
      <c r="L14" s="25" t="s">
        <v>93</v>
      </c>
      <c r="M14" s="29" t="s">
        <v>120</v>
      </c>
    </row>
    <row r="15" customFormat="false" ht="84.75" hidden="false" customHeight="true" outlineLevel="0" collapsed="false">
      <c r="A15" s="14" t="s">
        <v>121</v>
      </c>
      <c r="B15" s="15" t="s">
        <v>122</v>
      </c>
      <c r="C15" s="16" t="s">
        <v>21</v>
      </c>
      <c r="D15" s="17" t="s">
        <v>95</v>
      </c>
      <c r="E15" s="17" t="s">
        <v>104</v>
      </c>
      <c r="F15" s="17" t="s">
        <v>123</v>
      </c>
      <c r="G15" s="18" t="s">
        <v>10</v>
      </c>
      <c r="H15" s="19" t="s">
        <v>124</v>
      </c>
      <c r="I15" s="19" t="s">
        <v>125</v>
      </c>
      <c r="J15" s="17" t="s">
        <v>108</v>
      </c>
      <c r="K15" s="20" t="n">
        <v>4</v>
      </c>
      <c r="L15" s="17" t="s">
        <v>102</v>
      </c>
      <c r="M15" s="21" t="s">
        <v>126</v>
      </c>
    </row>
    <row r="16" customFormat="false" ht="58.5" hidden="false" customHeight="true" outlineLevel="0" collapsed="false">
      <c r="A16" s="22" t="s">
        <v>127</v>
      </c>
      <c r="B16" s="23" t="s">
        <v>128</v>
      </c>
      <c r="C16" s="24" t="s">
        <v>21</v>
      </c>
      <c r="D16" s="25" t="s">
        <v>95</v>
      </c>
      <c r="E16" s="25" t="s">
        <v>129</v>
      </c>
      <c r="F16" s="25" t="s">
        <v>130</v>
      </c>
      <c r="G16" s="26" t="s">
        <v>10</v>
      </c>
      <c r="H16" s="27" t="s">
        <v>131</v>
      </c>
      <c r="I16" s="27" t="s">
        <v>132</v>
      </c>
      <c r="J16" s="25" t="s">
        <v>108</v>
      </c>
      <c r="K16" s="28" t="n">
        <v>3</v>
      </c>
      <c r="L16" s="25" t="s">
        <v>121</v>
      </c>
      <c r="M16" s="29" t="s">
        <v>133</v>
      </c>
    </row>
    <row r="17" customFormat="false" ht="124.5" hidden="false" customHeight="true" outlineLevel="0" collapsed="false">
      <c r="A17" s="14" t="s">
        <v>134</v>
      </c>
      <c r="B17" s="15" t="s">
        <v>135</v>
      </c>
      <c r="C17" s="16" t="s">
        <v>21</v>
      </c>
      <c r="D17" s="17" t="s">
        <v>95</v>
      </c>
      <c r="E17" s="17" t="s">
        <v>129</v>
      </c>
      <c r="F17" s="17" t="s">
        <v>136</v>
      </c>
      <c r="G17" s="30" t="s">
        <v>12</v>
      </c>
      <c r="H17" s="19" t="s">
        <v>137</v>
      </c>
      <c r="I17" s="19" t="s">
        <v>138</v>
      </c>
      <c r="J17" s="17" t="s">
        <v>56</v>
      </c>
      <c r="K17" s="20" t="n">
        <v>4</v>
      </c>
      <c r="L17" s="17" t="s">
        <v>127</v>
      </c>
      <c r="M17" s="21" t="s">
        <v>139</v>
      </c>
    </row>
    <row r="18" customFormat="false" ht="72" hidden="false" customHeight="true" outlineLevel="0" collapsed="false">
      <c r="A18" s="22" t="s">
        <v>140</v>
      </c>
      <c r="B18" s="23" t="s">
        <v>141</v>
      </c>
      <c r="C18" s="24" t="s">
        <v>21</v>
      </c>
      <c r="D18" s="25" t="s">
        <v>95</v>
      </c>
      <c r="E18" s="25" t="s">
        <v>142</v>
      </c>
      <c r="F18" s="25" t="s">
        <v>143</v>
      </c>
      <c r="G18" s="31" t="s">
        <v>12</v>
      </c>
      <c r="H18" s="27" t="s">
        <v>144</v>
      </c>
      <c r="I18" s="27" t="s">
        <v>145</v>
      </c>
      <c r="J18" s="25" t="s">
        <v>108</v>
      </c>
      <c r="K18" s="28" t="n">
        <v>3</v>
      </c>
      <c r="L18" s="25" t="s">
        <v>146</v>
      </c>
      <c r="M18" s="29" t="s">
        <v>109</v>
      </c>
    </row>
    <row r="19" customFormat="false" ht="72" hidden="false" customHeight="true" outlineLevel="0" collapsed="false">
      <c r="A19" s="14" t="s">
        <v>147</v>
      </c>
      <c r="B19" s="15" t="s">
        <v>148</v>
      </c>
      <c r="C19" s="16" t="s">
        <v>21</v>
      </c>
      <c r="D19" s="17" t="s">
        <v>149</v>
      </c>
      <c r="E19" s="17" t="s">
        <v>150</v>
      </c>
      <c r="F19" s="17" t="s">
        <v>151</v>
      </c>
      <c r="G19" s="30" t="s">
        <v>12</v>
      </c>
      <c r="H19" s="19" t="s">
        <v>152</v>
      </c>
      <c r="I19" s="19" t="s">
        <v>153</v>
      </c>
      <c r="J19" s="17" t="s">
        <v>56</v>
      </c>
      <c r="K19" s="20" t="n">
        <v>3</v>
      </c>
      <c r="L19" s="17" t="s">
        <v>49</v>
      </c>
      <c r="M19" s="21" t="s">
        <v>154</v>
      </c>
    </row>
    <row r="20" customFormat="false" ht="72" hidden="false" customHeight="true" outlineLevel="0" collapsed="false">
      <c r="A20" s="22" t="s">
        <v>155</v>
      </c>
      <c r="B20" s="23" t="s">
        <v>156</v>
      </c>
      <c r="C20" s="24" t="s">
        <v>21</v>
      </c>
      <c r="D20" s="25" t="s">
        <v>149</v>
      </c>
      <c r="E20" s="25" t="s">
        <v>142</v>
      </c>
      <c r="F20" s="25" t="s">
        <v>157</v>
      </c>
      <c r="G20" s="31" t="s">
        <v>12</v>
      </c>
      <c r="H20" s="27" t="s">
        <v>158</v>
      </c>
      <c r="I20" s="27" t="s">
        <v>159</v>
      </c>
      <c r="J20" s="25" t="s">
        <v>56</v>
      </c>
      <c r="K20" s="28" t="n">
        <v>4</v>
      </c>
      <c r="L20" s="25" t="s">
        <v>49</v>
      </c>
      <c r="M20" s="29" t="s">
        <v>160</v>
      </c>
    </row>
    <row r="21" customFormat="false" ht="72" hidden="false" customHeight="true" outlineLevel="0" collapsed="false">
      <c r="A21" s="14" t="s">
        <v>161</v>
      </c>
      <c r="B21" s="15" t="s">
        <v>162</v>
      </c>
      <c r="C21" s="16" t="s">
        <v>21</v>
      </c>
      <c r="D21" s="17" t="s">
        <v>149</v>
      </c>
      <c r="E21" s="17" t="s">
        <v>142</v>
      </c>
      <c r="F21" s="17" t="s">
        <v>163</v>
      </c>
      <c r="G21" s="30" t="s">
        <v>12</v>
      </c>
      <c r="H21" s="19" t="s">
        <v>164</v>
      </c>
      <c r="I21" s="19" t="s">
        <v>165</v>
      </c>
      <c r="J21" s="17" t="s">
        <v>56</v>
      </c>
      <c r="K21" s="20" t="n">
        <v>2</v>
      </c>
      <c r="L21" s="17" t="s">
        <v>49</v>
      </c>
      <c r="M21" s="21" t="s">
        <v>160</v>
      </c>
    </row>
    <row r="22" customFormat="false" ht="58.5" hidden="false" customHeight="true" outlineLevel="0" collapsed="false">
      <c r="A22" s="22" t="s">
        <v>166</v>
      </c>
      <c r="B22" s="23" t="s">
        <v>167</v>
      </c>
      <c r="C22" s="24" t="s">
        <v>21</v>
      </c>
      <c r="D22" s="25" t="s">
        <v>149</v>
      </c>
      <c r="E22" s="25" t="s">
        <v>150</v>
      </c>
      <c r="F22" s="25" t="s">
        <v>168</v>
      </c>
      <c r="G22" s="32" t="s">
        <v>14</v>
      </c>
      <c r="H22" s="27" t="s">
        <v>169</v>
      </c>
      <c r="I22" s="27" t="s">
        <v>170</v>
      </c>
      <c r="J22" s="25" t="s">
        <v>56</v>
      </c>
      <c r="K22" s="28" t="n">
        <v>3</v>
      </c>
      <c r="L22" s="25" t="s">
        <v>110</v>
      </c>
      <c r="M22" s="29" t="s">
        <v>160</v>
      </c>
    </row>
    <row r="23" customFormat="false" ht="111" hidden="false" customHeight="true" outlineLevel="0" collapsed="false">
      <c r="A23" s="14" t="s">
        <v>171</v>
      </c>
      <c r="B23" s="15" t="s">
        <v>172</v>
      </c>
      <c r="C23" s="16" t="s">
        <v>21</v>
      </c>
      <c r="D23" s="17" t="s">
        <v>149</v>
      </c>
      <c r="E23" s="17" t="s">
        <v>142</v>
      </c>
      <c r="F23" s="17" t="s">
        <v>173</v>
      </c>
      <c r="G23" s="30" t="s">
        <v>12</v>
      </c>
      <c r="H23" s="19" t="s">
        <v>174</v>
      </c>
      <c r="I23" s="19" t="s">
        <v>175</v>
      </c>
      <c r="J23" s="17" t="s">
        <v>56</v>
      </c>
      <c r="K23" s="20" t="n">
        <v>2</v>
      </c>
      <c r="L23" s="17" t="s">
        <v>49</v>
      </c>
      <c r="M23" s="21" t="s">
        <v>176</v>
      </c>
    </row>
    <row r="24" customFormat="false" ht="111" hidden="false" customHeight="true" outlineLevel="0" collapsed="false">
      <c r="A24" s="22" t="s">
        <v>177</v>
      </c>
      <c r="B24" s="23" t="s">
        <v>178</v>
      </c>
      <c r="C24" s="24" t="s">
        <v>21</v>
      </c>
      <c r="D24" s="25" t="s">
        <v>149</v>
      </c>
      <c r="E24" s="25" t="s">
        <v>142</v>
      </c>
      <c r="F24" s="25" t="s">
        <v>179</v>
      </c>
      <c r="G24" s="31" t="s">
        <v>12</v>
      </c>
      <c r="H24" s="27" t="s">
        <v>180</v>
      </c>
      <c r="I24" s="27" t="s">
        <v>181</v>
      </c>
      <c r="J24" s="25" t="s">
        <v>56</v>
      </c>
      <c r="K24" s="28" t="n">
        <v>2</v>
      </c>
      <c r="L24" s="25" t="s">
        <v>49</v>
      </c>
      <c r="M24" s="29" t="s">
        <v>182</v>
      </c>
    </row>
    <row r="25" customFormat="false" ht="72" hidden="false" customHeight="true" outlineLevel="0" collapsed="false">
      <c r="A25" s="14" t="s">
        <v>183</v>
      </c>
      <c r="B25" s="15" t="s">
        <v>184</v>
      </c>
      <c r="C25" s="16" t="s">
        <v>21</v>
      </c>
      <c r="D25" s="17" t="s">
        <v>149</v>
      </c>
      <c r="E25" s="17" t="s">
        <v>150</v>
      </c>
      <c r="F25" s="17" t="s">
        <v>185</v>
      </c>
      <c r="G25" s="13" t="s">
        <v>14</v>
      </c>
      <c r="H25" s="19" t="s">
        <v>186</v>
      </c>
      <c r="I25" s="19" t="s">
        <v>187</v>
      </c>
      <c r="J25" s="17" t="s">
        <v>108</v>
      </c>
      <c r="K25" s="20" t="n">
        <v>3</v>
      </c>
      <c r="L25" s="17" t="s">
        <v>147</v>
      </c>
      <c r="M25" s="21" t="s">
        <v>188</v>
      </c>
    </row>
    <row r="26" customFormat="false" ht="72" hidden="false" customHeight="true" outlineLevel="0" collapsed="false">
      <c r="A26" s="22" t="s">
        <v>189</v>
      </c>
      <c r="B26" s="23" t="s">
        <v>190</v>
      </c>
      <c r="C26" s="24" t="s">
        <v>21</v>
      </c>
      <c r="D26" s="25" t="s">
        <v>149</v>
      </c>
      <c r="E26" s="25" t="s">
        <v>150</v>
      </c>
      <c r="F26" s="25" t="s">
        <v>191</v>
      </c>
      <c r="G26" s="32" t="s">
        <v>14</v>
      </c>
      <c r="H26" s="27" t="s">
        <v>192</v>
      </c>
      <c r="I26" s="27" t="s">
        <v>193</v>
      </c>
      <c r="J26" s="25" t="s">
        <v>56</v>
      </c>
      <c r="K26" s="28" t="n">
        <v>2</v>
      </c>
      <c r="L26" s="25" t="s">
        <v>166</v>
      </c>
      <c r="M26" s="29" t="s">
        <v>194</v>
      </c>
    </row>
    <row r="27" customFormat="false" ht="72" hidden="false" customHeight="true" outlineLevel="0" collapsed="false">
      <c r="A27" s="14" t="s">
        <v>195</v>
      </c>
      <c r="B27" s="15" t="s">
        <v>196</v>
      </c>
      <c r="C27" s="33" t="s">
        <v>23</v>
      </c>
      <c r="D27" s="17" t="s">
        <v>197</v>
      </c>
      <c r="E27" s="17" t="s">
        <v>87</v>
      </c>
      <c r="F27" s="17" t="s">
        <v>198</v>
      </c>
      <c r="G27" s="18" t="s">
        <v>10</v>
      </c>
      <c r="H27" s="19" t="s">
        <v>199</v>
      </c>
      <c r="I27" s="19" t="s">
        <v>200</v>
      </c>
      <c r="J27" s="17" t="s">
        <v>91</v>
      </c>
      <c r="K27" s="20" t="n">
        <v>10</v>
      </c>
      <c r="L27" s="17" t="s">
        <v>85</v>
      </c>
      <c r="M27" s="21" t="s">
        <v>201</v>
      </c>
    </row>
    <row r="28" customFormat="false" ht="72" hidden="false" customHeight="true" outlineLevel="0" collapsed="false">
      <c r="A28" s="22" t="s">
        <v>202</v>
      </c>
      <c r="B28" s="23" t="s">
        <v>203</v>
      </c>
      <c r="C28" s="34" t="s">
        <v>23</v>
      </c>
      <c r="D28" s="25" t="s">
        <v>197</v>
      </c>
      <c r="E28" s="25" t="s">
        <v>150</v>
      </c>
      <c r="F28" s="25" t="s">
        <v>204</v>
      </c>
      <c r="G28" s="26" t="s">
        <v>10</v>
      </c>
      <c r="H28" s="27" t="s">
        <v>205</v>
      </c>
      <c r="I28" s="27" t="s">
        <v>206</v>
      </c>
      <c r="J28" s="25" t="s">
        <v>56</v>
      </c>
      <c r="K28" s="28" t="n">
        <v>8</v>
      </c>
      <c r="L28" s="25" t="s">
        <v>183</v>
      </c>
      <c r="M28" s="29" t="s">
        <v>207</v>
      </c>
    </row>
    <row r="29" customFormat="false" ht="84.75" hidden="false" customHeight="true" outlineLevel="0" collapsed="false">
      <c r="A29" s="14" t="s">
        <v>208</v>
      </c>
      <c r="B29" s="15" t="s">
        <v>209</v>
      </c>
      <c r="C29" s="33" t="s">
        <v>23</v>
      </c>
      <c r="D29" s="17" t="s">
        <v>197</v>
      </c>
      <c r="E29" s="17" t="s">
        <v>150</v>
      </c>
      <c r="F29" s="17" t="s">
        <v>204</v>
      </c>
      <c r="G29" s="35" t="s">
        <v>18</v>
      </c>
      <c r="H29" s="19" t="s">
        <v>210</v>
      </c>
      <c r="I29" s="19" t="s">
        <v>211</v>
      </c>
      <c r="J29" s="17" t="s">
        <v>56</v>
      </c>
      <c r="K29" s="20" t="n">
        <v>7</v>
      </c>
      <c r="L29" s="17" t="s">
        <v>202</v>
      </c>
      <c r="M29" s="21" t="s">
        <v>207</v>
      </c>
    </row>
    <row r="30" customFormat="false" ht="58.5" hidden="false" customHeight="true" outlineLevel="0" collapsed="false">
      <c r="A30" s="22" t="s">
        <v>212</v>
      </c>
      <c r="B30" s="23" t="s">
        <v>213</v>
      </c>
      <c r="C30" s="34" t="s">
        <v>23</v>
      </c>
      <c r="D30" s="25" t="s">
        <v>197</v>
      </c>
      <c r="E30" s="25" t="s">
        <v>150</v>
      </c>
      <c r="F30" s="25" t="s">
        <v>204</v>
      </c>
      <c r="G30" s="36" t="s">
        <v>18</v>
      </c>
      <c r="H30" s="27" t="s">
        <v>214</v>
      </c>
      <c r="I30" s="27" t="s">
        <v>215</v>
      </c>
      <c r="J30" s="25" t="s">
        <v>56</v>
      </c>
      <c r="K30" s="28" t="n">
        <v>7</v>
      </c>
      <c r="L30" s="25" t="s">
        <v>208</v>
      </c>
      <c r="M30" s="29" t="s">
        <v>207</v>
      </c>
    </row>
    <row r="31" customFormat="false" ht="58.5" hidden="false" customHeight="true" outlineLevel="0" collapsed="false">
      <c r="A31" s="14" t="s">
        <v>216</v>
      </c>
      <c r="B31" s="15" t="s">
        <v>217</v>
      </c>
      <c r="C31" s="33" t="s">
        <v>23</v>
      </c>
      <c r="D31" s="17" t="s">
        <v>197</v>
      </c>
      <c r="E31" s="17" t="s">
        <v>104</v>
      </c>
      <c r="F31" s="17" t="s">
        <v>151</v>
      </c>
      <c r="G31" s="13" t="s">
        <v>14</v>
      </c>
      <c r="H31" s="19" t="s">
        <v>218</v>
      </c>
      <c r="I31" s="19" t="s">
        <v>219</v>
      </c>
      <c r="J31" s="17" t="s">
        <v>56</v>
      </c>
      <c r="K31" s="20" t="n">
        <v>6</v>
      </c>
      <c r="L31" s="17" t="s">
        <v>147</v>
      </c>
      <c r="M31" s="21" t="s">
        <v>201</v>
      </c>
    </row>
    <row r="32" customFormat="false" ht="58.5" hidden="false" customHeight="true" outlineLevel="0" collapsed="false">
      <c r="A32" s="22" t="s">
        <v>220</v>
      </c>
      <c r="B32" s="23" t="s">
        <v>221</v>
      </c>
      <c r="C32" s="34" t="s">
        <v>23</v>
      </c>
      <c r="D32" s="25" t="s">
        <v>197</v>
      </c>
      <c r="E32" s="25" t="s">
        <v>87</v>
      </c>
      <c r="F32" s="25" t="s">
        <v>222</v>
      </c>
      <c r="G32" s="31" t="s">
        <v>12</v>
      </c>
      <c r="H32" s="27" t="s">
        <v>223</v>
      </c>
      <c r="I32" s="27" t="s">
        <v>224</v>
      </c>
      <c r="J32" s="25" t="s">
        <v>91</v>
      </c>
      <c r="K32" s="28" t="n">
        <v>8</v>
      </c>
      <c r="L32" s="25" t="s">
        <v>195</v>
      </c>
      <c r="M32" s="29" t="s">
        <v>225</v>
      </c>
    </row>
    <row r="33" customFormat="false" ht="58.5" hidden="false" customHeight="true" outlineLevel="0" collapsed="false">
      <c r="A33" s="14" t="s">
        <v>226</v>
      </c>
      <c r="B33" s="15" t="s">
        <v>227</v>
      </c>
      <c r="C33" s="33" t="s">
        <v>23</v>
      </c>
      <c r="D33" s="17" t="s">
        <v>197</v>
      </c>
      <c r="E33" s="17" t="s">
        <v>87</v>
      </c>
      <c r="F33" s="17" t="s">
        <v>228</v>
      </c>
      <c r="G33" s="13" t="s">
        <v>14</v>
      </c>
      <c r="H33" s="19" t="s">
        <v>229</v>
      </c>
      <c r="I33" s="19" t="s">
        <v>230</v>
      </c>
      <c r="J33" s="17" t="s">
        <v>91</v>
      </c>
      <c r="K33" s="20" t="n">
        <v>6</v>
      </c>
      <c r="L33" s="17" t="s">
        <v>220</v>
      </c>
      <c r="M33" s="21" t="s">
        <v>231</v>
      </c>
    </row>
    <row r="34" customFormat="false" ht="58.5" hidden="false" customHeight="true" outlineLevel="0" collapsed="false">
      <c r="A34" s="22" t="s">
        <v>232</v>
      </c>
      <c r="B34" s="23" t="s">
        <v>233</v>
      </c>
      <c r="C34" s="34" t="s">
        <v>23</v>
      </c>
      <c r="D34" s="25" t="s">
        <v>197</v>
      </c>
      <c r="E34" s="25" t="s">
        <v>104</v>
      </c>
      <c r="F34" s="25" t="s">
        <v>234</v>
      </c>
      <c r="G34" s="31" t="s">
        <v>12</v>
      </c>
      <c r="H34" s="27" t="s">
        <v>235</v>
      </c>
      <c r="I34" s="27" t="s">
        <v>236</v>
      </c>
      <c r="J34" s="25" t="s">
        <v>108</v>
      </c>
      <c r="K34" s="28" t="n">
        <v>7</v>
      </c>
      <c r="L34" s="25" t="s">
        <v>195</v>
      </c>
      <c r="M34" s="29" t="s">
        <v>237</v>
      </c>
    </row>
    <row r="35" customFormat="false" ht="58.5" hidden="false" customHeight="true" outlineLevel="0" collapsed="false">
      <c r="A35" s="14" t="s">
        <v>238</v>
      </c>
      <c r="B35" s="15" t="s">
        <v>239</v>
      </c>
      <c r="C35" s="33" t="s">
        <v>23</v>
      </c>
      <c r="D35" s="17" t="s">
        <v>197</v>
      </c>
      <c r="E35" s="17" t="s">
        <v>129</v>
      </c>
      <c r="F35" s="17" t="s">
        <v>240</v>
      </c>
      <c r="G35" s="30" t="s">
        <v>12</v>
      </c>
      <c r="H35" s="19" t="s">
        <v>241</v>
      </c>
      <c r="I35" s="19" t="s">
        <v>242</v>
      </c>
      <c r="J35" s="17" t="s">
        <v>108</v>
      </c>
      <c r="K35" s="20" t="n">
        <v>7</v>
      </c>
      <c r="L35" s="17" t="s">
        <v>195</v>
      </c>
      <c r="M35" s="21" t="s">
        <v>243</v>
      </c>
    </row>
    <row r="36" customFormat="false" ht="72" hidden="false" customHeight="true" outlineLevel="0" collapsed="false">
      <c r="A36" s="22" t="s">
        <v>244</v>
      </c>
      <c r="B36" s="23" t="s">
        <v>245</v>
      </c>
      <c r="C36" s="34" t="s">
        <v>23</v>
      </c>
      <c r="D36" s="25" t="s">
        <v>197</v>
      </c>
      <c r="E36" s="25" t="s">
        <v>87</v>
      </c>
      <c r="F36" s="25" t="s">
        <v>246</v>
      </c>
      <c r="G36" s="32" t="s">
        <v>14</v>
      </c>
      <c r="H36" s="27" t="s">
        <v>247</v>
      </c>
      <c r="I36" s="27" t="s">
        <v>248</v>
      </c>
      <c r="J36" s="25" t="s">
        <v>91</v>
      </c>
      <c r="K36" s="28" t="n">
        <v>8</v>
      </c>
      <c r="L36" s="25" t="s">
        <v>195</v>
      </c>
      <c r="M36" s="29" t="s">
        <v>249</v>
      </c>
    </row>
    <row r="37" customFormat="false" ht="58.5" hidden="false" customHeight="true" outlineLevel="0" collapsed="false">
      <c r="A37" s="14" t="s">
        <v>250</v>
      </c>
      <c r="B37" s="15" t="s">
        <v>251</v>
      </c>
      <c r="C37" s="33" t="s">
        <v>23</v>
      </c>
      <c r="D37" s="17" t="s">
        <v>197</v>
      </c>
      <c r="E37" s="17" t="s">
        <v>96</v>
      </c>
      <c r="F37" s="17" t="s">
        <v>117</v>
      </c>
      <c r="G37" s="13" t="s">
        <v>14</v>
      </c>
      <c r="H37" s="19" t="s">
        <v>252</v>
      </c>
      <c r="I37" s="19" t="s">
        <v>253</v>
      </c>
      <c r="J37" s="17" t="s">
        <v>48</v>
      </c>
      <c r="K37" s="20" t="n">
        <v>6</v>
      </c>
      <c r="L37" s="17" t="s">
        <v>226</v>
      </c>
      <c r="M37" s="21" t="s">
        <v>254</v>
      </c>
    </row>
    <row r="38" customFormat="false" ht="72" hidden="false" customHeight="true" outlineLevel="0" collapsed="false">
      <c r="A38" s="22" t="s">
        <v>255</v>
      </c>
      <c r="B38" s="23" t="s">
        <v>256</v>
      </c>
      <c r="C38" s="34" t="s">
        <v>23</v>
      </c>
      <c r="D38" s="25" t="s">
        <v>197</v>
      </c>
      <c r="E38" s="25" t="s">
        <v>44</v>
      </c>
      <c r="F38" s="25" t="s">
        <v>45</v>
      </c>
      <c r="G38" s="32" t="s">
        <v>14</v>
      </c>
      <c r="H38" s="27" t="s">
        <v>257</v>
      </c>
      <c r="I38" s="27" t="s">
        <v>258</v>
      </c>
      <c r="J38" s="25" t="s">
        <v>259</v>
      </c>
      <c r="K38" s="28" t="n">
        <v>5</v>
      </c>
      <c r="L38" s="25" t="s">
        <v>41</v>
      </c>
      <c r="M38" s="29" t="s">
        <v>260</v>
      </c>
    </row>
    <row r="39" customFormat="false" ht="58.5" hidden="false" customHeight="true" outlineLevel="0" collapsed="false">
      <c r="A39" s="14" t="s">
        <v>261</v>
      </c>
      <c r="B39" s="15" t="s">
        <v>262</v>
      </c>
      <c r="C39" s="33" t="s">
        <v>23</v>
      </c>
      <c r="D39" s="17" t="s">
        <v>263</v>
      </c>
      <c r="E39" s="17" t="s">
        <v>87</v>
      </c>
      <c r="F39" s="17" t="s">
        <v>264</v>
      </c>
      <c r="G39" s="30" t="s">
        <v>12</v>
      </c>
      <c r="H39" s="19" t="s">
        <v>265</v>
      </c>
      <c r="I39" s="19" t="s">
        <v>266</v>
      </c>
      <c r="J39" s="17" t="s">
        <v>91</v>
      </c>
      <c r="K39" s="20" t="n">
        <v>6</v>
      </c>
      <c r="L39" s="17" t="s">
        <v>195</v>
      </c>
      <c r="M39" s="21" t="s">
        <v>267</v>
      </c>
    </row>
    <row r="40" customFormat="false" ht="72" hidden="false" customHeight="true" outlineLevel="0" collapsed="false">
      <c r="A40" s="22" t="s">
        <v>268</v>
      </c>
      <c r="B40" s="23" t="s">
        <v>269</v>
      </c>
      <c r="C40" s="34" t="s">
        <v>23</v>
      </c>
      <c r="D40" s="25" t="s">
        <v>263</v>
      </c>
      <c r="E40" s="25" t="s">
        <v>87</v>
      </c>
      <c r="F40" s="25" t="s">
        <v>270</v>
      </c>
      <c r="G40" s="32" t="s">
        <v>14</v>
      </c>
      <c r="H40" s="27" t="s">
        <v>271</v>
      </c>
      <c r="I40" s="27" t="s">
        <v>272</v>
      </c>
      <c r="J40" s="25" t="s">
        <v>91</v>
      </c>
      <c r="K40" s="28" t="n">
        <v>8</v>
      </c>
      <c r="L40" s="25" t="s">
        <v>261</v>
      </c>
      <c r="M40" s="29" t="s">
        <v>267</v>
      </c>
    </row>
    <row r="41" customFormat="false" ht="72" hidden="false" customHeight="true" outlineLevel="0" collapsed="false">
      <c r="A41" s="14" t="s">
        <v>273</v>
      </c>
      <c r="B41" s="15" t="s">
        <v>274</v>
      </c>
      <c r="C41" s="33" t="s">
        <v>23</v>
      </c>
      <c r="D41" s="17" t="s">
        <v>263</v>
      </c>
      <c r="E41" s="17" t="s">
        <v>87</v>
      </c>
      <c r="F41" s="17" t="s">
        <v>275</v>
      </c>
      <c r="G41" s="13" t="s">
        <v>14</v>
      </c>
      <c r="H41" s="19" t="s">
        <v>276</v>
      </c>
      <c r="I41" s="19" t="s">
        <v>277</v>
      </c>
      <c r="J41" s="17" t="s">
        <v>56</v>
      </c>
      <c r="K41" s="20" t="n">
        <v>10</v>
      </c>
      <c r="L41" s="17" t="s">
        <v>261</v>
      </c>
      <c r="M41" s="21" t="s">
        <v>267</v>
      </c>
    </row>
    <row r="42" customFormat="false" ht="45" hidden="false" customHeight="true" outlineLevel="0" collapsed="false">
      <c r="A42" s="22" t="s">
        <v>278</v>
      </c>
      <c r="B42" s="23" t="s">
        <v>279</v>
      </c>
      <c r="C42" s="34" t="s">
        <v>23</v>
      </c>
      <c r="D42" s="25" t="s">
        <v>263</v>
      </c>
      <c r="E42" s="25" t="s">
        <v>87</v>
      </c>
      <c r="F42" s="25" t="s">
        <v>280</v>
      </c>
      <c r="G42" s="36" t="s">
        <v>16</v>
      </c>
      <c r="H42" s="27" t="s">
        <v>281</v>
      </c>
      <c r="I42" s="27" t="s">
        <v>282</v>
      </c>
      <c r="J42" s="25" t="s">
        <v>56</v>
      </c>
      <c r="K42" s="28" t="n">
        <v>5</v>
      </c>
      <c r="L42" s="25" t="s">
        <v>261</v>
      </c>
      <c r="M42" s="29" t="s">
        <v>267</v>
      </c>
    </row>
    <row r="43" customFormat="false" ht="58.5" hidden="false" customHeight="true" outlineLevel="0" collapsed="false">
      <c r="A43" s="14" t="s">
        <v>283</v>
      </c>
      <c r="B43" s="15" t="s">
        <v>284</v>
      </c>
      <c r="C43" s="33" t="s">
        <v>23</v>
      </c>
      <c r="D43" s="17" t="s">
        <v>263</v>
      </c>
      <c r="E43" s="17" t="s">
        <v>87</v>
      </c>
      <c r="F43" s="17" t="s">
        <v>112</v>
      </c>
      <c r="G43" s="30" t="s">
        <v>12</v>
      </c>
      <c r="H43" s="19" t="s">
        <v>285</v>
      </c>
      <c r="I43" s="19" t="s">
        <v>286</v>
      </c>
      <c r="J43" s="17" t="s">
        <v>91</v>
      </c>
      <c r="K43" s="20" t="n">
        <v>4</v>
      </c>
      <c r="L43" s="17" t="s">
        <v>287</v>
      </c>
      <c r="M43" s="21" t="s">
        <v>267</v>
      </c>
    </row>
    <row r="44" customFormat="false" ht="58.5" hidden="false" customHeight="true" outlineLevel="0" collapsed="false">
      <c r="A44" s="22" t="s">
        <v>288</v>
      </c>
      <c r="B44" s="23" t="s">
        <v>289</v>
      </c>
      <c r="C44" s="34" t="s">
        <v>23</v>
      </c>
      <c r="D44" s="25" t="s">
        <v>263</v>
      </c>
      <c r="E44" s="25" t="s">
        <v>142</v>
      </c>
      <c r="F44" s="25" t="s">
        <v>290</v>
      </c>
      <c r="G44" s="32" t="s">
        <v>14</v>
      </c>
      <c r="H44" s="27" t="s">
        <v>291</v>
      </c>
      <c r="I44" s="27" t="s">
        <v>292</v>
      </c>
      <c r="J44" s="25" t="s">
        <v>56</v>
      </c>
      <c r="K44" s="28" t="n">
        <v>8</v>
      </c>
      <c r="L44" s="25" t="s">
        <v>195</v>
      </c>
      <c r="M44" s="29" t="s">
        <v>267</v>
      </c>
    </row>
    <row r="45" customFormat="false" ht="72" hidden="false" customHeight="true" outlineLevel="0" collapsed="false">
      <c r="A45" s="14" t="s">
        <v>293</v>
      </c>
      <c r="B45" s="15" t="s">
        <v>294</v>
      </c>
      <c r="C45" s="33" t="s">
        <v>23</v>
      </c>
      <c r="D45" s="17" t="s">
        <v>263</v>
      </c>
      <c r="E45" s="17" t="s">
        <v>142</v>
      </c>
      <c r="F45" s="17" t="s">
        <v>295</v>
      </c>
      <c r="G45" s="13" t="s">
        <v>14</v>
      </c>
      <c r="H45" s="19" t="s">
        <v>296</v>
      </c>
      <c r="I45" s="19" t="s">
        <v>297</v>
      </c>
      <c r="J45" s="17" t="s">
        <v>56</v>
      </c>
      <c r="K45" s="20" t="n">
        <v>6</v>
      </c>
      <c r="L45" s="17" t="s">
        <v>195</v>
      </c>
      <c r="M45" s="21" t="s">
        <v>298</v>
      </c>
    </row>
    <row r="46" customFormat="false" ht="58.5" hidden="false" customHeight="true" outlineLevel="0" collapsed="false">
      <c r="A46" s="22" t="s">
        <v>299</v>
      </c>
      <c r="B46" s="23" t="s">
        <v>300</v>
      </c>
      <c r="C46" s="34" t="s">
        <v>23</v>
      </c>
      <c r="D46" s="25" t="s">
        <v>263</v>
      </c>
      <c r="E46" s="25" t="s">
        <v>142</v>
      </c>
      <c r="F46" s="25" t="s">
        <v>301</v>
      </c>
      <c r="G46" s="32" t="s">
        <v>14</v>
      </c>
      <c r="H46" s="27" t="s">
        <v>302</v>
      </c>
      <c r="I46" s="27" t="s">
        <v>303</v>
      </c>
      <c r="J46" s="25" t="s">
        <v>56</v>
      </c>
      <c r="K46" s="28" t="n">
        <v>6</v>
      </c>
      <c r="L46" s="25" t="s">
        <v>255</v>
      </c>
      <c r="M46" s="29" t="s">
        <v>304</v>
      </c>
    </row>
    <row r="47" customFormat="false" ht="58.5" hidden="false" customHeight="true" outlineLevel="0" collapsed="false">
      <c r="A47" s="14" t="s">
        <v>305</v>
      </c>
      <c r="B47" s="15" t="s">
        <v>306</v>
      </c>
      <c r="C47" s="33" t="s">
        <v>23</v>
      </c>
      <c r="D47" s="17" t="s">
        <v>263</v>
      </c>
      <c r="E47" s="17" t="s">
        <v>142</v>
      </c>
      <c r="F47" s="17" t="s">
        <v>307</v>
      </c>
      <c r="G47" s="35" t="s">
        <v>16</v>
      </c>
      <c r="H47" s="19" t="s">
        <v>308</v>
      </c>
      <c r="I47" s="19" t="s">
        <v>309</v>
      </c>
      <c r="J47" s="17" t="s">
        <v>56</v>
      </c>
      <c r="K47" s="20" t="n">
        <v>4</v>
      </c>
      <c r="L47" s="17" t="s">
        <v>195</v>
      </c>
      <c r="M47" s="21" t="s">
        <v>267</v>
      </c>
    </row>
    <row r="48" customFormat="false" ht="58.5" hidden="false" customHeight="true" outlineLevel="0" collapsed="false">
      <c r="A48" s="22" t="s">
        <v>310</v>
      </c>
      <c r="B48" s="23" t="s">
        <v>311</v>
      </c>
      <c r="C48" s="34" t="s">
        <v>23</v>
      </c>
      <c r="D48" s="25" t="s">
        <v>263</v>
      </c>
      <c r="E48" s="25" t="s">
        <v>59</v>
      </c>
      <c r="F48" s="25" t="s">
        <v>312</v>
      </c>
      <c r="G48" s="32" t="s">
        <v>14</v>
      </c>
      <c r="H48" s="27" t="s">
        <v>313</v>
      </c>
      <c r="I48" s="27" t="s">
        <v>314</v>
      </c>
      <c r="J48" s="25" t="s">
        <v>108</v>
      </c>
      <c r="K48" s="28" t="n">
        <v>6</v>
      </c>
      <c r="L48" s="25" t="s">
        <v>63</v>
      </c>
      <c r="M48" s="29" t="s">
        <v>267</v>
      </c>
    </row>
    <row r="49" customFormat="false" ht="58.5" hidden="false" customHeight="true" outlineLevel="0" collapsed="false">
      <c r="A49" s="14" t="s">
        <v>315</v>
      </c>
      <c r="B49" s="15" t="s">
        <v>316</v>
      </c>
      <c r="C49" s="33" t="s">
        <v>23</v>
      </c>
      <c r="D49" s="17" t="s">
        <v>317</v>
      </c>
      <c r="E49" s="17" t="s">
        <v>142</v>
      </c>
      <c r="F49" s="17" t="s">
        <v>318</v>
      </c>
      <c r="G49" s="30" t="s">
        <v>12</v>
      </c>
      <c r="H49" s="19" t="s">
        <v>319</v>
      </c>
      <c r="I49" s="19" t="s">
        <v>320</v>
      </c>
      <c r="J49" s="17" t="s">
        <v>56</v>
      </c>
      <c r="K49" s="20" t="n">
        <v>8</v>
      </c>
      <c r="L49" s="17" t="s">
        <v>49</v>
      </c>
      <c r="M49" s="21" t="s">
        <v>321</v>
      </c>
    </row>
    <row r="50" customFormat="false" ht="45" hidden="false" customHeight="true" outlineLevel="0" collapsed="false">
      <c r="A50" s="22" t="s">
        <v>322</v>
      </c>
      <c r="B50" s="23" t="s">
        <v>323</v>
      </c>
      <c r="C50" s="34" t="s">
        <v>23</v>
      </c>
      <c r="D50" s="25" t="s">
        <v>317</v>
      </c>
      <c r="E50" s="25" t="s">
        <v>150</v>
      </c>
      <c r="F50" s="25" t="s">
        <v>324</v>
      </c>
      <c r="G50" s="32" t="s">
        <v>14</v>
      </c>
      <c r="H50" s="27" t="s">
        <v>325</v>
      </c>
      <c r="I50" s="27" t="s">
        <v>326</v>
      </c>
      <c r="J50" s="25" t="s">
        <v>56</v>
      </c>
      <c r="K50" s="28" t="n">
        <v>4</v>
      </c>
      <c r="L50" s="25" t="s">
        <v>315</v>
      </c>
      <c r="M50" s="29" t="s">
        <v>327</v>
      </c>
    </row>
    <row r="51" customFormat="false" ht="58.5" hidden="false" customHeight="true" outlineLevel="0" collapsed="false">
      <c r="A51" s="14" t="s">
        <v>328</v>
      </c>
      <c r="B51" s="15" t="s">
        <v>329</v>
      </c>
      <c r="C51" s="33" t="s">
        <v>23</v>
      </c>
      <c r="D51" s="17" t="s">
        <v>317</v>
      </c>
      <c r="E51" s="17" t="s">
        <v>150</v>
      </c>
      <c r="F51" s="17" t="s">
        <v>330</v>
      </c>
      <c r="G51" s="13" t="s">
        <v>14</v>
      </c>
      <c r="H51" s="19" t="s">
        <v>331</v>
      </c>
      <c r="I51" s="19" t="s">
        <v>332</v>
      </c>
      <c r="J51" s="17" t="s">
        <v>56</v>
      </c>
      <c r="K51" s="20" t="n">
        <v>5</v>
      </c>
      <c r="L51" s="17" t="s">
        <v>212</v>
      </c>
      <c r="M51" s="21" t="s">
        <v>327</v>
      </c>
    </row>
    <row r="52" customFormat="false" ht="58.5" hidden="false" customHeight="true" outlineLevel="0" collapsed="false">
      <c r="A52" s="22" t="s">
        <v>333</v>
      </c>
      <c r="B52" s="23" t="s">
        <v>334</v>
      </c>
      <c r="C52" s="34" t="s">
        <v>23</v>
      </c>
      <c r="D52" s="25" t="s">
        <v>317</v>
      </c>
      <c r="E52" s="25" t="s">
        <v>142</v>
      </c>
      <c r="F52" s="25" t="s">
        <v>335</v>
      </c>
      <c r="G52" s="31" t="s">
        <v>12</v>
      </c>
      <c r="H52" s="27" t="s">
        <v>336</v>
      </c>
      <c r="I52" s="27" t="s">
        <v>337</v>
      </c>
      <c r="J52" s="25" t="s">
        <v>56</v>
      </c>
      <c r="K52" s="28" t="n">
        <v>8</v>
      </c>
      <c r="L52" s="25" t="s">
        <v>171</v>
      </c>
      <c r="M52" s="29" t="s">
        <v>327</v>
      </c>
    </row>
    <row r="53" customFormat="false" ht="58.5" hidden="false" customHeight="true" outlineLevel="0" collapsed="false">
      <c r="A53" s="14" t="s">
        <v>338</v>
      </c>
      <c r="B53" s="15" t="s">
        <v>339</v>
      </c>
      <c r="C53" s="33" t="s">
        <v>23</v>
      </c>
      <c r="D53" s="17" t="s">
        <v>317</v>
      </c>
      <c r="E53" s="17" t="s">
        <v>142</v>
      </c>
      <c r="F53" s="17" t="s">
        <v>340</v>
      </c>
      <c r="G53" s="30" t="s">
        <v>12</v>
      </c>
      <c r="H53" s="19" t="s">
        <v>341</v>
      </c>
      <c r="I53" s="19" t="s">
        <v>342</v>
      </c>
      <c r="J53" s="17" t="s">
        <v>56</v>
      </c>
      <c r="K53" s="20" t="n">
        <v>10</v>
      </c>
      <c r="L53" s="17" t="s">
        <v>166</v>
      </c>
      <c r="M53" s="21" t="s">
        <v>343</v>
      </c>
    </row>
    <row r="54" customFormat="false" ht="111" hidden="false" customHeight="true" outlineLevel="0" collapsed="false">
      <c r="A54" s="22" t="s">
        <v>344</v>
      </c>
      <c r="B54" s="23" t="s">
        <v>345</v>
      </c>
      <c r="C54" s="34" t="s">
        <v>23</v>
      </c>
      <c r="D54" s="25" t="s">
        <v>317</v>
      </c>
      <c r="E54" s="25" t="s">
        <v>142</v>
      </c>
      <c r="F54" s="25" t="s">
        <v>346</v>
      </c>
      <c r="G54" s="26" t="s">
        <v>10</v>
      </c>
      <c r="H54" s="27" t="s">
        <v>347</v>
      </c>
      <c r="I54" s="27" t="s">
        <v>348</v>
      </c>
      <c r="J54" s="25" t="s">
        <v>56</v>
      </c>
      <c r="K54" s="28" t="n">
        <v>12</v>
      </c>
      <c r="L54" s="25" t="s">
        <v>338</v>
      </c>
      <c r="M54" s="29" t="s">
        <v>349</v>
      </c>
    </row>
    <row r="55" customFormat="false" ht="111" hidden="false" customHeight="true" outlineLevel="0" collapsed="false">
      <c r="A55" s="14" t="s">
        <v>350</v>
      </c>
      <c r="B55" s="15" t="s">
        <v>351</v>
      </c>
      <c r="C55" s="33" t="s">
        <v>23</v>
      </c>
      <c r="D55" s="17" t="s">
        <v>317</v>
      </c>
      <c r="E55" s="17" t="s">
        <v>129</v>
      </c>
      <c r="F55" s="17" t="s">
        <v>352</v>
      </c>
      <c r="G55" s="18" t="s">
        <v>10</v>
      </c>
      <c r="H55" s="19" t="s">
        <v>353</v>
      </c>
      <c r="I55" s="19" t="s">
        <v>354</v>
      </c>
      <c r="J55" s="17" t="s">
        <v>56</v>
      </c>
      <c r="K55" s="20" t="n">
        <v>8</v>
      </c>
      <c r="L55" s="17" t="s">
        <v>344</v>
      </c>
      <c r="M55" s="21" t="s">
        <v>355</v>
      </c>
    </row>
    <row r="56" customFormat="false" ht="58.5" hidden="false" customHeight="true" outlineLevel="0" collapsed="false">
      <c r="A56" s="22" t="s">
        <v>356</v>
      </c>
      <c r="B56" s="23" t="s">
        <v>357</v>
      </c>
      <c r="C56" s="37" t="s">
        <v>25</v>
      </c>
      <c r="D56" s="25" t="s">
        <v>197</v>
      </c>
      <c r="E56" s="25" t="s">
        <v>358</v>
      </c>
      <c r="F56" s="25" t="s">
        <v>359</v>
      </c>
      <c r="G56" s="31" t="s">
        <v>12</v>
      </c>
      <c r="H56" s="27" t="s">
        <v>360</v>
      </c>
      <c r="I56" s="27" t="s">
        <v>361</v>
      </c>
      <c r="J56" s="25" t="s">
        <v>259</v>
      </c>
      <c r="K56" s="28" t="n">
        <v>8</v>
      </c>
      <c r="L56" s="25" t="s">
        <v>299</v>
      </c>
      <c r="M56" s="29" t="s">
        <v>362</v>
      </c>
    </row>
    <row r="57" customFormat="false" ht="58.5" hidden="false" customHeight="true" outlineLevel="0" collapsed="false">
      <c r="A57" s="14" t="s">
        <v>363</v>
      </c>
      <c r="B57" s="15" t="s">
        <v>364</v>
      </c>
      <c r="C57" s="38" t="s">
        <v>25</v>
      </c>
      <c r="D57" s="17" t="s">
        <v>197</v>
      </c>
      <c r="E57" s="17" t="s">
        <v>358</v>
      </c>
      <c r="F57" s="17" t="s">
        <v>365</v>
      </c>
      <c r="G57" s="13" t="s">
        <v>14</v>
      </c>
      <c r="H57" s="19" t="s">
        <v>366</v>
      </c>
      <c r="I57" s="19" t="s">
        <v>367</v>
      </c>
      <c r="J57" s="17" t="s">
        <v>259</v>
      </c>
      <c r="K57" s="20" t="n">
        <v>5</v>
      </c>
      <c r="L57" s="17" t="s">
        <v>356</v>
      </c>
      <c r="M57" s="21" t="s">
        <v>362</v>
      </c>
    </row>
    <row r="58" customFormat="false" ht="58.5" hidden="false" customHeight="true" outlineLevel="0" collapsed="false">
      <c r="A58" s="22" t="s">
        <v>368</v>
      </c>
      <c r="B58" s="23" t="s">
        <v>369</v>
      </c>
      <c r="C58" s="37" t="s">
        <v>25</v>
      </c>
      <c r="D58" s="25" t="s">
        <v>197</v>
      </c>
      <c r="E58" s="25" t="s">
        <v>104</v>
      </c>
      <c r="F58" s="25" t="s">
        <v>370</v>
      </c>
      <c r="G58" s="31" t="s">
        <v>12</v>
      </c>
      <c r="H58" s="27" t="s">
        <v>371</v>
      </c>
      <c r="I58" s="27" t="s">
        <v>372</v>
      </c>
      <c r="J58" s="25" t="s">
        <v>56</v>
      </c>
      <c r="K58" s="28" t="n">
        <v>12</v>
      </c>
      <c r="L58" s="25" t="s">
        <v>195</v>
      </c>
      <c r="M58" s="29" t="s">
        <v>362</v>
      </c>
    </row>
    <row r="59" customFormat="false" ht="58.5" hidden="false" customHeight="true" outlineLevel="0" collapsed="false">
      <c r="A59" s="14" t="s">
        <v>373</v>
      </c>
      <c r="B59" s="15" t="s">
        <v>374</v>
      </c>
      <c r="C59" s="38" t="s">
        <v>25</v>
      </c>
      <c r="D59" s="17" t="s">
        <v>197</v>
      </c>
      <c r="E59" s="17" t="s">
        <v>44</v>
      </c>
      <c r="F59" s="17" t="s">
        <v>375</v>
      </c>
      <c r="G59" s="30" t="s">
        <v>12</v>
      </c>
      <c r="H59" s="19" t="s">
        <v>376</v>
      </c>
      <c r="I59" s="19" t="s">
        <v>377</v>
      </c>
      <c r="J59" s="17" t="s">
        <v>56</v>
      </c>
      <c r="K59" s="20" t="n">
        <v>12</v>
      </c>
      <c r="L59" s="17" t="s">
        <v>368</v>
      </c>
      <c r="M59" s="21" t="s">
        <v>378</v>
      </c>
    </row>
    <row r="60" customFormat="false" ht="111" hidden="false" customHeight="true" outlineLevel="0" collapsed="false">
      <c r="A60" s="22" t="s">
        <v>379</v>
      </c>
      <c r="B60" s="23" t="s">
        <v>380</v>
      </c>
      <c r="C60" s="37" t="s">
        <v>25</v>
      </c>
      <c r="D60" s="25" t="s">
        <v>197</v>
      </c>
      <c r="E60" s="25" t="s">
        <v>104</v>
      </c>
      <c r="F60" s="25" t="s">
        <v>381</v>
      </c>
      <c r="G60" s="31" t="s">
        <v>12</v>
      </c>
      <c r="H60" s="27" t="s">
        <v>382</v>
      </c>
      <c r="I60" s="27" t="s">
        <v>383</v>
      </c>
      <c r="J60" s="25" t="s">
        <v>56</v>
      </c>
      <c r="K60" s="28" t="n">
        <v>10</v>
      </c>
      <c r="L60" s="25" t="s">
        <v>368</v>
      </c>
      <c r="M60" s="29" t="s">
        <v>362</v>
      </c>
    </row>
    <row r="61" customFormat="false" ht="45" hidden="false" customHeight="true" outlineLevel="0" collapsed="false">
      <c r="A61" s="14" t="s">
        <v>384</v>
      </c>
      <c r="B61" s="15" t="s">
        <v>385</v>
      </c>
      <c r="C61" s="38" t="s">
        <v>25</v>
      </c>
      <c r="D61" s="17" t="s">
        <v>197</v>
      </c>
      <c r="E61" s="17" t="s">
        <v>87</v>
      </c>
      <c r="F61" s="17" t="s">
        <v>386</v>
      </c>
      <c r="G61" s="13" t="s">
        <v>14</v>
      </c>
      <c r="H61" s="19" t="s">
        <v>387</v>
      </c>
      <c r="I61" s="19" t="s">
        <v>388</v>
      </c>
      <c r="J61" s="17" t="s">
        <v>91</v>
      </c>
      <c r="K61" s="20" t="n">
        <v>6</v>
      </c>
      <c r="L61" s="17" t="s">
        <v>244</v>
      </c>
      <c r="M61" s="21" t="s">
        <v>362</v>
      </c>
    </row>
    <row r="62" customFormat="false" ht="58.5" hidden="false" customHeight="true" outlineLevel="0" collapsed="false">
      <c r="A62" s="22" t="s">
        <v>389</v>
      </c>
      <c r="B62" s="23" t="s">
        <v>390</v>
      </c>
      <c r="C62" s="37" t="s">
        <v>25</v>
      </c>
      <c r="D62" s="25" t="s">
        <v>197</v>
      </c>
      <c r="E62" s="25" t="s">
        <v>87</v>
      </c>
      <c r="F62" s="25" t="s">
        <v>391</v>
      </c>
      <c r="G62" s="31" t="s">
        <v>12</v>
      </c>
      <c r="H62" s="27" t="s">
        <v>392</v>
      </c>
      <c r="I62" s="27" t="s">
        <v>393</v>
      </c>
      <c r="J62" s="25" t="s">
        <v>91</v>
      </c>
      <c r="K62" s="28" t="n">
        <v>8</v>
      </c>
      <c r="L62" s="25" t="s">
        <v>394</v>
      </c>
      <c r="M62" s="29" t="s">
        <v>362</v>
      </c>
    </row>
    <row r="63" customFormat="false" ht="58.5" hidden="false" customHeight="true" outlineLevel="0" collapsed="false">
      <c r="A63" s="14" t="s">
        <v>395</v>
      </c>
      <c r="B63" s="15" t="s">
        <v>396</v>
      </c>
      <c r="C63" s="38" t="s">
        <v>25</v>
      </c>
      <c r="D63" s="17" t="s">
        <v>263</v>
      </c>
      <c r="E63" s="17" t="s">
        <v>70</v>
      </c>
      <c r="F63" s="17" t="s">
        <v>397</v>
      </c>
      <c r="G63" s="30" t="s">
        <v>12</v>
      </c>
      <c r="H63" s="19" t="s">
        <v>398</v>
      </c>
      <c r="I63" s="19" t="s">
        <v>399</v>
      </c>
      <c r="J63" s="17" t="s">
        <v>259</v>
      </c>
      <c r="K63" s="20" t="n">
        <v>10</v>
      </c>
      <c r="L63" s="17" t="s">
        <v>293</v>
      </c>
      <c r="M63" s="21" t="s">
        <v>400</v>
      </c>
    </row>
    <row r="64" customFormat="false" ht="45" hidden="false" customHeight="true" outlineLevel="0" collapsed="false">
      <c r="A64" s="22" t="s">
        <v>401</v>
      </c>
      <c r="B64" s="23" t="s">
        <v>402</v>
      </c>
      <c r="C64" s="37" t="s">
        <v>25</v>
      </c>
      <c r="D64" s="25" t="s">
        <v>263</v>
      </c>
      <c r="E64" s="25" t="s">
        <v>70</v>
      </c>
      <c r="F64" s="25" t="s">
        <v>403</v>
      </c>
      <c r="G64" s="32" t="s">
        <v>14</v>
      </c>
      <c r="H64" s="27" t="s">
        <v>404</v>
      </c>
      <c r="I64" s="27" t="s">
        <v>405</v>
      </c>
      <c r="J64" s="25" t="s">
        <v>56</v>
      </c>
      <c r="K64" s="28" t="n">
        <v>8</v>
      </c>
      <c r="L64" s="25" t="s">
        <v>395</v>
      </c>
      <c r="M64" s="29" t="s">
        <v>400</v>
      </c>
    </row>
    <row r="65" customFormat="false" ht="45" hidden="false" customHeight="true" outlineLevel="0" collapsed="false">
      <c r="A65" s="14" t="s">
        <v>406</v>
      </c>
      <c r="B65" s="15" t="s">
        <v>407</v>
      </c>
      <c r="C65" s="38" t="s">
        <v>25</v>
      </c>
      <c r="D65" s="17" t="s">
        <v>263</v>
      </c>
      <c r="E65" s="17" t="s">
        <v>142</v>
      </c>
      <c r="F65" s="17" t="s">
        <v>290</v>
      </c>
      <c r="G65" s="13" t="s">
        <v>14</v>
      </c>
      <c r="H65" s="19" t="s">
        <v>408</v>
      </c>
      <c r="I65" s="19" t="s">
        <v>409</v>
      </c>
      <c r="J65" s="17" t="s">
        <v>56</v>
      </c>
      <c r="K65" s="20" t="n">
        <v>8</v>
      </c>
      <c r="L65" s="17" t="s">
        <v>288</v>
      </c>
      <c r="M65" s="21" t="s">
        <v>400</v>
      </c>
    </row>
    <row r="66" customFormat="false" ht="45" hidden="false" customHeight="true" outlineLevel="0" collapsed="false">
      <c r="A66" s="22" t="s">
        <v>410</v>
      </c>
      <c r="B66" s="23" t="s">
        <v>411</v>
      </c>
      <c r="C66" s="37" t="s">
        <v>25</v>
      </c>
      <c r="D66" s="25" t="s">
        <v>263</v>
      </c>
      <c r="E66" s="25" t="s">
        <v>44</v>
      </c>
      <c r="F66" s="25" t="s">
        <v>412</v>
      </c>
      <c r="G66" s="36" t="s">
        <v>16</v>
      </c>
      <c r="H66" s="27" t="s">
        <v>413</v>
      </c>
      <c r="I66" s="27" t="s">
        <v>414</v>
      </c>
      <c r="J66" s="25" t="s">
        <v>56</v>
      </c>
      <c r="K66" s="28" t="n">
        <v>4</v>
      </c>
      <c r="L66" s="25" t="s">
        <v>356</v>
      </c>
      <c r="M66" s="29" t="s">
        <v>400</v>
      </c>
    </row>
    <row r="67" customFormat="false" ht="58.5" hidden="false" customHeight="true" outlineLevel="0" collapsed="false">
      <c r="A67" s="14" t="s">
        <v>415</v>
      </c>
      <c r="B67" s="15" t="s">
        <v>416</v>
      </c>
      <c r="C67" s="38" t="s">
        <v>25</v>
      </c>
      <c r="D67" s="17" t="s">
        <v>263</v>
      </c>
      <c r="E67" s="17" t="s">
        <v>358</v>
      </c>
      <c r="F67" s="17" t="s">
        <v>417</v>
      </c>
      <c r="G67" s="30" t="s">
        <v>12</v>
      </c>
      <c r="H67" s="19" t="s">
        <v>418</v>
      </c>
      <c r="I67" s="19" t="s">
        <v>419</v>
      </c>
      <c r="J67" s="17" t="s">
        <v>56</v>
      </c>
      <c r="K67" s="20" t="n">
        <v>8</v>
      </c>
      <c r="L67" s="17" t="s">
        <v>420</v>
      </c>
      <c r="M67" s="21" t="s">
        <v>400</v>
      </c>
    </row>
    <row r="68" customFormat="false" ht="98.25" hidden="false" customHeight="true" outlineLevel="0" collapsed="false">
      <c r="A68" s="22" t="s">
        <v>421</v>
      </c>
      <c r="B68" s="23" t="s">
        <v>422</v>
      </c>
      <c r="C68" s="37" t="s">
        <v>25</v>
      </c>
      <c r="D68" s="25" t="s">
        <v>317</v>
      </c>
      <c r="E68" s="25" t="s">
        <v>142</v>
      </c>
      <c r="F68" s="25" t="s">
        <v>423</v>
      </c>
      <c r="G68" s="26" t="s">
        <v>10</v>
      </c>
      <c r="H68" s="27" t="s">
        <v>424</v>
      </c>
      <c r="I68" s="27" t="s">
        <v>425</v>
      </c>
      <c r="J68" s="25" t="s">
        <v>56</v>
      </c>
      <c r="K68" s="28" t="n">
        <v>20</v>
      </c>
      <c r="L68" s="25" t="s">
        <v>426</v>
      </c>
      <c r="M68" s="29" t="s">
        <v>427</v>
      </c>
    </row>
    <row r="69" customFormat="false" ht="84.75" hidden="false" customHeight="true" outlineLevel="0" collapsed="false">
      <c r="A69" s="14" t="s">
        <v>428</v>
      </c>
      <c r="B69" s="15" t="s">
        <v>429</v>
      </c>
      <c r="C69" s="38" t="s">
        <v>25</v>
      </c>
      <c r="D69" s="17" t="s">
        <v>317</v>
      </c>
      <c r="E69" s="17" t="s">
        <v>142</v>
      </c>
      <c r="F69" s="17" t="s">
        <v>430</v>
      </c>
      <c r="G69" s="18" t="s">
        <v>10</v>
      </c>
      <c r="H69" s="19" t="s">
        <v>431</v>
      </c>
      <c r="I69" s="19" t="s">
        <v>432</v>
      </c>
      <c r="J69" s="17" t="s">
        <v>56</v>
      </c>
      <c r="K69" s="20" t="n">
        <v>12</v>
      </c>
      <c r="L69" s="17" t="s">
        <v>421</v>
      </c>
      <c r="M69" s="21" t="s">
        <v>433</v>
      </c>
    </row>
    <row r="70" customFormat="false" ht="45" hidden="false" customHeight="true" outlineLevel="0" collapsed="false">
      <c r="A70" s="22" t="s">
        <v>434</v>
      </c>
      <c r="B70" s="23" t="s">
        <v>435</v>
      </c>
      <c r="C70" s="37" t="s">
        <v>25</v>
      </c>
      <c r="D70" s="25" t="s">
        <v>317</v>
      </c>
      <c r="E70" s="25" t="s">
        <v>142</v>
      </c>
      <c r="F70" s="25" t="s">
        <v>436</v>
      </c>
      <c r="G70" s="31" t="s">
        <v>12</v>
      </c>
      <c r="H70" s="27" t="s">
        <v>437</v>
      </c>
      <c r="I70" s="27" t="s">
        <v>438</v>
      </c>
      <c r="J70" s="25" t="s">
        <v>56</v>
      </c>
      <c r="K70" s="28" t="n">
        <v>6</v>
      </c>
      <c r="L70" s="25" t="s">
        <v>421</v>
      </c>
      <c r="M70" s="29" t="s">
        <v>439</v>
      </c>
    </row>
    <row r="71" customFormat="false" ht="72" hidden="false" customHeight="true" outlineLevel="0" collapsed="false">
      <c r="A71" s="14" t="s">
        <v>440</v>
      </c>
      <c r="B71" s="15" t="s">
        <v>441</v>
      </c>
      <c r="C71" s="38" t="s">
        <v>25</v>
      </c>
      <c r="D71" s="17" t="s">
        <v>317</v>
      </c>
      <c r="E71" s="17" t="s">
        <v>142</v>
      </c>
      <c r="F71" s="17" t="s">
        <v>442</v>
      </c>
      <c r="G71" s="30" t="s">
        <v>12</v>
      </c>
      <c r="H71" s="19" t="s">
        <v>443</v>
      </c>
      <c r="I71" s="19" t="s">
        <v>444</v>
      </c>
      <c r="J71" s="17" t="s">
        <v>56</v>
      </c>
      <c r="K71" s="20" t="n">
        <v>12</v>
      </c>
      <c r="L71" s="17" t="s">
        <v>49</v>
      </c>
      <c r="M71" s="21" t="s">
        <v>445</v>
      </c>
    </row>
    <row r="72" customFormat="false" ht="45" hidden="false" customHeight="true" outlineLevel="0" collapsed="false">
      <c r="A72" s="22" t="s">
        <v>446</v>
      </c>
      <c r="B72" s="23" t="s">
        <v>447</v>
      </c>
      <c r="C72" s="37" t="s">
        <v>25</v>
      </c>
      <c r="D72" s="25" t="s">
        <v>317</v>
      </c>
      <c r="E72" s="25" t="s">
        <v>142</v>
      </c>
      <c r="F72" s="25" t="s">
        <v>448</v>
      </c>
      <c r="G72" s="32" t="s">
        <v>14</v>
      </c>
      <c r="H72" s="27" t="s">
        <v>449</v>
      </c>
      <c r="I72" s="27" t="s">
        <v>450</v>
      </c>
      <c r="J72" s="25" t="s">
        <v>56</v>
      </c>
      <c r="K72" s="28" t="n">
        <v>5</v>
      </c>
      <c r="L72" s="25" t="s">
        <v>428</v>
      </c>
      <c r="M72" s="29" t="s">
        <v>439</v>
      </c>
    </row>
    <row r="73" customFormat="false" ht="58.5" hidden="false" customHeight="true" outlineLevel="0" collapsed="false">
      <c r="A73" s="14" t="s">
        <v>451</v>
      </c>
      <c r="B73" s="15" t="s">
        <v>452</v>
      </c>
      <c r="C73" s="38" t="s">
        <v>25</v>
      </c>
      <c r="D73" s="17" t="s">
        <v>317</v>
      </c>
      <c r="E73" s="17" t="s">
        <v>142</v>
      </c>
      <c r="F73" s="17" t="s">
        <v>453</v>
      </c>
      <c r="G73" s="13" t="s">
        <v>14</v>
      </c>
      <c r="H73" s="19" t="s">
        <v>454</v>
      </c>
      <c r="I73" s="19" t="s">
        <v>455</v>
      </c>
      <c r="J73" s="17" t="s">
        <v>108</v>
      </c>
      <c r="K73" s="20" t="n">
        <v>4</v>
      </c>
      <c r="L73" s="17" t="s">
        <v>434</v>
      </c>
      <c r="M73" s="21" t="s">
        <v>439</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12"/>
    <col collapsed="false" customWidth="true" hidden="false" outlineLevel="0" max="4" min="4" style="0" width="13"/>
    <col collapsed="false" customWidth="true" hidden="false" outlineLevel="0" max="5" min="5" style="0" width="30"/>
    <col collapsed="false" customWidth="true" hidden="false" outlineLevel="0" max="6" min="6" style="0" width="50"/>
    <col collapsed="false" customWidth="true" hidden="false" outlineLevel="0" max="7" min="7" style="0" width="40"/>
  </cols>
  <sheetData>
    <row r="1" customFormat="false" ht="24" hidden="false" customHeight="true" outlineLevel="0" collapsed="false">
      <c r="A1" s="12" t="s">
        <v>456</v>
      </c>
      <c r="B1" s="12"/>
      <c r="C1" s="12"/>
      <c r="D1" s="12"/>
      <c r="E1" s="12"/>
      <c r="F1" s="12"/>
      <c r="G1" s="12"/>
    </row>
    <row r="2" customFormat="false" ht="31.5" hidden="false" customHeight="true" outlineLevel="0" collapsed="false">
      <c r="A2" s="39" t="s">
        <v>30</v>
      </c>
      <c r="B2" s="39" t="s">
        <v>457</v>
      </c>
      <c r="C2" s="39" t="s">
        <v>38</v>
      </c>
      <c r="D2" s="39" t="s">
        <v>458</v>
      </c>
      <c r="E2" s="39" t="s">
        <v>459</v>
      </c>
      <c r="F2" s="39" t="s">
        <v>460</v>
      </c>
      <c r="G2" s="39" t="s">
        <v>461</v>
      </c>
    </row>
    <row r="3" customFormat="false" ht="103.5" hidden="false" customHeight="true" outlineLevel="0" collapsed="false">
      <c r="A3" s="40" t="s">
        <v>21</v>
      </c>
      <c r="B3" s="41" t="n">
        <f aca="false">COUNTIF(Backlog!$C:$C,"M1 · 5 days · €60k")</f>
        <v>24</v>
      </c>
      <c r="C3" s="41" t="n">
        <f aca="false">SUMIF(Backlog!$C:$C,"M1 · 5 days · €60k",Backlog!$K:$K)</f>
        <v>86</v>
      </c>
      <c r="D3" s="42" t="s">
        <v>462</v>
      </c>
      <c r="E3" s="19" t="s">
        <v>463</v>
      </c>
      <c r="F3" s="19" t="s">
        <v>464</v>
      </c>
      <c r="G3" s="19" t="s">
        <v>465</v>
      </c>
    </row>
    <row r="4" customFormat="false" ht="103.5" hidden="false" customHeight="true" outlineLevel="0" collapsed="false">
      <c r="A4" s="43" t="s">
        <v>23</v>
      </c>
      <c r="B4" s="44" t="n">
        <f aca="false">COUNTIF(Backlog!$C:$C,"M2 · mid-July · €120k")</f>
        <v>29</v>
      </c>
      <c r="C4" s="44" t="n">
        <f aca="false">SUMIF(Backlog!$C:$C,"M2 · mid-July · €120k",Backlog!$K:$K)</f>
        <v>203</v>
      </c>
      <c r="D4" s="45" t="s">
        <v>466</v>
      </c>
      <c r="E4" s="27" t="s">
        <v>467</v>
      </c>
      <c r="F4" s="27" t="s">
        <v>468</v>
      </c>
      <c r="G4" s="27" t="s">
        <v>469</v>
      </c>
    </row>
    <row r="5" customFormat="false" ht="103.5" hidden="false" customHeight="true" outlineLevel="0" collapsed="false">
      <c r="A5" s="46" t="s">
        <v>25</v>
      </c>
      <c r="B5" s="41" t="n">
        <f aca="false">COUNTIF(Backlog!$C:$C,"M3 · 1 Jan 2027 · €250k")</f>
        <v>18</v>
      </c>
      <c r="C5" s="41" t="n">
        <f aca="false">SUMIF(Backlog!$C:$C,"M3 · 1 Jan 2027 · €250k",Backlog!$K:$K)</f>
        <v>158</v>
      </c>
      <c r="D5" s="47" t="s">
        <v>470</v>
      </c>
      <c r="E5" s="19" t="s">
        <v>471</v>
      </c>
      <c r="F5" s="19" t="s">
        <v>472</v>
      </c>
      <c r="G5" s="19" t="s">
        <v>473</v>
      </c>
    </row>
    <row r="6" customFormat="false" ht="39.75" hidden="false" customHeight="true" outlineLevel="0" collapsed="false">
      <c r="A6" s="48" t="s">
        <v>474</v>
      </c>
      <c r="B6" s="49" t="n">
        <f aca="false">SUM(B3:B5)</f>
        <v>71</v>
      </c>
      <c r="C6" s="49" t="n">
        <f aca="false">SUM(C3:C5)</f>
        <v>447</v>
      </c>
      <c r="D6" s="50" t="s">
        <v>470</v>
      </c>
      <c r="E6" s="51" t="s">
        <v>475</v>
      </c>
      <c r="F6" s="51"/>
      <c r="G6" s="51"/>
    </row>
  </sheetData>
  <mergeCells count="2">
    <mergeCell ref="A1:G1"/>
    <mergeCell ref="E6:G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2026-06-15T12:39:43Z</dcterms:created>
  <dc:creator>openpyxl</dc:creator>
  <dc:description/>
  <dc:language>en-US</dc:language>
  <cp:lastModifiedBy/>
  <dcterms:modified xsi:type="dcterms:W3CDTF">2026-06-15T12:39:43Z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