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Backlog" sheetId="2" state="visible" r:id="rId4"/>
    <sheet name="Version Summary" sheetId="3" state="visible" r:id="rId5"/>
    <sheet name="Phase Summary" sheetId="4" state="visible" r:id="rId6"/>
    <sheet name="Coverage to 75" sheetId="5" state="visible" r:id="rId7"/>
    <sheet name="Completed (Removed)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<sst xmlns="http://schemas.openxmlformats.org/spreadsheetml/2006/main" count="1678" uniqueCount="705">
  <si>
    <t xml:space="preserve">PlantProcess IQ — Product Backlog v4</t>
  </si>
  <si>
    <t xml:space="preserve">Versioned release plan. Operationalizes PPIQ_Product_Roadmap_v3, the Identity &amp; Topology v3 reference, and the 20-Jun realization scoreboard.</t>
  </si>
  <si>
    <t xml:space="preserve">WHAT CHANGED FROM v3.1</t>
  </si>
  <si>
    <t xml:space="preserve">1.  Reorganized from milestones (M1/M2/M3) into VERSIONS (V1-V4). Version 1 is the first release for the customer presentation and totals &lt; 100 h.</t>
  </si>
  <si>
    <t xml:space="preserve">2.  Tasks &gt;85% done are REMOVED to the 'Completed (Removed)' sheet (5 tasks: the .env.dev, schemas, demo-sources, role-users and Ed25519-token closures).</t>
  </si>
  <si>
    <t xml:space="preserve">3.  Tasks 65-85% done are marked MOSTLY-DONE and ordered FIRST in their phase (e.g. ppiq.ps1 entrypoint).</t>
  </si>
  <si>
    <t xml:space="preserve">4.  Added the gap-closing tasks needed so every persona AND every sub-criterion reaches &gt;=75 — proven on the 'Coverage to 75' sheet.</t>
  </si>
  <si>
    <t xml:space="preserve">5.  Surfaced the new realities the optimistic file-count hid: the lost genealogy/safe-SQL foundation (now V1-07, P0), the 151 non-standard buttons (V2-02, not 41), and the live config defects (V1-04/05).</t>
  </si>
  <si>
    <t xml:space="preserve">THE FOUR VERSIONS</t>
  </si>
  <si>
    <t xml:space="preserve">V1 · First Release — Presentation-Ready  (&lt;100 h).  A crash-free, live, reproducible demo + healthy server deploy + ROI story + collateral + a sharp website. Lifts the demo-gating personas.</t>
  </si>
  <si>
    <t xml:space="preserve">V2 · Product Depth.  License + user-role depth, sharper AI/ML results + an impressive suggestion engine, the full test harness, and docs WITH app screenshots (how-to-use / how-to-install).</t>
  </si>
  <si>
    <t xml:space="preserve">V3 · Generic &amp; Multi-Industry.  Paper and food/beverage demo datasets + tiers, a generic no-code mapping template library, a historian connector, accessibility (WCAG light + Arabic RTL) and scale.</t>
  </si>
  <si>
    <t xml:space="preserve">V4 · Enterprise &amp; Reference.  HA/restore, OT-safe edge agent, human-approved advisory write-back, SOC 2 / ISO / GxP, and the pilot -&gt; proven-ROI -&gt; signed-contract -&gt; case-study business arc.</t>
  </si>
  <si>
    <t xml:space="preserve">HOW TO READ A ROW</t>
  </si>
  <si>
    <t xml:space="preserve">Each task carries the Persona(s) and the exact Sub-criterion it lifts, the Doctrine v7 Gate it serves, a junior-dev-actionable Description, and a hard reproducible Acceptance check (never 'build passes'). Status/% done is assessed against the 20-Jun code export.</t>
  </si>
  <si>
    <t xml:space="preserve">THE TARGET (requirement 3)</t>
  </si>
  <si>
    <t xml:space="preserve">Every one of the 63 sub-criteria has at least one lifting task and a projected score &gt;=75; the six personas clear 75 once their sub-criteria do. See the 'Coverage to 75' sheet for the full map (current -&gt; task -&gt; version -&gt; projected).</t>
  </si>
  <si>
    <t xml:space="preserve">NAMING LAW (permanent)</t>
  </si>
  <si>
    <t xml:space="preserve">No task creates an artifact named with phase/task/version-phase codes. V2-24 renames the 193 existing offenders. Task IDs here (V1-07 etc.) are backlog handles, never artifact names.</t>
  </si>
  <si>
    <t xml:space="preserve">SCORE BANDS</t>
  </si>
  <si>
    <t xml:space="preserve">Critical &lt;55   ·   Needs work 55-69   ·   Solid 70-84   ·   Strong 85+      |      Status: REMOVED &gt;=85%  ·  MOSTLY-DONE 65-84%  ·  PARTIAL &lt;65%  ·  NEW 0%</t>
  </si>
  <si>
    <t xml:space="preserve">PlantProcess IQ — Product Backlog v4   ·   versioned (V1&lt;100h) · floor-to-75 · generated from Roadmap v3 + Identity v3 + the 20-Jun scoreboard</t>
  </si>
  <si>
    <t xml:space="preserve">Task ID</t>
  </si>
  <si>
    <t xml:space="preserve">Version</t>
  </si>
  <si>
    <t xml:space="preserve">Phase</t>
  </si>
  <si>
    <t xml:space="preserve">Task Name</t>
  </si>
  <si>
    <t xml:space="preserve">Persona(s)</t>
  </si>
  <si>
    <t xml:space="preserve">Sub-criterion lifted</t>
  </si>
  <si>
    <t xml:space="preserve">Gate</t>
  </si>
  <si>
    <t xml:space="preserve">Track</t>
  </si>
  <si>
    <t xml:space="preserve">Module</t>
  </si>
  <si>
    <t xml:space="preserve">Severity</t>
  </si>
  <si>
    <t xml:space="preserve">Status</t>
  </si>
  <si>
    <t xml:space="preserve">% done</t>
  </si>
  <si>
    <t xml:space="preserve">Description  (junior-dev-actionable)</t>
  </si>
  <si>
    <t xml:space="preserve">Validation / Acceptance  (hard, reproducible)</t>
  </si>
  <si>
    <t xml:space="preserve">Task Type</t>
  </si>
  <si>
    <t xml:space="preserve">Effort (h)</t>
  </si>
  <si>
    <t xml:space="preserve">Prereq</t>
  </si>
  <si>
    <t xml:space="preserve">V1-01</t>
  </si>
  <si>
    <t xml:space="preserve">V1</t>
  </si>
  <si>
    <t xml:space="preserve">V1-P1 Reproducible env</t>
  </si>
  <si>
    <t xml:space="preserve">Harden ppiq.ps1 single entrypoint (bake env, EF-first migrate)</t>
  </si>
  <si>
    <t xml:space="preserve">A1,A4</t>
  </si>
  <si>
    <t xml:space="preserve">A1-2, A1-10</t>
  </si>
  <si>
    <t xml:space="preserve">G9</t>
  </si>
  <si>
    <t xml:space="preserve">Environment</t>
  </si>
  <si>
    <t xml:space="preserve">Infra</t>
  </si>
  <si>
    <t xml:space="preserve">Critical</t>
  </si>
  <si>
    <t xml:space="preserve">MOSTLY-DONE</t>
  </si>
  <si>
    <t xml:space="preserve">ppiq.ps1 verbs exist and work, but `migrate`/`demo` do not run `dotnet ef database update` before the numbered SQL, and PGCLIENTENCODING is not baked in. Fold EF-update into the start of migrate/demo; export PGCLIENTENCODING=UTF8 before every psql; remove the redundant inline EF call from the Jenkins stage.</t>
  </si>
  <si>
    <t xml:space="preserve">From a clean DB, `ppiq.ps1 demo` provisions one-shot (EF schema then SQL decoration then app on :5063) with no manually-set env vars. Evidence: terminal log of a clean run.</t>
  </si>
  <si>
    <t xml:space="preserve">refactor</t>
  </si>
  <si>
    <t xml:space="preserve">—</t>
  </si>
  <si>
    <t xml:space="preserve">V1-02</t>
  </si>
  <si>
    <t xml:space="preserve">Commit reproducibility config: design-time factory + PGCLIENTENCODING + EF-first</t>
  </si>
  <si>
    <t xml:space="preserve">A1</t>
  </si>
  <si>
    <t xml:space="preserve">A1-2</t>
  </si>
  <si>
    <t xml:space="preserve">NEW</t>
  </si>
  <si>
    <t xml:space="preserve">Rewrite PlantProcessDesignTimeDbContextFactory to read ConnectionStrings__PlantProcessDb -&gt; PLANTPROCESS_DESIGNTIME_CONNECTION_STRING -&gt; PLANTPROCESS_DB with an honest error. Commit so the two session env-vars (PLANTPROCESS_DB, PGCLIENTENCODING) are no longer needed to boot.</t>
  </si>
  <si>
    <t xml:space="preserve">A fresh clone runs `dotnet ef database update` and `ppiq.ps1 migrate` with zero hand-set env vars. Evidence: clean-clone run log; grep shows no transient env-var requirement in docs.</t>
  </si>
  <si>
    <t xml:space="preserve">hardening</t>
  </si>
  <si>
    <t xml:space="preserve">V1-03</t>
  </si>
  <si>
    <t xml:space="preserve">Converge to ONE canonical compose + delete orphaned + duplicate fleets</t>
  </si>
  <si>
    <t xml:space="preserve">A1,A2</t>
  </si>
  <si>
    <t xml:space="preserve">A1-3, A2-10</t>
  </si>
  <si>
    <t xml:space="preserve">Keep the live `plantprocessiq` project + `docker-compose.sources.yml`. Delete the orphaned `plantprocess-*` stack, the duplicate `docker-compose.demo-sources*.yml` fleet and `.ports.yml`, and `Infrastructure/deploy/docker-compose.demo.yml`. Align Caddy service/port to the API :5063.</t>
  </si>
  <si>
    <t xml:space="preserve">`grep -rl docker-compose.demo` and the duplicate-fleet grep both return nothing; `docker compose ... up -d` brings up exactly one healthy app stack Caddy routes to. Evidence: dir listing + docker ps.</t>
  </si>
  <si>
    <t xml:space="preserve">V1-04</t>
  </si>
  <si>
    <t xml:space="preserve">Fix connection-string key __DefaultConnection -&gt; __PlantProcessDb (incl. the generator)</t>
  </si>
  <si>
    <t xml:space="preserve">A2</t>
  </si>
  <si>
    <t xml:space="preserve">A2-5, A2-10</t>
  </si>
  <si>
    <t xml:space="preserve">G12</t>
  </si>
  <si>
    <t xml:space="preserve">Replace ConnectionStrings__DefaultConnection with ConnectionStrings__PlantProcessDb in deploy/compose/.env.dev, docker-compose.yml, and env/profiles/local.env, AND in the generator tools/realization/continue-phase03-phase04-from-t016.cjs that re-emits the wrong key. The generator is the root cause - fix it or it re-introduces the defect.</t>
  </si>
  <si>
    <t xml:space="preserve">grep finds zero `__DefaultConnection`; a generated compose contains `__PlantProcessDb`; the container API boots and connects. Evidence: grep output + boot log.</t>
  </si>
  <si>
    <t xml:space="preserve">bug fix</t>
  </si>
  <si>
    <t xml:space="preserve">V1-05</t>
  </si>
  <si>
    <t xml:space="preserve">Delete env/profiles/local.env (leaks plantprocess123) + rotate</t>
  </si>
  <si>
    <t xml:space="preserve">A2-5</t>
  </si>
  <si>
    <t xml:space="preserve">Security</t>
  </si>
  <si>
    <t xml:space="preserve">Remove env/profiles/local.env (it carries IsBootstrapAdmin=true and the literal plantprocess123) and rotate any key that ever touched it. Keep only deploy/compose/.env.dev (container-local creds) and a git-ignored server .env.</t>
  </si>
  <si>
    <t xml:space="preserve">grep finds zero `plantprocess123` and zero `IsBootstrapAdmin=true` in the repo; the startup guard still passes. Evidence: grep output.</t>
  </si>
  <si>
    <t xml:space="preserve">V1-06</t>
  </si>
  <si>
    <t xml:space="preserve">Commit test config — permanently fix the 83 clean-machine failures</t>
  </si>
  <si>
    <t xml:space="preserve">G10</t>
  </si>
  <si>
    <t xml:space="preserve">Testing</t>
  </si>
  <si>
    <t xml:space="preserve">PARTIAL</t>
  </si>
  <si>
    <t xml:space="preserve">Author committed appsettings.Test.json (DSN + 64-char signing key + a real admin + PPIQ_FORCE_EXTERNAL_API_TEST_HOST) and wire Do-Test so WebApplicationFactory boots the host and finds the DB without per-run env vars. This is the documented cause of the 83 reds.</t>
  </si>
  <si>
    <t xml:space="preserve">`ppiq.ps1 test` exits 0 TWICE on a fresh checkout (no hand-set vars). Evidence: two consecutive green run logs.</t>
  </si>
  <si>
    <t xml:space="preserve">V1-07</t>
  </si>
  <si>
    <t xml:space="preserve">Rebuild mapping/genealogy/safe-SQL foundation (demo-minimum, model-first)</t>
  </si>
  <si>
    <t xml:space="preserve">A3,A4</t>
  </si>
  <si>
    <t xml:space="preserve">A3-5, A3-8, A4-2</t>
  </si>
  <si>
    <t xml:space="preserve">G2</t>
  </si>
  <si>
    <t xml:space="preserve">Foundation</t>
  </si>
  <si>
    <t xml:space="preserve">Database</t>
  </si>
  <si>
    <t xml:space="preserve">The foundation is lost (no clean git copy): ppiq_business_key_definitions, canonical_business_keys, canonical_mapping_versions, the canonical genealogy tables, ppiq_walk_genealogy and ppiq_resolve_safe_sql are gone; only genealogy_edges (EF) survives. Rebuild the DEMO-MINIMUM set model-first: entities + IEntityTypeConfiguration for the business-key/canonical-mapping tables; the recursive walk + cycle/orphan validators + the safe-SQL resolver in a thin SQL migration. Scope to what the demo thread needs; defer full mapping-lifecycle hardening to V2.</t>
  </si>
  <si>
    <t xml:space="preserve">On the demo dataset, ppiq_walk_genealogy(C-0044170) returns the full coil-&gt;melt chain both directions; a bad mapping returns a typed error and rolls back; the 311/321 validators are green (un-quarantined). Evidence: psql output + green migration.</t>
  </si>
  <si>
    <t xml:space="preserve">new feature</t>
  </si>
  <si>
    <t xml:space="preserve">V1-08</t>
  </si>
  <si>
    <t xml:space="preserve">Verify genealogy both directions on C-0044170 live</t>
  </si>
  <si>
    <t xml:space="preserve">A3</t>
  </si>
  <si>
    <t xml:space="preserve">A3-5</t>
  </si>
  <si>
    <t xml:space="preserve">Demo</t>
  </si>
  <si>
    <t xml:space="preserve">Backend</t>
  </si>
  <si>
    <t xml:space="preserve">With the foundation rebuilt, walk C-0044170 coil-&gt;melt and melt-&gt;coils in the running HMI, confirming the Material Investigation evidence panel renders both directions.</t>
  </si>
  <si>
    <t xml:space="preserve">Recorded walk: both directions resolve on the demo data, no stall. Evidence: clip in the dry-run.</t>
  </si>
  <si>
    <t xml:space="preserve">test</t>
  </si>
  <si>
    <t xml:space="preserve">V1-09</t>
  </si>
  <si>
    <t xml:space="preserve">Verify transition-coil weighted attribution (70/30) live</t>
  </si>
  <si>
    <t xml:space="preserve">A3-8</t>
  </si>
  <si>
    <t xml:space="preserve">G15</t>
  </si>
  <si>
    <t xml:space="preserve">AI+ML</t>
  </si>
  <si>
    <t xml:space="preserve">Very important</t>
  </si>
  <si>
    <t xml:space="preserve">Confirm a casting-transition coil reports weighted (e.g. 70/30) attribution across two heats with the population/exclusions shown.</t>
  </si>
  <si>
    <t xml:space="preserve">A transition coil renders weighted provenance + stated population live. Evidence: clip.</t>
  </si>
  <si>
    <t xml:space="preserve">V1-PT1</t>
  </si>
  <si>
    <t xml:space="preserve">V1-P1 acceptance gate: clean checkout boots seeded + green twice</t>
  </si>
  <si>
    <t xml:space="preserve">A1-2, A1-5</t>
  </si>
  <si>
    <t xml:space="preserve">End-of-phase regression: clean clone -&gt; `ppiq.ps1 reset &amp;&amp; ppiq.ps1 demo` boots the seeded stack; `ppiq.ps1 test` green twice; genealogy walk resolves. Seals V1-P1 as deployable.</t>
  </si>
  <si>
    <t xml:space="preserve">All three gates pass on a fresh machine, scripted. Evidence: one combined run log.</t>
  </si>
  <si>
    <t xml:space="preserve">V1-06,V1-07</t>
  </si>
  <si>
    <t xml:space="preserve">V1-10</t>
  </si>
  <si>
    <t xml:space="preserve">V1-P2 Live demo + collateral</t>
  </si>
  <si>
    <t xml:space="preserve">App boots under Playwright (no early webServer exit)</t>
  </si>
  <si>
    <t xml:space="preserve">A3,A5</t>
  </si>
  <si>
    <t xml:space="preserve">A3-2, A5-8</t>
  </si>
  <si>
    <t xml:space="preserve">G7</t>
  </si>
  <si>
    <t xml:space="preserve">FrontEnd</t>
  </si>
  <si>
    <t xml:space="preserve">Fix playwright config so webServer starts the API+web and waits for :5063/:5173 instead of exiting early; run at least one real spec against the booted app.</t>
  </si>
  <si>
    <t xml:space="preserve">`ppiq.ps1 e2e` starts the app and runs &gt;=1 spec to green. Evidence: Playwright HTML report.</t>
  </si>
  <si>
    <t xml:space="preserve">V1-11</t>
  </si>
  <si>
    <t xml:space="preserve">One-click readiness check passes live</t>
  </si>
  <si>
    <t xml:space="preserve">A4</t>
  </si>
  <si>
    <t xml:space="preserve">A4-7</t>
  </si>
  <si>
    <t xml:space="preserve">Make the readiness surface return green (sources healthy, counts match, jobs ready) in one call on the seeded stack.</t>
  </si>
  <si>
    <t xml:space="preserve">Readiness endpoint returns all-green on the demo data, shown live. Evidence: screenshot + clip.</t>
  </si>
  <si>
    <t xml:space="preserve">modification</t>
  </si>
  <si>
    <t xml:space="preserve">V1-12</t>
  </si>
  <si>
    <t xml:space="preserve">Fix every demo-path button (live click-through)</t>
  </si>
  <si>
    <t xml:space="preserve">A3-1, A3-3</t>
  </si>
  <si>
    <t xml:space="preserve">G6</t>
  </si>
  <si>
    <t xml:space="preserve">The dead-button scan is green (0 stub handlers) but live-path proof is missing. Click every control on the 9-step path in the running HMI; wire/disable-with-reason any that misbehaves. (Full StandardButton migration is V2-02.)</t>
  </si>
  <si>
    <t xml:space="preserve">Every button on the 9-step script performs its action live; 0 unhandled rejections on the path. Evidence: recorded run.</t>
  </si>
  <si>
    <t xml:space="preserve">V1-13</t>
  </si>
  <si>
    <t xml:space="preserve">Record the clean dry-run video (insurance)</t>
  </si>
  <si>
    <t xml:space="preserve">A3-2</t>
  </si>
  <si>
    <t xml:space="preserve">Record an MP4 of the full 9-step walk on the seeded stack - the pilot acceptance artifact and the backup if live ever fails.</t>
  </si>
  <si>
    <t xml:space="preserve">MP4 exists; no dead click; matches the script. Evidence: the file.</t>
  </si>
  <si>
    <t xml:space="preserve">V1-14</t>
  </si>
  <si>
    <t xml:space="preserve">Rehearse the 9-step demo script cold</t>
  </si>
  <si>
    <t xml:space="preserve">Docs</t>
  </si>
  <si>
    <t xml:space="preserve">Write the 9-step script (connect-&gt;map-&gt;build page-&gt;run job-&gt;dashboard-&gt;genealogy-&gt;value-&gt;assistant-&gt;export) and rehearse it until reflexive, including the surprise-question answers from Roadmap 1.3.</t>
  </si>
  <si>
    <t xml:space="preserve">You run it cold once end-to-end. Evidence: the script doc + a rehearsal note.</t>
  </si>
  <si>
    <t xml:space="preserve">V1-15</t>
  </si>
  <si>
    <t xml:space="preserve">Illustrative ROI model for the presentation (projected-not-proven)</t>
  </si>
  <si>
    <t xml:space="preserve">A5</t>
  </si>
  <si>
    <t xml:space="preserve">A5-1, A5-7</t>
  </si>
  <si>
    <t xml:space="preserve">G5</t>
  </si>
  <si>
    <t xml:space="preserve">Collateral</t>
  </si>
  <si>
    <t xml:space="preserve">Tie a live demo finding (e.g. edge-crack/superheat) to a conservative EUR/yr figure with stated assumptions, labelled projected-not-proven, that exceeds the stated price.</t>
  </si>
  <si>
    <t xml:space="preserve">A slide + handout with a defensible EUR/yr number, assumptions, and the demo finding it derives from. Evidence: the file.</t>
  </si>
  <si>
    <t xml:space="preserve">V1-16</t>
  </si>
  <si>
    <t xml:space="preserve">Founder domain-credibility pack (14 yrs PSI/SMS, named plants)</t>
  </si>
  <si>
    <t xml:space="preserve">A5-10</t>
  </si>
  <si>
    <t xml:space="preserve">G8</t>
  </si>
  <si>
    <t xml:space="preserve">One-pager + a slide naming specific plants/processes from your PSI Metals / SMS / EzzSteel years, placed before the offer slide. The biggest non-code lever a solo founder has.</t>
  </si>
  <si>
    <t xml:space="preserve">One-pager + slide exist, on-brand, with named plants. Evidence: the file.</t>
  </si>
  <si>
    <t xml:space="preserve">V1-17</t>
  </si>
  <si>
    <t xml:space="preserve">Pitch deck (10-12 slides, on-brand)</t>
  </si>
  <si>
    <t xml:space="preserve">A5,A6</t>
  </si>
  <si>
    <t xml:space="preserve">A5-9</t>
  </si>
  <si>
    <t xml:space="preserve">Problem -&gt; why BI fails -&gt; evidence-grade approach -&gt; LIVE DEMO -&gt; value -&gt; honest boundary -&gt; read-only/OT-safe -&gt; credibility -&gt; pilot offer. &lt;=12 slides, brand palette, also produces logo/brand assets for the variant set.</t>
  </si>
  <si>
    <t xml:space="preserve">Rehearsed once; &lt;=12 slides; on-brand. Evidence: the file.</t>
  </si>
  <si>
    <t xml:space="preserve">V1-18</t>
  </si>
  <si>
    <t xml:space="preserve">One-page product brief (light-surface PDF)</t>
  </si>
  <si>
    <t xml:space="preserve">A6</t>
  </si>
  <si>
    <t xml:space="preserve">A6-9</t>
  </si>
  <si>
    <t xml:space="preserve">Important</t>
  </si>
  <si>
    <t xml:space="preserve">What it is, the read-only/evidence-grade differentiator, pilot scope, the data-ask - rendered as a light-surface PDF with brand header/footer.</t>
  </si>
  <si>
    <t xml:space="preserve">Renders with brand header/footer. Evidence: the PDF.</t>
  </si>
  <si>
    <t xml:space="preserve">V1-19</t>
  </si>
  <si>
    <t xml:space="preserve">Pilot offer document (EUR30-40k -&gt; EUR120k license)</t>
  </si>
  <si>
    <t xml:space="preserve">A5-7</t>
  </si>
  <si>
    <t xml:space="preserve">One page: the pilot price (lean EUR30k for the first), the credited EUR120k/yr license figure, the 8-week proven-ROI deliverable, and the data-ask.</t>
  </si>
  <si>
    <t xml:space="preserve">One page with a number + the ask. Evidence: the file.</t>
  </si>
  <si>
    <t xml:space="preserve">V1-20</t>
  </si>
  <si>
    <t xml:space="preserve">Cut the 2-3 minute demo video</t>
  </si>
  <si>
    <t xml:space="preserve">Web</t>
  </si>
  <si>
    <t xml:space="preserve">Edit the dry-run into a 2-3 min highlight reel for follow-up and LinkedIn.</t>
  </si>
  <si>
    <t xml:space="preserve">2-3 min MP4; no dead click. Evidence: the file.</t>
  </si>
  <si>
    <t xml:space="preserve">V1-21</t>
  </si>
  <si>
    <t xml:space="preserve">Sharpen the IQ product page; others 'coming soon'</t>
  </si>
  <si>
    <t xml:space="preserve">A6-7</t>
  </si>
  <si>
    <t xml:space="preserve">Complete the PlantProcess IQ page (description + benefit + graphics + honest claims); stub QES/Energy/Yard as 'coming soon'. Closes the A6-7 Critical for the presentation (full pack depth is V3).</t>
  </si>
  <si>
    <t xml:space="preserve">IQ page complete; honesty-lint green; others stubbed. Evidence: the page + lint pass.</t>
  </si>
  <si>
    <t xml:space="preserve">V1-22</t>
  </si>
  <si>
    <t xml:space="preserve">Wire website CTA to a real inbox (lead delivery)</t>
  </si>
  <si>
    <t xml:space="preserve">A6-10</t>
  </si>
  <si>
    <t xml:space="preserve">Point RequestDemoForm at a real delivery (email + a stored row) so a submission actually reaches you. (Hardened backend + e2e assert is V2-18.)</t>
  </si>
  <si>
    <t xml:space="preserve">A test submit lands in your inbox/DB. Evidence: the received lead.</t>
  </si>
  <si>
    <t xml:space="preserve">V2-01</t>
  </si>
  <si>
    <t xml:space="preserve">V2</t>
  </si>
  <si>
    <t xml:space="preserve">V2-P3 Stability + UI</t>
  </si>
  <si>
    <t xml:space="preserve">Full backend+frontend suite green twice on clean machine</t>
  </si>
  <si>
    <t xml:space="preserve">Codebase</t>
  </si>
  <si>
    <t xml:space="preserve">Beyond the 83-failure fix, run the whole suite (dotnet test + npm test + e2e) twice on a clean machine, quarantine and flag any flaky test deterministically.</t>
  </si>
  <si>
    <t xml:space="preserve">test &amp;&amp; e2e exit 0 twice on a fresh checkout. Evidence: two green logs + flaky ledger.</t>
  </si>
  <si>
    <t xml:space="preserve">V2-02</t>
  </si>
  <si>
    <t xml:space="preserve">Standardize all 151 native buttons onto StandardButton</t>
  </si>
  <si>
    <t xml:space="preserve">A1,A3</t>
  </si>
  <si>
    <t xml:space="preserve">A1-1, A3-3</t>
  </si>
  <si>
    <t xml:space="preserve">button-inventory.csv shows 151/164 wired native &lt;button&gt; off the design system (~8% adoption). Migrate them to StandardButton, batching by file; keep the inventory as the burn-down ledger.</t>
  </si>
  <si>
    <t xml:space="preserve">standardStatus non-standard count -&gt; 0; StandardButton snapshot/contract tests green. Evidence: regenerated inventory.</t>
  </si>
  <si>
    <t xml:space="preserve">V2-03</t>
  </si>
  <si>
    <t xml:space="preserve">E2E action-matrix enumerating every demo-path control</t>
  </si>
  <si>
    <t xml:space="preserve">A3-1</t>
  </si>
  <si>
    <t xml:space="preserve">Author an e2e matrix that enumerates every interactive control on the demo path and asserts each does something real - the structural no-dead-button proof.</t>
  </si>
  <si>
    <t xml:space="preserve">Matrix enumerates every demo control and passes. Evidence: the spec + report.</t>
  </si>
  <si>
    <t xml:space="preserve">V2-04</t>
  </si>
  <si>
    <t xml:space="preserve">Visual-regression harness (baseline + diff gate)</t>
  </si>
  <si>
    <t xml:space="preserve">A3-3</t>
  </si>
  <si>
    <t xml:space="preserve">Capture baseline screenshots of the demo pages and gate PRs on pixel diffs above a threshold.</t>
  </si>
  <si>
    <t xml:space="preserve">Visual-regression green on the demo path; an intentional change is caught. Evidence: the report.</t>
  </si>
  <si>
    <t xml:space="preserve">V2-05</t>
  </si>
  <si>
    <t xml:space="preserve">Nightly full-suite CI job (cron)</t>
  </si>
  <si>
    <t xml:space="preserve">Non-code-tech</t>
  </si>
  <si>
    <t xml:space="preserve">Add a Jenkins cron that runs up-&gt;migrate-&gt;seed-&gt;test-&gt;e2e on an ephemeral stack nightly with a pass/fail trend (the blocking stages already exist in the Jenkinsfile).</t>
  </si>
  <si>
    <t xml:space="preserve">Nightly job runs the full suite + e2e and records a trend. Evidence: two nightly runs.</t>
  </si>
  <si>
    <t xml:space="preserve">V2-06</t>
  </si>
  <si>
    <t xml:space="preserve">Health dashboard (suite/e2e pass-rate, flaky count)</t>
  </si>
  <si>
    <t xml:space="preserve">A4-4</t>
  </si>
  <si>
    <t xml:space="preserve">Normal</t>
  </si>
  <si>
    <t xml:space="preserve">A small dashboard showing suite + e2e pass-rate, soak result, and open-flaky count.</t>
  </si>
  <si>
    <t xml:space="preserve">Dashboard renders the trend. Evidence: screenshot.</t>
  </si>
  <si>
    <t xml:space="preserve">V2-07</t>
  </si>
  <si>
    <t xml:space="preserve">V2-P4 License + Role + Security</t>
  </si>
  <si>
    <t xml:space="preserve">MFA step-up for admin accounts</t>
  </si>
  <si>
    <t xml:space="preserve">A2-4</t>
  </si>
  <si>
    <t xml:space="preserve">Add an MFA step-up for admin-role actions (doctrine requires admin MFA). TOTP enrolment + challenge on privileged endpoints.</t>
  </si>
  <si>
    <t xml:space="preserve">Admin login requires the second factor live; a non-MFA admin call is rejected. Evidence: test + clip.</t>
  </si>
  <si>
    <t xml:space="preserve">V2-08</t>
  </si>
  <si>
    <t xml:space="preserve">Deepen license tiers: caps enforced + expiry/grace + admin governance</t>
  </si>
  <si>
    <t xml:space="preserve">A5-3</t>
  </si>
  <si>
    <t xml:space="preserve">Enforce the signed seat/source/job/dashboard caps; surface issue/expiry from the token; on expiry -&gt; warnings -&gt; configurable read-only grace (data never destroyed); add admin governance to view entitlement + caps.</t>
  </si>
  <si>
    <t xml:space="preserve">A live Enterprise-&gt;Pro toggle changes caps; exceeding a seat cap is blocked; expiry triggers grace. Evidence: tests + clip.</t>
  </si>
  <si>
    <t xml:space="preserve">V2-09</t>
  </si>
  <si>
    <t xml:space="preserve">Full RBAC role-scope live across 6 roles</t>
  </si>
  <si>
    <t xml:space="preserve">A5-2</t>
  </si>
  <si>
    <t xml:space="preserve">Owner/Plant-Admin/Data-Engineer/Engineer/Operator/Viewer-Executive: enforce per-role view/edit scope on every page/endpoint and prove it across all six logins.</t>
  </si>
  <si>
    <t xml:space="preserve">Authorization matrix green by identity; each role sees only its scope live. Evidence: matrix test + clips.</t>
  </si>
  <si>
    <t xml:space="preserve">V2-10</t>
  </si>
  <si>
    <t xml:space="preserve">Enforce RLS on core tables (decide tenant_id; non-superuser app role)</t>
  </si>
  <si>
    <t xml:space="preserve">A2-6</t>
  </si>
  <si>
    <t xml:space="preserve">Decide deliberately (RLS-scoped core vs single-tenant-per-deploy). If multi-tenant: add tenant_id to the core EF entities model-first, run the app under a non-superuser role so RLS is actually enforced (locally ppiq_dev is bypassrls), and prove cross-tenant 403/empty.</t>
  </si>
  <si>
    <t xml:space="preserve">Cross-tenant access returns 403/empty live under a non-superuser role. Evidence: RlsTenantIsolation test green + clip.</t>
  </si>
  <si>
    <t xml:space="preserve">V2-11</t>
  </si>
  <si>
    <t xml:space="preserve">Encryption at rest: staging/canonical/credential-vault</t>
  </si>
  <si>
    <t xml:space="preserve">A2-9</t>
  </si>
  <si>
    <t xml:space="preserve">Enable encryption at rest for the staging/canonical stores and the credential vault; confirm secrets never reach the browser.</t>
  </si>
  <si>
    <t xml:space="preserve">At-rest encryption on; audit-immutability green in CI. Evidence: config + CI run.</t>
  </si>
  <si>
    <t xml:space="preserve">V2-12</t>
  </si>
  <si>
    <t xml:space="preserve">Pricing &amp; license-tiers page (grants/renewal/caps)</t>
  </si>
  <si>
    <t xml:space="preserve">Publish the tier grants, renewal terms and caps so a buyer's licensing questions are answered before the call.</t>
  </si>
  <si>
    <t xml:space="preserve">Tiers page live; honesty-lint green. Evidence: the page.</t>
  </si>
  <si>
    <t xml:space="preserve">V2-13</t>
  </si>
  <si>
    <t xml:space="preserve">V2-P5 AI/ML quality</t>
  </si>
  <si>
    <t xml:space="preserve">Sharpen AI/ML results: calibration, effect-size ranking, stratified quality</t>
  </si>
  <si>
    <t xml:space="preserve">A3-7, A3-11</t>
  </si>
  <si>
    <t xml:space="preserve">G4</t>
  </si>
  <si>
    <t xml:space="preserve">Build on the 1,172-line compute engine: add confidence calibration, rank by effect size (not just p), and improve stratified-finding quality so results are more exact and more impressive - while keeping every number cited.</t>
  </si>
  <si>
    <t xml:space="preserve">On the golden dataset, true signals recovered + spurious rejected under FDR; calibrated confidences; a live recompute. Evidence: golden-set test + clip.</t>
  </si>
  <si>
    <t xml:space="preserve">V2-14</t>
  </si>
  <si>
    <t xml:space="preserve">Impressive evidence-ranked suggestion engine (deterministic, euro impact)</t>
  </si>
  <si>
    <t xml:space="preserve">Deterministic, MD5-stable suggestions ranked by evidence + euro impact, workflow-bound with RBAC, surfaced in SuggestionCardsPanel - the 'told me something I didn't know, and proved it' moment.</t>
  </si>
  <si>
    <t xml:space="preserve">Suggestions render with population, method, evidence handle and a euro range; reproducible IDs. Evidence: test + clip.</t>
  </si>
  <si>
    <t xml:space="preserve">V2-15</t>
  </si>
  <si>
    <t xml:space="preserve">Assistant eval harness + model-version governance gate</t>
  </si>
  <si>
    <t xml:space="preserve">A2-8</t>
  </si>
  <si>
    <t xml:space="preserve">G13</t>
  </si>
  <si>
    <t xml:space="preserve">A regression harness for the assistant (no-uncited-number, abstain, grounding) that gates a model-version change.</t>
  </si>
  <si>
    <t xml:space="preserve">Harness blocks a regression on a model swap. Evidence: the gate firing in CI.</t>
  </si>
  <si>
    <t xml:space="preserve">V2-16</t>
  </si>
  <si>
    <t xml:space="preserve">Wire DataBoundaryPolicy into assistant dispatch (no-egress live)</t>
  </si>
  <si>
    <t xml:space="preserve">Route every assistant call through the gateway so only question + scoped evidence leaves; honour a per-tenant no-egress toggle (self-hosted default).</t>
  </si>
  <si>
    <t xml:space="preserve">Self-hosted mode leaks nothing; private-endpoint sends only question+evidence; toggle proven. Evidence: test + capture.</t>
  </si>
  <si>
    <t xml:space="preserve">V2-17</t>
  </si>
  <si>
    <t xml:space="preserve">Wire SourceLoadProtectionPolicy into the live query path</t>
  </si>
  <si>
    <t xml:space="preserve">A2-3</t>
  </si>
  <si>
    <t xml:space="preserve">G11</t>
  </si>
  <si>
    <t xml:space="preserve">Enforce the per-source impact budget on a real query path so an over-budget query is throttled, not just policy-defined.</t>
  </si>
  <si>
    <t xml:space="preserve">An over-budget query is throttled live. Evidence: test + clip.</t>
  </si>
  <si>
    <t xml:space="preserve">V2-18</t>
  </si>
  <si>
    <t xml:space="preserve">Real lead-capture backend (form-&gt;DB row+email, e2e asserts)</t>
  </si>
  <si>
    <t xml:space="preserve">Harden the CTA path into a real backend: validated submit -&gt; stored row + email, with an e2e test asserting the row.</t>
  </si>
  <si>
    <t xml:space="preserve">e2e asserts a lead row + email on submit. Evidence: the test.</t>
  </si>
  <si>
    <t xml:space="preserve">V2-19</t>
  </si>
  <si>
    <t xml:space="preserve">V2-P6 Docs + hygiene</t>
  </si>
  <si>
    <t xml:space="preserve">'How to use' user guide WITH app screenshots + 9-step walkthrough</t>
  </si>
  <si>
    <t xml:space="preserve">A6-6</t>
  </si>
  <si>
    <t xml:space="preserve">A user guide with real app screenshots walking the 9-step flow (connect -&gt; map -&gt; build -&gt; run -&gt; dashboard -&gt; genealogy -&gt; value -&gt; assistant -&gt; export).</t>
  </si>
  <si>
    <t xml:space="preserve">Guide exists with current screenshots + the walkthrough. Evidence: the file.</t>
  </si>
  <si>
    <t xml:space="preserve">V2-20</t>
  </si>
  <si>
    <t xml:space="preserve">'How to install' deployment runbook WITH screenshots</t>
  </si>
  <si>
    <t xml:space="preserve">A4-9</t>
  </si>
  <si>
    <t xml:space="preserve">A step-by-step install runbook (local + server) with screenshots, env layout, and the one-command path - so a clean machine reaches a working login by runbook alone.</t>
  </si>
  <si>
    <t xml:space="preserve">A reviewer follows it to a working login. Evidence: the file + a dry-run note.</t>
  </si>
  <si>
    <t xml:space="preserve">V2-21</t>
  </si>
  <si>
    <t xml:space="preserve">Admin/Operator guide WITH screenshots</t>
  </si>
  <si>
    <t xml:space="preserve">A4-1</t>
  </si>
  <si>
    <t xml:space="preserve">Admin + operator workflows (users, roles, sources, mapping, jobs) with screenshots.</t>
  </si>
  <si>
    <t xml:space="preserve">Guide exists + reviewed once. Evidence: the file.</t>
  </si>
  <si>
    <t xml:space="preserve">V2-22</t>
  </si>
  <si>
    <t xml:space="preserve">Security whitepaper (posture, data boundary, OT-safety)</t>
  </si>
  <si>
    <t xml:space="preserve">A2-1</t>
  </si>
  <si>
    <t xml:space="preserve">G16</t>
  </si>
  <si>
    <t xml:space="preserve">The procurement-facing security posture: Argon2id, signed licensing, read-only/OT-safe, tenant isolation, audit, data boundary.</t>
  </si>
  <si>
    <t xml:space="preserve">Whitepaper exists + reviewed once. Evidence: the file.</t>
  </si>
  <si>
    <t xml:space="preserve">V2-23</t>
  </si>
  <si>
    <t xml:space="preserve">API reference</t>
  </si>
  <si>
    <t xml:space="preserve">A1-7</t>
  </si>
  <si>
    <t xml:space="preserve">Generate/curate an API reference for the public endpoints (auth, licensing, connectors, analytics, value).</t>
  </si>
  <si>
    <t xml:space="preserve">API reference published. Evidence: the file/site.</t>
  </si>
  <si>
    <t xml:space="preserve">V2-24</t>
  </si>
  <si>
    <t xml:space="preserve">Naming golden-rule pass: rename 193 phase/task-named artifacts</t>
  </si>
  <si>
    <t xml:space="preserve">A1-4</t>
  </si>
  <si>
    <t xml:space="preserve">Refactor</t>
  </si>
  <si>
    <t xml:space="preserve">193 files carry phase/task tokens (p03_p04, phase8, T042, _v6_, hotfix). Rename to descriptive names and update references; preserve only ordered-migration numeric prefixes (strip the embedded phase label).</t>
  </si>
  <si>
    <t xml:space="preserve">The phase/task-token grep returns 0 (outside ordered-prefix migrations); build + tests green. Evidence: grep + green build.</t>
  </si>
  <si>
    <t xml:space="preserve">V2-25</t>
  </si>
  <si>
    <t xml:space="preserve">HasDefaultSchema -&gt; ppiq_meta/ppiq_plant for EF entities</t>
  </si>
  <si>
    <t xml:space="preserve">A1-3</t>
  </si>
  <si>
    <t xml:space="preserve">Add HasDefaultSchema mapping so EF tables land in ppiq_meta/ppiq_plant instead of public, realising the app-metadata vs customer-data split. (Residual of the old 000_schemas task.)</t>
  </si>
  <si>
    <t xml:space="preserve">`\dt ppiq_meta.*` and `ppiq_plant.*` list the EF tables after migrate. Evidence: psql output.</t>
  </si>
  <si>
    <t xml:space="preserve">V3-01</t>
  </si>
  <si>
    <t xml:space="preserve">V3</t>
  </si>
  <si>
    <t xml:space="preserve">V3-P7 Multi-industry data</t>
  </si>
  <si>
    <t xml:space="preserve">Second-industry demo dataset (paper/board line) + mapping templates</t>
  </si>
  <si>
    <t xml:space="preserve">A1-6</t>
  </si>
  <si>
    <t xml:space="preserve">G1</t>
  </si>
  <si>
    <t xml:space="preserve">Author a realistic paper/board demo plant (sources + imperfections) and the canonical-mapping templates that map it - proving the platform is generic beyond flat steel.</t>
  </si>
  <si>
    <t xml:space="preserve">ppiq.ps1 up-sources brings up the paper fleet healthy; the canonical model maps it; a genealogy thread resolves. Evidence: counts + clip.</t>
  </si>
  <si>
    <t xml:space="preserve">V3-02</t>
  </si>
  <si>
    <t xml:space="preserve">Third-industry demo dataset (food &amp; beverage) + tier configs</t>
  </si>
  <si>
    <t xml:space="preserve">A food &amp; beverage demo plant + tier-specific configs, demonstrating per-industry/per-tier datasets.</t>
  </si>
  <si>
    <t xml:space="preserve">F&amp;B fleet healthy + mapped; tier configs switch. Evidence: counts + clip.</t>
  </si>
  <si>
    <t xml:space="preserve">V3-03</t>
  </si>
  <si>
    <t xml:space="preserve">Generic canonical-mapping template library + no-code visual-mapper polish</t>
  </si>
  <si>
    <t xml:space="preserve">A4-2</t>
  </si>
  <si>
    <t xml:space="preserve">A reusable template library + a polished no-code visual mapper so the common case needs no SQL (safe-SQL only for the long tail).</t>
  </si>
  <si>
    <t xml:space="preserve">A new source is mapped live with no code via a template; a KPI-as-view is built. Evidence: clip.</t>
  </si>
  <si>
    <t xml:space="preserve">V3-04</t>
  </si>
  <si>
    <t xml:space="preserve">Demo dataset polish + per-industry scripted reset</t>
  </si>
  <si>
    <t xml:space="preserve">A4-3</t>
  </si>
  <si>
    <t xml:space="preserve">Polish each demo dataset and add a one-command scripted reset per industry so any prospect sees the same clean story.</t>
  </si>
  <si>
    <t xml:space="preserve">One command resets+reseeds an industry to a known state. Evidence: run log.</t>
  </si>
  <si>
    <t xml:space="preserve">V3-05</t>
  </si>
  <si>
    <t xml:space="preserve">Historian connector to GA (behavioural-tested)</t>
  </si>
  <si>
    <t xml:space="preserve">Bring one historian/OPC connector to GA with honest availability + behavioural tests, broadening reach toward incumbents.</t>
  </si>
  <si>
    <t xml:space="preserve">The connector passes behavioural tests live; credentials never on read-back. Evidence: tests + clip.</t>
  </si>
  <si>
    <t xml:space="preserve">V3-06</t>
  </si>
  <si>
    <t xml:space="preserve">One-command customer-install package (per-industry overlay)</t>
  </si>
  <si>
    <t xml:space="preserve">Deploy</t>
  </si>
  <si>
    <t xml:space="preserve">A one-command install that takes the server overlay + a customer .env (+ an industry overlay) to a working install.</t>
  </si>
  <si>
    <t xml:space="preserve">A clean machine reaches a working login via one command. Evidence: run log.</t>
  </si>
  <si>
    <t xml:space="preserve">V3-07</t>
  </si>
  <si>
    <t xml:space="preserve">V3-P8 Accessibility + scale</t>
  </si>
  <si>
    <t xml:space="preserve">WCAG 2.1 AA light theme + contrast audit</t>
  </si>
  <si>
    <t xml:space="preserve">A6-4</t>
  </si>
  <si>
    <t xml:space="preserve">G14</t>
  </si>
  <si>
    <t xml:space="preserve">Add a contrast-audited WCAG 2.1 AA light theme alongside the dark one.</t>
  </si>
  <si>
    <t xml:space="preserve">AA contrast audit passes on the light theme. Evidence: audit report.</t>
  </si>
  <si>
    <t xml:space="preserve">V3-08</t>
  </si>
  <si>
    <t xml:space="preserve">Arabic RTL + locale/units/timezone switching per user</t>
  </si>
  <si>
    <t xml:space="preserve">A6-8</t>
  </si>
  <si>
    <t xml:space="preserve">RTL layout for Arabic + per-user locale, units and timezone switching.</t>
  </si>
  <si>
    <t xml:space="preserve">Arabic RTL renders; units/timezone switch per user. Evidence: clips.</t>
  </si>
  <si>
    <t xml:space="preserve">V3-09</t>
  </si>
  <si>
    <t xml:space="preserve">i18n as resource files (.resx/JSON) + fix mojibake</t>
  </si>
  <si>
    <t xml:space="preserve">A6-2</t>
  </si>
  <si>
    <t xml:space="preserve">Move German/Arabic strings out of SQL seeds into resource files and repair the encoding-damaged (mojibake) translations.</t>
  </si>
  <si>
    <t xml:space="preserve">Strings load from resources; no mojibake; honesty-lint green. Evidence: rendered locales.</t>
  </si>
  <si>
    <t xml:space="preserve">V3-10</t>
  </si>
  <si>
    <t xml:space="preserve">Performance-at-scale validation (630/5,600, virtualized tables)</t>
  </si>
  <si>
    <t xml:space="preserve">A3-9</t>
  </si>
  <si>
    <t xml:space="preserve">Measure interaction latency at &gt;=630 heats / &gt;=5,600 coils with virtualized tables; assert performance budgets.</t>
  </si>
  <si>
    <t xml:space="preserve">No lag at demo scale; budgets met (measured). Evidence: perf report.</t>
  </si>
  <si>
    <t xml:space="preserve">V3-11</t>
  </si>
  <si>
    <t xml:space="preserve">Soak job (24-72h synthetic load on demo path)</t>
  </si>
  <si>
    <t xml:space="preserve">Hold the stack up under a synthetic load driver on the demo path; assert no memory growth, no unhandled rejections, no crashed jobs - the 'tested for days' evidence.</t>
  </si>
  <si>
    <t xml:space="preserve">A 24-72h soak passes clean. Evidence: soak report.</t>
  </si>
  <si>
    <t xml:space="preserve">V3-12</t>
  </si>
  <si>
    <t xml:space="preserve">QES product page to depth</t>
  </si>
  <si>
    <t xml:space="preserve">Optional</t>
  </si>
  <si>
    <t xml:space="preserve">Build the Quality/Surface pack page to IQ depth (description+benefit+graphics+licensing); honesty-lint green.</t>
  </si>
  <si>
    <t xml:space="preserve">QES page complete; lint green. Evidence: the page.</t>
  </si>
  <si>
    <t xml:space="preserve">V3-13</t>
  </si>
  <si>
    <t xml:space="preserve">Energy Management product page to depth</t>
  </si>
  <si>
    <t xml:space="preserve">Build the Energy pack page to IQ depth; honesty-lint green.</t>
  </si>
  <si>
    <t xml:space="preserve">Energy page complete; lint green. Evidence: the page.</t>
  </si>
  <si>
    <t xml:space="preserve">V4-01</t>
  </si>
  <si>
    <t xml:space="preserve">V4</t>
  </si>
  <si>
    <t xml:space="preserve">V4-P9 Ops/HA + OT</t>
  </si>
  <si>
    <t xml:space="preserve">Backup/restore drill (verified restore, recorded)</t>
  </si>
  <si>
    <t xml:space="preserve">Document and perform a backup + verified restore drill; record it.</t>
  </si>
  <si>
    <t xml:space="preserve">A restore is performed + verified, recorded. Evidence: the recording.</t>
  </si>
  <si>
    <t xml:space="preserve">V4-02</t>
  </si>
  <si>
    <t xml:space="preserve">Verify deploy rollback to :previous</t>
  </si>
  <si>
    <t xml:space="preserve">Tag and test rollback to the previous image on a bad deploy.</t>
  </si>
  <si>
    <t xml:space="preserve">A bad deploy rolls back to :previous. Evidence: run log.</t>
  </si>
  <si>
    <t xml:space="preserve">V4-03</t>
  </si>
  <si>
    <t xml:space="preserve">Time-series store (hypertables, compression, retention)</t>
  </si>
  <si>
    <t xml:space="preserve">Add the time-series-optimized store for high-frequency process parameters (hypertables/columnar, compression, downsampling, retention).</t>
  </si>
  <si>
    <t xml:space="preserve">Process-parameter ingest scales on the TS store; retention applies. Evidence: load test + config.</t>
  </si>
  <si>
    <t xml:space="preserve">V4-04</t>
  </si>
  <si>
    <t xml:space="preserve">Deployable OT-safe edge agent (one-way push)</t>
  </si>
  <si>
    <t xml:space="preserve">A2-2</t>
  </si>
  <si>
    <t xml:space="preserve">Turn the OtSafeEdgeCollectorGateway contract into a deployable agent in the DMZ that pushes one-way (CDC/replica preferred); no inbound path to OT.</t>
  </si>
  <si>
    <t xml:space="preserve">The agent pushes one-way; no inbound OT path; source-load within budget. Evidence: deploy + capture.</t>
  </si>
  <si>
    <t xml:space="preserve">V4-05</t>
  </si>
  <si>
    <t xml:space="preserve">Human-approved advisory write-back (business workflow, never OT)</t>
  </si>
  <si>
    <t xml:space="preserve">A5-1</t>
  </si>
  <si>
    <t xml:space="preserve">The read-only ceiling-raiser: an advisory write-back to a BUSINESS workflow (never a control system) that requires human approval + audit.</t>
  </si>
  <si>
    <t xml:space="preserve">A write-back requires approval + is audited; no OT path. Evidence: test + clip.</t>
  </si>
  <si>
    <t xml:space="preserve">V4-06</t>
  </si>
  <si>
    <t xml:space="preserve">Enforce performance budgets in CI</t>
  </si>
  <si>
    <t xml:space="preserve">A1-9</t>
  </si>
  <si>
    <t xml:space="preserve">Gate CI on the demo-path performance budgets so a regression fails the build.</t>
  </si>
  <si>
    <t xml:space="preserve">A budget regression fails CI. Evidence: the gate firing.</t>
  </si>
  <si>
    <t xml:space="preserve">V4-07</t>
  </si>
  <si>
    <t xml:space="preserve">Load-test at reference-plant scale</t>
  </si>
  <si>
    <t xml:space="preserve">Run a load test at the reference customer's real scale.</t>
  </si>
  <si>
    <t xml:space="preserve">Load test passes at reference scale. Evidence: report.</t>
  </si>
  <si>
    <t xml:space="preserve">V4-08</t>
  </si>
  <si>
    <t xml:space="preserve">V4-P10 Compliance + ops</t>
  </si>
  <si>
    <t xml:space="preserve">Start SOC 2 Type II observation window</t>
  </si>
  <si>
    <t xml:space="preserve">Open the SOC 2 Type II observation window with an auditor/tool now (6-12 month window; starting late gates a year).</t>
  </si>
  <si>
    <t xml:space="preserve">Observation window opened. Evidence: auditor/tool confirmation.</t>
  </si>
  <si>
    <t xml:space="preserve">V4-09</t>
  </si>
  <si>
    <t xml:space="preserve">ISO 27001 mapping + sensitive-data catalog</t>
  </si>
  <si>
    <t xml:space="preserve">Map controls to ISO 27001 and build a sensitive-data catalog.</t>
  </si>
  <si>
    <t xml:space="preserve">Mapping + catalog exist. Evidence: the docs.</t>
  </si>
  <si>
    <t xml:space="preserve">V4-10</t>
  </si>
  <si>
    <t xml:space="preserve">GxP / 21 CFR Part 11 pack (audit trail, e-signature)</t>
  </si>
  <si>
    <t xml:space="preserve">A regulated-industries pack (audit trails, e-signature, validation evidence) for pharma/regulated process plants.</t>
  </si>
  <si>
    <t xml:space="preserve">GxP audit-trail + e-signature available where required. Evidence: the pack + test.</t>
  </si>
  <si>
    <t xml:space="preserve">V4-11</t>
  </si>
  <si>
    <t xml:space="preserve">Public status page</t>
  </si>
  <si>
    <t xml:space="preserve">A public status/health page.</t>
  </si>
  <si>
    <t xml:space="preserve">Status page live. Evidence: the URL.</t>
  </si>
  <si>
    <t xml:space="preserve">V4-12</t>
  </si>
  <si>
    <t xml:space="preserve">AI triage loop (agent drafts fix PRs, human-approved)</t>
  </si>
  <si>
    <t xml:space="preserve">An agent reads the latest CI failure + failing test + surrounding code and drafts a fix as a PR with diff + explanation for your review (never auto-merged); flags/quarantines flakies.</t>
  </si>
  <si>
    <t xml:space="preserve">The agent opens a reviewable fix PR for a real failure. Evidence: a sample PR.</t>
  </si>
  <si>
    <t xml:space="preserve">V4-13</t>
  </si>
  <si>
    <t xml:space="preserve">Recorded certified dry-run (one-click readiness on video)</t>
  </si>
  <si>
    <t xml:space="preserve">Record the one-click readiness check green end-to-end - the certified pilot acceptance artifact.</t>
  </si>
  <si>
    <t xml:space="preserve">One-click readiness green on video. Evidence: the recording.</t>
  </si>
  <si>
    <t xml:space="preserve">V4-14</t>
  </si>
  <si>
    <t xml:space="preserve">Consolidate full operator/admin/security docs</t>
  </si>
  <si>
    <t xml:space="preserve">Consolidate the V2 docs into a published operator/admin/security suite for a customer to run + you to support.</t>
  </si>
  <si>
    <t xml:space="preserve">Docs published. Evidence: the site/files.</t>
  </si>
  <si>
    <t xml:space="preserve">V4-15</t>
  </si>
  <si>
    <t xml:space="preserve">V4-P11 Business/Reference</t>
  </si>
  <si>
    <t xml:space="preserve">Incorporate (UG/GmbH) + imprint</t>
  </si>
  <si>
    <t xml:space="preserve">Admin-business</t>
  </si>
  <si>
    <t xml:space="preserve">Register the entity (lets you invoice) + publish the imprint.</t>
  </si>
  <si>
    <t xml:space="preserve">Entity registered; imprint live. Evidence: registration.</t>
  </si>
  <si>
    <t xml:space="preserve">V4-16</t>
  </si>
  <si>
    <t xml:space="preserve">Pilot contract + MNDA + DPA templates</t>
  </si>
  <si>
    <t xml:space="preserve">Lawyer-reviewed pilot contract, MNDA and DPA templates so you can sign when M1 lands.</t>
  </si>
  <si>
    <t xml:space="preserve">Templates reviewed + ready. Evidence: the files.</t>
  </si>
  <si>
    <t xml:space="preserve">V4-17</t>
  </si>
  <si>
    <t xml:space="preserve">Target list + outreach sequence (PSI network)</t>
  </si>
  <si>
    <t xml:space="preserve">A named list of 8-12 plants via your PSI network + a sent outreach sequence.</t>
  </si>
  <si>
    <t xml:space="preserve">Named list + sent sequence; &gt;=3 conversations opened. Evidence: the list + sent log.</t>
  </si>
  <si>
    <t xml:space="preserve">V4-18</t>
  </si>
  <si>
    <t xml:space="preserve">Convert presentation customer into a signed paid pilot</t>
  </si>
  <si>
    <t xml:space="preserve">The M2 spine: convert the presentation customer to a signed paid pilot.</t>
  </si>
  <si>
    <t xml:space="preserve">A signed pilot exists. Evidence: the signature.</t>
  </si>
  <si>
    <t xml:space="preserve">V4-19</t>
  </si>
  <si>
    <t xml:space="preserve">Prove ROI on the customer's real data (pilot deliverable)</t>
  </si>
  <si>
    <t xml:space="preserve">Run the value engine on the customer's real pilot data and produce a measured before/after - what converts the pilot to the license.</t>
  </si>
  <si>
    <t xml:space="preserve">A proven ROI figure on their data. Evidence: the report.</t>
  </si>
  <si>
    <t xml:space="preserve">V4-20</t>
  </si>
  <si>
    <t xml:space="preserve">Run the paid pilot</t>
  </si>
  <si>
    <t xml:space="preserve">Execute the 6-8 week pilot on the customer's sources.</t>
  </si>
  <si>
    <t xml:space="preserve">Pilot delivered to acceptance. Evidence: acceptance sign-off.</t>
  </si>
  <si>
    <t xml:space="preserve">V4-21</t>
  </si>
  <si>
    <t xml:space="preserve">Convert pilot to a signed contract</t>
  </si>
  <si>
    <t xml:space="preserve">Convert the proven pilot into a signed EUR120k/yr license.</t>
  </si>
  <si>
    <t xml:space="preserve">A signed contract exists. Evidence: the signature.</t>
  </si>
  <si>
    <t xml:space="preserve">V4-22</t>
  </si>
  <si>
    <t xml:space="preserve">Produce the case study / reference</t>
  </si>
  <si>
    <t xml:space="preserve">A quotable, numbers-backed case study from the pilot - the next buyer needs to see it.</t>
  </si>
  <si>
    <t xml:space="preserve">A case study with before/after exists. Evidence: the file.</t>
  </si>
  <si>
    <t xml:space="preserve">V4-23</t>
  </si>
  <si>
    <t xml:space="preserve">Viability arrangement (hire / escrow+BCP / partner)</t>
  </si>
  <si>
    <t xml:space="preserve">Lower the bus-factor objection: a hire/co-founder OR source-escrow+BCP OR an OEM/partner - one, documented.</t>
  </si>
  <si>
    <t xml:space="preserve">One viability arrangement in place + documented. Evidence: the doc.</t>
  </si>
  <si>
    <t xml:space="preserve">V4-24</t>
  </si>
  <si>
    <t xml:space="preserve">Support SLA offering</t>
  </si>
  <si>
    <t xml:space="preserve">Publish small SLA tiers so you can charge a contract price.</t>
  </si>
  <si>
    <t xml:space="preserve">Published SLA tiers. Evidence: the page.</t>
  </si>
  <si>
    <t xml:space="preserve">V4-25</t>
  </si>
  <si>
    <t xml:space="preserve">Funding / partnership decision</t>
  </si>
  <si>
    <t xml:space="preserve">A written decision on the funding/partnership path + next step.</t>
  </si>
  <si>
    <t xml:space="preserve">A written decision + next step. Evidence: the doc.</t>
  </si>
  <si>
    <t xml:space="preserve">TOTAL (all versions)</t>
  </si>
  <si>
    <t xml:space="preserve">Version Summary   ·   effort + the floor each version lifts</t>
  </si>
  <si>
    <t xml:space="preserve">Theme</t>
  </si>
  <si>
    <t xml:space="preserve">Tasks</t>
  </si>
  <si>
    <t xml:space="preserve">&lt; 100 h?</t>
  </si>
  <si>
    <t xml:space="preserve">Defining outcome (deployable)</t>
  </si>
  <si>
    <t xml:space="preserve">Personas it lifts</t>
  </si>
  <si>
    <t xml:space="preserve">Floor after</t>
  </si>
  <si>
    <t xml:space="preserve">First Release — Presentation-Ready</t>
  </si>
  <si>
    <t xml:space="preserve">Live recorded demo + healthy deploy + ROI + collateral + sharp website</t>
  </si>
  <si>
    <t xml:space="preserve">A3,A5,A6 (the demo-gating lenses)</t>
  </si>
  <si>
    <t xml:space="preserve">~70-76</t>
  </si>
  <si>
    <t xml:space="preserve">Product Depth — license/role · AI-ML · tests · docs</t>
  </si>
  <si>
    <t xml:space="preserve">Suite green twice, MFA + tier/role depth, sharper AI + suggestions, docs w/ screenshots</t>
  </si>
  <si>
    <t xml:space="preserve">A1,A2,A5 to Solid</t>
  </si>
  <si>
    <t xml:space="preserve">~75-80</t>
  </si>
  <si>
    <t xml:space="preserve">Generic &amp; Multi-Industry</t>
  </si>
  <si>
    <t xml:space="preserve">Paper + food datasets, generic mapper, historian GA, WCAG + RTL, scale</t>
  </si>
  <si>
    <t xml:space="preserve">A1,A3,A4,A6 generic depth</t>
  </si>
  <si>
    <t xml:space="preserve">~76-82</t>
  </si>
  <si>
    <t xml:space="preserve">Enterprise &amp; Reference</t>
  </si>
  <si>
    <t xml:space="preserve">HA + OT agent + advisory write-back + SOC2/ISO + signed pilot + case study</t>
  </si>
  <si>
    <t xml:space="preserve">A2,A4,A5 enterprise + reference</t>
  </si>
  <si>
    <t xml:space="preserve">~80+</t>
  </si>
  <si>
    <t xml:space="preserve">TOTAL</t>
  </si>
  <si>
    <t xml:space="preserve">Phase Summary   ·   each phase deployable; V2-V4 phases held to ~45-65 h</t>
  </si>
  <si>
    <t xml:space="preserve">45-65 h band?</t>
  </si>
  <si>
    <t xml:space="preserve">V1's two phases run ~54 h and ~42 h (kept tight so the whole release stays under 100 h). V2-V4 phases are sized to the 45-65 h working band; each phase ends deployable.</t>
  </si>
  <si>
    <t xml:space="preserve">Coverage to 75   ·   every sub-criterion has a lifting task and projects &gt;=75</t>
  </si>
  <si>
    <t xml:space="preserve">Current floors (20-Jun): A1 63 · A2 72 · A3 61 (headline) · A4 64 · A5 67 · A6 63.   Target: all six personas AND all 63 sub-criteria &gt;=75.</t>
  </si>
  <si>
    <t xml:space="preserve">Sub-criterion</t>
  </si>
  <si>
    <t xml:space="preserve">Name</t>
  </si>
  <si>
    <t xml:space="preserve">Current</t>
  </si>
  <si>
    <t xml:space="preserve">Lifting task(s)</t>
  </si>
  <si>
    <t xml:space="preserve">Projected</t>
  </si>
  <si>
    <t xml:space="preserve">A1-1</t>
  </si>
  <si>
    <t xml:space="preserve">Hygiene &amp; clean code</t>
  </si>
  <si>
    <t xml:space="preserve">Stability under change</t>
  </si>
  <si>
    <t xml:space="preserve">V1-06 / V2-01</t>
  </si>
  <si>
    <t xml:space="preserve">V1-&gt;V2</t>
  </si>
  <si>
    <t xml:space="preserve">Repo structure</t>
  </si>
  <si>
    <t xml:space="preserve">V1-03 / V2-25</t>
  </si>
  <si>
    <t xml:space="preserve">Naming &amp; structure</t>
  </si>
  <si>
    <t xml:space="preserve">A1-5</t>
  </si>
  <si>
    <t xml:space="preserve">Tests execute, not enumerate</t>
  </si>
  <si>
    <t xml:space="preserve">holds (CI truth-gate)</t>
  </si>
  <si>
    <t xml:space="preserve">-</t>
  </si>
  <si>
    <t xml:space="preserve">Generic any-DB</t>
  </si>
  <si>
    <t xml:space="preserve">V3-01 / V3-05</t>
  </si>
  <si>
    <t xml:space="preserve">Extensibility</t>
  </si>
  <si>
    <t xml:space="preserve">V3-05 / V2-23</t>
  </si>
  <si>
    <t xml:space="preserve">V2/V3</t>
  </si>
  <si>
    <t xml:space="preserve">A1-8</t>
  </si>
  <si>
    <t xml:space="preserve">Structural consistency</t>
  </si>
  <si>
    <t xml:space="preserve">Pipeline &amp; deploy</t>
  </si>
  <si>
    <t xml:space="preserve">V1-03 / V4-06</t>
  </si>
  <si>
    <t xml:space="preserve">V1/V4</t>
  </si>
  <si>
    <t xml:space="preserve">A1-10</t>
  </si>
  <si>
    <t xml:space="preserve">Switchable profiles</t>
  </si>
  <si>
    <t xml:space="preserve">V1-01 / V2-09</t>
  </si>
  <si>
    <t xml:space="preserve">V1/V2</t>
  </si>
  <si>
    <t xml:space="preserve">A1-11</t>
  </si>
  <si>
    <t xml:space="preserve">No silent failure</t>
  </si>
  <si>
    <t xml:space="preserve">V1-12 / V2-03</t>
  </si>
  <si>
    <t xml:space="preserve">A1-12</t>
  </si>
  <si>
    <t xml:space="preserve">Endpoint resilience</t>
  </si>
  <si>
    <t xml:space="preserve">Read-only absolute</t>
  </si>
  <si>
    <t xml:space="preserve">holds; V2-22 reinforces</t>
  </si>
  <si>
    <t xml:space="preserve">OT-safe topology</t>
  </si>
  <si>
    <t xml:space="preserve">Source-load protection</t>
  </si>
  <si>
    <t xml:space="preserve">Token &amp; session</t>
  </si>
  <si>
    <t xml:space="preserve">holds; V2-07 MFA</t>
  </si>
  <si>
    <t xml:space="preserve">Secrets handling</t>
  </si>
  <si>
    <t xml:space="preserve">V1-04 / V1-05</t>
  </si>
  <si>
    <t xml:space="preserve">Tenant isolation</t>
  </si>
  <si>
    <t xml:space="preserve">A2-7</t>
  </si>
  <si>
    <t xml:space="preserve">Per-endpoint authz</t>
  </si>
  <si>
    <t xml:space="preserve">holds</t>
  </si>
  <si>
    <t xml:space="preserve">AI data boundary</t>
  </si>
  <si>
    <t xml:space="preserve">V2-15 / V2-16</t>
  </si>
  <si>
    <t xml:space="preserve">Audit &amp; encryption</t>
  </si>
  <si>
    <t xml:space="preserve">A2-10</t>
  </si>
  <si>
    <t xml:space="preserve">Deploy hardening</t>
  </si>
  <si>
    <t xml:space="preserve">V1-03 / V4-01</t>
  </si>
  <si>
    <t xml:space="preserve">Zero dead buttons</t>
  </si>
  <si>
    <t xml:space="preserve">E2E no crash</t>
  </si>
  <si>
    <t xml:space="preserve">V1-10 / V1-13</t>
  </si>
  <si>
    <t xml:space="preserve">Uniform styling</t>
  </si>
  <si>
    <t xml:space="preserve">V2-02 / V2-04</t>
  </si>
  <si>
    <t xml:space="preserve">A3-4</t>
  </si>
  <si>
    <t xml:space="preserve">Widget customization</t>
  </si>
  <si>
    <t xml:space="preserve">V1-10 / V2-14</t>
  </si>
  <si>
    <t xml:space="preserve">Genealogy golden thread</t>
  </si>
  <si>
    <t xml:space="preserve">V1-07 / V1-08</t>
  </si>
  <si>
    <t xml:space="preserve">A3-6</t>
  </si>
  <si>
    <t xml:space="preserve">Population stated</t>
  </si>
  <si>
    <t xml:space="preserve">V1-09 / V2-13</t>
  </si>
  <si>
    <t xml:space="preserve">A3-7</t>
  </si>
  <si>
    <t xml:space="preserve">Correlation/ML honest</t>
  </si>
  <si>
    <t xml:space="preserve">Blended provenance</t>
  </si>
  <si>
    <t xml:space="preserve">V1-07 / V1-09</t>
  </si>
  <si>
    <t xml:space="preserve">Performance at scale</t>
  </si>
  <si>
    <t xml:space="preserve">V3-10 / V4-07</t>
  </si>
  <si>
    <t xml:space="preserve">V3/V4</t>
  </si>
  <si>
    <t xml:space="preserve">A3-10</t>
  </si>
  <si>
    <t xml:space="preserve">Interactivity + heatmap</t>
  </si>
  <si>
    <t xml:space="preserve">V1-10 / V2-04</t>
  </si>
  <si>
    <t xml:space="preserve">A3-11</t>
  </si>
  <si>
    <t xml:space="preserve">Correct results</t>
  </si>
  <si>
    <t xml:space="preserve">V1-13 / V2-13</t>
  </si>
  <si>
    <t xml:space="preserve">Source onboarding (HMI)</t>
  </si>
  <si>
    <t xml:space="preserve">V2-21 / V3-03</t>
  </si>
  <si>
    <t xml:space="preserve">Mapping &amp; schema config</t>
  </si>
  <si>
    <t xml:space="preserve">V1-07 / V3-03</t>
  </si>
  <si>
    <t xml:space="preserve">V1/V3</t>
  </si>
  <si>
    <t xml:space="preserve">Import jobs &amp; delta</t>
  </si>
  <si>
    <t xml:space="preserve">V3-04 / V4-03</t>
  </si>
  <si>
    <t xml:space="preserve">Jobs Monitor</t>
  </si>
  <si>
    <t xml:space="preserve">V2-06 / V3-11</t>
  </si>
  <si>
    <t xml:space="preserve">A4-5</t>
  </si>
  <si>
    <t xml:space="preserve">Schema-drift</t>
  </si>
  <si>
    <t xml:space="preserve">A4-6</t>
  </si>
  <si>
    <t xml:space="preserve">Fail loudly</t>
  </si>
  <si>
    <t xml:space="preserve">V1-07 / V2-13</t>
  </si>
  <si>
    <t xml:space="preserve">Readiness meter</t>
  </si>
  <si>
    <t xml:space="preserve">A4-8</t>
  </si>
  <si>
    <t xml:space="preserve">Backfill &amp; protection</t>
  </si>
  <si>
    <t xml:space="preserve">V2-17 / V4-03</t>
  </si>
  <si>
    <t xml:space="preserve">V2/V4</t>
  </si>
  <si>
    <t xml:space="preserve">Operational resilience</t>
  </si>
  <si>
    <t xml:space="preserve">V2-20 / V4-01</t>
  </si>
  <si>
    <t xml:space="preserve">A4-10</t>
  </si>
  <si>
    <t xml:space="preserve">Concurrency</t>
  </si>
  <si>
    <t xml:space="preserve">V1-10 / V2-03</t>
  </si>
  <si>
    <t xml:space="preserve">Quantified value (EUR)</t>
  </si>
  <si>
    <t xml:space="preserve">V1-15 / V4-19</t>
  </si>
  <si>
    <t xml:space="preserve">Role-scoped view/edit</t>
  </si>
  <si>
    <t xml:space="preserve">License tiers live</t>
  </si>
  <si>
    <t xml:space="preserve">A5-4</t>
  </si>
  <si>
    <t xml:space="preserve">Trustworthy AI</t>
  </si>
  <si>
    <t xml:space="preserve">V2-13 / V2-15</t>
  </si>
  <si>
    <t xml:space="preserve">A5-5</t>
  </si>
  <si>
    <t xml:space="preserve">Honest boundary</t>
  </si>
  <si>
    <t xml:space="preserve">A5-6</t>
  </si>
  <si>
    <t xml:space="preserve">Speed of insight</t>
  </si>
  <si>
    <t xml:space="preserve">V1-11 / V2-13</t>
  </si>
  <si>
    <t xml:space="preserve">Price-to-value</t>
  </si>
  <si>
    <t xml:space="preserve">V1-15 / V1-19</t>
  </si>
  <si>
    <t xml:space="preserve">A5-8</t>
  </si>
  <si>
    <t xml:space="preserve">Cross-device/browser</t>
  </si>
  <si>
    <t xml:space="preserve">V3-07 / V3-10</t>
  </si>
  <si>
    <t xml:space="preserve">Distinctiveness</t>
  </si>
  <si>
    <t xml:space="preserve">V1-17 / V2-14</t>
  </si>
  <si>
    <t xml:space="preserve">Founder credibility</t>
  </si>
  <si>
    <t xml:space="preserve">A6-1</t>
  </si>
  <si>
    <t xml:space="preserve">Tagline &amp; voice</t>
  </si>
  <si>
    <t xml:space="preserve">Honesty-lint</t>
  </si>
  <si>
    <t xml:space="preserve">V2-22 / V3-09</t>
  </si>
  <si>
    <t xml:space="preserve">A6-3</t>
  </si>
  <si>
    <t xml:space="preserve">Palette fidelity</t>
  </si>
  <si>
    <t xml:space="preserve">Typography</t>
  </si>
  <si>
    <t xml:space="preserve">A6-5</t>
  </si>
  <si>
    <t xml:space="preserve">Logo system</t>
  </si>
  <si>
    <t xml:space="preserve">Website UX</t>
  </si>
  <si>
    <t xml:space="preserve">V3-07 / V3-08</t>
  </si>
  <si>
    <t xml:space="preserve">All products to depth</t>
  </si>
  <si>
    <t xml:space="preserve">V1-21 / V3-12 / V3-13</t>
  </si>
  <si>
    <t xml:space="preserve">In-app brand</t>
  </si>
  <si>
    <t xml:space="preserve">Reports/PDF brand</t>
  </si>
  <si>
    <t xml:space="preserve">V1-18 / V1-20</t>
  </si>
  <si>
    <t xml:space="preserve">CTA &amp; lead capture</t>
  </si>
  <si>
    <t xml:space="preserve">V1-22 / V2-18</t>
  </si>
  <si>
    <t xml:space="preserve">Completed (Removed)   ·   tasks &gt;85% done — taken off the active plan</t>
  </si>
  <si>
    <t xml:space="preserve">Old ID</t>
  </si>
  <si>
    <t xml:space="preserve">Task</t>
  </si>
  <si>
    <t xml:space="preserve">Evidence (20-Jun / Identity v3)</t>
  </si>
  <si>
    <t xml:space="preserve">Residual work moved to</t>
  </si>
  <si>
    <t xml:space="preserve">M1-T02</t>
  </si>
  <si>
    <t xml:space="preserve">Author committed .env.dev (local-only, non-secret)</t>
  </si>
  <si>
    <t xml:space="preserve">Identity v3 sec.0/3/4: .env.dev carries the 5 role users, the token-free 68-char signing key and ConnectionStrings__PlantProcessDb. Canonical identity values locked.</t>
  </si>
  <si>
    <t xml:space="preserve">A new V1 task (V1-04/V1-05) fixes the wrong key + the local.env leak that live alongside it.</t>
  </si>
  <si>
    <t xml:space="preserve">M1-T03</t>
  </si>
  <si>
    <t xml:space="preserve">Two-schema migration 000_schemas.sql</t>
  </si>
  <si>
    <t xml:space="preserve">Schemas ppiq_meta + ppiq_plant are created. Identity v3 sec.2.2 confirms (gate `\dn` met).</t>
  </si>
  <si>
    <t xml:space="preserve">Residual: EF tables still land in public -&gt; moved to V2-25 (HasDefaultSchema).</t>
  </si>
  <si>
    <t xml:space="preserve">M1-T04</t>
  </si>
  <si>
    <t xml:space="preserve">Demo-sources compose + committed fixtures (8 sources)</t>
  </si>
  <si>
    <t xml:space="preserve">Identity v3 sec.5: docker-compose.sources.yml (project ppiq-sources) + 630 heats/5,670 coils/39,690 passes/1,987 defects/17,010 QA/210 downtime seeded. T04 closed.</t>
  </si>
  <si>
    <t xml:space="preserve">Residual: delete the DUPLICATE demo-sources fleet -&gt; moved into V1-03 (compose convergence).</t>
  </si>
  <si>
    <t xml:space="preserve">M1-T05</t>
  </si>
  <si>
    <t xml:space="preserve">Seed one user per role via config</t>
  </si>
  <si>
    <t xml:space="preserve">Identity v3 sec.4: 5 role users (admin/exec/engineer/operator/viewer) in .env.dev; login uses config users; Argon2id on load; bootstrap disabled.</t>
  </si>
  <si>
    <t xml:space="preserve">Residual: delete the stale 4-user set in appsettings.Development.json -&gt; folded into V1-05 cleanup.</t>
  </si>
  <si>
    <t xml:space="preserve">M1-T06</t>
  </si>
  <si>
    <t xml:space="preserve">Dev Ed25519 license keypair + per-tier tokens</t>
  </si>
  <si>
    <t xml:space="preserve">Identity v3 sec.6: light/pro/proplus/enterprise tokens minted (kid ppiq-dev-ed25519); all 5 Ed25519 checks green this session.</t>
  </si>
  <si>
    <t xml:space="preserve">None for the demo; tier-cap ENFORCEMENT depth moved to V2-08.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</si>
</sst>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D4FF"/>
      <name val="Segoe UI"/>
      <family val="0"/>
      <charset val="1"/>
    </font>
    <font>
      <sz val="10"/>
      <color rgb="FF9DB0D0"/>
      <name val="Segoe UI"/>
      <family val="0"/>
      <charset val="1"/>
    </font>
    <font>
      <b val="true"/>
      <sz val="10"/>
      <color rgb="FF00D4FF"/>
      <name val="Segoe UI"/>
      <family val="0"/>
      <charset val="1"/>
    </font>
    <font>
      <sz val="10"/>
      <color rgb="FFE7EEFB"/>
      <name val="Segoe UI"/>
      <family val="0"/>
      <charset val="1"/>
    </font>
    <font>
      <sz val="10"/>
      <color rgb="FF00D4FF"/>
      <name val="Segoe UI"/>
      <family val="0"/>
      <charset val="1"/>
    </font>
    <font>
      <sz val="10"/>
      <color rgb="FF0A84FF"/>
      <name val="Segoe UI"/>
      <family val="0"/>
      <charset val="1"/>
    </font>
    <font>
      <sz val="10"/>
      <color rgb="FF2CE6A2"/>
      <name val="Segoe UI"/>
      <family val="0"/>
      <charset val="1"/>
    </font>
    <font>
      <sz val="10"/>
      <color rgb="FFB07BFF"/>
      <name val="Segoe UI"/>
      <family val="0"/>
      <charset val="1"/>
    </font>
    <font>
      <b val="true"/>
      <sz val="12"/>
      <color rgb="FF00D4FF"/>
      <name val="Segoe UI"/>
      <family val="0"/>
      <charset val="1"/>
    </font>
    <font>
      <b val="true"/>
      <sz val="9"/>
      <color rgb="FF00D4FF"/>
      <name val="Segoe UI"/>
      <family val="0"/>
      <charset val="1"/>
    </font>
    <font>
      <b val="true"/>
      <sz val="9"/>
      <color rgb="FF00D4FF"/>
      <name val="Consolas"/>
      <family val="0"/>
      <charset val="1"/>
    </font>
    <font>
      <b val="true"/>
      <sz val="10"/>
      <color rgb="FF00D4FF"/>
      <name val="Consolas"/>
      <family val="0"/>
      <charset val="1"/>
    </font>
    <font>
      <sz val="9"/>
      <color rgb="FFE7EEFB"/>
      <name val="Segoe UI"/>
      <family val="0"/>
      <charset val="1"/>
    </font>
    <font>
      <b val="true"/>
      <sz val="9"/>
      <color rgb="FFFF4D6D"/>
      <name val="Segoe UI"/>
      <family val="0"/>
      <charset val="1"/>
    </font>
    <font>
      <b val="true"/>
      <sz val="8"/>
      <color rgb="FFFFB020"/>
      <name val="Consolas"/>
      <family val="0"/>
      <charset val="1"/>
    </font>
    <font>
      <sz val="9"/>
      <color rgb="FFFFB020"/>
      <name val="Consolas"/>
      <family val="0"/>
      <charset val="1"/>
    </font>
    <font>
      <b val="true"/>
      <sz val="8"/>
      <color rgb="FF9DB0D0"/>
      <name val="Consolas"/>
      <family val="0"/>
      <charset val="1"/>
    </font>
    <font>
      <sz val="9"/>
      <color rgb="FF6B7DA0"/>
      <name val="Consolas"/>
      <family val="0"/>
      <charset val="1"/>
    </font>
    <font>
      <b val="true"/>
      <sz val="9"/>
      <color rgb="FFFFB020"/>
      <name val="Segoe UI"/>
      <family val="0"/>
      <charset val="1"/>
    </font>
    <font>
      <b val="true"/>
      <sz val="9"/>
      <color rgb="FF0A84FF"/>
      <name val="Segoe UI"/>
      <family val="0"/>
      <charset val="1"/>
    </font>
    <font>
      <b val="true"/>
      <sz val="10"/>
      <color rgb="FF0A84FF"/>
      <name val="Consolas"/>
      <family val="0"/>
      <charset val="1"/>
    </font>
    <font>
      <b val="true"/>
      <sz val="9"/>
      <color rgb="FF6B7DA0"/>
      <name val="Segoe UI"/>
      <family val="0"/>
      <charset val="1"/>
    </font>
    <font>
      <b val="true"/>
      <sz val="10"/>
      <color rgb="FF2CE6A2"/>
      <name val="Consolas"/>
      <family val="0"/>
      <charset val="1"/>
    </font>
    <font>
      <b val="true"/>
      <sz val="10"/>
      <color rgb="FFB07BFF"/>
      <name val="Consolas"/>
      <family val="0"/>
      <charset val="1"/>
    </font>
    <font>
      <b val="true"/>
      <sz val="11"/>
      <color rgb="FF00D4FF"/>
      <name val="Consolas"/>
      <family val="0"/>
      <charset val="1"/>
    </font>
    <font>
      <b val="true"/>
      <sz val="13"/>
      <color rgb="FF00D4FF"/>
      <name val="Segoe UI"/>
      <family val="0"/>
      <charset val="1"/>
    </font>
    <font>
      <b val="true"/>
      <sz val="12"/>
      <color rgb="FF00D4FF"/>
      <name val="Consolas"/>
      <family val="0"/>
      <charset val="1"/>
    </font>
    <font>
      <sz val="10"/>
      <color rgb="FFE7EEFB"/>
      <name val="Consolas"/>
      <family val="0"/>
      <charset val="1"/>
    </font>
    <font>
      <b val="true"/>
      <sz val="9"/>
      <color rgb="FF2CE6A2"/>
      <name val="Consolas"/>
      <family val="0"/>
      <charset val="1"/>
    </font>
    <font>
      <b val="true"/>
      <sz val="12"/>
      <color rgb="FF0A84FF"/>
      <name val="Consolas"/>
      <family val="0"/>
      <charset val="1"/>
    </font>
    <font>
      <b val="true"/>
      <sz val="9"/>
      <color rgb="FF6B7DA0"/>
      <name val="Consolas"/>
      <family val="0"/>
      <charset val="1"/>
    </font>
    <font>
      <b val="true"/>
      <sz val="12"/>
      <color rgb="FF2CE6A2"/>
      <name val="Consolas"/>
      <family val="0"/>
      <charset val="1"/>
    </font>
    <font>
      <b val="true"/>
      <sz val="12"/>
      <color rgb="FFB07BFF"/>
      <name val="Consolas"/>
      <family val="0"/>
      <charset val="1"/>
    </font>
    <font>
      <sz val="9"/>
      <color rgb="FF9DB0D0"/>
      <name val="Consolas"/>
      <family val="0"/>
      <charset val="1"/>
    </font>
    <font>
      <sz val="9"/>
      <color rgb="FF9DB0D0"/>
      <name val="Segoe UI"/>
      <family val="0"/>
      <charset val="1"/>
    </font>
    <font>
      <b val="true"/>
      <sz val="9"/>
      <color rgb="FFFFB020"/>
      <name val="Consolas"/>
      <family val="0"/>
      <charset val="1"/>
    </font>
    <font>
      <sz val="9"/>
      <color rgb="FFE7EEFB"/>
      <name val="Consolas"/>
      <family val="0"/>
      <charset val="1"/>
    </font>
    <font>
      <b val="true"/>
      <sz val="9"/>
      <color rgb="FFFF4D6D"/>
      <name val="Consolas"/>
      <family val="0"/>
      <charset val="1"/>
    </font>
    <font>
      <b val="true"/>
      <sz val="13"/>
      <color rgb="FF2CE6A2"/>
      <name val="Segoe UI"/>
      <family val="0"/>
      <charset val="1"/>
    </font>
    <font>
      <b val="true"/>
      <sz val="10"/>
      <color rgb="FF2CE6A2"/>
      <name val="Segoe U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50B18"/>
        <bgColor rgb="FF000000"/>
      </patternFill>
    </fill>
    <fill>
      <patternFill patternType="solid">
        <fgColor rgb="FF0E1D3D"/>
        <bgColor rgb="FF0B1730"/>
      </patternFill>
    </fill>
    <fill>
      <patternFill patternType="solid">
        <fgColor rgb="FF0B1730"/>
        <bgColor rgb="FF0E1D3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16284E"/>
      </left>
      <right style="thin">
        <color rgb="FF16284E"/>
      </right>
      <top style="thin">
        <color rgb="FF16284E"/>
      </top>
      <bottom style="thin">
        <color rgb="FF16284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21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2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28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3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2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3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31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15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3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3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8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8" fillId="3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3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0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0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2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1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2" fillId="2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2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32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EF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50B18"/>
      <rgbColor rgb="FF808000"/>
      <rgbColor rgb="FF800080"/>
      <rgbColor rgb="FF008080"/>
      <rgbColor rgb="FF9DB0D0"/>
      <rgbColor rgb="FF6B7DA0"/>
      <rgbColor rgb="FFB07BFF"/>
      <rgbColor rgb="FF993366"/>
      <rgbColor rgb="FFFFFFCC"/>
      <rgbColor rgb="FFCCFFFF"/>
      <rgbColor rgb="FF660066"/>
      <rgbColor rgb="FFFF4D6D"/>
      <rgbColor rgb="FF0A84F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4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CE6A2"/>
      <rgbColor rgb="FF99CC00"/>
      <rgbColor rgb="FFFFCC00"/>
      <rgbColor rgb="FFFFB020"/>
      <rgbColor rgb="FFFF6600"/>
      <rgbColor rgb="FF666699"/>
      <rgbColor rgb="FF969696"/>
      <rgbColor rgb="FF16284E"/>
      <rgbColor rgb="FF339966"/>
      <rgbColor rgb="FF0B1730"/>
      <rgbColor rgb="FF333300"/>
      <rgbColor rgb="FF993300"/>
      <rgbColor rgb="FF993366"/>
      <rgbColor rgb="FF333399"/>
      <rgbColor rgb="FF0E1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6" min="2" style="0" width="30"/>
    <col collapsed="false" customWidth="true" hidden="false" outlineLevel="0" max="7" min="7" style="0" width="3"/>
  </cols>
  <sheetData>
    <row r="1" customFormat="false" ht="15.75" hidden="false" customHeight="true" outlineLevel="0" collapsed="false"/>
    <row r="2" customFormat="false" ht="25.5" hidden="false" customHeight="true" outlineLevel="0" collapsed="false">
      <c r="B2" s="1" t="s">
        <v>0</v>
      </c>
      <c r="C2" s="1"/>
      <c r="D2" s="1"/>
      <c r="E2" s="1"/>
      <c r="F2" s="1"/>
    </row>
    <row r="3" customFormat="false" ht="30" hidden="false" customHeight="true" outlineLevel="0" collapsed="false">
      <c r="B3" s="2" t="s">
        <v>1</v>
      </c>
      <c r="C3" s="2"/>
      <c r="D3" s="2"/>
      <c r="E3" s="2"/>
      <c r="F3" s="2"/>
    </row>
    <row r="4" customFormat="false" ht="15.75" hidden="false" customHeight="true" outlineLevel="0" collapsed="false"/>
    <row r="5" customFormat="false" ht="19.5" hidden="false" customHeight="true" outlineLevel="0" collapsed="false">
      <c r="B5" s="3" t="s">
        <v>2</v>
      </c>
      <c r="C5" s="3"/>
      <c r="D5" s="3"/>
      <c r="E5" s="3"/>
      <c r="F5" s="3"/>
    </row>
    <row r="6" customFormat="false" ht="27.75" hidden="false" customHeight="true" outlineLevel="0" collapsed="false">
      <c r="B6" s="4" t="s">
        <v>3</v>
      </c>
      <c r="C6" s="4"/>
      <c r="D6" s="4"/>
      <c r="E6" s="4"/>
      <c r="F6" s="4"/>
    </row>
    <row r="7" customFormat="false" ht="27.75" hidden="false" customHeight="true" outlineLevel="0" collapsed="false">
      <c r="B7" s="4" t="s">
        <v>4</v>
      </c>
      <c r="C7" s="4"/>
      <c r="D7" s="4"/>
      <c r="E7" s="4"/>
      <c r="F7" s="4"/>
    </row>
    <row r="8" customFormat="false" ht="24" hidden="false" customHeight="true" outlineLevel="0" collapsed="false">
      <c r="B8" s="4" t="s">
        <v>5</v>
      </c>
      <c r="C8" s="4"/>
      <c r="D8" s="4"/>
      <c r="E8" s="4"/>
      <c r="F8" s="4"/>
    </row>
    <row r="9" customFormat="false" ht="24" hidden="false" customHeight="true" outlineLevel="0" collapsed="false">
      <c r="B9" s="4" t="s">
        <v>6</v>
      </c>
      <c r="C9" s="4"/>
      <c r="D9" s="4"/>
      <c r="E9" s="4"/>
      <c r="F9" s="4"/>
    </row>
    <row r="10" customFormat="false" ht="33.75" hidden="false" customHeight="true" outlineLevel="0" collapsed="false">
      <c r="B10" s="4" t="s">
        <v>7</v>
      </c>
      <c r="C10" s="4"/>
      <c r="D10" s="4"/>
      <c r="E10" s="4"/>
      <c r="F10" s="4"/>
    </row>
    <row r="11" customFormat="false" ht="15.75" hidden="false" customHeight="true" outlineLevel="0" collapsed="false"/>
    <row r="12" customFormat="false" ht="19.5" hidden="false" customHeight="true" outlineLevel="0" collapsed="false">
      <c r="B12" s="3" t="s">
        <v>8</v>
      </c>
      <c r="C12" s="3"/>
      <c r="D12" s="3"/>
      <c r="E12" s="3"/>
      <c r="F12" s="3"/>
    </row>
    <row r="13" customFormat="false" ht="30" hidden="false" customHeight="true" outlineLevel="0" collapsed="false">
      <c r="B13" s="5" t="s">
        <v>9</v>
      </c>
      <c r="C13" s="5"/>
      <c r="D13" s="5"/>
      <c r="E13" s="5"/>
      <c r="F13" s="5"/>
    </row>
    <row r="14" customFormat="false" ht="30" hidden="false" customHeight="true" outlineLevel="0" collapsed="false">
      <c r="B14" s="6" t="s">
        <v>10</v>
      </c>
      <c r="C14" s="6"/>
      <c r="D14" s="6"/>
      <c r="E14" s="6"/>
      <c r="F14" s="6"/>
    </row>
    <row r="15" customFormat="false" ht="30" hidden="false" customHeight="true" outlineLevel="0" collapsed="false">
      <c r="B15" s="7" t="s">
        <v>11</v>
      </c>
      <c r="C15" s="7"/>
      <c r="D15" s="7"/>
      <c r="E15" s="7"/>
      <c r="F15" s="7"/>
    </row>
    <row r="16" customFormat="false" ht="30" hidden="false" customHeight="true" outlineLevel="0" collapsed="false">
      <c r="B16" s="8" t="s">
        <v>12</v>
      </c>
      <c r="C16" s="8"/>
      <c r="D16" s="8"/>
      <c r="E16" s="8"/>
      <c r="F16" s="8"/>
    </row>
    <row r="17" customFormat="false" ht="15.75" hidden="false" customHeight="true" outlineLevel="0" collapsed="false"/>
    <row r="18" customFormat="false" ht="19.5" hidden="false" customHeight="true" outlineLevel="0" collapsed="false">
      <c r="B18" s="3" t="s">
        <v>13</v>
      </c>
      <c r="C18" s="3"/>
      <c r="D18" s="3"/>
      <c r="E18" s="3"/>
      <c r="F18" s="3"/>
    </row>
    <row r="19" customFormat="false" ht="39.75" hidden="false" customHeight="true" outlineLevel="0" collapsed="false">
      <c r="B19" s="4" t="s">
        <v>14</v>
      </c>
      <c r="C19" s="4"/>
      <c r="D19" s="4"/>
      <c r="E19" s="4"/>
      <c r="F19" s="4"/>
    </row>
    <row r="20" customFormat="false" ht="15.75" hidden="false" customHeight="true" outlineLevel="0" collapsed="false"/>
    <row r="21" customFormat="false" ht="19.5" hidden="false" customHeight="true" outlineLevel="0" collapsed="false">
      <c r="B21" s="3" t="s">
        <v>15</v>
      </c>
      <c r="C21" s="3"/>
      <c r="D21" s="3"/>
      <c r="E21" s="3"/>
      <c r="F21" s="3"/>
    </row>
    <row r="22" customFormat="false" ht="39.75" hidden="false" customHeight="true" outlineLevel="0" collapsed="false">
      <c r="B22" s="4" t="s">
        <v>16</v>
      </c>
      <c r="C22" s="4"/>
      <c r="D22" s="4"/>
      <c r="E22" s="4"/>
      <c r="F22" s="4"/>
    </row>
    <row r="23" customFormat="false" ht="15.75" hidden="false" customHeight="true" outlineLevel="0" collapsed="false"/>
    <row r="24" customFormat="false" ht="19.5" hidden="false" customHeight="true" outlineLevel="0" collapsed="false">
      <c r="B24" s="3" t="s">
        <v>17</v>
      </c>
      <c r="C24" s="3"/>
      <c r="D24" s="3"/>
      <c r="E24" s="3"/>
      <c r="F24" s="3"/>
    </row>
    <row r="25" customFormat="false" ht="30" hidden="false" customHeight="true" outlineLevel="0" collapsed="false">
      <c r="B25" s="4" t="s">
        <v>18</v>
      </c>
      <c r="C25" s="4"/>
      <c r="D25" s="4"/>
      <c r="E25" s="4"/>
      <c r="F25" s="4"/>
    </row>
    <row r="26" customFormat="false" ht="15.75" hidden="false" customHeight="true" outlineLevel="0" collapsed="false"/>
    <row r="27" customFormat="false" ht="19.5" hidden="false" customHeight="true" outlineLevel="0" collapsed="false">
      <c r="B27" s="3" t="s">
        <v>19</v>
      </c>
      <c r="C27" s="3"/>
      <c r="D27" s="3"/>
      <c r="E27" s="3"/>
      <c r="F27" s="3"/>
    </row>
    <row r="28" customFormat="false" ht="21.75" hidden="false" customHeight="true" outlineLevel="0" collapsed="false">
      <c r="B28" s="9" t="s">
        <v>20</v>
      </c>
      <c r="C28" s="9"/>
      <c r="D28" s="9"/>
      <c r="E28" s="9"/>
      <c r="F28" s="9"/>
    </row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</sheetData>
  <mergeCells count="21">
    <mergeCell ref="B2:F2"/>
    <mergeCell ref="B3:F3"/>
    <mergeCell ref="B5:F5"/>
    <mergeCell ref="B6:F6"/>
    <mergeCell ref="B7:F7"/>
    <mergeCell ref="B8:F8"/>
    <mergeCell ref="B9:F9"/>
    <mergeCell ref="B10:F10"/>
    <mergeCell ref="B12:F12"/>
    <mergeCell ref="B13:F13"/>
    <mergeCell ref="B14:F14"/>
    <mergeCell ref="B15:F15"/>
    <mergeCell ref="B16:F16"/>
    <mergeCell ref="B18:F18"/>
    <mergeCell ref="B19:F19"/>
    <mergeCell ref="B21:F21"/>
    <mergeCell ref="B22:F22"/>
    <mergeCell ref="B24:F24"/>
    <mergeCell ref="B25:F25"/>
    <mergeCell ref="B27:F27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7" min="7" style="0" width="6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1" min="10" style="0" width="12"/>
    <col collapsed="false" customWidth="true" hidden="false" outlineLevel="0" max="12" min="12" style="0" width="7"/>
    <col collapsed="false" customWidth="true" hidden="false" outlineLevel="0" max="13" min="13" style="0" width="52"/>
    <col collapsed="false" customWidth="true" hidden="false" outlineLevel="0" max="14" min="14" style="0" width="46"/>
    <col collapsed="false" customWidth="true" hidden="false" outlineLevel="0" max="15" min="15" style="0" width="12"/>
    <col collapsed="false" customWidth="true" hidden="false" outlineLevel="0" max="16" min="16" style="0" width="8"/>
    <col collapsed="false" customWidth="true" hidden="false" outlineLevel="0" max="17" min="17" style="0" width="12"/>
  </cols>
  <sheetData>
    <row r="1" customFormat="false" ht="24" hidden="false" customHeight="true" outlineLevel="0" collapsed="false">
      <c r="A1" s="10" t="s">
        <v>21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customFormat="false" ht="42" hidden="false" customHeight="true" outlineLevel="0" collapsed="false">
      <c r="A2" s="11" t="s">
        <v>22</v>
      </c>
      <c r="B2" s="11" t="s">
        <v>23</v>
      </c>
      <c r="C2" s="11" t="s">
        <v>24</v>
      </c>
      <c r="D2" s="11" t="s">
        <v>25</v>
      </c>
      <c r="E2" s="11" t="s">
        <v>26</v>
      </c>
      <c r="F2" s="11" t="s">
        <v>27</v>
      </c>
      <c r="G2" s="11" t="s">
        <v>28</v>
      </c>
      <c r="H2" s="11" t="s">
        <v>29</v>
      </c>
      <c r="I2" s="11" t="s">
        <v>30</v>
      </c>
      <c r="J2" s="11" t="s">
        <v>31</v>
      </c>
      <c r="K2" s="11" t="s">
        <v>32</v>
      </c>
      <c r="L2" s="11" t="s">
        <v>33</v>
      </c>
      <c r="M2" s="11" t="s">
        <v>34</v>
      </c>
      <c r="N2" s="11" t="s">
        <v>35</v>
      </c>
      <c r="O2" s="11" t="s">
        <v>36</v>
      </c>
      <c r="P2" s="11" t="s">
        <v>37</v>
      </c>
      <c r="Q2" s="11" t="s">
        <v>38</v>
      </c>
    </row>
    <row r="3" customFormat="false" ht="64.15" hidden="false" customHeight="false" outlineLevel="0" collapsed="false">
      <c r="A3" s="12" t="s">
        <v>39</v>
      </c>
      <c r="B3" s="13" t="s">
        <v>40</v>
      </c>
      <c r="C3" s="14" t="s">
        <v>41</v>
      </c>
      <c r="D3" s="15" t="s">
        <v>42</v>
      </c>
      <c r="E3" s="14" t="s">
        <v>43</v>
      </c>
      <c r="F3" s="14" t="s">
        <v>44</v>
      </c>
      <c r="G3" s="16" t="s">
        <v>45</v>
      </c>
      <c r="H3" s="14" t="s">
        <v>46</v>
      </c>
      <c r="I3" s="14" t="s">
        <v>47</v>
      </c>
      <c r="J3" s="17" t="s">
        <v>48</v>
      </c>
      <c r="K3" s="18" t="s">
        <v>49</v>
      </c>
      <c r="L3" s="19" t="n">
        <v>0.72</v>
      </c>
      <c r="M3" s="15" t="s">
        <v>50</v>
      </c>
      <c r="N3" s="15" t="s">
        <v>51</v>
      </c>
      <c r="O3" s="14" t="s">
        <v>52</v>
      </c>
      <c r="P3" s="13" t="n">
        <v>3</v>
      </c>
      <c r="Q3" s="14" t="s">
        <v>53</v>
      </c>
    </row>
    <row r="4" customFormat="false" ht="64.15" hidden="false" customHeight="false" outlineLevel="0" collapsed="false">
      <c r="A4" s="20" t="s">
        <v>54</v>
      </c>
      <c r="B4" s="21" t="s">
        <v>40</v>
      </c>
      <c r="C4" s="22" t="s">
        <v>41</v>
      </c>
      <c r="D4" s="23" t="s">
        <v>55</v>
      </c>
      <c r="E4" s="22" t="s">
        <v>56</v>
      </c>
      <c r="F4" s="22" t="s">
        <v>57</v>
      </c>
      <c r="G4" s="24" t="s">
        <v>45</v>
      </c>
      <c r="H4" s="22" t="s">
        <v>46</v>
      </c>
      <c r="I4" s="22" t="s">
        <v>47</v>
      </c>
      <c r="J4" s="25" t="s">
        <v>48</v>
      </c>
      <c r="K4" s="26" t="s">
        <v>58</v>
      </c>
      <c r="L4" s="27" t="n">
        <v>0.1</v>
      </c>
      <c r="M4" s="23" t="s">
        <v>59</v>
      </c>
      <c r="N4" s="23" t="s">
        <v>60</v>
      </c>
      <c r="O4" s="22" t="s">
        <v>61</v>
      </c>
      <c r="P4" s="21" t="n">
        <v>5</v>
      </c>
      <c r="Q4" s="22" t="s">
        <v>39</v>
      </c>
    </row>
    <row r="5" customFormat="false" ht="64.15" hidden="false" customHeight="false" outlineLevel="0" collapsed="false">
      <c r="A5" s="12" t="s">
        <v>62</v>
      </c>
      <c r="B5" s="13" t="s">
        <v>40</v>
      </c>
      <c r="C5" s="14" t="s">
        <v>41</v>
      </c>
      <c r="D5" s="15" t="s">
        <v>63</v>
      </c>
      <c r="E5" s="14" t="s">
        <v>64</v>
      </c>
      <c r="F5" s="14" t="s">
        <v>65</v>
      </c>
      <c r="G5" s="16" t="s">
        <v>45</v>
      </c>
      <c r="H5" s="14" t="s">
        <v>46</v>
      </c>
      <c r="I5" s="14" t="s">
        <v>47</v>
      </c>
      <c r="J5" s="17" t="s">
        <v>48</v>
      </c>
      <c r="K5" s="28" t="s">
        <v>58</v>
      </c>
      <c r="L5" s="29" t="n">
        <v>0.2</v>
      </c>
      <c r="M5" s="15" t="s">
        <v>66</v>
      </c>
      <c r="N5" s="15" t="s">
        <v>67</v>
      </c>
      <c r="O5" s="14" t="s">
        <v>52</v>
      </c>
      <c r="P5" s="13" t="n">
        <v>6</v>
      </c>
      <c r="Q5" s="14" t="s">
        <v>53</v>
      </c>
    </row>
    <row r="6" customFormat="false" ht="74.6" hidden="false" customHeight="false" outlineLevel="0" collapsed="false">
      <c r="A6" s="20" t="s">
        <v>68</v>
      </c>
      <c r="B6" s="21" t="s">
        <v>40</v>
      </c>
      <c r="C6" s="22" t="s">
        <v>41</v>
      </c>
      <c r="D6" s="23" t="s">
        <v>69</v>
      </c>
      <c r="E6" s="22" t="s">
        <v>70</v>
      </c>
      <c r="F6" s="22" t="s">
        <v>71</v>
      </c>
      <c r="G6" s="24" t="s">
        <v>72</v>
      </c>
      <c r="H6" s="22" t="s">
        <v>46</v>
      </c>
      <c r="I6" s="22" t="s">
        <v>47</v>
      </c>
      <c r="J6" s="25" t="s">
        <v>48</v>
      </c>
      <c r="K6" s="26" t="s">
        <v>58</v>
      </c>
      <c r="L6" s="27" t="n">
        <v>0.1</v>
      </c>
      <c r="M6" s="23" t="s">
        <v>73</v>
      </c>
      <c r="N6" s="23" t="s">
        <v>74</v>
      </c>
      <c r="O6" s="22" t="s">
        <v>75</v>
      </c>
      <c r="P6" s="21" t="n">
        <v>3</v>
      </c>
      <c r="Q6" s="22" t="s">
        <v>53</v>
      </c>
    </row>
    <row r="7" customFormat="false" ht="53.7" hidden="false" customHeight="false" outlineLevel="0" collapsed="false">
      <c r="A7" s="12" t="s">
        <v>76</v>
      </c>
      <c r="B7" s="13" t="s">
        <v>40</v>
      </c>
      <c r="C7" s="14" t="s">
        <v>41</v>
      </c>
      <c r="D7" s="15" t="s">
        <v>77</v>
      </c>
      <c r="E7" s="14" t="s">
        <v>70</v>
      </c>
      <c r="F7" s="14" t="s">
        <v>78</v>
      </c>
      <c r="G7" s="16" t="s">
        <v>72</v>
      </c>
      <c r="H7" s="14" t="s">
        <v>46</v>
      </c>
      <c r="I7" s="14" t="s">
        <v>79</v>
      </c>
      <c r="J7" s="17" t="s">
        <v>48</v>
      </c>
      <c r="K7" s="28" t="s">
        <v>58</v>
      </c>
      <c r="L7" s="29" t="n">
        <v>0.1</v>
      </c>
      <c r="M7" s="15" t="s">
        <v>80</v>
      </c>
      <c r="N7" s="15" t="s">
        <v>81</v>
      </c>
      <c r="O7" s="14" t="s">
        <v>75</v>
      </c>
      <c r="P7" s="13" t="n">
        <v>2</v>
      </c>
      <c r="Q7" s="14" t="s">
        <v>53</v>
      </c>
    </row>
    <row r="8" customFormat="false" ht="64.15" hidden="false" customHeight="false" outlineLevel="0" collapsed="false">
      <c r="A8" s="20" t="s">
        <v>82</v>
      </c>
      <c r="B8" s="21" t="s">
        <v>40</v>
      </c>
      <c r="C8" s="22" t="s">
        <v>41</v>
      </c>
      <c r="D8" s="23" t="s">
        <v>83</v>
      </c>
      <c r="E8" s="22" t="s">
        <v>56</v>
      </c>
      <c r="F8" s="22" t="s">
        <v>57</v>
      </c>
      <c r="G8" s="24" t="s">
        <v>84</v>
      </c>
      <c r="H8" s="22" t="s">
        <v>46</v>
      </c>
      <c r="I8" s="22" t="s">
        <v>85</v>
      </c>
      <c r="J8" s="25" t="s">
        <v>48</v>
      </c>
      <c r="K8" s="26" t="s">
        <v>86</v>
      </c>
      <c r="L8" s="27" t="n">
        <v>0.25</v>
      </c>
      <c r="M8" s="23" t="s">
        <v>87</v>
      </c>
      <c r="N8" s="23" t="s">
        <v>88</v>
      </c>
      <c r="O8" s="22" t="s">
        <v>61</v>
      </c>
      <c r="P8" s="21" t="n">
        <v>6</v>
      </c>
      <c r="Q8" s="22" t="s">
        <v>54</v>
      </c>
    </row>
    <row r="9" customFormat="false" ht="116.4" hidden="false" customHeight="false" outlineLevel="0" collapsed="false">
      <c r="A9" s="12" t="s">
        <v>89</v>
      </c>
      <c r="B9" s="13" t="s">
        <v>40</v>
      </c>
      <c r="C9" s="14" t="s">
        <v>41</v>
      </c>
      <c r="D9" s="15" t="s">
        <v>90</v>
      </c>
      <c r="E9" s="14" t="s">
        <v>91</v>
      </c>
      <c r="F9" s="14" t="s">
        <v>92</v>
      </c>
      <c r="G9" s="16" t="s">
        <v>93</v>
      </c>
      <c r="H9" s="14" t="s">
        <v>94</v>
      </c>
      <c r="I9" s="14" t="s">
        <v>95</v>
      </c>
      <c r="J9" s="17" t="s">
        <v>48</v>
      </c>
      <c r="K9" s="28" t="s">
        <v>58</v>
      </c>
      <c r="L9" s="29" t="n">
        <v>0.05</v>
      </c>
      <c r="M9" s="15" t="s">
        <v>96</v>
      </c>
      <c r="N9" s="15" t="s">
        <v>97</v>
      </c>
      <c r="O9" s="14" t="s">
        <v>98</v>
      </c>
      <c r="P9" s="13" t="n">
        <v>18</v>
      </c>
      <c r="Q9" s="14" t="s">
        <v>54</v>
      </c>
    </row>
    <row r="10" customFormat="false" ht="32.8" hidden="false" customHeight="false" outlineLevel="0" collapsed="false">
      <c r="A10" s="20" t="s">
        <v>99</v>
      </c>
      <c r="B10" s="21" t="s">
        <v>40</v>
      </c>
      <c r="C10" s="22" t="s">
        <v>41</v>
      </c>
      <c r="D10" s="23" t="s">
        <v>100</v>
      </c>
      <c r="E10" s="22" t="s">
        <v>101</v>
      </c>
      <c r="F10" s="22" t="s">
        <v>102</v>
      </c>
      <c r="G10" s="24" t="s">
        <v>93</v>
      </c>
      <c r="H10" s="22" t="s">
        <v>103</v>
      </c>
      <c r="I10" s="22" t="s">
        <v>104</v>
      </c>
      <c r="J10" s="25" t="s">
        <v>48</v>
      </c>
      <c r="K10" s="26" t="s">
        <v>86</v>
      </c>
      <c r="L10" s="27" t="n">
        <v>0.2</v>
      </c>
      <c r="M10" s="23" t="s">
        <v>105</v>
      </c>
      <c r="N10" s="23" t="s">
        <v>106</v>
      </c>
      <c r="O10" s="22" t="s">
        <v>107</v>
      </c>
      <c r="P10" s="21" t="n">
        <v>4</v>
      </c>
      <c r="Q10" s="22" t="s">
        <v>89</v>
      </c>
    </row>
    <row r="11" customFormat="false" ht="32.8" hidden="false" customHeight="false" outlineLevel="0" collapsed="false">
      <c r="A11" s="12" t="s">
        <v>108</v>
      </c>
      <c r="B11" s="13" t="s">
        <v>40</v>
      </c>
      <c r="C11" s="14" t="s">
        <v>41</v>
      </c>
      <c r="D11" s="15" t="s">
        <v>109</v>
      </c>
      <c r="E11" s="14" t="s">
        <v>101</v>
      </c>
      <c r="F11" s="14" t="s">
        <v>110</v>
      </c>
      <c r="G11" s="16" t="s">
        <v>111</v>
      </c>
      <c r="H11" s="14" t="s">
        <v>103</v>
      </c>
      <c r="I11" s="14" t="s">
        <v>112</v>
      </c>
      <c r="J11" s="30" t="s">
        <v>113</v>
      </c>
      <c r="K11" s="28" t="s">
        <v>86</v>
      </c>
      <c r="L11" s="29" t="n">
        <v>0.3</v>
      </c>
      <c r="M11" s="15" t="s">
        <v>114</v>
      </c>
      <c r="N11" s="15" t="s">
        <v>115</v>
      </c>
      <c r="O11" s="14" t="s">
        <v>107</v>
      </c>
      <c r="P11" s="13" t="n">
        <v>3</v>
      </c>
      <c r="Q11" s="14" t="s">
        <v>89</v>
      </c>
    </row>
    <row r="12" customFormat="false" ht="43.25" hidden="false" customHeight="false" outlineLevel="0" collapsed="false">
      <c r="A12" s="20" t="s">
        <v>116</v>
      </c>
      <c r="B12" s="21" t="s">
        <v>40</v>
      </c>
      <c r="C12" s="22" t="s">
        <v>41</v>
      </c>
      <c r="D12" s="23" t="s">
        <v>117</v>
      </c>
      <c r="E12" s="22" t="s">
        <v>56</v>
      </c>
      <c r="F12" s="22" t="s">
        <v>118</v>
      </c>
      <c r="G12" s="24" t="s">
        <v>84</v>
      </c>
      <c r="H12" s="22" t="s">
        <v>46</v>
      </c>
      <c r="I12" s="22" t="s">
        <v>85</v>
      </c>
      <c r="J12" s="25" t="s">
        <v>48</v>
      </c>
      <c r="K12" s="26" t="s">
        <v>58</v>
      </c>
      <c r="L12" s="27" t="n">
        <v>0</v>
      </c>
      <c r="M12" s="23" t="s">
        <v>119</v>
      </c>
      <c r="N12" s="23" t="s">
        <v>120</v>
      </c>
      <c r="O12" s="22" t="s">
        <v>107</v>
      </c>
      <c r="P12" s="21" t="n">
        <v>4</v>
      </c>
      <c r="Q12" s="22" t="s">
        <v>121</v>
      </c>
    </row>
    <row r="13" customFormat="false" ht="32.8" hidden="false" customHeight="false" outlineLevel="0" collapsed="false">
      <c r="A13" s="12" t="s">
        <v>122</v>
      </c>
      <c r="B13" s="13" t="s">
        <v>40</v>
      </c>
      <c r="C13" s="14" t="s">
        <v>123</v>
      </c>
      <c r="D13" s="15" t="s">
        <v>124</v>
      </c>
      <c r="E13" s="14" t="s">
        <v>125</v>
      </c>
      <c r="F13" s="14" t="s">
        <v>126</v>
      </c>
      <c r="G13" s="16" t="s">
        <v>127</v>
      </c>
      <c r="H13" s="14" t="s">
        <v>103</v>
      </c>
      <c r="I13" s="14" t="s">
        <v>128</v>
      </c>
      <c r="J13" s="17" t="s">
        <v>48</v>
      </c>
      <c r="K13" s="28" t="s">
        <v>86</v>
      </c>
      <c r="L13" s="29" t="n">
        <v>0.55</v>
      </c>
      <c r="M13" s="15" t="s">
        <v>129</v>
      </c>
      <c r="N13" s="15" t="s">
        <v>130</v>
      </c>
      <c r="O13" s="14" t="s">
        <v>75</v>
      </c>
      <c r="P13" s="13" t="n">
        <v>5</v>
      </c>
      <c r="Q13" s="14" t="s">
        <v>116</v>
      </c>
    </row>
    <row r="14" customFormat="false" ht="22.35" hidden="false" customHeight="false" outlineLevel="0" collapsed="false">
      <c r="A14" s="20" t="s">
        <v>131</v>
      </c>
      <c r="B14" s="21" t="s">
        <v>40</v>
      </c>
      <c r="C14" s="22" t="s">
        <v>123</v>
      </c>
      <c r="D14" s="23" t="s">
        <v>132</v>
      </c>
      <c r="E14" s="22" t="s">
        <v>133</v>
      </c>
      <c r="F14" s="22" t="s">
        <v>134</v>
      </c>
      <c r="G14" s="24" t="s">
        <v>127</v>
      </c>
      <c r="H14" s="22" t="s">
        <v>103</v>
      </c>
      <c r="I14" s="22" t="s">
        <v>104</v>
      </c>
      <c r="J14" s="25" t="s">
        <v>48</v>
      </c>
      <c r="K14" s="26" t="s">
        <v>86</v>
      </c>
      <c r="L14" s="27" t="n">
        <v>0.5</v>
      </c>
      <c r="M14" s="23" t="s">
        <v>135</v>
      </c>
      <c r="N14" s="23" t="s">
        <v>136</v>
      </c>
      <c r="O14" s="22" t="s">
        <v>137</v>
      </c>
      <c r="P14" s="21" t="n">
        <v>4</v>
      </c>
      <c r="Q14" s="22" t="s">
        <v>122</v>
      </c>
    </row>
    <row r="15" customFormat="false" ht="43.25" hidden="false" customHeight="false" outlineLevel="0" collapsed="false">
      <c r="A15" s="12" t="s">
        <v>138</v>
      </c>
      <c r="B15" s="13" t="s">
        <v>40</v>
      </c>
      <c r="C15" s="14" t="s">
        <v>123</v>
      </c>
      <c r="D15" s="15" t="s">
        <v>139</v>
      </c>
      <c r="E15" s="14" t="s">
        <v>101</v>
      </c>
      <c r="F15" s="14" t="s">
        <v>140</v>
      </c>
      <c r="G15" s="16" t="s">
        <v>141</v>
      </c>
      <c r="H15" s="14" t="s">
        <v>103</v>
      </c>
      <c r="I15" s="14" t="s">
        <v>128</v>
      </c>
      <c r="J15" s="17" t="s">
        <v>48</v>
      </c>
      <c r="K15" s="28" t="s">
        <v>86</v>
      </c>
      <c r="L15" s="29" t="n">
        <v>0.58</v>
      </c>
      <c r="M15" s="15" t="s">
        <v>142</v>
      </c>
      <c r="N15" s="15" t="s">
        <v>143</v>
      </c>
      <c r="O15" s="14" t="s">
        <v>75</v>
      </c>
      <c r="P15" s="13" t="n">
        <v>5</v>
      </c>
      <c r="Q15" s="14" t="s">
        <v>122</v>
      </c>
    </row>
    <row r="16" customFormat="false" ht="22.35" hidden="false" customHeight="false" outlineLevel="0" collapsed="false">
      <c r="A16" s="20" t="s">
        <v>144</v>
      </c>
      <c r="B16" s="21" t="s">
        <v>40</v>
      </c>
      <c r="C16" s="22" t="s">
        <v>123</v>
      </c>
      <c r="D16" s="23" t="s">
        <v>145</v>
      </c>
      <c r="E16" s="22" t="s">
        <v>101</v>
      </c>
      <c r="F16" s="22" t="s">
        <v>146</v>
      </c>
      <c r="G16" s="24" t="s">
        <v>127</v>
      </c>
      <c r="H16" s="22" t="s">
        <v>103</v>
      </c>
      <c r="I16" s="22" t="s">
        <v>85</v>
      </c>
      <c r="J16" s="25" t="s">
        <v>48</v>
      </c>
      <c r="K16" s="26" t="s">
        <v>58</v>
      </c>
      <c r="L16" s="27" t="n">
        <v>0</v>
      </c>
      <c r="M16" s="23" t="s">
        <v>147</v>
      </c>
      <c r="N16" s="23" t="s">
        <v>148</v>
      </c>
      <c r="O16" s="22" t="s">
        <v>107</v>
      </c>
      <c r="P16" s="21" t="n">
        <v>3</v>
      </c>
      <c r="Q16" s="22" t="s">
        <v>138</v>
      </c>
    </row>
    <row r="17" customFormat="false" ht="43.25" hidden="false" customHeight="false" outlineLevel="0" collapsed="false">
      <c r="A17" s="12" t="s">
        <v>149</v>
      </c>
      <c r="B17" s="13" t="s">
        <v>40</v>
      </c>
      <c r="C17" s="14" t="s">
        <v>123</v>
      </c>
      <c r="D17" s="15" t="s">
        <v>150</v>
      </c>
      <c r="E17" s="14" t="s">
        <v>101</v>
      </c>
      <c r="F17" s="14" t="s">
        <v>146</v>
      </c>
      <c r="G17" s="16" t="s">
        <v>127</v>
      </c>
      <c r="H17" s="14" t="s">
        <v>103</v>
      </c>
      <c r="I17" s="14" t="s">
        <v>151</v>
      </c>
      <c r="J17" s="30" t="s">
        <v>113</v>
      </c>
      <c r="K17" s="28" t="s">
        <v>58</v>
      </c>
      <c r="L17" s="29" t="n">
        <v>0</v>
      </c>
      <c r="M17" s="15" t="s">
        <v>152</v>
      </c>
      <c r="N17" s="15" t="s">
        <v>153</v>
      </c>
      <c r="O17" s="14" t="s">
        <v>137</v>
      </c>
      <c r="P17" s="13" t="n">
        <v>2</v>
      </c>
      <c r="Q17" s="14" t="s">
        <v>144</v>
      </c>
    </row>
    <row r="18" customFormat="false" ht="32.8" hidden="false" customHeight="false" outlineLevel="0" collapsed="false">
      <c r="A18" s="20" t="s">
        <v>154</v>
      </c>
      <c r="B18" s="21" t="s">
        <v>40</v>
      </c>
      <c r="C18" s="22" t="s">
        <v>123</v>
      </c>
      <c r="D18" s="23" t="s">
        <v>155</v>
      </c>
      <c r="E18" s="22" t="s">
        <v>156</v>
      </c>
      <c r="F18" s="22" t="s">
        <v>157</v>
      </c>
      <c r="G18" s="24" t="s">
        <v>158</v>
      </c>
      <c r="H18" s="22" t="s">
        <v>159</v>
      </c>
      <c r="I18" s="22" t="s">
        <v>112</v>
      </c>
      <c r="J18" s="31" t="s">
        <v>113</v>
      </c>
      <c r="K18" s="26" t="s">
        <v>58</v>
      </c>
      <c r="L18" s="27" t="n">
        <v>0.1</v>
      </c>
      <c r="M18" s="23" t="s">
        <v>160</v>
      </c>
      <c r="N18" s="23" t="s">
        <v>161</v>
      </c>
      <c r="O18" s="22" t="s">
        <v>98</v>
      </c>
      <c r="P18" s="21" t="n">
        <v>4</v>
      </c>
      <c r="Q18" s="22" t="s">
        <v>131</v>
      </c>
    </row>
    <row r="19" customFormat="false" ht="32.8" hidden="false" customHeight="false" outlineLevel="0" collapsed="false">
      <c r="A19" s="12" t="s">
        <v>162</v>
      </c>
      <c r="B19" s="13" t="s">
        <v>40</v>
      </c>
      <c r="C19" s="14" t="s">
        <v>123</v>
      </c>
      <c r="D19" s="15" t="s">
        <v>163</v>
      </c>
      <c r="E19" s="14" t="s">
        <v>156</v>
      </c>
      <c r="F19" s="14" t="s">
        <v>164</v>
      </c>
      <c r="G19" s="16" t="s">
        <v>165</v>
      </c>
      <c r="H19" s="14" t="s">
        <v>159</v>
      </c>
      <c r="I19" s="14" t="s">
        <v>151</v>
      </c>
      <c r="J19" s="30" t="s">
        <v>113</v>
      </c>
      <c r="K19" s="28" t="s">
        <v>58</v>
      </c>
      <c r="L19" s="29" t="n">
        <v>0</v>
      </c>
      <c r="M19" s="15" t="s">
        <v>166</v>
      </c>
      <c r="N19" s="15" t="s">
        <v>167</v>
      </c>
      <c r="O19" s="14" t="s">
        <v>98</v>
      </c>
      <c r="P19" s="13" t="n">
        <v>2</v>
      </c>
      <c r="Q19" s="14" t="s">
        <v>53</v>
      </c>
    </row>
    <row r="20" customFormat="false" ht="43.25" hidden="false" customHeight="false" outlineLevel="0" collapsed="false">
      <c r="A20" s="20" t="s">
        <v>168</v>
      </c>
      <c r="B20" s="21" t="s">
        <v>40</v>
      </c>
      <c r="C20" s="22" t="s">
        <v>123</v>
      </c>
      <c r="D20" s="23" t="s">
        <v>169</v>
      </c>
      <c r="E20" s="22" t="s">
        <v>170</v>
      </c>
      <c r="F20" s="22" t="s">
        <v>171</v>
      </c>
      <c r="G20" s="24" t="s">
        <v>165</v>
      </c>
      <c r="H20" s="22" t="s">
        <v>159</v>
      </c>
      <c r="I20" s="22" t="s">
        <v>151</v>
      </c>
      <c r="J20" s="31" t="s">
        <v>113</v>
      </c>
      <c r="K20" s="26" t="s">
        <v>58</v>
      </c>
      <c r="L20" s="27" t="n">
        <v>0</v>
      </c>
      <c r="M20" s="23" t="s">
        <v>172</v>
      </c>
      <c r="N20" s="23" t="s">
        <v>173</v>
      </c>
      <c r="O20" s="22" t="s">
        <v>98</v>
      </c>
      <c r="P20" s="21" t="n">
        <v>4</v>
      </c>
      <c r="Q20" s="22" t="s">
        <v>162</v>
      </c>
    </row>
    <row r="21" customFormat="false" ht="32.8" hidden="false" customHeight="false" outlineLevel="0" collapsed="false">
      <c r="A21" s="12" t="s">
        <v>174</v>
      </c>
      <c r="B21" s="13" t="s">
        <v>40</v>
      </c>
      <c r="C21" s="14" t="s">
        <v>123</v>
      </c>
      <c r="D21" s="15" t="s">
        <v>175</v>
      </c>
      <c r="E21" s="14" t="s">
        <v>176</v>
      </c>
      <c r="F21" s="14" t="s">
        <v>177</v>
      </c>
      <c r="G21" s="16" t="s">
        <v>165</v>
      </c>
      <c r="H21" s="14" t="s">
        <v>159</v>
      </c>
      <c r="I21" s="14" t="s">
        <v>151</v>
      </c>
      <c r="J21" s="32" t="s">
        <v>178</v>
      </c>
      <c r="K21" s="28" t="s">
        <v>58</v>
      </c>
      <c r="L21" s="29" t="n">
        <v>0</v>
      </c>
      <c r="M21" s="15" t="s">
        <v>179</v>
      </c>
      <c r="N21" s="15" t="s">
        <v>180</v>
      </c>
      <c r="O21" s="14" t="s">
        <v>98</v>
      </c>
      <c r="P21" s="13" t="n">
        <v>2</v>
      </c>
      <c r="Q21" s="14" t="s">
        <v>168</v>
      </c>
    </row>
    <row r="22" customFormat="false" ht="32.8" hidden="false" customHeight="false" outlineLevel="0" collapsed="false">
      <c r="A22" s="20" t="s">
        <v>181</v>
      </c>
      <c r="B22" s="21" t="s">
        <v>40</v>
      </c>
      <c r="C22" s="22" t="s">
        <v>123</v>
      </c>
      <c r="D22" s="23" t="s">
        <v>182</v>
      </c>
      <c r="E22" s="22" t="s">
        <v>156</v>
      </c>
      <c r="F22" s="22" t="s">
        <v>183</v>
      </c>
      <c r="G22" s="24" t="s">
        <v>158</v>
      </c>
      <c r="H22" s="22" t="s">
        <v>159</v>
      </c>
      <c r="I22" s="22" t="s">
        <v>151</v>
      </c>
      <c r="J22" s="31" t="s">
        <v>113</v>
      </c>
      <c r="K22" s="26" t="s">
        <v>58</v>
      </c>
      <c r="L22" s="27" t="n">
        <v>0</v>
      </c>
      <c r="M22" s="23" t="s">
        <v>184</v>
      </c>
      <c r="N22" s="23" t="s">
        <v>185</v>
      </c>
      <c r="O22" s="22" t="s">
        <v>98</v>
      </c>
      <c r="P22" s="21" t="n">
        <v>2</v>
      </c>
      <c r="Q22" s="22" t="s">
        <v>154</v>
      </c>
    </row>
    <row r="23" customFormat="false" ht="22.35" hidden="false" customHeight="false" outlineLevel="0" collapsed="false">
      <c r="A23" s="12" t="s">
        <v>186</v>
      </c>
      <c r="B23" s="13" t="s">
        <v>40</v>
      </c>
      <c r="C23" s="14" t="s">
        <v>123</v>
      </c>
      <c r="D23" s="15" t="s">
        <v>187</v>
      </c>
      <c r="E23" s="14" t="s">
        <v>176</v>
      </c>
      <c r="F23" s="14" t="s">
        <v>177</v>
      </c>
      <c r="G23" s="16" t="s">
        <v>165</v>
      </c>
      <c r="H23" s="14" t="s">
        <v>159</v>
      </c>
      <c r="I23" s="14" t="s">
        <v>188</v>
      </c>
      <c r="J23" s="32" t="s">
        <v>178</v>
      </c>
      <c r="K23" s="28" t="s">
        <v>58</v>
      </c>
      <c r="L23" s="29" t="n">
        <v>0</v>
      </c>
      <c r="M23" s="15" t="s">
        <v>189</v>
      </c>
      <c r="N23" s="15" t="s">
        <v>190</v>
      </c>
      <c r="O23" s="14" t="s">
        <v>98</v>
      </c>
      <c r="P23" s="13" t="n">
        <v>3</v>
      </c>
      <c r="Q23" s="14" t="s">
        <v>144</v>
      </c>
    </row>
    <row r="24" customFormat="false" ht="43.25" hidden="false" customHeight="false" outlineLevel="0" collapsed="false">
      <c r="A24" s="20" t="s">
        <v>191</v>
      </c>
      <c r="B24" s="21" t="s">
        <v>40</v>
      </c>
      <c r="C24" s="22" t="s">
        <v>123</v>
      </c>
      <c r="D24" s="23" t="s">
        <v>192</v>
      </c>
      <c r="E24" s="22" t="s">
        <v>176</v>
      </c>
      <c r="F24" s="22" t="s">
        <v>193</v>
      </c>
      <c r="G24" s="24" t="s">
        <v>165</v>
      </c>
      <c r="H24" s="22" t="s">
        <v>159</v>
      </c>
      <c r="I24" s="22" t="s">
        <v>188</v>
      </c>
      <c r="J24" s="25" t="s">
        <v>48</v>
      </c>
      <c r="K24" s="26" t="s">
        <v>86</v>
      </c>
      <c r="L24" s="27" t="n">
        <v>0.4</v>
      </c>
      <c r="M24" s="23" t="s">
        <v>194</v>
      </c>
      <c r="N24" s="23" t="s">
        <v>195</v>
      </c>
      <c r="O24" s="22" t="s">
        <v>137</v>
      </c>
      <c r="P24" s="21" t="n">
        <v>3</v>
      </c>
      <c r="Q24" s="22" t="s">
        <v>53</v>
      </c>
    </row>
    <row r="25" customFormat="false" ht="32.8" hidden="false" customHeight="false" outlineLevel="0" collapsed="false">
      <c r="A25" s="12" t="s">
        <v>196</v>
      </c>
      <c r="B25" s="13" t="s">
        <v>40</v>
      </c>
      <c r="C25" s="14" t="s">
        <v>123</v>
      </c>
      <c r="D25" s="15" t="s">
        <v>197</v>
      </c>
      <c r="E25" s="14" t="s">
        <v>176</v>
      </c>
      <c r="F25" s="14" t="s">
        <v>198</v>
      </c>
      <c r="G25" s="16" t="s">
        <v>165</v>
      </c>
      <c r="H25" s="14" t="s">
        <v>159</v>
      </c>
      <c r="I25" s="14" t="s">
        <v>188</v>
      </c>
      <c r="J25" s="30" t="s">
        <v>113</v>
      </c>
      <c r="K25" s="28" t="s">
        <v>86</v>
      </c>
      <c r="L25" s="29" t="n">
        <v>0.3</v>
      </c>
      <c r="M25" s="15" t="s">
        <v>199</v>
      </c>
      <c r="N25" s="15" t="s">
        <v>200</v>
      </c>
      <c r="O25" s="14" t="s">
        <v>137</v>
      </c>
      <c r="P25" s="13" t="n">
        <v>3</v>
      </c>
      <c r="Q25" s="14" t="s">
        <v>191</v>
      </c>
    </row>
    <row r="26" customFormat="false" ht="32.8" hidden="false" customHeight="false" outlineLevel="0" collapsed="false">
      <c r="A26" s="20" t="s">
        <v>201</v>
      </c>
      <c r="B26" s="33" t="s">
        <v>202</v>
      </c>
      <c r="C26" s="22" t="s">
        <v>203</v>
      </c>
      <c r="D26" s="23" t="s">
        <v>204</v>
      </c>
      <c r="E26" s="22" t="s">
        <v>56</v>
      </c>
      <c r="F26" s="22" t="s">
        <v>57</v>
      </c>
      <c r="G26" s="24" t="s">
        <v>84</v>
      </c>
      <c r="H26" s="22" t="s">
        <v>205</v>
      </c>
      <c r="I26" s="22" t="s">
        <v>85</v>
      </c>
      <c r="J26" s="25" t="s">
        <v>48</v>
      </c>
      <c r="K26" s="26" t="s">
        <v>86</v>
      </c>
      <c r="L26" s="27" t="n">
        <v>0.2</v>
      </c>
      <c r="M26" s="23" t="s">
        <v>206</v>
      </c>
      <c r="N26" s="23" t="s">
        <v>207</v>
      </c>
      <c r="O26" s="22" t="s">
        <v>107</v>
      </c>
      <c r="P26" s="21" t="n">
        <v>10</v>
      </c>
      <c r="Q26" s="22" t="s">
        <v>82</v>
      </c>
    </row>
    <row r="27" customFormat="false" ht="43.25" hidden="false" customHeight="false" outlineLevel="0" collapsed="false">
      <c r="A27" s="12" t="s">
        <v>208</v>
      </c>
      <c r="B27" s="34" t="s">
        <v>202</v>
      </c>
      <c r="C27" s="14" t="s">
        <v>203</v>
      </c>
      <c r="D27" s="15" t="s">
        <v>209</v>
      </c>
      <c r="E27" s="14" t="s">
        <v>210</v>
      </c>
      <c r="F27" s="14" t="s">
        <v>211</v>
      </c>
      <c r="G27" s="16" t="s">
        <v>141</v>
      </c>
      <c r="H27" s="14" t="s">
        <v>205</v>
      </c>
      <c r="I27" s="14" t="s">
        <v>128</v>
      </c>
      <c r="J27" s="32" t="s">
        <v>178</v>
      </c>
      <c r="K27" s="28" t="s">
        <v>86</v>
      </c>
      <c r="L27" s="29" t="n">
        <v>0.1</v>
      </c>
      <c r="M27" s="15" t="s">
        <v>212</v>
      </c>
      <c r="N27" s="15" t="s">
        <v>213</v>
      </c>
      <c r="O27" s="14" t="s">
        <v>52</v>
      </c>
      <c r="P27" s="13" t="n">
        <v>14</v>
      </c>
      <c r="Q27" s="14" t="s">
        <v>138</v>
      </c>
    </row>
    <row r="28" customFormat="false" ht="32.8" hidden="false" customHeight="false" outlineLevel="0" collapsed="false">
      <c r="A28" s="20" t="s">
        <v>214</v>
      </c>
      <c r="B28" s="33" t="s">
        <v>202</v>
      </c>
      <c r="C28" s="22" t="s">
        <v>203</v>
      </c>
      <c r="D28" s="23" t="s">
        <v>215</v>
      </c>
      <c r="E28" s="22" t="s">
        <v>101</v>
      </c>
      <c r="F28" s="22" t="s">
        <v>216</v>
      </c>
      <c r="G28" s="24" t="s">
        <v>141</v>
      </c>
      <c r="H28" s="22" t="s">
        <v>205</v>
      </c>
      <c r="I28" s="22" t="s">
        <v>85</v>
      </c>
      <c r="J28" s="31" t="s">
        <v>113</v>
      </c>
      <c r="K28" s="26" t="s">
        <v>58</v>
      </c>
      <c r="L28" s="27" t="n">
        <v>0</v>
      </c>
      <c r="M28" s="23" t="s">
        <v>217</v>
      </c>
      <c r="N28" s="23" t="s">
        <v>218</v>
      </c>
      <c r="O28" s="22" t="s">
        <v>107</v>
      </c>
      <c r="P28" s="21" t="n">
        <v>8</v>
      </c>
      <c r="Q28" s="22" t="s">
        <v>208</v>
      </c>
    </row>
    <row r="29" customFormat="false" ht="22.35" hidden="false" customHeight="false" outlineLevel="0" collapsed="false">
      <c r="A29" s="12" t="s">
        <v>219</v>
      </c>
      <c r="B29" s="34" t="s">
        <v>202</v>
      </c>
      <c r="C29" s="14" t="s">
        <v>203</v>
      </c>
      <c r="D29" s="15" t="s">
        <v>220</v>
      </c>
      <c r="E29" s="14" t="s">
        <v>101</v>
      </c>
      <c r="F29" s="14" t="s">
        <v>221</v>
      </c>
      <c r="G29" s="16" t="s">
        <v>141</v>
      </c>
      <c r="H29" s="14" t="s">
        <v>205</v>
      </c>
      <c r="I29" s="14" t="s">
        <v>85</v>
      </c>
      <c r="J29" s="32" t="s">
        <v>178</v>
      </c>
      <c r="K29" s="28" t="s">
        <v>58</v>
      </c>
      <c r="L29" s="29" t="n">
        <v>0</v>
      </c>
      <c r="M29" s="15" t="s">
        <v>222</v>
      </c>
      <c r="N29" s="15" t="s">
        <v>223</v>
      </c>
      <c r="O29" s="14" t="s">
        <v>107</v>
      </c>
      <c r="P29" s="13" t="n">
        <v>6</v>
      </c>
      <c r="Q29" s="14" t="s">
        <v>208</v>
      </c>
    </row>
    <row r="30" customFormat="false" ht="32.8" hidden="false" customHeight="false" outlineLevel="0" collapsed="false">
      <c r="A30" s="20" t="s">
        <v>224</v>
      </c>
      <c r="B30" s="33" t="s">
        <v>202</v>
      </c>
      <c r="C30" s="22" t="s">
        <v>203</v>
      </c>
      <c r="D30" s="23" t="s">
        <v>225</v>
      </c>
      <c r="E30" s="22" t="s">
        <v>56</v>
      </c>
      <c r="F30" s="22" t="s">
        <v>57</v>
      </c>
      <c r="G30" s="24" t="s">
        <v>84</v>
      </c>
      <c r="H30" s="22" t="s">
        <v>226</v>
      </c>
      <c r="I30" s="22" t="s">
        <v>85</v>
      </c>
      <c r="J30" s="31" t="s">
        <v>113</v>
      </c>
      <c r="K30" s="26" t="s">
        <v>86</v>
      </c>
      <c r="L30" s="27" t="n">
        <v>0.3</v>
      </c>
      <c r="M30" s="23" t="s">
        <v>227</v>
      </c>
      <c r="N30" s="23" t="s">
        <v>228</v>
      </c>
      <c r="O30" s="22" t="s">
        <v>98</v>
      </c>
      <c r="P30" s="21" t="n">
        <v>6</v>
      </c>
      <c r="Q30" s="22" t="s">
        <v>201</v>
      </c>
    </row>
    <row r="31" customFormat="false" ht="22.35" hidden="false" customHeight="false" outlineLevel="0" collapsed="false">
      <c r="A31" s="12" t="s">
        <v>229</v>
      </c>
      <c r="B31" s="34" t="s">
        <v>202</v>
      </c>
      <c r="C31" s="14" t="s">
        <v>203</v>
      </c>
      <c r="D31" s="15" t="s">
        <v>230</v>
      </c>
      <c r="E31" s="14" t="s">
        <v>133</v>
      </c>
      <c r="F31" s="14" t="s">
        <v>231</v>
      </c>
      <c r="G31" s="16" t="s">
        <v>45</v>
      </c>
      <c r="H31" s="14" t="s">
        <v>226</v>
      </c>
      <c r="I31" s="14" t="s">
        <v>85</v>
      </c>
      <c r="J31" s="35" t="s">
        <v>232</v>
      </c>
      <c r="K31" s="28" t="s">
        <v>58</v>
      </c>
      <c r="L31" s="29" t="n">
        <v>0</v>
      </c>
      <c r="M31" s="15" t="s">
        <v>233</v>
      </c>
      <c r="N31" s="15" t="s">
        <v>234</v>
      </c>
      <c r="O31" s="14" t="s">
        <v>98</v>
      </c>
      <c r="P31" s="13" t="n">
        <v>5</v>
      </c>
      <c r="Q31" s="14" t="s">
        <v>224</v>
      </c>
    </row>
    <row r="32" customFormat="false" ht="32.8" hidden="false" customHeight="false" outlineLevel="0" collapsed="false">
      <c r="A32" s="20" t="s">
        <v>235</v>
      </c>
      <c r="B32" s="33" t="s">
        <v>202</v>
      </c>
      <c r="C32" s="22" t="s">
        <v>236</v>
      </c>
      <c r="D32" s="23" t="s">
        <v>237</v>
      </c>
      <c r="E32" s="22" t="s">
        <v>70</v>
      </c>
      <c r="F32" s="22" t="s">
        <v>238</v>
      </c>
      <c r="G32" s="24" t="s">
        <v>72</v>
      </c>
      <c r="H32" s="22" t="s">
        <v>205</v>
      </c>
      <c r="I32" s="22" t="s">
        <v>79</v>
      </c>
      <c r="J32" s="31" t="s">
        <v>113</v>
      </c>
      <c r="K32" s="26" t="s">
        <v>58</v>
      </c>
      <c r="L32" s="27" t="n">
        <v>0</v>
      </c>
      <c r="M32" s="23" t="s">
        <v>239</v>
      </c>
      <c r="N32" s="23" t="s">
        <v>240</v>
      </c>
      <c r="O32" s="22" t="s">
        <v>98</v>
      </c>
      <c r="P32" s="21" t="n">
        <v>8</v>
      </c>
      <c r="Q32" s="22" t="s">
        <v>82</v>
      </c>
    </row>
    <row r="33" customFormat="false" ht="43.25" hidden="false" customHeight="false" outlineLevel="0" collapsed="false">
      <c r="A33" s="12" t="s">
        <v>241</v>
      </c>
      <c r="B33" s="34" t="s">
        <v>202</v>
      </c>
      <c r="C33" s="14" t="s">
        <v>236</v>
      </c>
      <c r="D33" s="15" t="s">
        <v>242</v>
      </c>
      <c r="E33" s="14" t="s">
        <v>156</v>
      </c>
      <c r="F33" s="14" t="s">
        <v>243</v>
      </c>
      <c r="G33" s="16" t="s">
        <v>158</v>
      </c>
      <c r="H33" s="14" t="s">
        <v>205</v>
      </c>
      <c r="I33" s="14" t="s">
        <v>104</v>
      </c>
      <c r="J33" s="30" t="s">
        <v>113</v>
      </c>
      <c r="K33" s="28" t="s">
        <v>58</v>
      </c>
      <c r="L33" s="29" t="n">
        <v>0</v>
      </c>
      <c r="M33" s="15" t="s">
        <v>244</v>
      </c>
      <c r="N33" s="15" t="s">
        <v>245</v>
      </c>
      <c r="O33" s="14" t="s">
        <v>98</v>
      </c>
      <c r="P33" s="13" t="n">
        <v>12</v>
      </c>
      <c r="Q33" s="14" t="s">
        <v>235</v>
      </c>
    </row>
    <row r="34" customFormat="false" ht="32.8" hidden="false" customHeight="false" outlineLevel="0" collapsed="false">
      <c r="A34" s="20" t="s">
        <v>246</v>
      </c>
      <c r="B34" s="33" t="s">
        <v>202</v>
      </c>
      <c r="C34" s="22" t="s">
        <v>236</v>
      </c>
      <c r="D34" s="23" t="s">
        <v>247</v>
      </c>
      <c r="E34" s="22" t="s">
        <v>156</v>
      </c>
      <c r="F34" s="22" t="s">
        <v>248</v>
      </c>
      <c r="G34" s="24" t="s">
        <v>158</v>
      </c>
      <c r="H34" s="22" t="s">
        <v>205</v>
      </c>
      <c r="I34" s="22" t="s">
        <v>104</v>
      </c>
      <c r="J34" s="31" t="s">
        <v>113</v>
      </c>
      <c r="K34" s="26" t="s">
        <v>86</v>
      </c>
      <c r="L34" s="27" t="n">
        <v>0.55</v>
      </c>
      <c r="M34" s="23" t="s">
        <v>249</v>
      </c>
      <c r="N34" s="23" t="s">
        <v>250</v>
      </c>
      <c r="O34" s="22" t="s">
        <v>61</v>
      </c>
      <c r="P34" s="21" t="n">
        <v>10</v>
      </c>
      <c r="Q34" s="22" t="s">
        <v>241</v>
      </c>
    </row>
    <row r="35" customFormat="false" ht="53.7" hidden="false" customHeight="false" outlineLevel="0" collapsed="false">
      <c r="A35" s="12" t="s">
        <v>251</v>
      </c>
      <c r="B35" s="34" t="s">
        <v>202</v>
      </c>
      <c r="C35" s="14" t="s">
        <v>236</v>
      </c>
      <c r="D35" s="15" t="s">
        <v>252</v>
      </c>
      <c r="E35" s="14" t="s">
        <v>70</v>
      </c>
      <c r="F35" s="14" t="s">
        <v>253</v>
      </c>
      <c r="G35" s="16" t="s">
        <v>158</v>
      </c>
      <c r="H35" s="14" t="s">
        <v>205</v>
      </c>
      <c r="I35" s="14" t="s">
        <v>95</v>
      </c>
      <c r="J35" s="30" t="s">
        <v>113</v>
      </c>
      <c r="K35" s="28" t="s">
        <v>86</v>
      </c>
      <c r="L35" s="29" t="n">
        <v>0.4</v>
      </c>
      <c r="M35" s="15" t="s">
        <v>254</v>
      </c>
      <c r="N35" s="15" t="s">
        <v>255</v>
      </c>
      <c r="O35" s="14" t="s">
        <v>61</v>
      </c>
      <c r="P35" s="13" t="n">
        <v>10</v>
      </c>
      <c r="Q35" s="14" t="s">
        <v>235</v>
      </c>
    </row>
    <row r="36" customFormat="false" ht="32.8" hidden="false" customHeight="false" outlineLevel="0" collapsed="false">
      <c r="A36" s="20" t="s">
        <v>256</v>
      </c>
      <c r="B36" s="33" t="s">
        <v>202</v>
      </c>
      <c r="C36" s="22" t="s">
        <v>236</v>
      </c>
      <c r="D36" s="23" t="s">
        <v>257</v>
      </c>
      <c r="E36" s="22" t="s">
        <v>70</v>
      </c>
      <c r="F36" s="22" t="s">
        <v>258</v>
      </c>
      <c r="G36" s="24" t="s">
        <v>72</v>
      </c>
      <c r="H36" s="22" t="s">
        <v>205</v>
      </c>
      <c r="I36" s="22" t="s">
        <v>79</v>
      </c>
      <c r="J36" s="36" t="s">
        <v>178</v>
      </c>
      <c r="K36" s="26" t="s">
        <v>58</v>
      </c>
      <c r="L36" s="27" t="n">
        <v>0</v>
      </c>
      <c r="M36" s="23" t="s">
        <v>259</v>
      </c>
      <c r="N36" s="23" t="s">
        <v>260</v>
      </c>
      <c r="O36" s="22" t="s">
        <v>61</v>
      </c>
      <c r="P36" s="21" t="n">
        <v>6</v>
      </c>
      <c r="Q36" s="22" t="s">
        <v>53</v>
      </c>
    </row>
    <row r="37" customFormat="false" ht="22.35" hidden="false" customHeight="false" outlineLevel="0" collapsed="false">
      <c r="A37" s="12" t="s">
        <v>261</v>
      </c>
      <c r="B37" s="34" t="s">
        <v>202</v>
      </c>
      <c r="C37" s="14" t="s">
        <v>236</v>
      </c>
      <c r="D37" s="15" t="s">
        <v>262</v>
      </c>
      <c r="E37" s="14" t="s">
        <v>176</v>
      </c>
      <c r="F37" s="14" t="s">
        <v>193</v>
      </c>
      <c r="G37" s="16" t="s">
        <v>165</v>
      </c>
      <c r="H37" s="14" t="s">
        <v>205</v>
      </c>
      <c r="I37" s="14" t="s">
        <v>188</v>
      </c>
      <c r="J37" s="32" t="s">
        <v>178</v>
      </c>
      <c r="K37" s="28" t="s">
        <v>58</v>
      </c>
      <c r="L37" s="29" t="n">
        <v>0</v>
      </c>
      <c r="M37" s="15" t="s">
        <v>263</v>
      </c>
      <c r="N37" s="15" t="s">
        <v>264</v>
      </c>
      <c r="O37" s="14" t="s">
        <v>98</v>
      </c>
      <c r="P37" s="13" t="n">
        <v>5</v>
      </c>
      <c r="Q37" s="14" t="s">
        <v>241</v>
      </c>
    </row>
    <row r="38" customFormat="false" ht="43.25" hidden="false" customHeight="false" outlineLevel="0" collapsed="false">
      <c r="A38" s="20" t="s">
        <v>265</v>
      </c>
      <c r="B38" s="33" t="s">
        <v>202</v>
      </c>
      <c r="C38" s="22" t="s">
        <v>266</v>
      </c>
      <c r="D38" s="23" t="s">
        <v>267</v>
      </c>
      <c r="E38" s="22" t="s">
        <v>101</v>
      </c>
      <c r="F38" s="22" t="s">
        <v>268</v>
      </c>
      <c r="G38" s="24" t="s">
        <v>269</v>
      </c>
      <c r="H38" s="22" t="s">
        <v>205</v>
      </c>
      <c r="I38" s="22" t="s">
        <v>112</v>
      </c>
      <c r="J38" s="31" t="s">
        <v>113</v>
      </c>
      <c r="K38" s="26" t="s">
        <v>58</v>
      </c>
      <c r="L38" s="27" t="n">
        <v>0</v>
      </c>
      <c r="M38" s="23" t="s">
        <v>270</v>
      </c>
      <c r="N38" s="23" t="s">
        <v>271</v>
      </c>
      <c r="O38" s="22" t="s">
        <v>98</v>
      </c>
      <c r="P38" s="21" t="n">
        <v>12</v>
      </c>
      <c r="Q38" s="22" t="s">
        <v>108</v>
      </c>
    </row>
    <row r="39" customFormat="false" ht="43.25" hidden="false" customHeight="false" outlineLevel="0" collapsed="false">
      <c r="A39" s="12" t="s">
        <v>272</v>
      </c>
      <c r="B39" s="34" t="s">
        <v>202</v>
      </c>
      <c r="C39" s="14" t="s">
        <v>266</v>
      </c>
      <c r="D39" s="15" t="s">
        <v>273</v>
      </c>
      <c r="E39" s="14" t="s">
        <v>156</v>
      </c>
      <c r="F39" s="14" t="s">
        <v>171</v>
      </c>
      <c r="G39" s="16" t="s">
        <v>269</v>
      </c>
      <c r="H39" s="14" t="s">
        <v>205</v>
      </c>
      <c r="I39" s="14" t="s">
        <v>112</v>
      </c>
      <c r="J39" s="30" t="s">
        <v>113</v>
      </c>
      <c r="K39" s="28" t="s">
        <v>86</v>
      </c>
      <c r="L39" s="29" t="n">
        <v>0.55</v>
      </c>
      <c r="M39" s="15" t="s">
        <v>274</v>
      </c>
      <c r="N39" s="15" t="s">
        <v>275</v>
      </c>
      <c r="O39" s="14" t="s">
        <v>98</v>
      </c>
      <c r="P39" s="13" t="n">
        <v>10</v>
      </c>
      <c r="Q39" s="14" t="s">
        <v>265</v>
      </c>
    </row>
    <row r="40" customFormat="false" ht="22.35" hidden="false" customHeight="false" outlineLevel="0" collapsed="false">
      <c r="A40" s="20" t="s">
        <v>276</v>
      </c>
      <c r="B40" s="33" t="s">
        <v>202</v>
      </c>
      <c r="C40" s="22" t="s">
        <v>266</v>
      </c>
      <c r="D40" s="23" t="s">
        <v>277</v>
      </c>
      <c r="E40" s="22" t="s">
        <v>70</v>
      </c>
      <c r="F40" s="22" t="s">
        <v>278</v>
      </c>
      <c r="G40" s="24" t="s">
        <v>279</v>
      </c>
      <c r="H40" s="22" t="s">
        <v>205</v>
      </c>
      <c r="I40" s="22" t="s">
        <v>112</v>
      </c>
      <c r="J40" s="36" t="s">
        <v>178</v>
      </c>
      <c r="K40" s="26" t="s">
        <v>58</v>
      </c>
      <c r="L40" s="27" t="n">
        <v>0</v>
      </c>
      <c r="M40" s="23" t="s">
        <v>280</v>
      </c>
      <c r="N40" s="23" t="s">
        <v>281</v>
      </c>
      <c r="O40" s="22" t="s">
        <v>107</v>
      </c>
      <c r="P40" s="21" t="n">
        <v>6</v>
      </c>
      <c r="Q40" s="22" t="s">
        <v>265</v>
      </c>
    </row>
    <row r="41" customFormat="false" ht="32.8" hidden="false" customHeight="false" outlineLevel="0" collapsed="false">
      <c r="A41" s="12" t="s">
        <v>282</v>
      </c>
      <c r="B41" s="34" t="s">
        <v>202</v>
      </c>
      <c r="C41" s="14" t="s">
        <v>266</v>
      </c>
      <c r="D41" s="15" t="s">
        <v>283</v>
      </c>
      <c r="E41" s="14" t="s">
        <v>70</v>
      </c>
      <c r="F41" s="14" t="s">
        <v>278</v>
      </c>
      <c r="G41" s="16" t="s">
        <v>279</v>
      </c>
      <c r="H41" s="14" t="s">
        <v>205</v>
      </c>
      <c r="I41" s="14" t="s">
        <v>112</v>
      </c>
      <c r="J41" s="30" t="s">
        <v>113</v>
      </c>
      <c r="K41" s="28" t="s">
        <v>86</v>
      </c>
      <c r="L41" s="29" t="n">
        <v>0.5</v>
      </c>
      <c r="M41" s="15" t="s">
        <v>284</v>
      </c>
      <c r="N41" s="15" t="s">
        <v>285</v>
      </c>
      <c r="O41" s="14" t="s">
        <v>61</v>
      </c>
      <c r="P41" s="13" t="n">
        <v>7</v>
      </c>
      <c r="Q41" s="14" t="s">
        <v>276</v>
      </c>
    </row>
    <row r="42" customFormat="false" ht="22.35" hidden="false" customHeight="false" outlineLevel="0" collapsed="false">
      <c r="A42" s="20" t="s">
        <v>286</v>
      </c>
      <c r="B42" s="33" t="s">
        <v>202</v>
      </c>
      <c r="C42" s="22" t="s">
        <v>266</v>
      </c>
      <c r="D42" s="23" t="s">
        <v>287</v>
      </c>
      <c r="E42" s="22" t="s">
        <v>70</v>
      </c>
      <c r="F42" s="22" t="s">
        <v>288</v>
      </c>
      <c r="G42" s="24" t="s">
        <v>289</v>
      </c>
      <c r="H42" s="22" t="s">
        <v>205</v>
      </c>
      <c r="I42" s="22" t="s">
        <v>104</v>
      </c>
      <c r="J42" s="31" t="s">
        <v>113</v>
      </c>
      <c r="K42" s="26" t="s">
        <v>86</v>
      </c>
      <c r="L42" s="27" t="n">
        <v>0.5</v>
      </c>
      <c r="M42" s="23" t="s">
        <v>290</v>
      </c>
      <c r="N42" s="23" t="s">
        <v>291</v>
      </c>
      <c r="O42" s="22" t="s">
        <v>61</v>
      </c>
      <c r="P42" s="21" t="n">
        <v>7</v>
      </c>
      <c r="Q42" s="22" t="s">
        <v>53</v>
      </c>
    </row>
    <row r="43" customFormat="false" ht="22.35" hidden="false" customHeight="false" outlineLevel="0" collapsed="false">
      <c r="A43" s="12" t="s">
        <v>292</v>
      </c>
      <c r="B43" s="34" t="s">
        <v>202</v>
      </c>
      <c r="C43" s="14" t="s">
        <v>266</v>
      </c>
      <c r="D43" s="15" t="s">
        <v>293</v>
      </c>
      <c r="E43" s="14" t="s">
        <v>176</v>
      </c>
      <c r="F43" s="14" t="s">
        <v>198</v>
      </c>
      <c r="G43" s="16" t="s">
        <v>165</v>
      </c>
      <c r="H43" s="14" t="s">
        <v>205</v>
      </c>
      <c r="I43" s="14" t="s">
        <v>104</v>
      </c>
      <c r="J43" s="32" t="s">
        <v>178</v>
      </c>
      <c r="K43" s="28" t="s">
        <v>86</v>
      </c>
      <c r="L43" s="29" t="n">
        <v>0.3</v>
      </c>
      <c r="M43" s="15" t="s">
        <v>294</v>
      </c>
      <c r="N43" s="15" t="s">
        <v>295</v>
      </c>
      <c r="O43" s="14" t="s">
        <v>98</v>
      </c>
      <c r="P43" s="13" t="n">
        <v>6</v>
      </c>
      <c r="Q43" s="14" t="s">
        <v>196</v>
      </c>
    </row>
    <row r="44" customFormat="false" ht="32.8" hidden="false" customHeight="false" outlineLevel="0" collapsed="false">
      <c r="A44" s="20" t="s">
        <v>296</v>
      </c>
      <c r="B44" s="33" t="s">
        <v>202</v>
      </c>
      <c r="C44" s="22" t="s">
        <v>297</v>
      </c>
      <c r="D44" s="23" t="s">
        <v>298</v>
      </c>
      <c r="E44" s="22" t="s">
        <v>176</v>
      </c>
      <c r="F44" s="22" t="s">
        <v>299</v>
      </c>
      <c r="G44" s="24" t="s">
        <v>165</v>
      </c>
      <c r="H44" s="22" t="s">
        <v>226</v>
      </c>
      <c r="I44" s="22" t="s">
        <v>151</v>
      </c>
      <c r="J44" s="36" t="s">
        <v>178</v>
      </c>
      <c r="K44" s="26" t="s">
        <v>58</v>
      </c>
      <c r="L44" s="27" t="n">
        <v>0</v>
      </c>
      <c r="M44" s="23" t="s">
        <v>300</v>
      </c>
      <c r="N44" s="23" t="s">
        <v>301</v>
      </c>
      <c r="O44" s="22" t="s">
        <v>98</v>
      </c>
      <c r="P44" s="21" t="n">
        <v>8</v>
      </c>
      <c r="Q44" s="22" t="s">
        <v>144</v>
      </c>
    </row>
    <row r="45" customFormat="false" ht="32.8" hidden="false" customHeight="false" outlineLevel="0" collapsed="false">
      <c r="A45" s="12" t="s">
        <v>302</v>
      </c>
      <c r="B45" s="34" t="s">
        <v>202</v>
      </c>
      <c r="C45" s="14" t="s">
        <v>297</v>
      </c>
      <c r="D45" s="15" t="s">
        <v>303</v>
      </c>
      <c r="E45" s="14" t="s">
        <v>133</v>
      </c>
      <c r="F45" s="14" t="s">
        <v>304</v>
      </c>
      <c r="G45" s="16" t="s">
        <v>45</v>
      </c>
      <c r="H45" s="14" t="s">
        <v>226</v>
      </c>
      <c r="I45" s="14" t="s">
        <v>151</v>
      </c>
      <c r="J45" s="32" t="s">
        <v>178</v>
      </c>
      <c r="K45" s="28" t="s">
        <v>58</v>
      </c>
      <c r="L45" s="29" t="n">
        <v>0</v>
      </c>
      <c r="M45" s="15" t="s">
        <v>305</v>
      </c>
      <c r="N45" s="15" t="s">
        <v>306</v>
      </c>
      <c r="O45" s="14" t="s">
        <v>98</v>
      </c>
      <c r="P45" s="13" t="n">
        <v>8</v>
      </c>
      <c r="Q45" s="14" t="s">
        <v>54</v>
      </c>
    </row>
    <row r="46" customFormat="false" ht="22.35" hidden="false" customHeight="false" outlineLevel="0" collapsed="false">
      <c r="A46" s="20" t="s">
        <v>307</v>
      </c>
      <c r="B46" s="33" t="s">
        <v>202</v>
      </c>
      <c r="C46" s="22" t="s">
        <v>297</v>
      </c>
      <c r="D46" s="23" t="s">
        <v>308</v>
      </c>
      <c r="E46" s="22" t="s">
        <v>133</v>
      </c>
      <c r="F46" s="22" t="s">
        <v>309</v>
      </c>
      <c r="G46" s="24" t="s">
        <v>45</v>
      </c>
      <c r="H46" s="22" t="s">
        <v>226</v>
      </c>
      <c r="I46" s="22" t="s">
        <v>151</v>
      </c>
      <c r="J46" s="36" t="s">
        <v>178</v>
      </c>
      <c r="K46" s="26" t="s">
        <v>58</v>
      </c>
      <c r="L46" s="27" t="n">
        <v>0</v>
      </c>
      <c r="M46" s="23" t="s">
        <v>310</v>
      </c>
      <c r="N46" s="23" t="s">
        <v>311</v>
      </c>
      <c r="O46" s="22" t="s">
        <v>98</v>
      </c>
      <c r="P46" s="21" t="n">
        <v>10</v>
      </c>
      <c r="Q46" s="22" t="s">
        <v>302</v>
      </c>
    </row>
    <row r="47" customFormat="false" ht="32.8" hidden="false" customHeight="false" outlineLevel="0" collapsed="false">
      <c r="A47" s="12" t="s">
        <v>312</v>
      </c>
      <c r="B47" s="34" t="s">
        <v>202</v>
      </c>
      <c r="C47" s="14" t="s">
        <v>297</v>
      </c>
      <c r="D47" s="15" t="s">
        <v>313</v>
      </c>
      <c r="E47" s="14" t="s">
        <v>70</v>
      </c>
      <c r="F47" s="14" t="s">
        <v>314</v>
      </c>
      <c r="G47" s="16" t="s">
        <v>315</v>
      </c>
      <c r="H47" s="14" t="s">
        <v>226</v>
      </c>
      <c r="I47" s="14" t="s">
        <v>151</v>
      </c>
      <c r="J47" s="32" t="s">
        <v>178</v>
      </c>
      <c r="K47" s="28" t="s">
        <v>58</v>
      </c>
      <c r="L47" s="29" t="n">
        <v>0</v>
      </c>
      <c r="M47" s="15" t="s">
        <v>316</v>
      </c>
      <c r="N47" s="15" t="s">
        <v>317</v>
      </c>
      <c r="O47" s="14" t="s">
        <v>98</v>
      </c>
      <c r="P47" s="13" t="n">
        <v>6</v>
      </c>
      <c r="Q47" s="14" t="s">
        <v>53</v>
      </c>
    </row>
    <row r="48" customFormat="false" ht="22.35" hidden="false" customHeight="false" outlineLevel="0" collapsed="false">
      <c r="A48" s="20" t="s">
        <v>318</v>
      </c>
      <c r="B48" s="33" t="s">
        <v>202</v>
      </c>
      <c r="C48" s="22" t="s">
        <v>297</v>
      </c>
      <c r="D48" s="23" t="s">
        <v>319</v>
      </c>
      <c r="E48" s="22" t="s">
        <v>56</v>
      </c>
      <c r="F48" s="22" t="s">
        <v>320</v>
      </c>
      <c r="G48" s="24" t="s">
        <v>315</v>
      </c>
      <c r="H48" s="22" t="s">
        <v>226</v>
      </c>
      <c r="I48" s="22" t="s">
        <v>151</v>
      </c>
      <c r="J48" s="37" t="s">
        <v>232</v>
      </c>
      <c r="K48" s="26" t="s">
        <v>58</v>
      </c>
      <c r="L48" s="27" t="n">
        <v>0</v>
      </c>
      <c r="M48" s="23" t="s">
        <v>321</v>
      </c>
      <c r="N48" s="23" t="s">
        <v>322</v>
      </c>
      <c r="O48" s="22" t="s">
        <v>98</v>
      </c>
      <c r="P48" s="21" t="n">
        <v>4</v>
      </c>
      <c r="Q48" s="22" t="s">
        <v>53</v>
      </c>
    </row>
    <row r="49" customFormat="false" ht="43.25" hidden="false" customHeight="false" outlineLevel="0" collapsed="false">
      <c r="A49" s="12" t="s">
        <v>323</v>
      </c>
      <c r="B49" s="34" t="s">
        <v>202</v>
      </c>
      <c r="C49" s="14" t="s">
        <v>297</v>
      </c>
      <c r="D49" s="15" t="s">
        <v>324</v>
      </c>
      <c r="E49" s="14" t="s">
        <v>56</v>
      </c>
      <c r="F49" s="14" t="s">
        <v>325</v>
      </c>
      <c r="G49" s="16" t="s">
        <v>84</v>
      </c>
      <c r="H49" s="14" t="s">
        <v>205</v>
      </c>
      <c r="I49" s="14" t="s">
        <v>326</v>
      </c>
      <c r="J49" s="32" t="s">
        <v>178</v>
      </c>
      <c r="K49" s="28" t="s">
        <v>58</v>
      </c>
      <c r="L49" s="29" t="n">
        <v>0</v>
      </c>
      <c r="M49" s="15" t="s">
        <v>327</v>
      </c>
      <c r="N49" s="15" t="s">
        <v>328</v>
      </c>
      <c r="O49" s="14" t="s">
        <v>52</v>
      </c>
      <c r="P49" s="13" t="n">
        <v>18</v>
      </c>
      <c r="Q49" s="14" t="s">
        <v>201</v>
      </c>
    </row>
    <row r="50" customFormat="false" ht="43.25" hidden="false" customHeight="false" outlineLevel="0" collapsed="false">
      <c r="A50" s="20" t="s">
        <v>329</v>
      </c>
      <c r="B50" s="33" t="s">
        <v>202</v>
      </c>
      <c r="C50" s="22" t="s">
        <v>297</v>
      </c>
      <c r="D50" s="23" t="s">
        <v>330</v>
      </c>
      <c r="E50" s="22" t="s">
        <v>56</v>
      </c>
      <c r="F50" s="22" t="s">
        <v>331</v>
      </c>
      <c r="G50" s="24" t="s">
        <v>93</v>
      </c>
      <c r="H50" s="22" t="s">
        <v>205</v>
      </c>
      <c r="I50" s="22" t="s">
        <v>95</v>
      </c>
      <c r="J50" s="37" t="s">
        <v>232</v>
      </c>
      <c r="K50" s="26" t="s">
        <v>58</v>
      </c>
      <c r="L50" s="27" t="n">
        <v>0</v>
      </c>
      <c r="M50" s="23" t="s">
        <v>332</v>
      </c>
      <c r="N50" s="23" t="s">
        <v>333</v>
      </c>
      <c r="O50" s="22" t="s">
        <v>52</v>
      </c>
      <c r="P50" s="21" t="n">
        <v>4</v>
      </c>
      <c r="Q50" s="22" t="s">
        <v>89</v>
      </c>
    </row>
    <row r="51" customFormat="false" ht="32.8" hidden="false" customHeight="false" outlineLevel="0" collapsed="false">
      <c r="A51" s="12" t="s">
        <v>334</v>
      </c>
      <c r="B51" s="38" t="s">
        <v>335</v>
      </c>
      <c r="C51" s="14" t="s">
        <v>336</v>
      </c>
      <c r="D51" s="15" t="s">
        <v>337</v>
      </c>
      <c r="E51" s="14" t="s">
        <v>210</v>
      </c>
      <c r="F51" s="14" t="s">
        <v>338</v>
      </c>
      <c r="G51" s="16" t="s">
        <v>339</v>
      </c>
      <c r="H51" s="14" t="s">
        <v>205</v>
      </c>
      <c r="I51" s="14" t="s">
        <v>95</v>
      </c>
      <c r="J51" s="30" t="s">
        <v>113</v>
      </c>
      <c r="K51" s="28" t="s">
        <v>58</v>
      </c>
      <c r="L51" s="29" t="n">
        <v>0</v>
      </c>
      <c r="M51" s="15" t="s">
        <v>340</v>
      </c>
      <c r="N51" s="15" t="s">
        <v>341</v>
      </c>
      <c r="O51" s="14" t="s">
        <v>98</v>
      </c>
      <c r="P51" s="13" t="n">
        <v>14</v>
      </c>
      <c r="Q51" s="14" t="s">
        <v>329</v>
      </c>
    </row>
    <row r="52" customFormat="false" ht="22.35" hidden="false" customHeight="false" outlineLevel="0" collapsed="false">
      <c r="A52" s="20" t="s">
        <v>342</v>
      </c>
      <c r="B52" s="39" t="s">
        <v>335</v>
      </c>
      <c r="C52" s="22" t="s">
        <v>336</v>
      </c>
      <c r="D52" s="23" t="s">
        <v>343</v>
      </c>
      <c r="E52" s="22" t="s">
        <v>210</v>
      </c>
      <c r="F52" s="22" t="s">
        <v>338</v>
      </c>
      <c r="G52" s="24" t="s">
        <v>339</v>
      </c>
      <c r="H52" s="22" t="s">
        <v>205</v>
      </c>
      <c r="I52" s="22" t="s">
        <v>95</v>
      </c>
      <c r="J52" s="31" t="s">
        <v>113</v>
      </c>
      <c r="K52" s="26" t="s">
        <v>58</v>
      </c>
      <c r="L52" s="27" t="n">
        <v>0</v>
      </c>
      <c r="M52" s="23" t="s">
        <v>344</v>
      </c>
      <c r="N52" s="23" t="s">
        <v>345</v>
      </c>
      <c r="O52" s="22" t="s">
        <v>98</v>
      </c>
      <c r="P52" s="21" t="n">
        <v>12</v>
      </c>
      <c r="Q52" s="22" t="s">
        <v>334</v>
      </c>
    </row>
    <row r="53" customFormat="false" ht="32.8" hidden="false" customHeight="false" outlineLevel="0" collapsed="false">
      <c r="A53" s="12" t="s">
        <v>346</v>
      </c>
      <c r="B53" s="38" t="s">
        <v>335</v>
      </c>
      <c r="C53" s="14" t="s">
        <v>336</v>
      </c>
      <c r="D53" s="15" t="s">
        <v>347</v>
      </c>
      <c r="E53" s="14" t="s">
        <v>133</v>
      </c>
      <c r="F53" s="14" t="s">
        <v>348</v>
      </c>
      <c r="G53" s="16" t="s">
        <v>93</v>
      </c>
      <c r="H53" s="14" t="s">
        <v>205</v>
      </c>
      <c r="I53" s="14" t="s">
        <v>128</v>
      </c>
      <c r="J53" s="30" t="s">
        <v>113</v>
      </c>
      <c r="K53" s="28" t="s">
        <v>58</v>
      </c>
      <c r="L53" s="29" t="n">
        <v>0</v>
      </c>
      <c r="M53" s="15" t="s">
        <v>349</v>
      </c>
      <c r="N53" s="15" t="s">
        <v>350</v>
      </c>
      <c r="O53" s="14" t="s">
        <v>98</v>
      </c>
      <c r="P53" s="13" t="n">
        <v>12</v>
      </c>
      <c r="Q53" s="14" t="s">
        <v>89</v>
      </c>
    </row>
    <row r="54" customFormat="false" ht="32.8" hidden="false" customHeight="false" outlineLevel="0" collapsed="false">
      <c r="A54" s="20" t="s">
        <v>351</v>
      </c>
      <c r="B54" s="39" t="s">
        <v>335</v>
      </c>
      <c r="C54" s="22" t="s">
        <v>336</v>
      </c>
      <c r="D54" s="23" t="s">
        <v>352</v>
      </c>
      <c r="E54" s="22" t="s">
        <v>133</v>
      </c>
      <c r="F54" s="22" t="s">
        <v>353</v>
      </c>
      <c r="G54" s="24" t="s">
        <v>127</v>
      </c>
      <c r="H54" s="22" t="s">
        <v>205</v>
      </c>
      <c r="I54" s="22" t="s">
        <v>95</v>
      </c>
      <c r="J54" s="36" t="s">
        <v>178</v>
      </c>
      <c r="K54" s="26" t="s">
        <v>86</v>
      </c>
      <c r="L54" s="27" t="n">
        <v>0.6</v>
      </c>
      <c r="M54" s="23" t="s">
        <v>354</v>
      </c>
      <c r="N54" s="23" t="s">
        <v>355</v>
      </c>
      <c r="O54" s="22" t="s">
        <v>137</v>
      </c>
      <c r="P54" s="21" t="n">
        <v>6</v>
      </c>
      <c r="Q54" s="22" t="s">
        <v>342</v>
      </c>
    </row>
    <row r="55" customFormat="false" ht="32.8" hidden="false" customHeight="false" outlineLevel="0" collapsed="false">
      <c r="A55" s="12" t="s">
        <v>356</v>
      </c>
      <c r="B55" s="38" t="s">
        <v>335</v>
      </c>
      <c r="C55" s="14" t="s">
        <v>336</v>
      </c>
      <c r="D55" s="15" t="s">
        <v>357</v>
      </c>
      <c r="E55" s="14" t="s">
        <v>56</v>
      </c>
      <c r="F55" s="14" t="s">
        <v>338</v>
      </c>
      <c r="G55" s="16" t="s">
        <v>339</v>
      </c>
      <c r="H55" s="14" t="s">
        <v>205</v>
      </c>
      <c r="I55" s="14" t="s">
        <v>104</v>
      </c>
      <c r="J55" s="30" t="s">
        <v>113</v>
      </c>
      <c r="K55" s="28" t="s">
        <v>58</v>
      </c>
      <c r="L55" s="29" t="n">
        <v>0</v>
      </c>
      <c r="M55" s="15" t="s">
        <v>358</v>
      </c>
      <c r="N55" s="15" t="s">
        <v>359</v>
      </c>
      <c r="O55" s="14" t="s">
        <v>98</v>
      </c>
      <c r="P55" s="13" t="n">
        <v>12</v>
      </c>
      <c r="Q55" s="14" t="s">
        <v>53</v>
      </c>
    </row>
    <row r="56" customFormat="false" ht="22.35" hidden="false" customHeight="false" outlineLevel="0" collapsed="false">
      <c r="A56" s="20" t="s">
        <v>360</v>
      </c>
      <c r="B56" s="39" t="s">
        <v>335</v>
      </c>
      <c r="C56" s="22" t="s">
        <v>336</v>
      </c>
      <c r="D56" s="23" t="s">
        <v>361</v>
      </c>
      <c r="E56" s="22" t="s">
        <v>133</v>
      </c>
      <c r="F56" s="22" t="s">
        <v>304</v>
      </c>
      <c r="G56" s="24" t="s">
        <v>45</v>
      </c>
      <c r="H56" s="22" t="s">
        <v>226</v>
      </c>
      <c r="I56" s="22" t="s">
        <v>362</v>
      </c>
      <c r="J56" s="31" t="s">
        <v>113</v>
      </c>
      <c r="K56" s="26" t="s">
        <v>58</v>
      </c>
      <c r="L56" s="27" t="n">
        <v>0</v>
      </c>
      <c r="M56" s="23" t="s">
        <v>363</v>
      </c>
      <c r="N56" s="23" t="s">
        <v>364</v>
      </c>
      <c r="O56" s="22" t="s">
        <v>98</v>
      </c>
      <c r="P56" s="21" t="n">
        <v>8</v>
      </c>
      <c r="Q56" s="22" t="s">
        <v>302</v>
      </c>
    </row>
    <row r="57" customFormat="false" ht="22.35" hidden="false" customHeight="false" outlineLevel="0" collapsed="false">
      <c r="A57" s="12" t="s">
        <v>365</v>
      </c>
      <c r="B57" s="38" t="s">
        <v>335</v>
      </c>
      <c r="C57" s="14" t="s">
        <v>366</v>
      </c>
      <c r="D57" s="15" t="s">
        <v>367</v>
      </c>
      <c r="E57" s="14" t="s">
        <v>176</v>
      </c>
      <c r="F57" s="14" t="s">
        <v>368</v>
      </c>
      <c r="G57" s="16" t="s">
        <v>369</v>
      </c>
      <c r="H57" s="14" t="s">
        <v>205</v>
      </c>
      <c r="I57" s="14" t="s">
        <v>128</v>
      </c>
      <c r="J57" s="32" t="s">
        <v>178</v>
      </c>
      <c r="K57" s="28" t="s">
        <v>58</v>
      </c>
      <c r="L57" s="29" t="n">
        <v>0</v>
      </c>
      <c r="M57" s="15" t="s">
        <v>370</v>
      </c>
      <c r="N57" s="15" t="s">
        <v>371</v>
      </c>
      <c r="O57" s="14" t="s">
        <v>98</v>
      </c>
      <c r="P57" s="13" t="n">
        <v>10</v>
      </c>
      <c r="Q57" s="14" t="s">
        <v>53</v>
      </c>
    </row>
    <row r="58" customFormat="false" ht="22.35" hidden="false" customHeight="false" outlineLevel="0" collapsed="false">
      <c r="A58" s="20" t="s">
        <v>372</v>
      </c>
      <c r="B58" s="39" t="s">
        <v>335</v>
      </c>
      <c r="C58" s="22" t="s">
        <v>366</v>
      </c>
      <c r="D58" s="23" t="s">
        <v>373</v>
      </c>
      <c r="E58" s="22" t="s">
        <v>176</v>
      </c>
      <c r="F58" s="22" t="s">
        <v>374</v>
      </c>
      <c r="G58" s="24" t="s">
        <v>369</v>
      </c>
      <c r="H58" s="22" t="s">
        <v>205</v>
      </c>
      <c r="I58" s="22" t="s">
        <v>128</v>
      </c>
      <c r="J58" s="36" t="s">
        <v>178</v>
      </c>
      <c r="K58" s="26" t="s">
        <v>58</v>
      </c>
      <c r="L58" s="27" t="n">
        <v>0</v>
      </c>
      <c r="M58" s="23" t="s">
        <v>375</v>
      </c>
      <c r="N58" s="23" t="s">
        <v>376</v>
      </c>
      <c r="O58" s="22" t="s">
        <v>98</v>
      </c>
      <c r="P58" s="21" t="n">
        <v>8</v>
      </c>
      <c r="Q58" s="22" t="s">
        <v>365</v>
      </c>
    </row>
    <row r="59" customFormat="false" ht="32.8" hidden="false" customHeight="false" outlineLevel="0" collapsed="false">
      <c r="A59" s="12" t="s">
        <v>377</v>
      </c>
      <c r="B59" s="38" t="s">
        <v>335</v>
      </c>
      <c r="C59" s="14" t="s">
        <v>366</v>
      </c>
      <c r="D59" s="15" t="s">
        <v>378</v>
      </c>
      <c r="E59" s="14" t="s">
        <v>176</v>
      </c>
      <c r="F59" s="14" t="s">
        <v>379</v>
      </c>
      <c r="G59" s="16" t="s">
        <v>369</v>
      </c>
      <c r="H59" s="14" t="s">
        <v>205</v>
      </c>
      <c r="I59" s="14" t="s">
        <v>128</v>
      </c>
      <c r="J59" s="32" t="s">
        <v>178</v>
      </c>
      <c r="K59" s="28" t="s">
        <v>58</v>
      </c>
      <c r="L59" s="29" t="n">
        <v>0</v>
      </c>
      <c r="M59" s="15" t="s">
        <v>380</v>
      </c>
      <c r="N59" s="15" t="s">
        <v>381</v>
      </c>
      <c r="O59" s="14" t="s">
        <v>52</v>
      </c>
      <c r="P59" s="13" t="n">
        <v>8</v>
      </c>
      <c r="Q59" s="14" t="s">
        <v>372</v>
      </c>
    </row>
    <row r="60" customFormat="false" ht="22.35" hidden="false" customHeight="false" outlineLevel="0" collapsed="false">
      <c r="A60" s="20" t="s">
        <v>382</v>
      </c>
      <c r="B60" s="39" t="s">
        <v>335</v>
      </c>
      <c r="C60" s="22" t="s">
        <v>366</v>
      </c>
      <c r="D60" s="23" t="s">
        <v>383</v>
      </c>
      <c r="E60" s="22" t="s">
        <v>101</v>
      </c>
      <c r="F60" s="22" t="s">
        <v>384</v>
      </c>
      <c r="G60" s="24" t="s">
        <v>141</v>
      </c>
      <c r="H60" s="22" t="s">
        <v>205</v>
      </c>
      <c r="I60" s="22" t="s">
        <v>85</v>
      </c>
      <c r="J60" s="36" t="s">
        <v>178</v>
      </c>
      <c r="K60" s="26" t="s">
        <v>58</v>
      </c>
      <c r="L60" s="27" t="n">
        <v>0</v>
      </c>
      <c r="M60" s="23" t="s">
        <v>385</v>
      </c>
      <c r="N60" s="23" t="s">
        <v>386</v>
      </c>
      <c r="O60" s="22" t="s">
        <v>107</v>
      </c>
      <c r="P60" s="21" t="n">
        <v>8</v>
      </c>
      <c r="Q60" s="22" t="s">
        <v>53</v>
      </c>
    </row>
    <row r="61" customFormat="false" ht="32.8" hidden="false" customHeight="false" outlineLevel="0" collapsed="false">
      <c r="A61" s="12" t="s">
        <v>387</v>
      </c>
      <c r="B61" s="38" t="s">
        <v>335</v>
      </c>
      <c r="C61" s="14" t="s">
        <v>366</v>
      </c>
      <c r="D61" s="15" t="s">
        <v>388</v>
      </c>
      <c r="E61" s="14" t="s">
        <v>133</v>
      </c>
      <c r="F61" s="14" t="s">
        <v>231</v>
      </c>
      <c r="G61" s="16" t="s">
        <v>45</v>
      </c>
      <c r="H61" s="14" t="s">
        <v>226</v>
      </c>
      <c r="I61" s="14" t="s">
        <v>85</v>
      </c>
      <c r="J61" s="32" t="s">
        <v>178</v>
      </c>
      <c r="K61" s="28" t="s">
        <v>58</v>
      </c>
      <c r="L61" s="29" t="n">
        <v>0</v>
      </c>
      <c r="M61" s="15" t="s">
        <v>389</v>
      </c>
      <c r="N61" s="15" t="s">
        <v>390</v>
      </c>
      <c r="O61" s="14" t="s">
        <v>107</v>
      </c>
      <c r="P61" s="13" t="n">
        <v>8</v>
      </c>
      <c r="Q61" s="14" t="s">
        <v>224</v>
      </c>
    </row>
    <row r="62" customFormat="false" ht="32.8" hidden="false" customHeight="false" outlineLevel="0" collapsed="false">
      <c r="A62" s="20" t="s">
        <v>391</v>
      </c>
      <c r="B62" s="39" t="s">
        <v>335</v>
      </c>
      <c r="C62" s="22" t="s">
        <v>366</v>
      </c>
      <c r="D62" s="23" t="s">
        <v>392</v>
      </c>
      <c r="E62" s="22" t="s">
        <v>176</v>
      </c>
      <c r="F62" s="22" t="s">
        <v>193</v>
      </c>
      <c r="G62" s="24" t="s">
        <v>165</v>
      </c>
      <c r="H62" s="22" t="s">
        <v>205</v>
      </c>
      <c r="I62" s="22" t="s">
        <v>188</v>
      </c>
      <c r="J62" s="37" t="s">
        <v>393</v>
      </c>
      <c r="K62" s="26" t="s">
        <v>58</v>
      </c>
      <c r="L62" s="27" t="n">
        <v>0</v>
      </c>
      <c r="M62" s="23" t="s">
        <v>394</v>
      </c>
      <c r="N62" s="23" t="s">
        <v>395</v>
      </c>
      <c r="O62" s="22" t="s">
        <v>98</v>
      </c>
      <c r="P62" s="21" t="n">
        <v>7</v>
      </c>
      <c r="Q62" s="22" t="s">
        <v>191</v>
      </c>
    </row>
    <row r="63" customFormat="false" ht="22.35" hidden="false" customHeight="false" outlineLevel="0" collapsed="false">
      <c r="A63" s="12" t="s">
        <v>396</v>
      </c>
      <c r="B63" s="38" t="s">
        <v>335</v>
      </c>
      <c r="C63" s="14" t="s">
        <v>366</v>
      </c>
      <c r="D63" s="15" t="s">
        <v>397</v>
      </c>
      <c r="E63" s="14" t="s">
        <v>176</v>
      </c>
      <c r="F63" s="14" t="s">
        <v>193</v>
      </c>
      <c r="G63" s="16" t="s">
        <v>165</v>
      </c>
      <c r="H63" s="14" t="s">
        <v>205</v>
      </c>
      <c r="I63" s="14" t="s">
        <v>188</v>
      </c>
      <c r="J63" s="35" t="s">
        <v>393</v>
      </c>
      <c r="K63" s="28" t="s">
        <v>58</v>
      </c>
      <c r="L63" s="29" t="n">
        <v>0</v>
      </c>
      <c r="M63" s="15" t="s">
        <v>398</v>
      </c>
      <c r="N63" s="15" t="s">
        <v>399</v>
      </c>
      <c r="O63" s="14" t="s">
        <v>98</v>
      </c>
      <c r="P63" s="13" t="n">
        <v>7</v>
      </c>
      <c r="Q63" s="14" t="s">
        <v>191</v>
      </c>
    </row>
    <row r="64" customFormat="false" ht="22.35" hidden="false" customHeight="false" outlineLevel="0" collapsed="false">
      <c r="A64" s="20" t="s">
        <v>400</v>
      </c>
      <c r="B64" s="40" t="s">
        <v>401</v>
      </c>
      <c r="C64" s="22" t="s">
        <v>402</v>
      </c>
      <c r="D64" s="23" t="s">
        <v>403</v>
      </c>
      <c r="E64" s="22" t="s">
        <v>133</v>
      </c>
      <c r="F64" s="22" t="s">
        <v>304</v>
      </c>
      <c r="G64" s="24" t="s">
        <v>45</v>
      </c>
      <c r="H64" s="22" t="s">
        <v>205</v>
      </c>
      <c r="I64" s="22" t="s">
        <v>362</v>
      </c>
      <c r="J64" s="31" t="s">
        <v>113</v>
      </c>
      <c r="K64" s="26" t="s">
        <v>58</v>
      </c>
      <c r="L64" s="27" t="n">
        <v>0</v>
      </c>
      <c r="M64" s="23" t="s">
        <v>404</v>
      </c>
      <c r="N64" s="23" t="s">
        <v>405</v>
      </c>
      <c r="O64" s="22" t="s">
        <v>98</v>
      </c>
      <c r="P64" s="21" t="n">
        <v>8</v>
      </c>
      <c r="Q64" s="22" t="s">
        <v>53</v>
      </c>
    </row>
    <row r="65" customFormat="false" ht="22.35" hidden="false" customHeight="false" outlineLevel="0" collapsed="false">
      <c r="A65" s="12" t="s">
        <v>406</v>
      </c>
      <c r="B65" s="41" t="s">
        <v>401</v>
      </c>
      <c r="C65" s="14" t="s">
        <v>402</v>
      </c>
      <c r="D65" s="15" t="s">
        <v>407</v>
      </c>
      <c r="E65" s="14" t="s">
        <v>133</v>
      </c>
      <c r="F65" s="14" t="s">
        <v>304</v>
      </c>
      <c r="G65" s="16" t="s">
        <v>45</v>
      </c>
      <c r="H65" s="14" t="s">
        <v>205</v>
      </c>
      <c r="I65" s="14" t="s">
        <v>362</v>
      </c>
      <c r="J65" s="32" t="s">
        <v>178</v>
      </c>
      <c r="K65" s="28" t="s">
        <v>58</v>
      </c>
      <c r="L65" s="29" t="n">
        <v>0</v>
      </c>
      <c r="M65" s="15" t="s">
        <v>408</v>
      </c>
      <c r="N65" s="15" t="s">
        <v>409</v>
      </c>
      <c r="O65" s="14" t="s">
        <v>107</v>
      </c>
      <c r="P65" s="13" t="n">
        <v>5</v>
      </c>
      <c r="Q65" s="14" t="s">
        <v>400</v>
      </c>
    </row>
    <row r="66" customFormat="false" ht="32.8" hidden="false" customHeight="false" outlineLevel="0" collapsed="false">
      <c r="A66" s="20" t="s">
        <v>410</v>
      </c>
      <c r="B66" s="40" t="s">
        <v>401</v>
      </c>
      <c r="C66" s="22" t="s">
        <v>402</v>
      </c>
      <c r="D66" s="23" t="s">
        <v>411</v>
      </c>
      <c r="E66" s="22" t="s">
        <v>133</v>
      </c>
      <c r="F66" s="22" t="s">
        <v>353</v>
      </c>
      <c r="G66" s="24" t="s">
        <v>45</v>
      </c>
      <c r="H66" s="22" t="s">
        <v>205</v>
      </c>
      <c r="I66" s="22" t="s">
        <v>95</v>
      </c>
      <c r="J66" s="31" t="s">
        <v>113</v>
      </c>
      <c r="K66" s="26" t="s">
        <v>58</v>
      </c>
      <c r="L66" s="27" t="n">
        <v>0</v>
      </c>
      <c r="M66" s="23" t="s">
        <v>412</v>
      </c>
      <c r="N66" s="23" t="s">
        <v>413</v>
      </c>
      <c r="O66" s="22" t="s">
        <v>98</v>
      </c>
      <c r="P66" s="21" t="n">
        <v>12</v>
      </c>
      <c r="Q66" s="22" t="s">
        <v>53</v>
      </c>
    </row>
    <row r="67" customFormat="false" ht="32.8" hidden="false" customHeight="false" outlineLevel="0" collapsed="false">
      <c r="A67" s="12" t="s">
        <v>414</v>
      </c>
      <c r="B67" s="41" t="s">
        <v>401</v>
      </c>
      <c r="C67" s="14" t="s">
        <v>402</v>
      </c>
      <c r="D67" s="15" t="s">
        <v>415</v>
      </c>
      <c r="E67" s="14" t="s">
        <v>70</v>
      </c>
      <c r="F67" s="14" t="s">
        <v>416</v>
      </c>
      <c r="G67" s="16" t="s">
        <v>289</v>
      </c>
      <c r="H67" s="14" t="s">
        <v>205</v>
      </c>
      <c r="I67" s="14" t="s">
        <v>47</v>
      </c>
      <c r="J67" s="30" t="s">
        <v>113</v>
      </c>
      <c r="K67" s="28" t="s">
        <v>58</v>
      </c>
      <c r="L67" s="29" t="n">
        <v>0</v>
      </c>
      <c r="M67" s="15" t="s">
        <v>417</v>
      </c>
      <c r="N67" s="15" t="s">
        <v>418</v>
      </c>
      <c r="O67" s="14" t="s">
        <v>98</v>
      </c>
      <c r="P67" s="13" t="n">
        <v>12</v>
      </c>
      <c r="Q67" s="14" t="s">
        <v>286</v>
      </c>
    </row>
    <row r="68" customFormat="false" ht="32.8" hidden="false" customHeight="false" outlineLevel="0" collapsed="false">
      <c r="A68" s="20" t="s">
        <v>419</v>
      </c>
      <c r="B68" s="40" t="s">
        <v>401</v>
      </c>
      <c r="C68" s="22" t="s">
        <v>402</v>
      </c>
      <c r="D68" s="23" t="s">
        <v>420</v>
      </c>
      <c r="E68" s="22" t="s">
        <v>156</v>
      </c>
      <c r="F68" s="22" t="s">
        <v>421</v>
      </c>
      <c r="G68" s="24" t="s">
        <v>158</v>
      </c>
      <c r="H68" s="22" t="s">
        <v>205</v>
      </c>
      <c r="I68" s="22" t="s">
        <v>104</v>
      </c>
      <c r="J68" s="31" t="s">
        <v>113</v>
      </c>
      <c r="K68" s="26" t="s">
        <v>58</v>
      </c>
      <c r="L68" s="27" t="n">
        <v>0</v>
      </c>
      <c r="M68" s="23" t="s">
        <v>422</v>
      </c>
      <c r="N68" s="23" t="s">
        <v>423</v>
      </c>
      <c r="O68" s="22" t="s">
        <v>98</v>
      </c>
      <c r="P68" s="21" t="n">
        <v>10</v>
      </c>
      <c r="Q68" s="22" t="s">
        <v>53</v>
      </c>
    </row>
    <row r="69" customFormat="false" ht="22.35" hidden="false" customHeight="false" outlineLevel="0" collapsed="false">
      <c r="A69" s="12" t="s">
        <v>424</v>
      </c>
      <c r="B69" s="41" t="s">
        <v>401</v>
      </c>
      <c r="C69" s="14" t="s">
        <v>402</v>
      </c>
      <c r="D69" s="15" t="s">
        <v>425</v>
      </c>
      <c r="E69" s="14" t="s">
        <v>56</v>
      </c>
      <c r="F69" s="14" t="s">
        <v>426</v>
      </c>
      <c r="G69" s="16" t="s">
        <v>84</v>
      </c>
      <c r="H69" s="14" t="s">
        <v>205</v>
      </c>
      <c r="I69" s="14" t="s">
        <v>85</v>
      </c>
      <c r="J69" s="32" t="s">
        <v>178</v>
      </c>
      <c r="K69" s="28" t="s">
        <v>58</v>
      </c>
      <c r="L69" s="29" t="n">
        <v>0</v>
      </c>
      <c r="M69" s="15" t="s">
        <v>427</v>
      </c>
      <c r="N69" s="15" t="s">
        <v>428</v>
      </c>
      <c r="O69" s="14" t="s">
        <v>107</v>
      </c>
      <c r="P69" s="13" t="n">
        <v>6</v>
      </c>
      <c r="Q69" s="14" t="s">
        <v>382</v>
      </c>
    </row>
    <row r="70" customFormat="false" ht="15" hidden="false" customHeight="false" outlineLevel="0" collapsed="false">
      <c r="A70" s="20" t="s">
        <v>429</v>
      </c>
      <c r="B70" s="40" t="s">
        <v>401</v>
      </c>
      <c r="C70" s="22" t="s">
        <v>402</v>
      </c>
      <c r="D70" s="23" t="s">
        <v>430</v>
      </c>
      <c r="E70" s="22" t="s">
        <v>101</v>
      </c>
      <c r="F70" s="22" t="s">
        <v>384</v>
      </c>
      <c r="G70" s="24" t="s">
        <v>45</v>
      </c>
      <c r="H70" s="22" t="s">
        <v>205</v>
      </c>
      <c r="I70" s="22" t="s">
        <v>85</v>
      </c>
      <c r="J70" s="31" t="s">
        <v>113</v>
      </c>
      <c r="K70" s="26" t="s">
        <v>58</v>
      </c>
      <c r="L70" s="27" t="n">
        <v>0</v>
      </c>
      <c r="M70" s="23" t="s">
        <v>431</v>
      </c>
      <c r="N70" s="23" t="s">
        <v>432</v>
      </c>
      <c r="O70" s="22" t="s">
        <v>107</v>
      </c>
      <c r="P70" s="21" t="n">
        <v>8</v>
      </c>
      <c r="Q70" s="22" t="s">
        <v>410</v>
      </c>
    </row>
    <row r="71" customFormat="false" ht="32.8" hidden="false" customHeight="false" outlineLevel="0" collapsed="false">
      <c r="A71" s="12" t="s">
        <v>433</v>
      </c>
      <c r="B71" s="41" t="s">
        <v>401</v>
      </c>
      <c r="C71" s="14" t="s">
        <v>434</v>
      </c>
      <c r="D71" s="15" t="s">
        <v>435</v>
      </c>
      <c r="E71" s="14" t="s">
        <v>70</v>
      </c>
      <c r="F71" s="14" t="s">
        <v>314</v>
      </c>
      <c r="G71" s="16" t="s">
        <v>315</v>
      </c>
      <c r="H71" s="14" t="s">
        <v>226</v>
      </c>
      <c r="I71" s="14" t="s">
        <v>79</v>
      </c>
      <c r="J71" s="30" t="s">
        <v>113</v>
      </c>
      <c r="K71" s="28" t="s">
        <v>58</v>
      </c>
      <c r="L71" s="29" t="n">
        <v>0</v>
      </c>
      <c r="M71" s="15" t="s">
        <v>436</v>
      </c>
      <c r="N71" s="15" t="s">
        <v>437</v>
      </c>
      <c r="O71" s="14" t="s">
        <v>98</v>
      </c>
      <c r="P71" s="13" t="n">
        <v>10</v>
      </c>
      <c r="Q71" s="14" t="s">
        <v>312</v>
      </c>
    </row>
    <row r="72" customFormat="false" ht="22.35" hidden="false" customHeight="false" outlineLevel="0" collapsed="false">
      <c r="A72" s="20" t="s">
        <v>438</v>
      </c>
      <c r="B72" s="40" t="s">
        <v>401</v>
      </c>
      <c r="C72" s="22" t="s">
        <v>434</v>
      </c>
      <c r="D72" s="23" t="s">
        <v>439</v>
      </c>
      <c r="E72" s="22" t="s">
        <v>70</v>
      </c>
      <c r="F72" s="22" t="s">
        <v>314</v>
      </c>
      <c r="G72" s="24" t="s">
        <v>315</v>
      </c>
      <c r="H72" s="22" t="s">
        <v>226</v>
      </c>
      <c r="I72" s="22" t="s">
        <v>79</v>
      </c>
      <c r="J72" s="36" t="s">
        <v>178</v>
      </c>
      <c r="K72" s="26" t="s">
        <v>58</v>
      </c>
      <c r="L72" s="27" t="n">
        <v>0</v>
      </c>
      <c r="M72" s="23" t="s">
        <v>440</v>
      </c>
      <c r="N72" s="23" t="s">
        <v>441</v>
      </c>
      <c r="O72" s="22" t="s">
        <v>98</v>
      </c>
      <c r="P72" s="21" t="n">
        <v>8</v>
      </c>
      <c r="Q72" s="22" t="s">
        <v>433</v>
      </c>
    </row>
    <row r="73" customFormat="false" ht="22.35" hidden="false" customHeight="false" outlineLevel="0" collapsed="false">
      <c r="A73" s="12" t="s">
        <v>442</v>
      </c>
      <c r="B73" s="41" t="s">
        <v>401</v>
      </c>
      <c r="C73" s="14" t="s">
        <v>434</v>
      </c>
      <c r="D73" s="15" t="s">
        <v>443</v>
      </c>
      <c r="E73" s="14" t="s">
        <v>70</v>
      </c>
      <c r="F73" s="14" t="s">
        <v>258</v>
      </c>
      <c r="G73" s="16" t="s">
        <v>315</v>
      </c>
      <c r="H73" s="14" t="s">
        <v>205</v>
      </c>
      <c r="I73" s="14" t="s">
        <v>79</v>
      </c>
      <c r="J73" s="35" t="s">
        <v>393</v>
      </c>
      <c r="K73" s="28" t="s">
        <v>58</v>
      </c>
      <c r="L73" s="29" t="n">
        <v>0</v>
      </c>
      <c r="M73" s="15" t="s">
        <v>444</v>
      </c>
      <c r="N73" s="15" t="s">
        <v>445</v>
      </c>
      <c r="O73" s="14" t="s">
        <v>98</v>
      </c>
      <c r="P73" s="13" t="n">
        <v>12</v>
      </c>
      <c r="Q73" s="14" t="s">
        <v>256</v>
      </c>
    </row>
    <row r="74" customFormat="false" ht="15" hidden="false" customHeight="false" outlineLevel="0" collapsed="false">
      <c r="A74" s="20" t="s">
        <v>446</v>
      </c>
      <c r="B74" s="40" t="s">
        <v>401</v>
      </c>
      <c r="C74" s="22" t="s">
        <v>434</v>
      </c>
      <c r="D74" s="23" t="s">
        <v>447</v>
      </c>
      <c r="E74" s="22" t="s">
        <v>133</v>
      </c>
      <c r="F74" s="22" t="s">
        <v>304</v>
      </c>
      <c r="G74" s="24" t="s">
        <v>45</v>
      </c>
      <c r="H74" s="22" t="s">
        <v>226</v>
      </c>
      <c r="I74" s="22" t="s">
        <v>47</v>
      </c>
      <c r="J74" s="37" t="s">
        <v>232</v>
      </c>
      <c r="K74" s="26" t="s">
        <v>58</v>
      </c>
      <c r="L74" s="27" t="n">
        <v>0</v>
      </c>
      <c r="M74" s="23" t="s">
        <v>448</v>
      </c>
      <c r="N74" s="23" t="s">
        <v>449</v>
      </c>
      <c r="O74" s="22" t="s">
        <v>98</v>
      </c>
      <c r="P74" s="21" t="n">
        <v>4</v>
      </c>
      <c r="Q74" s="22" t="s">
        <v>53</v>
      </c>
    </row>
    <row r="75" customFormat="false" ht="43.25" hidden="false" customHeight="false" outlineLevel="0" collapsed="false">
      <c r="A75" s="12" t="s">
        <v>450</v>
      </c>
      <c r="B75" s="41" t="s">
        <v>401</v>
      </c>
      <c r="C75" s="14" t="s">
        <v>434</v>
      </c>
      <c r="D75" s="15" t="s">
        <v>451</v>
      </c>
      <c r="E75" s="14" t="s">
        <v>56</v>
      </c>
      <c r="F75" s="14" t="s">
        <v>57</v>
      </c>
      <c r="G75" s="16" t="s">
        <v>84</v>
      </c>
      <c r="H75" s="14" t="s">
        <v>226</v>
      </c>
      <c r="I75" s="14" t="s">
        <v>85</v>
      </c>
      <c r="J75" s="32" t="s">
        <v>178</v>
      </c>
      <c r="K75" s="28" t="s">
        <v>58</v>
      </c>
      <c r="L75" s="29" t="n">
        <v>0</v>
      </c>
      <c r="M75" s="15" t="s">
        <v>452</v>
      </c>
      <c r="N75" s="15" t="s">
        <v>453</v>
      </c>
      <c r="O75" s="14" t="s">
        <v>98</v>
      </c>
      <c r="P75" s="13" t="n">
        <v>10</v>
      </c>
      <c r="Q75" s="14" t="s">
        <v>224</v>
      </c>
    </row>
    <row r="76" customFormat="false" ht="22.35" hidden="false" customHeight="false" outlineLevel="0" collapsed="false">
      <c r="A76" s="20" t="s">
        <v>454</v>
      </c>
      <c r="B76" s="40" t="s">
        <v>401</v>
      </c>
      <c r="C76" s="22" t="s">
        <v>434</v>
      </c>
      <c r="D76" s="23" t="s">
        <v>455</v>
      </c>
      <c r="E76" s="22" t="s">
        <v>101</v>
      </c>
      <c r="F76" s="22" t="s">
        <v>146</v>
      </c>
      <c r="G76" s="24" t="s">
        <v>127</v>
      </c>
      <c r="H76" s="22" t="s">
        <v>226</v>
      </c>
      <c r="I76" s="22" t="s">
        <v>85</v>
      </c>
      <c r="J76" s="31" t="s">
        <v>113</v>
      </c>
      <c r="K76" s="26" t="s">
        <v>58</v>
      </c>
      <c r="L76" s="27" t="n">
        <v>0</v>
      </c>
      <c r="M76" s="23" t="s">
        <v>456</v>
      </c>
      <c r="N76" s="23" t="s">
        <v>457</v>
      </c>
      <c r="O76" s="22" t="s">
        <v>107</v>
      </c>
      <c r="P76" s="21" t="n">
        <v>4</v>
      </c>
      <c r="Q76" s="22" t="s">
        <v>144</v>
      </c>
    </row>
    <row r="77" customFormat="false" ht="32.8" hidden="false" customHeight="false" outlineLevel="0" collapsed="false">
      <c r="A77" s="12" t="s">
        <v>458</v>
      </c>
      <c r="B77" s="41" t="s">
        <v>401</v>
      </c>
      <c r="C77" s="14" t="s">
        <v>434</v>
      </c>
      <c r="D77" s="15" t="s">
        <v>459</v>
      </c>
      <c r="E77" s="14" t="s">
        <v>133</v>
      </c>
      <c r="F77" s="14" t="s">
        <v>309</v>
      </c>
      <c r="G77" s="16" t="s">
        <v>315</v>
      </c>
      <c r="H77" s="14" t="s">
        <v>226</v>
      </c>
      <c r="I77" s="14" t="s">
        <v>151</v>
      </c>
      <c r="J77" s="32" t="s">
        <v>178</v>
      </c>
      <c r="K77" s="28" t="s">
        <v>58</v>
      </c>
      <c r="L77" s="29" t="n">
        <v>0</v>
      </c>
      <c r="M77" s="15" t="s">
        <v>460</v>
      </c>
      <c r="N77" s="15" t="s">
        <v>461</v>
      </c>
      <c r="O77" s="14" t="s">
        <v>98</v>
      </c>
      <c r="P77" s="13" t="n">
        <v>8</v>
      </c>
      <c r="Q77" s="14" t="s">
        <v>307</v>
      </c>
    </row>
    <row r="78" customFormat="false" ht="15" hidden="false" customHeight="false" outlineLevel="0" collapsed="false">
      <c r="A78" s="20" t="s">
        <v>462</v>
      </c>
      <c r="B78" s="40" t="s">
        <v>401</v>
      </c>
      <c r="C78" s="22" t="s">
        <v>463</v>
      </c>
      <c r="D78" s="23" t="s">
        <v>464</v>
      </c>
      <c r="E78" s="22" t="s">
        <v>156</v>
      </c>
      <c r="F78" s="22" t="s">
        <v>164</v>
      </c>
      <c r="G78" s="24" t="s">
        <v>165</v>
      </c>
      <c r="H78" s="22" t="s">
        <v>465</v>
      </c>
      <c r="I78" s="22" t="s">
        <v>151</v>
      </c>
      <c r="J78" s="31" t="s">
        <v>113</v>
      </c>
      <c r="K78" s="26" t="s">
        <v>58</v>
      </c>
      <c r="L78" s="27" t="n">
        <v>0</v>
      </c>
      <c r="M78" s="23" t="s">
        <v>466</v>
      </c>
      <c r="N78" s="23" t="s">
        <v>467</v>
      </c>
      <c r="O78" s="22" t="s">
        <v>98</v>
      </c>
      <c r="P78" s="21" t="n">
        <v>8</v>
      </c>
      <c r="Q78" s="22" t="s">
        <v>53</v>
      </c>
    </row>
    <row r="79" customFormat="false" ht="22.35" hidden="false" customHeight="false" outlineLevel="0" collapsed="false">
      <c r="A79" s="12" t="s">
        <v>468</v>
      </c>
      <c r="B79" s="41" t="s">
        <v>401</v>
      </c>
      <c r="C79" s="14" t="s">
        <v>463</v>
      </c>
      <c r="D79" s="15" t="s">
        <v>469</v>
      </c>
      <c r="E79" s="14" t="s">
        <v>70</v>
      </c>
      <c r="F79" s="14" t="s">
        <v>314</v>
      </c>
      <c r="G79" s="16" t="s">
        <v>315</v>
      </c>
      <c r="H79" s="14" t="s">
        <v>465</v>
      </c>
      <c r="I79" s="14" t="s">
        <v>151</v>
      </c>
      <c r="J79" s="30" t="s">
        <v>113</v>
      </c>
      <c r="K79" s="28" t="s">
        <v>58</v>
      </c>
      <c r="L79" s="29" t="n">
        <v>0</v>
      </c>
      <c r="M79" s="15" t="s">
        <v>470</v>
      </c>
      <c r="N79" s="15" t="s">
        <v>471</v>
      </c>
      <c r="O79" s="14" t="s">
        <v>98</v>
      </c>
      <c r="P79" s="13" t="n">
        <v>8</v>
      </c>
      <c r="Q79" s="14" t="s">
        <v>462</v>
      </c>
    </row>
    <row r="80" customFormat="false" ht="22.35" hidden="false" customHeight="false" outlineLevel="0" collapsed="false">
      <c r="A80" s="20" t="s">
        <v>472</v>
      </c>
      <c r="B80" s="40" t="s">
        <v>401</v>
      </c>
      <c r="C80" s="22" t="s">
        <v>463</v>
      </c>
      <c r="D80" s="23" t="s">
        <v>473</v>
      </c>
      <c r="E80" s="22" t="s">
        <v>156</v>
      </c>
      <c r="F80" s="22" t="s">
        <v>164</v>
      </c>
      <c r="G80" s="24" t="s">
        <v>53</v>
      </c>
      <c r="H80" s="22" t="s">
        <v>465</v>
      </c>
      <c r="I80" s="22" t="s">
        <v>151</v>
      </c>
      <c r="J80" s="31" t="s">
        <v>113</v>
      </c>
      <c r="K80" s="26" t="s">
        <v>58</v>
      </c>
      <c r="L80" s="27" t="n">
        <v>0</v>
      </c>
      <c r="M80" s="23" t="s">
        <v>474</v>
      </c>
      <c r="N80" s="23" t="s">
        <v>475</v>
      </c>
      <c r="O80" s="22" t="s">
        <v>98</v>
      </c>
      <c r="P80" s="21" t="n">
        <v>10</v>
      </c>
      <c r="Q80" s="22" t="s">
        <v>53</v>
      </c>
    </row>
    <row r="81" customFormat="false" ht="22.35" hidden="false" customHeight="false" outlineLevel="0" collapsed="false">
      <c r="A81" s="12" t="s">
        <v>476</v>
      </c>
      <c r="B81" s="41" t="s">
        <v>401</v>
      </c>
      <c r="C81" s="14" t="s">
        <v>463</v>
      </c>
      <c r="D81" s="15" t="s">
        <v>477</v>
      </c>
      <c r="E81" s="14" t="s">
        <v>156</v>
      </c>
      <c r="F81" s="14" t="s">
        <v>183</v>
      </c>
      <c r="G81" s="16" t="s">
        <v>53</v>
      </c>
      <c r="H81" s="14" t="s">
        <v>465</v>
      </c>
      <c r="I81" s="14" t="s">
        <v>151</v>
      </c>
      <c r="J81" s="17" t="s">
        <v>48</v>
      </c>
      <c r="K81" s="28" t="s">
        <v>58</v>
      </c>
      <c r="L81" s="29" t="n">
        <v>0</v>
      </c>
      <c r="M81" s="15" t="s">
        <v>478</v>
      </c>
      <c r="N81" s="15" t="s">
        <v>479</v>
      </c>
      <c r="O81" s="14" t="s">
        <v>98</v>
      </c>
      <c r="P81" s="13" t="n">
        <v>12</v>
      </c>
      <c r="Q81" s="14" t="s">
        <v>468</v>
      </c>
    </row>
    <row r="82" customFormat="false" ht="32.8" hidden="false" customHeight="false" outlineLevel="0" collapsed="false">
      <c r="A82" s="20" t="s">
        <v>480</v>
      </c>
      <c r="B82" s="40" t="s">
        <v>401</v>
      </c>
      <c r="C82" s="22" t="s">
        <v>463</v>
      </c>
      <c r="D82" s="23" t="s">
        <v>481</v>
      </c>
      <c r="E82" s="22" t="s">
        <v>156</v>
      </c>
      <c r="F82" s="22" t="s">
        <v>421</v>
      </c>
      <c r="G82" s="24" t="s">
        <v>158</v>
      </c>
      <c r="H82" s="22" t="s">
        <v>465</v>
      </c>
      <c r="I82" s="22" t="s">
        <v>112</v>
      </c>
      <c r="J82" s="25" t="s">
        <v>48</v>
      </c>
      <c r="K82" s="26" t="s">
        <v>58</v>
      </c>
      <c r="L82" s="27" t="n">
        <v>0</v>
      </c>
      <c r="M82" s="23" t="s">
        <v>482</v>
      </c>
      <c r="N82" s="23" t="s">
        <v>483</v>
      </c>
      <c r="O82" s="22" t="s">
        <v>98</v>
      </c>
      <c r="P82" s="21" t="n">
        <v>8</v>
      </c>
      <c r="Q82" s="22" t="s">
        <v>476</v>
      </c>
    </row>
    <row r="83" customFormat="false" ht="22.35" hidden="false" customHeight="false" outlineLevel="0" collapsed="false">
      <c r="A83" s="12" t="s">
        <v>484</v>
      </c>
      <c r="B83" s="41" t="s">
        <v>401</v>
      </c>
      <c r="C83" s="14" t="s">
        <v>463</v>
      </c>
      <c r="D83" s="15" t="s">
        <v>485</v>
      </c>
      <c r="E83" s="14" t="s">
        <v>156</v>
      </c>
      <c r="F83" s="14" t="s">
        <v>171</v>
      </c>
      <c r="G83" s="16" t="s">
        <v>53</v>
      </c>
      <c r="H83" s="14" t="s">
        <v>465</v>
      </c>
      <c r="I83" s="14" t="s">
        <v>151</v>
      </c>
      <c r="J83" s="17" t="s">
        <v>48</v>
      </c>
      <c r="K83" s="28" t="s">
        <v>58</v>
      </c>
      <c r="L83" s="29" t="n">
        <v>0</v>
      </c>
      <c r="M83" s="15" t="s">
        <v>486</v>
      </c>
      <c r="N83" s="15" t="s">
        <v>487</v>
      </c>
      <c r="O83" s="14" t="s">
        <v>98</v>
      </c>
      <c r="P83" s="13" t="n">
        <v>20</v>
      </c>
      <c r="Q83" s="14" t="s">
        <v>480</v>
      </c>
    </row>
    <row r="84" customFormat="false" ht="15" hidden="false" customHeight="false" outlineLevel="0" collapsed="false">
      <c r="A84" s="20" t="s">
        <v>488</v>
      </c>
      <c r="B84" s="40" t="s">
        <v>401</v>
      </c>
      <c r="C84" s="22" t="s">
        <v>463</v>
      </c>
      <c r="D84" s="23" t="s">
        <v>489</v>
      </c>
      <c r="E84" s="22" t="s">
        <v>156</v>
      </c>
      <c r="F84" s="22" t="s">
        <v>183</v>
      </c>
      <c r="G84" s="24" t="s">
        <v>53</v>
      </c>
      <c r="H84" s="22" t="s">
        <v>465</v>
      </c>
      <c r="I84" s="22" t="s">
        <v>151</v>
      </c>
      <c r="J84" s="25" t="s">
        <v>48</v>
      </c>
      <c r="K84" s="26" t="s">
        <v>58</v>
      </c>
      <c r="L84" s="27" t="n">
        <v>0</v>
      </c>
      <c r="M84" s="23" t="s">
        <v>490</v>
      </c>
      <c r="N84" s="23" t="s">
        <v>491</v>
      </c>
      <c r="O84" s="22" t="s">
        <v>98</v>
      </c>
      <c r="P84" s="21" t="n">
        <v>12</v>
      </c>
      <c r="Q84" s="22" t="s">
        <v>484</v>
      </c>
    </row>
    <row r="85" customFormat="false" ht="22.35" hidden="false" customHeight="false" outlineLevel="0" collapsed="false">
      <c r="A85" s="12" t="s">
        <v>492</v>
      </c>
      <c r="B85" s="41" t="s">
        <v>401</v>
      </c>
      <c r="C85" s="14" t="s">
        <v>463</v>
      </c>
      <c r="D85" s="15" t="s">
        <v>493</v>
      </c>
      <c r="E85" s="14" t="s">
        <v>156</v>
      </c>
      <c r="F85" s="14" t="s">
        <v>171</v>
      </c>
      <c r="G85" s="16" t="s">
        <v>53</v>
      </c>
      <c r="H85" s="14" t="s">
        <v>465</v>
      </c>
      <c r="I85" s="14" t="s">
        <v>151</v>
      </c>
      <c r="J85" s="30" t="s">
        <v>113</v>
      </c>
      <c r="K85" s="28" t="s">
        <v>58</v>
      </c>
      <c r="L85" s="29" t="n">
        <v>0</v>
      </c>
      <c r="M85" s="15" t="s">
        <v>494</v>
      </c>
      <c r="N85" s="15" t="s">
        <v>495</v>
      </c>
      <c r="O85" s="14" t="s">
        <v>98</v>
      </c>
      <c r="P85" s="13" t="n">
        <v>6</v>
      </c>
      <c r="Q85" s="14" t="s">
        <v>488</v>
      </c>
    </row>
    <row r="86" customFormat="false" ht="22.35" hidden="false" customHeight="false" outlineLevel="0" collapsed="false">
      <c r="A86" s="20" t="s">
        <v>496</v>
      </c>
      <c r="B86" s="40" t="s">
        <v>401</v>
      </c>
      <c r="C86" s="22" t="s">
        <v>463</v>
      </c>
      <c r="D86" s="23" t="s">
        <v>497</v>
      </c>
      <c r="E86" s="22" t="s">
        <v>156</v>
      </c>
      <c r="F86" s="22" t="s">
        <v>164</v>
      </c>
      <c r="G86" s="24" t="s">
        <v>53</v>
      </c>
      <c r="H86" s="22" t="s">
        <v>465</v>
      </c>
      <c r="I86" s="22" t="s">
        <v>151</v>
      </c>
      <c r="J86" s="31" t="s">
        <v>113</v>
      </c>
      <c r="K86" s="26" t="s">
        <v>58</v>
      </c>
      <c r="L86" s="27" t="n">
        <v>0</v>
      </c>
      <c r="M86" s="23" t="s">
        <v>498</v>
      </c>
      <c r="N86" s="23" t="s">
        <v>499</v>
      </c>
      <c r="O86" s="22" t="s">
        <v>98</v>
      </c>
      <c r="P86" s="21" t="n">
        <v>12</v>
      </c>
      <c r="Q86" s="22" t="s">
        <v>53</v>
      </c>
    </row>
    <row r="87" customFormat="false" ht="15" hidden="false" customHeight="false" outlineLevel="0" collapsed="false">
      <c r="A87" s="12" t="s">
        <v>500</v>
      </c>
      <c r="B87" s="41" t="s">
        <v>401</v>
      </c>
      <c r="C87" s="14" t="s">
        <v>463</v>
      </c>
      <c r="D87" s="15" t="s">
        <v>501</v>
      </c>
      <c r="E87" s="14" t="s">
        <v>133</v>
      </c>
      <c r="F87" s="14" t="s">
        <v>304</v>
      </c>
      <c r="G87" s="16" t="s">
        <v>53</v>
      </c>
      <c r="H87" s="14" t="s">
        <v>465</v>
      </c>
      <c r="I87" s="14" t="s">
        <v>151</v>
      </c>
      <c r="J87" s="32" t="s">
        <v>178</v>
      </c>
      <c r="K87" s="28" t="s">
        <v>58</v>
      </c>
      <c r="L87" s="29" t="n">
        <v>0</v>
      </c>
      <c r="M87" s="15" t="s">
        <v>502</v>
      </c>
      <c r="N87" s="15" t="s">
        <v>503</v>
      </c>
      <c r="O87" s="14" t="s">
        <v>98</v>
      </c>
      <c r="P87" s="13" t="n">
        <v>5</v>
      </c>
      <c r="Q87" s="14" t="s">
        <v>53</v>
      </c>
    </row>
    <row r="88" customFormat="false" ht="22.35" hidden="false" customHeight="false" outlineLevel="0" collapsed="false">
      <c r="A88" s="20" t="s">
        <v>504</v>
      </c>
      <c r="B88" s="40" t="s">
        <v>401</v>
      </c>
      <c r="C88" s="22" t="s">
        <v>463</v>
      </c>
      <c r="D88" s="23" t="s">
        <v>505</v>
      </c>
      <c r="E88" s="22" t="s">
        <v>156</v>
      </c>
      <c r="F88" s="22" t="s">
        <v>164</v>
      </c>
      <c r="G88" s="24" t="s">
        <v>53</v>
      </c>
      <c r="H88" s="22" t="s">
        <v>465</v>
      </c>
      <c r="I88" s="22" t="s">
        <v>151</v>
      </c>
      <c r="J88" s="37" t="s">
        <v>232</v>
      </c>
      <c r="K88" s="26" t="s">
        <v>58</v>
      </c>
      <c r="L88" s="27" t="n">
        <v>0</v>
      </c>
      <c r="M88" s="23" t="s">
        <v>506</v>
      </c>
      <c r="N88" s="23" t="s">
        <v>507</v>
      </c>
      <c r="O88" s="22" t="s">
        <v>98</v>
      </c>
      <c r="P88" s="21" t="n">
        <v>4</v>
      </c>
      <c r="Q88" s="22" t="s">
        <v>53</v>
      </c>
    </row>
    <row r="89" customFormat="false" ht="15" hidden="false" customHeight="fals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3" t="s">
        <v>508</v>
      </c>
      <c r="P89" s="44" t="n">
        <f aca="false">SUM(P3:P88)</f>
        <v>644</v>
      </c>
      <c r="Q89" s="42"/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8" min="8" style="0" width="11"/>
  </cols>
  <sheetData>
    <row r="1" customFormat="false" ht="16.15" hidden="false" customHeight="false" outlineLevel="0" collapsed="false">
      <c r="A1" s="45" t="s">
        <v>509</v>
      </c>
      <c r="B1" s="45"/>
      <c r="C1" s="45"/>
      <c r="D1" s="45"/>
      <c r="E1" s="45"/>
      <c r="F1" s="45"/>
      <c r="G1" s="45"/>
      <c r="H1" s="45"/>
    </row>
    <row r="2" customFormat="false" ht="33.75" hidden="false" customHeight="true" outlineLevel="0" collapsed="false">
      <c r="A2" s="46" t="s">
        <v>23</v>
      </c>
      <c r="B2" s="46" t="s">
        <v>510</v>
      </c>
      <c r="C2" s="46" t="s">
        <v>511</v>
      </c>
      <c r="D2" s="46" t="s">
        <v>37</v>
      </c>
      <c r="E2" s="46" t="s">
        <v>512</v>
      </c>
      <c r="F2" s="46" t="s">
        <v>513</v>
      </c>
      <c r="G2" s="46" t="s">
        <v>514</v>
      </c>
      <c r="H2" s="46" t="s">
        <v>515</v>
      </c>
    </row>
    <row r="3" customFormat="false" ht="23.85" hidden="false" customHeight="false" outlineLevel="0" collapsed="false">
      <c r="A3" s="47" t="s">
        <v>40</v>
      </c>
      <c r="B3" s="48" t="s">
        <v>516</v>
      </c>
      <c r="C3" s="49" t="n">
        <f aca="false">COUNTIF(Backlog!$B$3:$B$88,"V1")</f>
        <v>23</v>
      </c>
      <c r="D3" s="49" t="n">
        <f aca="false">SUMIF(Backlog!$B$3:$B$88,"V1",Backlog!$P$3:$P$88)</f>
        <v>96</v>
      </c>
      <c r="E3" s="50" t="str">
        <f aca="false">IF(D3&lt;100,"YES — "&amp;D3&amp;" h","no — "&amp;D3&amp;" h")</f>
        <v>YES — 96 h</v>
      </c>
      <c r="F3" s="48" t="s">
        <v>517</v>
      </c>
      <c r="G3" s="48" t="s">
        <v>518</v>
      </c>
      <c r="H3" s="38" t="s">
        <v>519</v>
      </c>
    </row>
    <row r="4" customFormat="false" ht="35.05" hidden="false" customHeight="false" outlineLevel="0" collapsed="false">
      <c r="A4" s="51" t="s">
        <v>202</v>
      </c>
      <c r="B4" s="52" t="s">
        <v>520</v>
      </c>
      <c r="C4" s="53" t="n">
        <f aca="false">COUNTIF(Backlog!$B$3:$B$88,"V2")</f>
        <v>25</v>
      </c>
      <c r="D4" s="53" t="n">
        <f aca="false">SUMIF(Backlog!$B$3:$B$88,"V2",Backlog!$P$3:$P$88)</f>
        <v>206</v>
      </c>
      <c r="E4" s="54" t="s">
        <v>53</v>
      </c>
      <c r="F4" s="52" t="s">
        <v>521</v>
      </c>
      <c r="G4" s="52" t="s">
        <v>522</v>
      </c>
      <c r="H4" s="39" t="s">
        <v>523</v>
      </c>
    </row>
    <row r="5" customFormat="false" ht="23.85" hidden="false" customHeight="false" outlineLevel="0" collapsed="false">
      <c r="A5" s="55" t="s">
        <v>335</v>
      </c>
      <c r="B5" s="48" t="s">
        <v>524</v>
      </c>
      <c r="C5" s="49" t="n">
        <f aca="false">COUNTIF(Backlog!$B$3:$B$88,"V3")</f>
        <v>13</v>
      </c>
      <c r="D5" s="49" t="n">
        <f aca="false">SUMIF(Backlog!$B$3:$B$88,"V3",Backlog!$P$3:$P$88)</f>
        <v>120</v>
      </c>
      <c r="E5" s="56" t="s">
        <v>53</v>
      </c>
      <c r="F5" s="48" t="s">
        <v>525</v>
      </c>
      <c r="G5" s="48" t="s">
        <v>526</v>
      </c>
      <c r="H5" s="38" t="s">
        <v>527</v>
      </c>
    </row>
    <row r="6" customFormat="false" ht="23.85" hidden="false" customHeight="false" outlineLevel="0" collapsed="false">
      <c r="A6" s="57" t="s">
        <v>401</v>
      </c>
      <c r="B6" s="52" t="s">
        <v>528</v>
      </c>
      <c r="C6" s="53" t="n">
        <f aca="false">COUNTIF(Backlog!$B$3:$B$88,"V4")</f>
        <v>25</v>
      </c>
      <c r="D6" s="53" t="n">
        <f aca="false">SUMIF(Backlog!$B$3:$B$88,"V4",Backlog!$P$3:$P$88)</f>
        <v>222</v>
      </c>
      <c r="E6" s="54" t="s">
        <v>53</v>
      </c>
      <c r="F6" s="52" t="s">
        <v>529</v>
      </c>
      <c r="G6" s="52" t="s">
        <v>530</v>
      </c>
      <c r="H6" s="39" t="s">
        <v>531</v>
      </c>
    </row>
    <row r="7" customFormat="false" ht="15" hidden="false" customHeight="false" outlineLevel="0" collapsed="false">
      <c r="A7" s="42"/>
      <c r="B7" s="58" t="s">
        <v>532</v>
      </c>
      <c r="C7" s="59" t="n">
        <f aca="false">SUM(C3:C6)</f>
        <v>86</v>
      </c>
      <c r="D7" s="59" t="n">
        <f aca="false">SUM(D3:D6)</f>
        <v>644</v>
      </c>
      <c r="E7" s="42"/>
      <c r="F7" s="42"/>
      <c r="G7" s="42"/>
      <c r="H7" s="42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6"/>
  </cols>
  <sheetData>
    <row r="1" customFormat="false" ht="16.15" hidden="false" customHeight="false" outlineLevel="0" collapsed="false">
      <c r="A1" s="45" t="s">
        <v>533</v>
      </c>
      <c r="B1" s="45"/>
      <c r="C1" s="45"/>
      <c r="D1" s="45"/>
      <c r="E1" s="45"/>
    </row>
    <row r="2" customFormat="false" ht="15" hidden="false" customHeight="false" outlineLevel="0" collapsed="false">
      <c r="A2" s="60" t="s">
        <v>24</v>
      </c>
      <c r="B2" s="60" t="s">
        <v>23</v>
      </c>
      <c r="C2" s="60" t="s">
        <v>511</v>
      </c>
      <c r="D2" s="60" t="s">
        <v>37</v>
      </c>
      <c r="E2" s="60" t="s">
        <v>534</v>
      </c>
    </row>
    <row r="3" customFormat="false" ht="15" hidden="false" customHeight="false" outlineLevel="0" collapsed="false">
      <c r="A3" s="61" t="s">
        <v>41</v>
      </c>
      <c r="B3" s="13" t="s">
        <v>40</v>
      </c>
      <c r="C3" s="49" t="n">
        <f aca="false">COUNTIF(Backlog!$C$3:$C$88,"V1-P1 Reproducible env")</f>
        <v>10</v>
      </c>
      <c r="D3" s="49" t="n">
        <f aca="false">SUMIF(Backlog!$C$3:$C$88,"V1-P1 Reproducible env",Backlog!$P$3:$P$88)</f>
        <v>54</v>
      </c>
      <c r="E3" s="62" t="str">
        <f aca="false">IF(AND(D3&gt;=45,D3&lt;=65),"in band",IF(D3&lt;45,"lean "&amp;D3,"heavy "&amp;D3))</f>
        <v>in band</v>
      </c>
    </row>
    <row r="4" customFormat="false" ht="15" hidden="false" customHeight="false" outlineLevel="0" collapsed="false">
      <c r="A4" s="63" t="s">
        <v>123</v>
      </c>
      <c r="B4" s="21" t="s">
        <v>40</v>
      </c>
      <c r="C4" s="53" t="n">
        <f aca="false">COUNTIF(Backlog!$C$3:$C$88,"V1-P2 Live demo + collateral")</f>
        <v>13</v>
      </c>
      <c r="D4" s="53" t="n">
        <f aca="false">SUMIF(Backlog!$C$3:$C$88,"V1-P2 Live demo + collateral",Backlog!$P$3:$P$88)</f>
        <v>42</v>
      </c>
      <c r="E4" s="64" t="str">
        <f aca="false">IF(AND(D4&gt;=45,D4&lt;=65),"in band",IF(D4&lt;45,"lean "&amp;D4,"heavy "&amp;D4))</f>
        <v>lean 42</v>
      </c>
    </row>
    <row r="5" customFormat="false" ht="15" hidden="false" customHeight="false" outlineLevel="0" collapsed="false">
      <c r="A5" s="61" t="s">
        <v>203</v>
      </c>
      <c r="B5" s="34" t="s">
        <v>202</v>
      </c>
      <c r="C5" s="49" t="n">
        <f aca="false">COUNTIF(Backlog!$C$3:$C$88,"V2-P3 Stability + UI")</f>
        <v>6</v>
      </c>
      <c r="D5" s="49" t="n">
        <f aca="false">SUMIF(Backlog!$C$3:$C$88,"V2-P3 Stability + UI",Backlog!$P$3:$P$88)</f>
        <v>49</v>
      </c>
      <c r="E5" s="62" t="str">
        <f aca="false">IF(AND(D5&gt;=45,D5&lt;=65),"in band",IF(D5&lt;45,"lean "&amp;D5,"heavy "&amp;D5))</f>
        <v>in band</v>
      </c>
    </row>
    <row r="6" customFormat="false" ht="15" hidden="false" customHeight="false" outlineLevel="0" collapsed="false">
      <c r="A6" s="63" t="s">
        <v>236</v>
      </c>
      <c r="B6" s="33" t="s">
        <v>202</v>
      </c>
      <c r="C6" s="53" t="n">
        <f aca="false">COUNTIF(Backlog!$C$3:$C$88,"V2-P4 License + Role + Security")</f>
        <v>6</v>
      </c>
      <c r="D6" s="53" t="n">
        <f aca="false">SUMIF(Backlog!$C$3:$C$88,"V2-P4 License + Role + Security",Backlog!$P$3:$P$88)</f>
        <v>51</v>
      </c>
      <c r="E6" s="64" t="str">
        <f aca="false">IF(AND(D6&gt;=45,D6&lt;=65),"in band",IF(D6&lt;45,"lean "&amp;D6,"heavy "&amp;D6))</f>
        <v>in band</v>
      </c>
    </row>
    <row r="7" customFormat="false" ht="15" hidden="false" customHeight="false" outlineLevel="0" collapsed="false">
      <c r="A7" s="61" t="s">
        <v>266</v>
      </c>
      <c r="B7" s="34" t="s">
        <v>202</v>
      </c>
      <c r="C7" s="49" t="n">
        <f aca="false">COUNTIF(Backlog!$C$3:$C$88,"V2-P5 AI/ML quality")</f>
        <v>6</v>
      </c>
      <c r="D7" s="49" t="n">
        <f aca="false">SUMIF(Backlog!$C$3:$C$88,"V2-P5 AI/ML quality",Backlog!$P$3:$P$88)</f>
        <v>48</v>
      </c>
      <c r="E7" s="62" t="str">
        <f aca="false">IF(AND(D7&gt;=45,D7&lt;=65),"in band",IF(D7&lt;45,"lean "&amp;D7,"heavy "&amp;D7))</f>
        <v>in band</v>
      </c>
    </row>
    <row r="8" customFormat="false" ht="15" hidden="false" customHeight="false" outlineLevel="0" collapsed="false">
      <c r="A8" s="63" t="s">
        <v>297</v>
      </c>
      <c r="B8" s="33" t="s">
        <v>202</v>
      </c>
      <c r="C8" s="53" t="n">
        <f aca="false">COUNTIF(Backlog!$C$3:$C$88,"V2-P6 Docs + hygiene")</f>
        <v>7</v>
      </c>
      <c r="D8" s="53" t="n">
        <f aca="false">SUMIF(Backlog!$C$3:$C$88,"V2-P6 Docs + hygiene",Backlog!$P$3:$P$88)</f>
        <v>58</v>
      </c>
      <c r="E8" s="64" t="str">
        <f aca="false">IF(AND(D8&gt;=45,D8&lt;=65),"in band",IF(D8&lt;45,"lean "&amp;D8,"heavy "&amp;D8))</f>
        <v>in band</v>
      </c>
    </row>
    <row r="9" customFormat="false" ht="15" hidden="false" customHeight="false" outlineLevel="0" collapsed="false">
      <c r="A9" s="61" t="s">
        <v>336</v>
      </c>
      <c r="B9" s="38" t="s">
        <v>335</v>
      </c>
      <c r="C9" s="49" t="n">
        <f aca="false">COUNTIF(Backlog!$C$3:$C$88,"V3-P7 Multi-industry data")</f>
        <v>6</v>
      </c>
      <c r="D9" s="49" t="n">
        <f aca="false">SUMIF(Backlog!$C$3:$C$88,"V3-P7 Multi-industry data",Backlog!$P$3:$P$88)</f>
        <v>64</v>
      </c>
      <c r="E9" s="62" t="str">
        <f aca="false">IF(AND(D9&gt;=45,D9&lt;=65),"in band",IF(D9&lt;45,"lean "&amp;D9,"heavy "&amp;D9))</f>
        <v>in band</v>
      </c>
    </row>
    <row r="10" customFormat="false" ht="15" hidden="false" customHeight="false" outlineLevel="0" collapsed="false">
      <c r="A10" s="63" t="s">
        <v>366</v>
      </c>
      <c r="B10" s="39" t="s">
        <v>335</v>
      </c>
      <c r="C10" s="53" t="n">
        <f aca="false">COUNTIF(Backlog!$C$3:$C$88,"V3-P8 Accessibility + scale")</f>
        <v>7</v>
      </c>
      <c r="D10" s="53" t="n">
        <f aca="false">SUMIF(Backlog!$C$3:$C$88,"V3-P8 Accessibility + scale",Backlog!$P$3:$P$88)</f>
        <v>56</v>
      </c>
      <c r="E10" s="64" t="str">
        <f aca="false">IF(AND(D10&gt;=45,D10&lt;=65),"in band",IF(D10&lt;45,"lean "&amp;D10,"heavy "&amp;D10))</f>
        <v>in band</v>
      </c>
    </row>
    <row r="11" customFormat="false" ht="15" hidden="false" customHeight="false" outlineLevel="0" collapsed="false">
      <c r="A11" s="61" t="s">
        <v>402</v>
      </c>
      <c r="B11" s="41" t="s">
        <v>401</v>
      </c>
      <c r="C11" s="49" t="n">
        <f aca="false">COUNTIF(Backlog!$C$3:$C$88,"V4-P9 Ops/HA + OT")</f>
        <v>7</v>
      </c>
      <c r="D11" s="49" t="n">
        <f aca="false">SUMIF(Backlog!$C$3:$C$88,"V4-P9 Ops/HA + OT",Backlog!$P$3:$P$88)</f>
        <v>61</v>
      </c>
      <c r="E11" s="62" t="str">
        <f aca="false">IF(AND(D11&gt;=45,D11&lt;=65),"in band",IF(D11&lt;45,"lean "&amp;D11,"heavy "&amp;D11))</f>
        <v>in band</v>
      </c>
    </row>
    <row r="12" customFormat="false" ht="15" hidden="false" customHeight="false" outlineLevel="0" collapsed="false">
      <c r="A12" s="63" t="s">
        <v>434</v>
      </c>
      <c r="B12" s="40" t="s">
        <v>401</v>
      </c>
      <c r="C12" s="53" t="n">
        <f aca="false">COUNTIF(Backlog!$C$3:$C$88,"V4-P10 Compliance + ops")</f>
        <v>7</v>
      </c>
      <c r="D12" s="53" t="n">
        <f aca="false">SUMIF(Backlog!$C$3:$C$88,"V4-P10 Compliance + ops",Backlog!$P$3:$P$88)</f>
        <v>56</v>
      </c>
      <c r="E12" s="64" t="str">
        <f aca="false">IF(AND(D12&gt;=45,D12&lt;=65),"in band",IF(D12&lt;45,"lean "&amp;D12,"heavy "&amp;D12))</f>
        <v>in band</v>
      </c>
    </row>
    <row r="13" customFormat="false" ht="15" hidden="false" customHeight="false" outlineLevel="0" collapsed="false">
      <c r="A13" s="61" t="s">
        <v>463</v>
      </c>
      <c r="B13" s="41" t="s">
        <v>401</v>
      </c>
      <c r="C13" s="49" t="n">
        <f aca="false">COUNTIF(Backlog!$C$3:$C$88,"V4-P11 Business/Reference")</f>
        <v>11</v>
      </c>
      <c r="D13" s="49" t="n">
        <f aca="false">SUMIF(Backlog!$C$3:$C$88,"V4-P11 Business/Reference",Backlog!$P$3:$P$88)</f>
        <v>105</v>
      </c>
      <c r="E13" s="62" t="str">
        <f aca="false">IF(AND(D13&gt;=45,D13&lt;=65),"in band",IF(D13&lt;45,"lean "&amp;D13,"heavy "&amp;D13))</f>
        <v>heavy 105</v>
      </c>
    </row>
    <row r="15" customFormat="false" ht="32.8" hidden="false" customHeight="true" outlineLevel="0" collapsed="false">
      <c r="A15" s="65" t="s">
        <v>535</v>
      </c>
      <c r="B15" s="65"/>
      <c r="C15" s="65"/>
      <c r="D15" s="65"/>
      <c r="E15" s="65"/>
    </row>
  </sheetData>
  <mergeCells count="2">
    <mergeCell ref="A1:E1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1"/>
  </cols>
  <sheetData>
    <row r="1" customFormat="false" ht="16.15" hidden="false" customHeight="false" outlineLevel="0" collapsed="false">
      <c r="A1" s="45" t="s">
        <v>536</v>
      </c>
      <c r="B1" s="45"/>
      <c r="C1" s="45"/>
      <c r="D1" s="45"/>
      <c r="E1" s="45"/>
      <c r="F1" s="45"/>
    </row>
    <row r="2" customFormat="false" ht="15" hidden="false" customHeight="false" outlineLevel="0" collapsed="false">
      <c r="A2" s="66" t="s">
        <v>537</v>
      </c>
      <c r="B2" s="66"/>
      <c r="C2" s="66"/>
      <c r="D2" s="66"/>
      <c r="E2" s="66"/>
      <c r="F2" s="66"/>
    </row>
    <row r="3" customFormat="false" ht="15" hidden="false" customHeight="false" outlineLevel="0" collapsed="false">
      <c r="A3" s="60" t="s">
        <v>538</v>
      </c>
      <c r="B3" s="60" t="s">
        <v>539</v>
      </c>
      <c r="C3" s="60" t="s">
        <v>540</v>
      </c>
      <c r="D3" s="60" t="s">
        <v>541</v>
      </c>
      <c r="E3" s="60" t="s">
        <v>23</v>
      </c>
      <c r="F3" s="60" t="s">
        <v>542</v>
      </c>
    </row>
    <row r="4" customFormat="false" ht="15" hidden="false" customHeight="false" outlineLevel="0" collapsed="false">
      <c r="A4" s="20" t="s">
        <v>543</v>
      </c>
      <c r="B4" s="22" t="s">
        <v>544</v>
      </c>
      <c r="C4" s="67" t="n">
        <v>58</v>
      </c>
      <c r="D4" s="68" t="s">
        <v>208</v>
      </c>
      <c r="E4" s="69" t="s">
        <v>202</v>
      </c>
      <c r="F4" s="39" t="n">
        <v>78</v>
      </c>
    </row>
    <row r="5" customFormat="false" ht="15" hidden="false" customHeight="false" outlineLevel="0" collapsed="false">
      <c r="A5" s="12" t="s">
        <v>57</v>
      </c>
      <c r="B5" s="14" t="s">
        <v>545</v>
      </c>
      <c r="C5" s="70" t="n">
        <v>58</v>
      </c>
      <c r="D5" s="71" t="s">
        <v>546</v>
      </c>
      <c r="E5" s="72" t="s">
        <v>547</v>
      </c>
      <c r="F5" s="38" t="n">
        <v>80</v>
      </c>
    </row>
    <row r="6" customFormat="false" ht="15" hidden="false" customHeight="false" outlineLevel="0" collapsed="false">
      <c r="A6" s="20" t="s">
        <v>331</v>
      </c>
      <c r="B6" s="22" t="s">
        <v>548</v>
      </c>
      <c r="C6" s="67" t="n">
        <v>59</v>
      </c>
      <c r="D6" s="68" t="s">
        <v>549</v>
      </c>
      <c r="E6" s="69" t="s">
        <v>40</v>
      </c>
      <c r="F6" s="39" t="n">
        <v>80</v>
      </c>
    </row>
    <row r="7" customFormat="false" ht="15" hidden="false" customHeight="false" outlineLevel="0" collapsed="false">
      <c r="A7" s="12" t="s">
        <v>325</v>
      </c>
      <c r="B7" s="14" t="s">
        <v>550</v>
      </c>
      <c r="C7" s="70" t="n">
        <v>60</v>
      </c>
      <c r="D7" s="71" t="s">
        <v>323</v>
      </c>
      <c r="E7" s="72" t="s">
        <v>202</v>
      </c>
      <c r="F7" s="38" t="n">
        <v>82</v>
      </c>
    </row>
    <row r="8" customFormat="false" ht="15" hidden="false" customHeight="false" outlineLevel="0" collapsed="false">
      <c r="A8" s="20" t="s">
        <v>551</v>
      </c>
      <c r="B8" s="22" t="s">
        <v>552</v>
      </c>
      <c r="C8" s="73" t="n">
        <v>80</v>
      </c>
      <c r="D8" s="68" t="s">
        <v>553</v>
      </c>
      <c r="E8" s="69" t="s">
        <v>554</v>
      </c>
      <c r="F8" s="39" t="n">
        <v>82</v>
      </c>
    </row>
    <row r="9" customFormat="false" ht="15" hidden="false" customHeight="false" outlineLevel="0" collapsed="false">
      <c r="A9" s="12" t="s">
        <v>338</v>
      </c>
      <c r="B9" s="14" t="s">
        <v>555</v>
      </c>
      <c r="C9" s="70" t="n">
        <v>68</v>
      </c>
      <c r="D9" s="71" t="s">
        <v>556</v>
      </c>
      <c r="E9" s="72" t="s">
        <v>335</v>
      </c>
      <c r="F9" s="38" t="n">
        <v>80</v>
      </c>
    </row>
    <row r="10" customFormat="false" ht="15" hidden="false" customHeight="false" outlineLevel="0" collapsed="false">
      <c r="A10" s="20" t="s">
        <v>320</v>
      </c>
      <c r="B10" s="22" t="s">
        <v>557</v>
      </c>
      <c r="C10" s="73" t="n">
        <v>72</v>
      </c>
      <c r="D10" s="68" t="s">
        <v>558</v>
      </c>
      <c r="E10" s="69" t="s">
        <v>559</v>
      </c>
      <c r="F10" s="39" t="n">
        <v>80</v>
      </c>
    </row>
    <row r="11" customFormat="false" ht="15" hidden="false" customHeight="false" outlineLevel="0" collapsed="false">
      <c r="A11" s="12" t="s">
        <v>560</v>
      </c>
      <c r="B11" s="14" t="s">
        <v>561</v>
      </c>
      <c r="C11" s="70" t="n">
        <v>66</v>
      </c>
      <c r="D11" s="71" t="s">
        <v>208</v>
      </c>
      <c r="E11" s="72" t="s">
        <v>202</v>
      </c>
      <c r="F11" s="38" t="n">
        <v>76</v>
      </c>
    </row>
    <row r="12" customFormat="false" ht="15" hidden="false" customHeight="false" outlineLevel="0" collapsed="false">
      <c r="A12" s="20" t="s">
        <v>426</v>
      </c>
      <c r="B12" s="22" t="s">
        <v>562</v>
      </c>
      <c r="C12" s="73" t="n">
        <v>72</v>
      </c>
      <c r="D12" s="68" t="s">
        <v>563</v>
      </c>
      <c r="E12" s="69" t="s">
        <v>564</v>
      </c>
      <c r="F12" s="39" t="n">
        <v>82</v>
      </c>
    </row>
    <row r="13" customFormat="false" ht="15" hidden="false" customHeight="false" outlineLevel="0" collapsed="false">
      <c r="A13" s="12" t="s">
        <v>565</v>
      </c>
      <c r="B13" s="14" t="s">
        <v>566</v>
      </c>
      <c r="C13" s="70" t="n">
        <v>62</v>
      </c>
      <c r="D13" s="71" t="s">
        <v>567</v>
      </c>
      <c r="E13" s="72" t="s">
        <v>568</v>
      </c>
      <c r="F13" s="38" t="n">
        <v>78</v>
      </c>
    </row>
    <row r="14" customFormat="false" ht="15" hidden="false" customHeight="false" outlineLevel="0" collapsed="false">
      <c r="A14" s="20" t="s">
        <v>569</v>
      </c>
      <c r="B14" s="22" t="s">
        <v>570</v>
      </c>
      <c r="C14" s="67" t="n">
        <v>68</v>
      </c>
      <c r="D14" s="68" t="s">
        <v>571</v>
      </c>
      <c r="E14" s="69" t="s">
        <v>568</v>
      </c>
      <c r="F14" s="39" t="n">
        <v>80</v>
      </c>
    </row>
    <row r="15" customFormat="false" ht="15" hidden="false" customHeight="false" outlineLevel="0" collapsed="false">
      <c r="A15" s="12" t="s">
        <v>572</v>
      </c>
      <c r="B15" s="14" t="s">
        <v>573</v>
      </c>
      <c r="C15" s="70" t="n">
        <v>63</v>
      </c>
      <c r="D15" s="71" t="s">
        <v>214</v>
      </c>
      <c r="E15" s="72" t="s">
        <v>202</v>
      </c>
      <c r="F15" s="38" t="n">
        <v>76</v>
      </c>
    </row>
    <row r="16" customFormat="false" ht="15" hidden="false" customHeight="false" outlineLevel="0" collapsed="false">
      <c r="A16" s="20" t="s">
        <v>314</v>
      </c>
      <c r="B16" s="22" t="s">
        <v>574</v>
      </c>
      <c r="C16" s="73" t="n">
        <v>76</v>
      </c>
      <c r="D16" s="68" t="s">
        <v>575</v>
      </c>
      <c r="E16" s="69" t="s">
        <v>554</v>
      </c>
      <c r="F16" s="39" t="n">
        <v>82</v>
      </c>
    </row>
    <row r="17" customFormat="false" ht="15" hidden="false" customHeight="false" outlineLevel="0" collapsed="false">
      <c r="A17" s="12" t="s">
        <v>416</v>
      </c>
      <c r="B17" s="14" t="s">
        <v>576</v>
      </c>
      <c r="C17" s="70" t="n">
        <v>60</v>
      </c>
      <c r="D17" s="71" t="s">
        <v>414</v>
      </c>
      <c r="E17" s="72" t="s">
        <v>401</v>
      </c>
      <c r="F17" s="38" t="n">
        <v>80</v>
      </c>
    </row>
    <row r="18" customFormat="false" ht="15" hidden="false" customHeight="false" outlineLevel="0" collapsed="false">
      <c r="A18" s="20" t="s">
        <v>288</v>
      </c>
      <c r="B18" s="22" t="s">
        <v>577</v>
      </c>
      <c r="C18" s="67" t="n">
        <v>68</v>
      </c>
      <c r="D18" s="68" t="s">
        <v>286</v>
      </c>
      <c r="E18" s="69" t="s">
        <v>202</v>
      </c>
      <c r="F18" s="39" t="n">
        <v>80</v>
      </c>
    </row>
    <row r="19" customFormat="false" ht="15" hidden="false" customHeight="false" outlineLevel="0" collapsed="false">
      <c r="A19" s="12" t="s">
        <v>238</v>
      </c>
      <c r="B19" s="14" t="s">
        <v>578</v>
      </c>
      <c r="C19" s="50" t="n">
        <v>80</v>
      </c>
      <c r="D19" s="71" t="s">
        <v>579</v>
      </c>
      <c r="E19" s="72" t="s">
        <v>202</v>
      </c>
      <c r="F19" s="38" t="n">
        <v>84</v>
      </c>
    </row>
    <row r="20" customFormat="false" ht="15" hidden="false" customHeight="false" outlineLevel="0" collapsed="false">
      <c r="A20" s="20" t="s">
        <v>78</v>
      </c>
      <c r="B20" s="22" t="s">
        <v>580</v>
      </c>
      <c r="C20" s="67" t="n">
        <v>66</v>
      </c>
      <c r="D20" s="68" t="s">
        <v>581</v>
      </c>
      <c r="E20" s="69" t="s">
        <v>40</v>
      </c>
      <c r="F20" s="39" t="n">
        <v>80</v>
      </c>
    </row>
    <row r="21" customFormat="false" ht="15" hidden="false" customHeight="false" outlineLevel="0" collapsed="false">
      <c r="A21" s="12" t="s">
        <v>253</v>
      </c>
      <c r="B21" s="14" t="s">
        <v>582</v>
      </c>
      <c r="C21" s="70" t="n">
        <v>66</v>
      </c>
      <c r="D21" s="71" t="s">
        <v>251</v>
      </c>
      <c r="E21" s="72" t="s">
        <v>202</v>
      </c>
      <c r="F21" s="38" t="n">
        <v>82</v>
      </c>
    </row>
    <row r="22" customFormat="false" ht="15" hidden="false" customHeight="false" outlineLevel="0" collapsed="false">
      <c r="A22" s="20" t="s">
        <v>583</v>
      </c>
      <c r="B22" s="22" t="s">
        <v>584</v>
      </c>
      <c r="C22" s="73" t="n">
        <v>76</v>
      </c>
      <c r="D22" s="68" t="s">
        <v>585</v>
      </c>
      <c r="E22" s="69" t="s">
        <v>554</v>
      </c>
      <c r="F22" s="39" t="n">
        <v>80</v>
      </c>
    </row>
    <row r="23" customFormat="false" ht="15" hidden="false" customHeight="false" outlineLevel="0" collapsed="false">
      <c r="A23" s="12" t="s">
        <v>278</v>
      </c>
      <c r="B23" s="14" t="s">
        <v>586</v>
      </c>
      <c r="C23" s="70" t="n">
        <v>62</v>
      </c>
      <c r="D23" s="71" t="s">
        <v>587</v>
      </c>
      <c r="E23" s="72" t="s">
        <v>202</v>
      </c>
      <c r="F23" s="38" t="n">
        <v>80</v>
      </c>
    </row>
    <row r="24" customFormat="false" ht="15" hidden="false" customHeight="false" outlineLevel="0" collapsed="false">
      <c r="A24" s="20" t="s">
        <v>258</v>
      </c>
      <c r="B24" s="22" t="s">
        <v>588</v>
      </c>
      <c r="C24" s="67" t="n">
        <v>68</v>
      </c>
      <c r="D24" s="68" t="s">
        <v>256</v>
      </c>
      <c r="E24" s="69" t="s">
        <v>202</v>
      </c>
      <c r="F24" s="39" t="n">
        <v>80</v>
      </c>
    </row>
    <row r="25" customFormat="false" ht="15" hidden="false" customHeight="false" outlineLevel="0" collapsed="false">
      <c r="A25" s="12" t="s">
        <v>589</v>
      </c>
      <c r="B25" s="14" t="s">
        <v>590</v>
      </c>
      <c r="C25" s="70" t="n">
        <v>66</v>
      </c>
      <c r="D25" s="71" t="s">
        <v>591</v>
      </c>
      <c r="E25" s="72" t="s">
        <v>564</v>
      </c>
      <c r="F25" s="38" t="n">
        <v>80</v>
      </c>
    </row>
    <row r="26" customFormat="false" ht="15" hidden="false" customHeight="false" outlineLevel="0" collapsed="false">
      <c r="A26" s="20" t="s">
        <v>216</v>
      </c>
      <c r="B26" s="22" t="s">
        <v>592</v>
      </c>
      <c r="C26" s="67" t="n">
        <v>66</v>
      </c>
      <c r="D26" s="68" t="s">
        <v>571</v>
      </c>
      <c r="E26" s="69" t="s">
        <v>568</v>
      </c>
      <c r="F26" s="39" t="n">
        <v>80</v>
      </c>
    </row>
    <row r="27" customFormat="false" ht="15" hidden="false" customHeight="false" outlineLevel="0" collapsed="false">
      <c r="A27" s="12" t="s">
        <v>146</v>
      </c>
      <c r="B27" s="14" t="s">
        <v>593</v>
      </c>
      <c r="C27" s="70" t="n">
        <v>60</v>
      </c>
      <c r="D27" s="71" t="s">
        <v>594</v>
      </c>
      <c r="E27" s="72" t="s">
        <v>40</v>
      </c>
      <c r="F27" s="38" t="n">
        <v>80</v>
      </c>
    </row>
    <row r="28" customFormat="false" ht="15" hidden="false" customHeight="false" outlineLevel="0" collapsed="false">
      <c r="A28" s="20" t="s">
        <v>221</v>
      </c>
      <c r="B28" s="22" t="s">
        <v>595</v>
      </c>
      <c r="C28" s="67" t="n">
        <v>57</v>
      </c>
      <c r="D28" s="68" t="s">
        <v>596</v>
      </c>
      <c r="E28" s="69" t="s">
        <v>202</v>
      </c>
      <c r="F28" s="39" t="n">
        <v>78</v>
      </c>
    </row>
    <row r="29" customFormat="false" ht="15" hidden="false" customHeight="false" outlineLevel="0" collapsed="false">
      <c r="A29" s="12" t="s">
        <v>597</v>
      </c>
      <c r="B29" s="14" t="s">
        <v>598</v>
      </c>
      <c r="C29" s="70" t="n">
        <v>64</v>
      </c>
      <c r="D29" s="71" t="s">
        <v>599</v>
      </c>
      <c r="E29" s="72" t="s">
        <v>568</v>
      </c>
      <c r="F29" s="38" t="n">
        <v>78</v>
      </c>
    </row>
    <row r="30" customFormat="false" ht="15" hidden="false" customHeight="false" outlineLevel="0" collapsed="false">
      <c r="A30" s="20" t="s">
        <v>102</v>
      </c>
      <c r="B30" s="22" t="s">
        <v>600</v>
      </c>
      <c r="C30" s="74" t="n">
        <v>54</v>
      </c>
      <c r="D30" s="68" t="s">
        <v>601</v>
      </c>
      <c r="E30" s="69" t="s">
        <v>40</v>
      </c>
      <c r="F30" s="39" t="n">
        <v>80</v>
      </c>
    </row>
    <row r="31" customFormat="false" ht="15" hidden="false" customHeight="false" outlineLevel="0" collapsed="false">
      <c r="A31" s="12" t="s">
        <v>602</v>
      </c>
      <c r="B31" s="14" t="s">
        <v>603</v>
      </c>
      <c r="C31" s="70" t="n">
        <v>68</v>
      </c>
      <c r="D31" s="71" t="s">
        <v>604</v>
      </c>
      <c r="E31" s="72" t="s">
        <v>568</v>
      </c>
      <c r="F31" s="38" t="n">
        <v>82</v>
      </c>
    </row>
    <row r="32" customFormat="false" ht="15" hidden="false" customHeight="false" outlineLevel="0" collapsed="false">
      <c r="A32" s="20" t="s">
        <v>605</v>
      </c>
      <c r="B32" s="22" t="s">
        <v>606</v>
      </c>
      <c r="C32" s="67" t="n">
        <v>69</v>
      </c>
      <c r="D32" s="68" t="s">
        <v>265</v>
      </c>
      <c r="E32" s="69" t="s">
        <v>202</v>
      </c>
      <c r="F32" s="39" t="n">
        <v>82</v>
      </c>
    </row>
    <row r="33" customFormat="false" ht="15" hidden="false" customHeight="false" outlineLevel="0" collapsed="false">
      <c r="A33" s="12" t="s">
        <v>110</v>
      </c>
      <c r="B33" s="14" t="s">
        <v>607</v>
      </c>
      <c r="C33" s="70" t="n">
        <v>62</v>
      </c>
      <c r="D33" s="71" t="s">
        <v>608</v>
      </c>
      <c r="E33" s="72" t="s">
        <v>40</v>
      </c>
      <c r="F33" s="38" t="n">
        <v>80</v>
      </c>
    </row>
    <row r="34" customFormat="false" ht="15" hidden="false" customHeight="false" outlineLevel="0" collapsed="false">
      <c r="A34" s="20" t="s">
        <v>384</v>
      </c>
      <c r="B34" s="22" t="s">
        <v>609</v>
      </c>
      <c r="C34" s="67" t="n">
        <v>60</v>
      </c>
      <c r="D34" s="68" t="s">
        <v>610</v>
      </c>
      <c r="E34" s="69" t="s">
        <v>611</v>
      </c>
      <c r="F34" s="39" t="n">
        <v>80</v>
      </c>
    </row>
    <row r="35" customFormat="false" ht="15" hidden="false" customHeight="false" outlineLevel="0" collapsed="false">
      <c r="A35" s="12" t="s">
        <v>612</v>
      </c>
      <c r="B35" s="14" t="s">
        <v>613</v>
      </c>
      <c r="C35" s="70" t="n">
        <v>64</v>
      </c>
      <c r="D35" s="71" t="s">
        <v>614</v>
      </c>
      <c r="E35" s="72" t="s">
        <v>568</v>
      </c>
      <c r="F35" s="38" t="n">
        <v>78</v>
      </c>
    </row>
    <row r="36" customFormat="false" ht="15" hidden="false" customHeight="false" outlineLevel="0" collapsed="false">
      <c r="A36" s="20" t="s">
        <v>615</v>
      </c>
      <c r="B36" s="22" t="s">
        <v>616</v>
      </c>
      <c r="C36" s="67" t="n">
        <v>62</v>
      </c>
      <c r="D36" s="68" t="s">
        <v>617</v>
      </c>
      <c r="E36" s="69" t="s">
        <v>568</v>
      </c>
      <c r="F36" s="39" t="n">
        <v>80</v>
      </c>
    </row>
    <row r="37" customFormat="false" ht="15" hidden="false" customHeight="false" outlineLevel="0" collapsed="false">
      <c r="A37" s="12" t="s">
        <v>309</v>
      </c>
      <c r="B37" s="14" t="s">
        <v>618</v>
      </c>
      <c r="C37" s="70" t="n">
        <v>64</v>
      </c>
      <c r="D37" s="71" t="s">
        <v>619</v>
      </c>
      <c r="E37" s="72" t="s">
        <v>559</v>
      </c>
      <c r="F37" s="38" t="n">
        <v>80</v>
      </c>
    </row>
    <row r="38" customFormat="false" ht="15" hidden="false" customHeight="false" outlineLevel="0" collapsed="false">
      <c r="A38" s="20" t="s">
        <v>348</v>
      </c>
      <c r="B38" s="22" t="s">
        <v>620</v>
      </c>
      <c r="C38" s="74" t="n">
        <v>54</v>
      </c>
      <c r="D38" s="68" t="s">
        <v>621</v>
      </c>
      <c r="E38" s="69" t="s">
        <v>622</v>
      </c>
      <c r="F38" s="39" t="n">
        <v>80</v>
      </c>
    </row>
    <row r="39" customFormat="false" ht="15" hidden="false" customHeight="false" outlineLevel="0" collapsed="false">
      <c r="A39" s="12" t="s">
        <v>353</v>
      </c>
      <c r="B39" s="14" t="s">
        <v>623</v>
      </c>
      <c r="C39" s="70" t="n">
        <v>68</v>
      </c>
      <c r="D39" s="71" t="s">
        <v>624</v>
      </c>
      <c r="E39" s="72" t="s">
        <v>611</v>
      </c>
      <c r="F39" s="38" t="n">
        <v>80</v>
      </c>
    </row>
    <row r="40" customFormat="false" ht="15" hidden="false" customHeight="false" outlineLevel="0" collapsed="false">
      <c r="A40" s="20" t="s">
        <v>231</v>
      </c>
      <c r="B40" s="22" t="s">
        <v>625</v>
      </c>
      <c r="C40" s="67" t="n">
        <v>62</v>
      </c>
      <c r="D40" s="68" t="s">
        <v>626</v>
      </c>
      <c r="E40" s="69" t="s">
        <v>559</v>
      </c>
      <c r="F40" s="39" t="n">
        <v>78</v>
      </c>
    </row>
    <row r="41" customFormat="false" ht="15" hidden="false" customHeight="false" outlineLevel="0" collapsed="false">
      <c r="A41" s="12" t="s">
        <v>627</v>
      </c>
      <c r="B41" s="14" t="s">
        <v>628</v>
      </c>
      <c r="C41" s="70" t="n">
        <v>68</v>
      </c>
      <c r="D41" s="71" t="s">
        <v>346</v>
      </c>
      <c r="E41" s="72" t="s">
        <v>335</v>
      </c>
      <c r="F41" s="38" t="n">
        <v>78</v>
      </c>
    </row>
    <row r="42" customFormat="false" ht="15" hidden="false" customHeight="false" outlineLevel="0" collapsed="false">
      <c r="A42" s="20" t="s">
        <v>629</v>
      </c>
      <c r="B42" s="22" t="s">
        <v>630</v>
      </c>
      <c r="C42" s="67" t="n">
        <v>69</v>
      </c>
      <c r="D42" s="68" t="s">
        <v>631</v>
      </c>
      <c r="E42" s="69" t="s">
        <v>568</v>
      </c>
      <c r="F42" s="39" t="n">
        <v>80</v>
      </c>
    </row>
    <row r="43" customFormat="false" ht="15" hidden="false" customHeight="false" outlineLevel="0" collapsed="false">
      <c r="A43" s="12" t="s">
        <v>134</v>
      </c>
      <c r="B43" s="14" t="s">
        <v>632</v>
      </c>
      <c r="C43" s="70" t="n">
        <v>64</v>
      </c>
      <c r="D43" s="71" t="s">
        <v>131</v>
      </c>
      <c r="E43" s="72" t="s">
        <v>40</v>
      </c>
      <c r="F43" s="38" t="n">
        <v>80</v>
      </c>
    </row>
    <row r="44" customFormat="false" ht="15" hidden="false" customHeight="false" outlineLevel="0" collapsed="false">
      <c r="A44" s="20" t="s">
        <v>633</v>
      </c>
      <c r="B44" s="22" t="s">
        <v>634</v>
      </c>
      <c r="C44" s="67" t="n">
        <v>64</v>
      </c>
      <c r="D44" s="68" t="s">
        <v>635</v>
      </c>
      <c r="E44" s="69" t="s">
        <v>636</v>
      </c>
      <c r="F44" s="39" t="n">
        <v>78</v>
      </c>
    </row>
    <row r="45" customFormat="false" ht="15" hidden="false" customHeight="false" outlineLevel="0" collapsed="false">
      <c r="A45" s="12" t="s">
        <v>304</v>
      </c>
      <c r="B45" s="14" t="s">
        <v>637</v>
      </c>
      <c r="C45" s="70" t="n">
        <v>58</v>
      </c>
      <c r="D45" s="71" t="s">
        <v>638</v>
      </c>
      <c r="E45" s="72" t="s">
        <v>636</v>
      </c>
      <c r="F45" s="38" t="n">
        <v>82</v>
      </c>
    </row>
    <row r="46" customFormat="false" ht="15" hidden="false" customHeight="false" outlineLevel="0" collapsed="false">
      <c r="A46" s="20" t="s">
        <v>639</v>
      </c>
      <c r="B46" s="22" t="s">
        <v>640</v>
      </c>
      <c r="C46" s="67" t="n">
        <v>68</v>
      </c>
      <c r="D46" s="68" t="s">
        <v>641</v>
      </c>
      <c r="E46" s="69" t="s">
        <v>568</v>
      </c>
      <c r="F46" s="39" t="n">
        <v>80</v>
      </c>
    </row>
    <row r="47" customFormat="false" ht="15" hidden="false" customHeight="false" outlineLevel="0" collapsed="false">
      <c r="A47" s="12" t="s">
        <v>421</v>
      </c>
      <c r="B47" s="14" t="s">
        <v>642</v>
      </c>
      <c r="C47" s="70" t="n">
        <v>66</v>
      </c>
      <c r="D47" s="71" t="s">
        <v>643</v>
      </c>
      <c r="E47" s="72" t="s">
        <v>564</v>
      </c>
      <c r="F47" s="38" t="n">
        <v>82</v>
      </c>
    </row>
    <row r="48" customFormat="false" ht="15" hidden="false" customHeight="false" outlineLevel="0" collapsed="false">
      <c r="A48" s="20" t="s">
        <v>248</v>
      </c>
      <c r="B48" s="22" t="s">
        <v>644</v>
      </c>
      <c r="C48" s="67" t="n">
        <v>64</v>
      </c>
      <c r="D48" s="68" t="s">
        <v>246</v>
      </c>
      <c r="E48" s="69" t="s">
        <v>202</v>
      </c>
      <c r="F48" s="39" t="n">
        <v>80</v>
      </c>
    </row>
    <row r="49" customFormat="false" ht="15" hidden="false" customHeight="false" outlineLevel="0" collapsed="false">
      <c r="A49" s="12" t="s">
        <v>243</v>
      </c>
      <c r="B49" s="14" t="s">
        <v>645</v>
      </c>
      <c r="C49" s="70" t="n">
        <v>69</v>
      </c>
      <c r="D49" s="71" t="s">
        <v>241</v>
      </c>
      <c r="E49" s="72" t="s">
        <v>202</v>
      </c>
      <c r="F49" s="38" t="n">
        <v>82</v>
      </c>
    </row>
    <row r="50" customFormat="false" ht="15" hidden="false" customHeight="false" outlineLevel="0" collapsed="false">
      <c r="A50" s="20" t="s">
        <v>646</v>
      </c>
      <c r="B50" s="22" t="s">
        <v>647</v>
      </c>
      <c r="C50" s="67" t="n">
        <v>69</v>
      </c>
      <c r="D50" s="68" t="s">
        <v>648</v>
      </c>
      <c r="E50" s="69" t="s">
        <v>202</v>
      </c>
      <c r="F50" s="39" t="n">
        <v>80</v>
      </c>
    </row>
    <row r="51" customFormat="false" ht="15" hidden="false" customHeight="false" outlineLevel="0" collapsed="false">
      <c r="A51" s="12" t="s">
        <v>649</v>
      </c>
      <c r="B51" s="14" t="s">
        <v>650</v>
      </c>
      <c r="C51" s="70" t="n">
        <v>69</v>
      </c>
      <c r="D51" s="71" t="s">
        <v>604</v>
      </c>
      <c r="E51" s="72" t="s">
        <v>568</v>
      </c>
      <c r="F51" s="38" t="n">
        <v>80</v>
      </c>
    </row>
    <row r="52" customFormat="false" ht="15" hidden="false" customHeight="false" outlineLevel="0" collapsed="false">
      <c r="A52" s="20" t="s">
        <v>651</v>
      </c>
      <c r="B52" s="22" t="s">
        <v>652</v>
      </c>
      <c r="C52" s="67" t="n">
        <v>64</v>
      </c>
      <c r="D52" s="68" t="s">
        <v>653</v>
      </c>
      <c r="E52" s="69" t="s">
        <v>568</v>
      </c>
      <c r="F52" s="39" t="n">
        <v>78</v>
      </c>
    </row>
    <row r="53" customFormat="false" ht="15" hidden="false" customHeight="false" outlineLevel="0" collapsed="false">
      <c r="A53" s="12" t="s">
        <v>183</v>
      </c>
      <c r="B53" s="14" t="s">
        <v>654</v>
      </c>
      <c r="C53" s="70" t="n">
        <v>62</v>
      </c>
      <c r="D53" s="71" t="s">
        <v>655</v>
      </c>
      <c r="E53" s="72" t="s">
        <v>40</v>
      </c>
      <c r="F53" s="38" t="n">
        <v>80</v>
      </c>
    </row>
    <row r="54" customFormat="false" ht="15" hidden="false" customHeight="false" outlineLevel="0" collapsed="false">
      <c r="A54" s="20" t="s">
        <v>656</v>
      </c>
      <c r="B54" s="22" t="s">
        <v>657</v>
      </c>
      <c r="C54" s="67" t="n">
        <v>62</v>
      </c>
      <c r="D54" s="68" t="s">
        <v>658</v>
      </c>
      <c r="E54" s="69" t="s">
        <v>335</v>
      </c>
      <c r="F54" s="39" t="n">
        <v>78</v>
      </c>
    </row>
    <row r="55" customFormat="false" ht="15" hidden="false" customHeight="false" outlineLevel="0" collapsed="false">
      <c r="A55" s="12" t="s">
        <v>171</v>
      </c>
      <c r="B55" s="14" t="s">
        <v>659</v>
      </c>
      <c r="C55" s="50" t="n">
        <v>70</v>
      </c>
      <c r="D55" s="71" t="s">
        <v>660</v>
      </c>
      <c r="E55" s="72" t="s">
        <v>568</v>
      </c>
      <c r="F55" s="38" t="n">
        <v>82</v>
      </c>
    </row>
    <row r="56" customFormat="false" ht="15" hidden="false" customHeight="false" outlineLevel="0" collapsed="false">
      <c r="A56" s="20" t="s">
        <v>164</v>
      </c>
      <c r="B56" s="22" t="s">
        <v>661</v>
      </c>
      <c r="C56" s="74" t="n">
        <v>52</v>
      </c>
      <c r="D56" s="68" t="s">
        <v>162</v>
      </c>
      <c r="E56" s="69" t="s">
        <v>40</v>
      </c>
      <c r="F56" s="39" t="n">
        <v>80</v>
      </c>
    </row>
    <row r="57" customFormat="false" ht="15" hidden="false" customHeight="false" outlineLevel="0" collapsed="false">
      <c r="A57" s="12" t="s">
        <v>662</v>
      </c>
      <c r="B57" s="14" t="s">
        <v>663</v>
      </c>
      <c r="C57" s="50" t="n">
        <v>74</v>
      </c>
      <c r="D57" s="71" t="s">
        <v>191</v>
      </c>
      <c r="E57" s="72" t="s">
        <v>40</v>
      </c>
      <c r="F57" s="38" t="n">
        <v>78</v>
      </c>
    </row>
    <row r="58" customFormat="false" ht="15" hidden="false" customHeight="false" outlineLevel="0" collapsed="false">
      <c r="A58" s="20" t="s">
        <v>379</v>
      </c>
      <c r="B58" s="22" t="s">
        <v>664</v>
      </c>
      <c r="C58" s="73" t="n">
        <v>74</v>
      </c>
      <c r="D58" s="68" t="s">
        <v>665</v>
      </c>
      <c r="E58" s="69" t="s">
        <v>559</v>
      </c>
      <c r="F58" s="39" t="n">
        <v>80</v>
      </c>
    </row>
    <row r="59" customFormat="false" ht="15" hidden="false" customHeight="false" outlineLevel="0" collapsed="false">
      <c r="A59" s="12" t="s">
        <v>666</v>
      </c>
      <c r="B59" s="14" t="s">
        <v>667</v>
      </c>
      <c r="C59" s="50" t="n">
        <v>80</v>
      </c>
      <c r="D59" s="71" t="s">
        <v>585</v>
      </c>
      <c r="E59" s="72" t="s">
        <v>554</v>
      </c>
      <c r="F59" s="38" t="n">
        <v>82</v>
      </c>
    </row>
    <row r="60" customFormat="false" ht="15" hidden="false" customHeight="false" outlineLevel="0" collapsed="false">
      <c r="A60" s="20" t="s">
        <v>368</v>
      </c>
      <c r="B60" s="22" t="s">
        <v>668</v>
      </c>
      <c r="C60" s="73" t="n">
        <v>72</v>
      </c>
      <c r="D60" s="68" t="s">
        <v>365</v>
      </c>
      <c r="E60" s="69" t="s">
        <v>335</v>
      </c>
      <c r="F60" s="39" t="n">
        <v>78</v>
      </c>
    </row>
    <row r="61" customFormat="false" ht="15" hidden="false" customHeight="false" outlineLevel="0" collapsed="false">
      <c r="A61" s="12" t="s">
        <v>669</v>
      </c>
      <c r="B61" s="14" t="s">
        <v>670</v>
      </c>
      <c r="C61" s="70" t="n">
        <v>64</v>
      </c>
      <c r="D61" s="71" t="s">
        <v>168</v>
      </c>
      <c r="E61" s="72" t="s">
        <v>40</v>
      </c>
      <c r="F61" s="38" t="n">
        <v>78</v>
      </c>
    </row>
    <row r="62" customFormat="false" ht="15" hidden="false" customHeight="false" outlineLevel="0" collapsed="false">
      <c r="A62" s="20" t="s">
        <v>299</v>
      </c>
      <c r="B62" s="22" t="s">
        <v>671</v>
      </c>
      <c r="C62" s="67" t="n">
        <v>64</v>
      </c>
      <c r="D62" s="68" t="s">
        <v>672</v>
      </c>
      <c r="E62" s="69" t="s">
        <v>335</v>
      </c>
      <c r="F62" s="39" t="n">
        <v>80</v>
      </c>
    </row>
    <row r="63" customFormat="false" ht="15" hidden="false" customHeight="false" outlineLevel="0" collapsed="false">
      <c r="A63" s="12" t="s">
        <v>193</v>
      </c>
      <c r="B63" s="14" t="s">
        <v>673</v>
      </c>
      <c r="C63" s="75" t="n">
        <v>52</v>
      </c>
      <c r="D63" s="71" t="s">
        <v>674</v>
      </c>
      <c r="E63" s="72" t="s">
        <v>622</v>
      </c>
      <c r="F63" s="38" t="n">
        <v>80</v>
      </c>
    </row>
    <row r="64" customFormat="false" ht="15" hidden="false" customHeight="false" outlineLevel="0" collapsed="false">
      <c r="A64" s="20" t="s">
        <v>374</v>
      </c>
      <c r="B64" s="22" t="s">
        <v>675</v>
      </c>
      <c r="C64" s="67" t="n">
        <v>68</v>
      </c>
      <c r="D64" s="68" t="s">
        <v>208</v>
      </c>
      <c r="E64" s="69" t="s">
        <v>202</v>
      </c>
      <c r="F64" s="39" t="n">
        <v>78</v>
      </c>
    </row>
    <row r="65" customFormat="false" ht="15" hidden="false" customHeight="false" outlineLevel="0" collapsed="false">
      <c r="A65" s="12" t="s">
        <v>177</v>
      </c>
      <c r="B65" s="14" t="s">
        <v>676</v>
      </c>
      <c r="C65" s="70" t="n">
        <v>68</v>
      </c>
      <c r="D65" s="71" t="s">
        <v>677</v>
      </c>
      <c r="E65" s="72" t="s">
        <v>40</v>
      </c>
      <c r="F65" s="38" t="n">
        <v>78</v>
      </c>
    </row>
    <row r="66" customFormat="false" ht="15" hidden="false" customHeight="false" outlineLevel="0" collapsed="false">
      <c r="A66" s="20" t="s">
        <v>198</v>
      </c>
      <c r="B66" s="22" t="s">
        <v>678</v>
      </c>
      <c r="C66" s="67" t="n">
        <v>58</v>
      </c>
      <c r="D66" s="68" t="s">
        <v>679</v>
      </c>
      <c r="E66" s="69" t="s">
        <v>568</v>
      </c>
      <c r="F66" s="39" t="n">
        <v>80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52"/>
    <col collapsed="false" customWidth="true" hidden="false" outlineLevel="0" max="5" min="5" style="0" width="40"/>
  </cols>
  <sheetData>
    <row r="1" customFormat="false" ht="16.15" hidden="false" customHeight="false" outlineLevel="0" collapsed="false">
      <c r="A1" s="76" t="s">
        <v>680</v>
      </c>
      <c r="B1" s="76"/>
      <c r="C1" s="76"/>
      <c r="D1" s="76"/>
      <c r="E1" s="76"/>
    </row>
    <row r="2" customFormat="false" ht="30" hidden="false" customHeight="true" outlineLevel="0" collapsed="false">
      <c r="A2" s="77" t="s">
        <v>681</v>
      </c>
      <c r="B2" s="77" t="s">
        <v>682</v>
      </c>
      <c r="C2" s="77" t="s">
        <v>33</v>
      </c>
      <c r="D2" s="77" t="s">
        <v>683</v>
      </c>
      <c r="E2" s="77" t="s">
        <v>684</v>
      </c>
    </row>
    <row r="3" customFormat="false" ht="43.25" hidden="false" customHeight="false" outlineLevel="0" collapsed="false">
      <c r="A3" s="56" t="s">
        <v>685</v>
      </c>
      <c r="B3" s="15" t="s">
        <v>686</v>
      </c>
      <c r="C3" s="78" t="n">
        <v>0.95</v>
      </c>
      <c r="D3" s="15" t="s">
        <v>687</v>
      </c>
      <c r="E3" s="15" t="s">
        <v>688</v>
      </c>
    </row>
    <row r="4" customFormat="false" ht="22.35" hidden="false" customHeight="false" outlineLevel="0" collapsed="false">
      <c r="A4" s="54" t="s">
        <v>689</v>
      </c>
      <c r="B4" s="23" t="s">
        <v>690</v>
      </c>
      <c r="C4" s="79" t="n">
        <v>0.85</v>
      </c>
      <c r="D4" s="23" t="s">
        <v>691</v>
      </c>
      <c r="E4" s="23" t="s">
        <v>692</v>
      </c>
    </row>
    <row r="5" customFormat="false" ht="32.8" hidden="false" customHeight="false" outlineLevel="0" collapsed="false">
      <c r="A5" s="56" t="s">
        <v>693</v>
      </c>
      <c r="B5" s="15" t="s">
        <v>694</v>
      </c>
      <c r="C5" s="78" t="n">
        <v>0.9</v>
      </c>
      <c r="D5" s="15" t="s">
        <v>695</v>
      </c>
      <c r="E5" s="15" t="s">
        <v>696</v>
      </c>
    </row>
    <row r="6" customFormat="false" ht="32.8" hidden="false" customHeight="false" outlineLevel="0" collapsed="false">
      <c r="A6" s="54" t="s">
        <v>697</v>
      </c>
      <c r="B6" s="23" t="s">
        <v>698</v>
      </c>
      <c r="C6" s="79" t="n">
        <v>0.95</v>
      </c>
      <c r="D6" s="23" t="s">
        <v>699</v>
      </c>
      <c r="E6" s="23" t="s">
        <v>700</v>
      </c>
    </row>
    <row r="7" customFormat="false" ht="32.8" hidden="false" customHeight="false" outlineLevel="0" collapsed="false">
      <c r="A7" s="56" t="s">
        <v>701</v>
      </c>
      <c r="B7" s="15" t="s">
        <v>702</v>
      </c>
      <c r="C7" s="78" t="n">
        <v>0.95</v>
      </c>
      <c r="D7" s="15" t="s">
        <v>703</v>
      </c>
      <c r="E7" s="15" t="s">
        <v>704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2026-06-22T10:49:00Z</dcterms:created>
  <dc:creator>openpyxl</dc:creator>
  <dc:description/>
  <dc:language>en-US</dc:language>
  <cp:lastModifiedBy/>
  <dcterms:modified xsi:type="dcterms:W3CDTF">2026-06-22T10:49:00Z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