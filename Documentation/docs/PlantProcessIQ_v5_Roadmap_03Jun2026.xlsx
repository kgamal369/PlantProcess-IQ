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Task List" sheetId="2" state="visible" r:id="rId4"/>
    <sheet name="Phase Plan" sheetId="3" state="visible" r:id="rId5"/>
    <sheet name="Dashboard" sheetId="4" state="visible" r:id="rId6"/>
  </sheets>
  <definedNames>
    <definedName function="false" hidden="true" localSheetId="1" name="_xlnm._FilterDatabase" vbProcedure="false">'Task List'!$A$1:$K$66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<sst xmlns="http://schemas.openxmlformats.org/spreadsheetml/2006/main" count="806" uniqueCount="424">
  <si>
    <t xml:space="preserve">PlantProcess IQ</t>
  </si>
  <si>
    <t xml:space="preserve">v5</t>
  </si>
  <si>
    <t xml:space="preserve">Conformance Roadmap — current build → full v5 vision</t>
  </si>
  <si>
    <t xml:space="preserve">Purpose</t>
  </si>
  <si>
    <t xml:space="preserve">This workbook turns the Implementation Conformance Audit into an executable plan. It takes the current PlantProcess IQ build and sequences every remaining piece of the v5 doctrine into 14 deployable phases — closing the gaps, reworking what was done weakly, fixing the defects found while scanning the code, and shaping the product out of its current proof-shaped form.</t>
  </si>
  <si>
    <t xml:space="preserve">How to use it</t>
  </si>
  <si>
    <t xml:space="preserve">• Work the phases top to bottom. They are ordered by priority and by prerequisite, so each phase builds on the ones before it.</t>
  </si>
  <si>
    <t xml:space="preserve">• Every phase is sized 45–65 hours and ends in a hard validation gate. At each phase boundary you can deploy: there is something new to show and nothing left broken.</t>
  </si>
  <si>
    <t xml:space="preserve">• On the Task List sheet, use the filter to focus by Phase, Severity, Track, Module, or Task Type. Descriptions are written so a junior developer knows what to build and which files to touch; acceptance criteria are real tests, not 'the build passes'.</t>
  </si>
  <si>
    <t xml:space="preserve">• Phase Plan shows live task counts and hour totals per phase (and flags anything outside 45–65h). Dashboard summarises the backlog by severity, track and task type.</t>
  </si>
  <si>
    <t xml:space="preserve">Phase rules baked into this plan</t>
  </si>
  <si>
    <t xml:space="preserve">Each phase is 45–65h · ordered by priority + prerequisites · deployable at its boundary (new to show, nothing broken) · similar work grouped so the same file is not reopened across distant tasks · every phase closes with deep, realistic regression + new tests that also keep all existing unit / integration / e2e / dotnet suites green.</t>
  </si>
  <si>
    <t xml:space="preserve">Already remediated — verified in code, NOT tasks</t>
  </si>
  <si>
    <t xml:space="preserve">While scanning the snapshot I confirmed three earlier-flagged security risks are already fixed, so they are deliberately not in the backlog: (1) the JWT signing key now fails fast at startup if it is unset or under 32 chars (Program.cs); (2) the dev-seed endpoints (/dev) are gated behind IsDevelopment() and are not mapped in production; (3) PostgreSQL is bound to 127.0.0.1 in compose, not exposed publicly. P01-T06 simply adds guard tests so these cannot regress.</t>
  </si>
  <si>
    <t xml:space="preserve">Severity legend</t>
  </si>
  <si>
    <t xml:space="preserve">Term</t>
  </si>
  <si>
    <t xml:space="preserve">Meaning</t>
  </si>
  <si>
    <t xml:space="preserve">Critical</t>
  </si>
  <si>
    <t xml:space="preserve">Blocks pilots / security or data-integrity exposure. Do first.</t>
  </si>
  <si>
    <t xml:space="preserve">Very important</t>
  </si>
  <si>
    <t xml:space="preserve">Required for an enterprise-grade, trustworthy product.</t>
  </si>
  <si>
    <t xml:space="preserve">Important</t>
  </si>
  <si>
    <t xml:space="preserve">Materially strengthens the product or unblocks a market.</t>
  </si>
  <si>
    <t xml:space="preserve">Normal</t>
  </si>
  <si>
    <t xml:space="preserve">Solid improvement; schedule within its phase.</t>
  </si>
  <si>
    <t xml:space="preserve">Optional</t>
  </si>
  <si>
    <t xml:space="preserve">Nice to have; lowest priority.</t>
  </si>
  <si>
    <t xml:space="preserve">Track legend (workstream)</t>
  </si>
  <si>
    <t xml:space="preserve">Hardening</t>
  </si>
  <si>
    <t xml:space="preserve">Security, isolation, scale and reliability foundations.</t>
  </si>
  <si>
    <t xml:space="preserve">AI+ML</t>
  </si>
  <si>
    <t xml:space="preserve">Assistant model gateway, data boundary, evaluation.</t>
  </si>
  <si>
    <t xml:space="preserve">Workflow</t>
  </si>
  <si>
    <t xml:space="preserve">Core product workflows: mapping, canonical, connectors.</t>
  </si>
  <si>
    <t xml:space="preserve">Security</t>
  </si>
  <si>
    <t xml:space="preserve">Enterprise identity and licensing.</t>
  </si>
  <si>
    <t xml:space="preserve">Web</t>
  </si>
  <si>
    <t xml:space="preserve">Website, leads, outbound notifications, case loop.</t>
  </si>
  <si>
    <t xml:space="preserve">FrontEnd</t>
  </si>
  <si>
    <t xml:space="preserve">Internationalization, RTL and mobile UX.</t>
  </si>
  <si>
    <t xml:space="preserve">Deploy</t>
  </si>
  <si>
    <t xml:space="preserve">Deployment topologies, DR, portability.</t>
  </si>
  <si>
    <t xml:space="preserve">Testing</t>
  </si>
  <si>
    <t xml:space="preserve">Phase validation and regression gates.</t>
  </si>
  <si>
    <t xml:space="preserve">Task Type legend</t>
  </si>
  <si>
    <t xml:space="preserve">New feature</t>
  </si>
  <si>
    <t xml:space="preserve">Net-new capability.</t>
  </si>
  <si>
    <t xml:space="preserve">Refactor</t>
  </si>
  <si>
    <t xml:space="preserve">Restructure existing code without changing behavior.</t>
  </si>
  <si>
    <t xml:space="preserve">Modification</t>
  </si>
  <si>
    <t xml:space="preserve">Change behavior of existing code.</t>
  </si>
  <si>
    <t xml:space="preserve">Security / robustness improvement to existing code.</t>
  </si>
  <si>
    <t xml:space="preserve">Bug fix</t>
  </si>
  <si>
    <t xml:space="preserve">Corrects a defect found in the code.</t>
  </si>
  <si>
    <t xml:space="preserve">Test</t>
  </si>
  <si>
    <t xml:space="preserve">Validation, regression and acceptance testing.</t>
  </si>
  <si>
    <t xml:space="preserve">Task ID</t>
  </si>
  <si>
    <t xml:space="preserve">Task Name</t>
  </si>
  <si>
    <t xml:space="preserve">Phase</t>
  </si>
  <si>
    <t xml:space="preserve">Track</t>
  </si>
  <si>
    <t xml:space="preserve">Module</t>
  </si>
  <si>
    <t xml:space="preserve">Submodule</t>
  </si>
  <si>
    <t xml:space="preserve">Severity</t>
  </si>
  <si>
    <t xml:space="preserve">Description</t>
  </si>
  <si>
    <t xml:space="preserve">Acceptance Criteria</t>
  </si>
  <si>
    <t xml:space="preserve">Task Type</t>
  </si>
  <si>
    <t xml:space="preserve">Effort (h)</t>
  </si>
  <si>
    <t xml:space="preserve">P01-T01</t>
  </si>
  <si>
    <t xml:space="preserve">Retire localStorage access token → in-memory + HttpOnly refresh cookie</t>
  </si>
  <si>
    <t xml:space="preserve">P01 · Security &amp; Hygiene Foundation</t>
  </si>
  <si>
    <t xml:space="preserve">FrontEnd + Backend</t>
  </si>
  <si>
    <t xml:space="preserve">Identity / Auth</t>
  </si>
  <si>
    <t xml:space="preserve">Remove every access-token read/write from window.localStorage and sessionStorage (~42 occurrences across the app). Hold the access token only in memory (a React context or module-scoped variable); the backend issues the refresh token as an HttpOnly, Secure, SameSite=Strict cookie on login and /auth/refresh, and stops returning it in the JSON body. Add a silent-refresh flow: on app load and on any 401, call /auth/refresh (cookie-based) once, then retry the original request. Update the central API client (axios/fetch wrapper) to attach the in-memory token and never read it from storage. Touch AuthEndpoints.cs (set/clear cookie) and the frontend auth store + API client.</t>
  </si>
  <si>
    <t xml:space="preserve">• Playwright: after login, localStorage and sessionStorage contain NO auth/JWT/refresh keys (assert known keys absent).
• The refresh cookie carries HttpOnly + Secure + SameSite flags (assert on Set-Cookie).
• Page reload restores the session via the cookie (in-memory token gone, user still authenticated).
• A forced 401 triggers exactly one silent refresh, then a successful retry.
• dotnet + npm e2e auth suites green.</t>
  </si>
  <si>
    <t xml:space="preserve">P01-T02</t>
  </si>
  <si>
    <t xml:space="preserve">Migrate password hashing to Argon2id with on-login rehash</t>
  </si>
  <si>
    <t xml:space="preserve">Backend</t>
  </si>
  <si>
    <t xml:space="preserve">Add Argon2id (e.g., Konscious.Security.Cryptography or libsodium) as the default PasswordHasher with configurable params (m≈64MB, t=3, p=1). Store the algorithm id + params next to the hash. On login, verify against the stored algorithm; if it is the legacy PBKDF2 (Rfc2898), verify with PBKDF2 then transparently re-hash with Argon2id and update the user record. Keep the PBKDF2 verify path only for backward compatibility. Touch AuthStore.cs / PasswordHasher.</t>
  </si>
  <si>
    <t xml:space="preserve">• Unit: Argon2id hash↔verify round-trips; wrong password fails.
• Unit: a seeded legacy PBKDF2 user logs in successfully AND the stored hash is upgraded to Argon2id (assert algorithm column flips to argon2id).
• Params are read from configuration (not hardcoded).
• dotnet test green.</t>
  </si>
  <si>
    <t xml:space="preserve">P01-T03</t>
  </si>
  <si>
    <t xml:space="preserve">Secrets: signing key, DB &amp; connector creds from secret store, fail-fast + rotation</t>
  </si>
  <si>
    <t xml:space="preserve">Backend + Security + Infrastructure</t>
  </si>
  <si>
    <t xml:space="preserve">Secrets</t>
  </si>
  <si>
    <t xml:space="preserve">The JWT SigningKey fail-fast already exists (Program.cs rejects keys &lt;32 chars). Extend the posture: load SigningKey, DB connection string, and connector credentials ONLY from environment/secret store — no secret literals committed in appsettings*.json. Add a startup self-check that logs which required secrets resolved (names only, never values). Document a key-rotation runbook with an overlap window so tokens signed by the previous key still validate during rollover (support a primary + secondary validation key).</t>
  </si>
  <si>
    <t xml:space="preserve">• Integration: app refuses to start when any required secret is missing (assert fail-fast + clear message).
• CI grep gate: zero secret literals in committed appsettings*.json.
• Rotation test: a token signed with the previous key still validates while both keys are configured; stops validating after the old key is removed.
• Logs never contain secret values (log-scan test).</t>
  </si>
  <si>
    <t xml:space="preserve">P01-T04</t>
  </si>
  <si>
    <t xml:space="preserve">Repo hygiene: evict backups &amp; generated artifacts from tracked/audited source</t>
  </si>
  <si>
    <t xml:space="preserve">Infrastructure</t>
  </si>
  <si>
    <t xml:space="preserve">Tooling / Repo</t>
  </si>
  <si>
    <t xml:space="preserve">Remove from version control AND from the audit export: all *.bak / *.fixbak files, '_'-prefixed backup folders (e.g. _fin_backup_*, _phase9_*, _p6_close_backup_*), storybook-static, generated JS bundles/dist, coverage output, and old Documentation/UltimateAudit_* exports — together ~121 backup/temp files plus storybook-static that inflate line counts and pollute analysis. Extend .gitignore to exclude them and add an audit-export allowlist so future exports capture only real source (exclude node_modules, dist, storybook-static, coverage, *.bak*). Move genuinely reusable scripts into a maintained /scripts with a short README.</t>
  </si>
  <si>
    <t xml:space="preserve">• git status shows no backup/generated artifacts; a pre-commit/CI check fails if a *.bak*, storybook-static, dist, or coverage path is staged.
• A fresh audit export contains ZERO backup/generated files (assert file-count drop and that no storybook-static path appears).
• Build and app still run after the removal (smoke).</t>
  </si>
  <si>
    <t xml:space="preserve">P01-T05</t>
  </si>
  <si>
    <t xml:space="preserve">CI/validation integrity: atomic, exit-code-enforced, runtime-backed</t>
  </si>
  <si>
    <t xml:space="preserve">CI / Validation</t>
  </si>
  <si>
    <t xml:space="preserve">Audit every PowerShell/shell/Node validation script. Add `set -euo pipefail` (shell) and `$ErrorActionPreference='Stop'` (PowerShell); ensure every external command's exit code is checked and propagated; remove unconditional 'PASS'/`exit 0` success prints that can execute after a failure (there are several bare `exit 0` and `echo "... PASSED"` lines today). Convert weak 'file contains regex X' structural checks to runtime-backed checks where feasible (start the app/headless and assert behavior, or assert the rendered artifact). Re-create the Phase-10 failure (validate:content passed while JetBrains Mono was missing, and a manual PASS printed after a failure) as a guarded regression test that MUST fail the pipeline.</t>
  </si>
  <si>
    <t xml:space="preserve">• Inject a deliberately failing step → the pipeline exits non-zero (test asserts overall failure).
• No script prints PASS after a failed command (grep gate + a runtime probe that fails a step and checks no PASS line).
• validate:content FAILS when a required font/asset is absent (reproduce the Phase-10 bug as a guarded test).
• All CI scripts return correct exit codes.</t>
  </si>
  <si>
    <t xml:space="preserve">P01-T06</t>
  </si>
  <si>
    <t xml:space="preserve">Lock-in production config posture (verify already-fixed items)</t>
  </si>
  <si>
    <t xml:space="preserve">Backend + Security</t>
  </si>
  <si>
    <t xml:space="preserve">Config</t>
  </si>
  <si>
    <t xml:space="preserve">Add guard tests that LOCK already-correct production behavior so it cannot regress: dev-seed endpoints (/dev) are not mapped outside Development (currently gated by IsDevelopment — keep it); Postgres is bound to 127.0.0.1 only (currently correct in compose); the bootstrap admin must be rotated on first production boot. These are in good shape today; this task is purely regression protection.</t>
  </si>
  <si>
    <t xml:space="preserve">• Test: GET /dev/* returns 404 when ASPNETCORE_ENVIRONMENT=Production.
• Compose lint asserts no 0.0.0.0 public bind for postgres.
• First-boot check forces bootstrap-admin rotation; the seeded default credential cannot log in after setup (test).</t>
  </si>
  <si>
    <t xml:space="preserve">P01-T07</t>
  </si>
  <si>
    <t xml:space="preserve">Phase 1 validation &amp; regression gate</t>
  </si>
  <si>
    <t xml:space="preserve">Regression</t>
  </si>
  <si>
    <t xml:space="preserve">Assemble a security regression suite covering T01–T06 and wire it into CI as a required gate. Run the full existing dotnet test, npm run test, and npm run e2e suites and fix any breakage the auth/cookie refactor introduces (token-retrieval changes commonly break API-client mocks and e2e login helpers).</t>
  </si>
  <si>
    <t xml:space="preserve">• New security suite green and required in CI (blocks merge on failure).
• ALL pre-existing unit/integration/e2e/dotnet suites green.
• Manual smoke on the deployed server passes: login, refresh, logout, 401-retry.</t>
  </si>
  <si>
    <t xml:space="preserve">P02-T01</t>
  </si>
  <si>
    <t xml:space="preserve">PostgreSQL Row-Level Security on all tenant tables</t>
  </si>
  <si>
    <t xml:space="preserve">P02 · Database-Enforced Isolation</t>
  </si>
  <si>
    <t xml:space="preserve">Database + Backend + Security</t>
  </si>
  <si>
    <t xml:space="preserve">Tenant Isolation</t>
  </si>
  <si>
    <t xml:space="preserve">For every tenant-scoped table, ENABLE and FORCE ROW LEVEL SECURITY and add deny-by-default policies keyed on a session GUC, e.g. USING (tenant_id = current_setting('app.current_tenant')::uuid). Create a dedicated low-privilege application role that is subject to RLS (NOT the table owner and NOT BYPASSRLS). Provide an idempotent migration enabling policies table-by-table. This adds defense-in-depth beneath the ~532 app-level TenantId checks (today there are 0 RLS policies).</t>
  </si>
  <si>
    <t xml:space="preserve">• Integration: with tenant A's GUC set, a raw SELECT over a mixed-tenant table returns ONLY A's rows — even after deleting the app's WHERE clause.
• No GUC set → zero rows (deny-by-default).
• A cross-tenant UPDATE/DELETE affects zero rows.
• Assert the app role is not owner and lacks BYPASSRLS.
• Existing data-access tests green.</t>
  </si>
  <si>
    <t xml:space="preserve">P02-T02</t>
  </si>
  <si>
    <t xml:space="preserve">Per-request tenant GUC interceptor + worker scoping + audit</t>
  </si>
  <si>
    <t xml:space="preserve">Implement a Npgsql connection interceptor (or DbContext interceptor) that, immediately after opening the connection within the request transaction, issues SET LOCAL app.current_tenant = &lt;tenant-from-principal&gt;. Background workers must set the tenant explicitly per job and refuse to run unscoped. Log tenant context per request for audit. Ensure no static/shared state leaks tenant across concurrent requests.</t>
  </si>
  <si>
    <t xml:space="preserve">• Test: the GUC is set before any query executes and reset at request end.
• A worker job with no explicit tenant context throws rather than running unscoped.
• Concurrency test: parallel requests for different tenants never bleed.</t>
  </si>
  <si>
    <t xml:space="preserve">P02-T03</t>
  </si>
  <si>
    <t xml:space="preserve">Encrypt sensitive columns at rest + secrets vault wiring</t>
  </si>
  <si>
    <t xml:space="preserve">Database + Security</t>
  </si>
  <si>
    <t xml:space="preserve">Encryption</t>
  </si>
  <si>
    <t xml:space="preserve">Encrypt connector credentials and other secret columns at rest using pgcrypto or app-side envelope encryption (ASP.NET Data Protection with a KEK from the secret store). Migrate existing plaintext secrets to ciphertext. Decrypt only in memory at point of use; never log secret values.</t>
  </si>
  <si>
    <t xml:space="preserve">• DB inspection shows ciphertext for secret columns (assert no plaintext pattern).
• Round-trip encrypt/decrypt unit test.
• Log-scan test: secrets never appear in logs.
• Connectors still authenticate after migration (smoke).</t>
  </si>
  <si>
    <t xml:space="preserve">P02-T04</t>
  </si>
  <si>
    <t xml:space="preserve">Targeted query-plan &amp; index review for hot paths</t>
  </si>
  <si>
    <t xml:space="preserve">Database</t>
  </si>
  <si>
    <t xml:space="preserve">Performance</t>
  </si>
  <si>
    <t xml:space="preserve">Capture EXPLAIN (ANALYZE, BUFFERS) for the heaviest read paths: genealogy walk, advanced-correlation feature load, dashboard read-models, and import-staging joins. Add covering/partial indexes where sequential scans dominate large tables and remove unused/duplicate indexes (today ≈160 indexes across ≈80 tables — coverage is decent, so this is targeted, not blanket). Record before/after timings in a committed benchmark note.</t>
  </si>
  <si>
    <t xml:space="preserve">• For each targeted query, EXPLAIN shows index usage (no seq scan on large tables) and a measured latency improvement is recorded.
• Insert/write benchmark shows no throughput regression from added indexes.</t>
  </si>
  <si>
    <t xml:space="preserve">P02-T05</t>
  </si>
  <si>
    <t xml:space="preserve">Phase 2 validation &amp; regression gate</t>
  </si>
  <si>
    <t xml:space="preserve">Build an isolation test pack (raw-SQL tenant-bleed attempts, forged tenant filters, worker scoping) and a secrets-at-rest pack; add both to CI. Re-run all suites and fix breakage — RLS frequently surfaces seeds/tests that relied on cross-tenant reads.</t>
  </si>
  <si>
    <t xml:space="preserve">• Isolation pack green and proves zero cross-tenant access.
• Secrets pack green.
• Full dotnet/npm/e2e suites green.
• Deployed smoke confirms normal behavior under RLS.</t>
  </si>
  <si>
    <t xml:space="preserve">P03-T01</t>
  </si>
  <si>
    <t xml:space="preserve">Introduce TimescaleDB hypertables for telemetry</t>
  </si>
  <si>
    <t xml:space="preserve">P03 · Time-Series Foundation</t>
  </si>
  <si>
    <t xml:space="preserve">Database + Infrastructure</t>
  </si>
  <si>
    <t xml:space="preserve">Time-Series</t>
  </si>
  <si>
    <t xml:space="preserve">Add the TimescaleDB extension (or native declarative partitioning if Timescale is disallowed on a given on-prem deployment) and convert parameter_observation/telemetry tables to hypertables partitioned by time (optionally space-partitioned by tenant/tag). Provide an idempotent migration that creates the hypertable and moves existing rows. Update the Docker image/compose to include the extension. Today telemetry sits in vanilla PostgreSQL with no partitioning.</t>
  </si>
  <si>
    <t xml:space="preserve">• \dx shows timescaledb installed; the telemetry table is a hypertable (assert via timescaledb_information.hypertables).
• Existing telemetry rows migrated with pre/post counts equal.
• App read/write behavior unchanged (smoke + existing analytics tests green).</t>
  </si>
  <si>
    <t xml:space="preserve">P03-T02</t>
  </si>
  <si>
    <t xml:space="preserve">Compression, retention &amp; continuous aggregates</t>
  </si>
  <si>
    <t xml:space="preserve">Add a compression policy (compress chunks older than N days), a retention policy (drop or archive beyond M months, configurable per tier), and continuous aggregates for dashboard rollups (hourly/daily mean/min/max/p95 per tag). Point the dashboards at the aggregates rather than raw rows.</t>
  </si>
  <si>
    <t xml:space="preserve">• Compression policy compresses aged chunks (assert chunk compression state + storage reduction).
• Retention drops aged chunks under a simulated clock (test).
• A dashboard query reads the continuous aggregate (assert plan hits the aggregate; latency within budget).</t>
  </si>
  <si>
    <t xml:space="preserve">P03-T03</t>
  </si>
  <si>
    <t xml:space="preserve">Batched ingestion + backpressure in TelemetryIngestionWorker</t>
  </si>
  <si>
    <t xml:space="preserve">Ingestion</t>
  </si>
  <si>
    <t xml:space="preserve">Refactor TelemetryIngestionWorker to ingest via batched binary COPY (Npgsql) with bounded channels/backpressure and idempotent upserts, preserving delta resumability and checkpointing. Add metrics (rows/sec, lag).</t>
  </si>
  <si>
    <t xml:space="preserve">• Benchmark ingests ≥5,000,000 observations within an agreed time/memory budget (committed result).
• Backpressure test: a slow DB does not cause unbounded memory growth.
• Resumability test passes after a mid-batch kill (no duplicates, no loss).</t>
  </si>
  <si>
    <t xml:space="preserve">P03-T04</t>
  </si>
  <si>
    <t xml:space="preserve">Phase 3 validation &amp; regression gate</t>
  </si>
  <si>
    <t xml:space="preserve">Add scale/perf tests (ingestion throughput, aggregate query latency, retention/compression under a simulated clock) to CI as a large/nightly job. Re-run full suites and fix breakage from schema/partition changes (raw inserts in tests may need batching).</t>
  </si>
  <si>
    <t xml:space="preserve">• Perf pack meets documented budgets.
• Retention/compression assertions pass.
• Existing analytics tests (which read telemetry) green.
• Deployed smoke shows dashboards rendering from aggregates.</t>
  </si>
  <si>
    <t xml:space="preserve">P04-T01</t>
  </si>
  <si>
    <t xml:space="preserve">Provider abstraction + self-hosted (Ollama/vLLM) adapter</t>
  </si>
  <si>
    <t xml:space="preserve">P04 · Assistant Model Gateway &amp; Data Boundary</t>
  </si>
  <si>
    <t xml:space="preserve">Backend + AI+ML</t>
  </si>
  <si>
    <t xml:space="preserve">Model Gateway</t>
  </si>
  <si>
    <t xml:space="preserve">Behind the existing IAssistantModel seam, implement a ModelGateway with provider adapters: SelfHosted (HTTP to Ollama/vLLM/TGI, OpenAI-compatible), and keep the current NullExtractive model as fallback. Persist per-tenant provider config (endpoint, model name, params) and resolve it at request time. Add timeouts, retries, and a circuit breaker. The grounding guard (GroundingService) MUST still run on the model output.</t>
  </si>
  <si>
    <t xml:space="preserve">• Integration against a mock OpenAI-compatible server returns a model answer routed through the gateway.
• Circuit-breaker opens after N failures and falls back to the extractive model (test).
• Per-tenant config selects the provider (test).
• Grounding guard still blocks an ungrounded/uncited sentence from the model output (test).</t>
  </si>
  <si>
    <t xml:space="preserve">P04-T02</t>
  </si>
  <si>
    <t xml:space="preserve">Private-endpoint adapter (Azure OpenAI / Bedrock) with ZDR + BYOM</t>
  </si>
  <si>
    <t xml:space="preserve">Backend + AI+ML + Security</t>
  </si>
  <si>
    <t xml:space="preserve">Add adapters for private managed endpoints (Azure OpenAI, AWS Bedrock) configured for no-retention/data-residency, and allow customer-provided keys/endpoints (BYOM). All calls are server-side; keys never reach the browser and are stored encrypted (reuse P02-T03).</t>
  </si>
  <si>
    <t xml:space="preserve">• Mocked private-endpoint test passes through the gateway.
• Config validation rejects public/non-ZDR endpoints when tenant policy forbids them (test).
• Keys are stored encrypted and are never returned by any API (test).</t>
  </si>
  <si>
    <t xml:space="preserve">P04-T03</t>
  </si>
  <si>
    <t xml:space="preserve">Redaction boundary before any external model call</t>
  </si>
  <si>
    <t xml:space="preserve">AI+ML + Security</t>
  </si>
  <si>
    <t xml:space="preserve">Data Boundary</t>
  </si>
  <si>
    <t xml:space="preserve">Implement a redaction pass that scrubs PII/secrets from prompts before they leave the trust boundary, with configurable detectors (emails, names from a tenant dictionary, IDs, credential patterns) and a reversible token map to re-insert safe references in the displayed answer. Redaction is MANDATORY for non-self-hosted providers.</t>
  </si>
  <si>
    <t xml:space="preserve">• Unit: seeded PII/secrets never appear in the outbound payload (assert on the exact bytes sent to the provider mock).
• The reversible mapping restores references correctly in the final answer.
• Policy test: external calls are blocked if redaction is disabled.</t>
  </si>
  <si>
    <t xml:space="preserve">P04-T04</t>
  </si>
  <si>
    <t xml:space="preserve">Assistant audit log + prompt/response governance</t>
  </si>
  <si>
    <t xml:space="preserve">Governance</t>
  </si>
  <si>
    <t xml:space="preserve">Persist tenant-scoped, retention-bounded records of each assistant call: prompt, retrieved handles, provider/model/version, redaction summary, and the final grounded answer. Expose an admin view (RLS-enforced).</t>
  </si>
  <si>
    <t xml:space="preserve">• Every assistant call writes exactly one audit record including model+version+citations (test).
• Retention prunes records per config (clock test).
• Admin view lists records filtered by tenant; cross-tenant rows are not visible (RLS test).</t>
  </si>
  <si>
    <t xml:space="preserve">P04-T05</t>
  </si>
  <si>
    <t xml:space="preserve">Eval harness + model-version pinning (§7.9)</t>
  </si>
  <si>
    <t xml:space="preserve">AI+ML + Testing</t>
  </si>
  <si>
    <t xml:space="preserve">Eval</t>
  </si>
  <si>
    <t xml:space="preserve">Build a golden Q&amp;A set with expected grounded citations; score faithfulness (no uncited numbers, no forbidden phrasing, citations ⊆ retrieved handles) and correct answerable-vs-refuse behavior. Pin model name+version per environment with a changelog; run the harness in CI and gate on a documented threshold.</t>
  </si>
  <si>
    <t xml:space="preserve">• Harness runs against the extractive model and a mock LLM.
• A regression that lets an uncited number through FAILS the gate (test).
• Version pin is enforced: the gate fails if the configured model/version drifts.
• The pass threshold is documented.</t>
  </si>
  <si>
    <t xml:space="preserve">P04-T06</t>
  </si>
  <si>
    <t xml:space="preserve">Phase 4 validation &amp; regression gate</t>
  </si>
  <si>
    <t xml:space="preserve">Integration tests across providers (mocked), redaction, audit, and grounding-on-model-output; add to CI. Re-run full suites and fix breakage from assistant contract/DTO changes.</t>
  </si>
  <si>
    <t xml:space="preserve">• Provider/redaction/audit/eval packs green.
• Grounding contract still blocks ungrounded model output.
• Full suites green.
• Deployed demo answers a real question via the configured model WITH visible citations.</t>
  </si>
  <si>
    <t xml:space="preserve">P05-T01</t>
  </si>
  <si>
    <t xml:space="preserve">Visual mapper: source discovery + business-key dictionary</t>
  </si>
  <si>
    <t xml:space="preserve">P05 · No-Code Visual Mapper</t>
  </si>
  <si>
    <t xml:space="preserve">Mapping</t>
  </si>
  <si>
    <t xml:space="preserve">Build steps 1–2 of the no-code mapper: (1) source column discovery — introspect the connected source's tables/columns/types/sample values via the read-only connector; (2) a business-key dictionary builder — mark columns as keys, define composite keys, set normalization rules. Persist as part of the mapping definition. This replaces the SQL-heavy path for the common case (safe-SQL remains for the long tail).</t>
  </si>
  <si>
    <t xml:space="preserve">• e2e: connect a sample source, see discovered columns with sample values, designate a composite business key, persist it; reopening shows the saved keys.
• Discovery executes only read-only introspection (read-only enforcement test).</t>
  </si>
  <si>
    <t xml:space="preserve">P05-T02</t>
  </si>
  <si>
    <t xml:space="preserve">Visual mapper: join preview + canonical target suggestion</t>
  </si>
  <si>
    <t xml:space="preserve">FrontEnd + Backend + AI+ML</t>
  </si>
  <si>
    <t xml:space="preserve">Build steps 3–4: (3) join preview — define joins between discovered tables with a live preview of joined sample rows; (4) canonical target suggestion — propose source→canonical field mappings using name/type heuristics (and the grounded assistant for suggestions). The user accepts/edits suggestions; each suggestion is explainable.</t>
  </si>
  <si>
    <t xml:space="preserve">• e2e: define a join → preview shows correct joined sample rows.
• The system suggests canonical mappings the user can accept/override; each suggestion shows why it matched.
• Type-incompatible mappings are flagged (test).</t>
  </si>
  <si>
    <t xml:space="preserve">P05-T03</t>
  </si>
  <si>
    <t xml:space="preserve">Visual mapper: dry-run coverage + versioned publish</t>
  </si>
  <si>
    <t xml:space="preserve">Build step 5: dry-run coverage — execute the mapping against a sample/full set and report coverage (rows mapped, nulls, unmatched keys, type failures) WITHOUT writing canonical data; then publish as an immutable mapping version with rollback to a prior version. Any generated SQL must pass SafeSqlValidator.</t>
  </si>
  <si>
    <t xml:space="preserve">• Dry-run reports accurate coverage stats on seeded data (test).
• Publish creates a new version; the previous version remains and rollback restores it (test).
• A malicious generated mapping is rejected by SafeSqlValidator (test).</t>
  </si>
  <si>
    <t xml:space="preserve">P05-T04</t>
  </si>
  <si>
    <t xml:space="preserve">Refactor GenericSchemaMappingEndpoints (1388 lines) into a Mapping module</t>
  </si>
  <si>
    <t xml:space="preserve">Decompose the 1388-line GenericSchemaMappingEndpoints into a cohesive Mapping module: thin endpoints delegating to focused application services (discovery, keys, join, suggestion, dry-run, publish/version). Write characterization tests first to capture current behavior, then refactor with no route/contract changes.</t>
  </si>
  <si>
    <t xml:space="preserve">• The endpoint file is reduced to thin handlers (&lt;300 lines); each new service is unit-tested.
• All existing mapping-lifecycle and worked-mapping tests stay green (behavior preserved).
• No endpoint route or response-contract changes (contract test).</t>
  </si>
  <si>
    <t xml:space="preserve">P05-T05</t>
  </si>
  <si>
    <t xml:space="preserve">Mapping templates for common source archetypes</t>
  </si>
  <si>
    <t xml:space="preserve">Backend + FrontEnd</t>
  </si>
  <si>
    <t xml:space="preserve">Provide reusable mapping templates for common archetypes (generic relational, historian tag table, file/CSV) that pre-fill keys + suggested targets; the user starts from a template and adjusts.</t>
  </si>
  <si>
    <t xml:space="preserve">• Selecting a template pre-populates the mapper.
• A test verifies a template yields a valid mapping definition that passes dry-run on sample data.</t>
  </si>
  <si>
    <t xml:space="preserve">P05-T06</t>
  </si>
  <si>
    <t xml:space="preserve">Phase 5 validation &amp; regression gate</t>
  </si>
  <si>
    <t xml:space="preserve">Add a full 'onboard a new source with zero SQL' e2e plus the refactor's characterization tests; CI. Re-run suites and fix breakage from the endpoint refactor.</t>
  </si>
  <si>
    <t xml:space="preserve">• Zero-SQL onboarding e2e green end-to-end.
• Refactor characterization tests green.
• Full suites green.
• Deployed demo shows a non-developer mapping a source through the UI.</t>
  </si>
  <si>
    <t xml:space="preserve">P06-T01</t>
  </si>
  <si>
    <t xml:space="preserve">Extend GenealogyEdge with weight / is_transition / confidence (+migration)</t>
  </si>
  <si>
    <t xml:space="preserve">P06 · Blended Provenance &amp; Canonical Depth</t>
  </si>
  <si>
    <t xml:space="preserve">Backend + Database</t>
  </si>
  <si>
    <t xml:space="preserve">Canonical / Genealogy</t>
  </si>
  <si>
    <t xml:space="preserve">Add ContributionWeight (decimal 0..1), IsTransition (bool), and ProvenanceConfidence to GenealogyEdge with constructor params and invariants: a child's parent weights sum to ~1.0 (± tolerance) and weight is required when there are multiple parents. Update the EF configuration and add an idempotent migration; backfill existing single-parent edges to weight=1.0, is_transition=false. Today GenealogyEdge models parent/child + relationship type only (no weighting), so transition coils cannot be attributed honestly.</t>
  </si>
  <si>
    <t xml:space="preserve">• Unit: the sum-to-one invariant is enforced and invalid weights are rejected.
• Migration backfills existing edges (counts verified).
• A blended edge (two parents 0.62 / 0.38) persists and reloads correctly.</t>
  </si>
  <si>
    <t xml:space="preserve">P06-T02</t>
  </si>
  <si>
    <t xml:space="preserve">Weighted attribution in genealogy walk + analytics feature loader</t>
  </si>
  <si>
    <t xml:space="preserve">Update the genealogy walk and the analytics feature/outcome loader so that, for transition coils, parent attributes are blended by weight (and readiness/coverage accounting reflects partial membership). Ensure the value and risk engines consume the blended attribution.</t>
  </si>
  <si>
    <t xml:space="preserve">• Golden-thread test extended for coil C-0044180 (H-3361 0.62 / H-3362 0.38): the blended feature value equals the weighted combination within tolerance.
• Value/risk outputs reflect the blend; non-transition coils are unchanged (regression).</t>
  </si>
  <si>
    <t xml:space="preserve">P06-T03</t>
  </si>
  <si>
    <t xml:space="preserve">Surface transition + weights in GenealogyThreadPanel</t>
  </si>
  <si>
    <t xml:space="preserve">Show a 'transition' badge and the contribution weights on the genealogy thread; let the user inspect why a coil is blended and how attribution was computed (provenance).</t>
  </si>
  <si>
    <t xml:space="preserve">• e2e: a transition coil shows the badge and weights summing to 100%; a tooltip/inspector explains the attribution.
• A non-transition coil shows no badge.</t>
  </si>
  <si>
    <t xml:space="preserve">P06-T04</t>
  </si>
  <si>
    <t xml:space="preserve">Deepen schema-drift detection + defect-catalog harmonization</t>
  </si>
  <si>
    <t xml:space="preserve">Canonical / Mapping</t>
  </si>
  <si>
    <t xml:space="preserve">Deepen schema-drift detection (flag added/removed/retyped source columns and pause dependent mappings with a clear status) and harmonize the defect catalog (map source defect codes to a canonical catalog with synonyms, surface unmapped codes). Done here because both touch canonical/mapping code already open in this phase.</t>
  </si>
  <si>
    <t xml:space="preserve">• A simulated source schema change is detected and the dependent mapping is paused with an actionable message (test).
• A source defect code maps to the canonical catalog; unmapped codes are surfaced for review (test).</t>
  </si>
  <si>
    <t xml:space="preserve">P06-T05</t>
  </si>
  <si>
    <t xml:space="preserve">Phase 6 validation &amp; regression gate</t>
  </si>
  <si>
    <t xml:space="preserve">Extend genealogy/analytics tests for blended provenance and drift/catalog; CI. Re-run suites and fix breakage (the entity change ripples through serializers/DTOs).</t>
  </si>
  <si>
    <t xml:space="preserve">• Blended-provenance + drift + catalog packs green.
• Existing golden-thread/analytics tests green.
• Full suites green.
• Deployed demo shows a blended coil with weights.</t>
  </si>
  <si>
    <t xml:space="preserve">P07-T01</t>
  </si>
  <si>
    <t xml:space="preserve">Implement one read-only historian or OPC-UA connector</t>
  </si>
  <si>
    <t xml:space="preserve">P07 · Plant Connector Breadth</t>
  </si>
  <si>
    <t xml:space="preserve">Connector</t>
  </si>
  <si>
    <t xml:space="preserve">Implement IDataSourceConnector for ONE high-value plant source: OPC-UA (read-only subscription/polling via an OPC-UA client library) OR a historian (OSIsoft PI Web API / AspenTech IP.21 SQLplus). Enforce read-only, map tags to the canonical telemetry model, and support time-bounded reads. Today these are catalog-listed only (no implementation).</t>
  </si>
  <si>
    <t xml:space="preserve">• Smoke test against a mock OPC-UA/historian server reads tag values for a time window.
• Read-only enforcement test: no write methods are reachable.
• Values land in the time-series store with correct timestamps/tags (assert).</t>
  </si>
  <si>
    <t xml:space="preserve">P07-T02</t>
  </si>
  <si>
    <t xml:space="preserve">Backfill + incremental sync for the new connector</t>
  </si>
  <si>
    <t xml:space="preserve">Wire the new connector into the two-stage import + delta engine: throttled historical backfill with checkpoints and resumability, then incremental sync of new data only.</t>
  </si>
  <si>
    <t xml:space="preserve">• Backfill of a historical window is resumable after a kill (checkpoint test).
• Incremental sync ingests only new points — no duplicates (idempotency test).
• Throttle respects a configured rate (test).</t>
  </si>
  <si>
    <t xml:space="preserve">P07-T03</t>
  </si>
  <si>
    <t xml:space="preserve">Connector-truth depth + live schema-drift</t>
  </si>
  <si>
    <t xml:space="preserve">Extend the Connector Truth Contract to reflect the live connector's real state (reachable, last successful read, lag, certified/uncertified) in ConnectorTruthPanel; surface drift/availability honestly (never green when stale).</t>
  </si>
  <si>
    <t xml:space="preserve">• Panel shows accurate live status; toggling mock availability/lag is reflected in UI/state, including a stale/lagging state (test).
• The 'certified' flag is set only when the contract's checks pass (test).</t>
  </si>
  <si>
    <t xml:space="preserve">P07-T04</t>
  </si>
  <si>
    <t xml:space="preserve">Phase 7 validation &amp; regression gate</t>
  </si>
  <si>
    <t xml:space="preserve">Connector smoke + backfill resumability + truth-state tests against the mock server; CI. Re-run suites and fix breakage from adding the new connector to the factory/DI.</t>
  </si>
  <si>
    <t xml:space="preserve">• Connector pack green (read-only, backfill resumable, truth accurate).
• Existing connector-truth/resumability tests green.
• Full suites green.
• Deployed demo reads from the mock historian/OPC.</t>
  </si>
  <si>
    <t xml:space="preserve">P08-T01</t>
  </si>
  <si>
    <t xml:space="preserve">TOTP MFA: enrollment, verification, recovery codes</t>
  </si>
  <si>
    <t xml:space="preserve">P08 · Enterprise Identity: MFA &amp; Sessions</t>
  </si>
  <si>
    <t xml:space="preserve">Backend + FrontEnd + Security</t>
  </si>
  <si>
    <t xml:space="preserve">Identity / MFA</t>
  </si>
  <si>
    <t xml:space="preserve">Implement TOTP (RFC 6238): enrollment (QR + secret), verification at login, and one-time recovery codes (hashed at rest). Enforce per tenant/role policy and allow per-user enablement. Add a second login step when MFA is enabled.</t>
  </si>
  <si>
    <t xml:space="preserve">• e2e: enroll via QR, log in with a valid TOTP, reject an invalid/expired code, consume a recovery code and prevent its reuse.
• Recovery codes are stored hashed (test).
• Policy can force MFA for a role (test).</t>
  </si>
  <si>
    <t xml:space="preserve">P08-T02</t>
  </si>
  <si>
    <t xml:space="preserve">Session controls: list/revoke, timeouts, reuse detection</t>
  </si>
  <si>
    <t xml:space="preserve">Identity / Sessions</t>
  </si>
  <si>
    <t xml:space="preserve">Track active sessions (refresh-token families) with device/IP/last-seen; allow a user/admin to view and revoke sessions; enforce idle and absolute timeouts; rotate refresh tokens on use with reuse-detection (a reused token revokes the whole family).</t>
  </si>
  <si>
    <t xml:space="preserve">• Revoking a session invalidates its refresh token immediately (subsequent refresh fails).
• Idle/absolute timeout expires sessions (clock test).
• Refresh-token reuse triggers family revocation (test).</t>
  </si>
  <si>
    <t xml:space="preserve">P08-T03</t>
  </si>
  <si>
    <t xml:space="preserve">Account protection: lockout, throttling, password policy</t>
  </si>
  <si>
    <t xml:space="preserve">Identity / Hardening</t>
  </si>
  <si>
    <t xml:space="preserve">Add login throttling + temporary lockout after N failures, a configurable password policy (length/complexity + optional breached-password check), and an audit of auth events.</t>
  </si>
  <si>
    <t xml:space="preserve">• N failed logins lock the account for the configured window (test).
• The policy rejects weak/breached passwords (test).
• Auth events are audited (test).</t>
  </si>
  <si>
    <t xml:space="preserve">P08-T04</t>
  </si>
  <si>
    <t xml:space="preserve">Phase 8 validation &amp; regression gate</t>
  </si>
  <si>
    <t xml:space="preserve">MFA/session/lockout e2e + unit packs; CI. Re-run suites and fix breakage (the login-flow change affects e2e helpers).</t>
  </si>
  <si>
    <t xml:space="preserve">• Identity packs green.
• Existing auth/e2e suites green (login helpers updated for MFA).
• Full suites green.
• Deployed demo shows MFA login + session revoke.</t>
  </si>
  <si>
    <t xml:space="preserve">P09-T01</t>
  </si>
  <si>
    <t xml:space="preserve">SSO via OIDC/SAML (one IdP)</t>
  </si>
  <si>
    <t xml:space="preserve">P09 · Enterprise Identity: SSO &amp; SCIM</t>
  </si>
  <si>
    <t xml:space="preserve">Identity / SSO</t>
  </si>
  <si>
    <t xml:space="preserve">Implement SSO via OIDC (and/or SAML 2.0) against one IdP (Entra ID / Keycloak): authorization-code flow, token validation, just-in-time user provisioning, and role/group→app-role mapping. Configurable per tenant.</t>
  </si>
  <si>
    <t xml:space="preserve">• e2e against a mock IdP: SSO login provisions/links a user and assigns roles from claims.
• Invalid/expired IdP tokens are rejected (test).
• Tenant IdP config is isolated (test).</t>
  </si>
  <si>
    <t xml:space="preserve">P09-T02</t>
  </si>
  <si>
    <t xml:space="preserve">SCIM 2.0 provisioning (Users &amp; Groups)</t>
  </si>
  <si>
    <t xml:space="preserve">Identity / SCIM</t>
  </si>
  <si>
    <t xml:space="preserve">Implement SCIM 2.0 endpoints (Users, Groups) for create/update/deactivate with bearer auth; map SCIM attributes to app users/roles; deactivation disables login (never hard-deletes) and supports reactivation.</t>
  </si>
  <si>
    <t xml:space="preserve">• SCIM create provisions a user (test); update modifies attributes/roles; deactivate disables login (subsequent auth fails); reactivate restores.
• Payloads conform to the SCIM schema (validator test).</t>
  </si>
  <si>
    <t xml:space="preserve">P09-T03</t>
  </si>
  <si>
    <t xml:space="preserve">JIT role-mapping admin UI</t>
  </si>
  <si>
    <t xml:space="preserve">Provide an admin screen to map IdP groups/claims → application roles per tenant; changes apply on the next SSO login.</t>
  </si>
  <si>
    <t xml:space="preserve">• Mapping persists and is applied on the next SSO login (test).
• An unmapped group results in the configured default role (test).</t>
  </si>
  <si>
    <t xml:space="preserve">P09-T04</t>
  </si>
  <si>
    <t xml:space="preserve">Phase 9 validation &amp; regression gate</t>
  </si>
  <si>
    <t xml:space="preserve">SSO + SCIM integration packs against a mock IdP/SCIM client; CI. Re-run suites and fix breakage.</t>
  </si>
  <si>
    <t xml:space="preserve">• SSO/SCIM packs green.
• Existing identity suites green.
• Full suites green.
• Deployed demo shows SSO login + a SCIM-provisioned user.</t>
  </si>
  <si>
    <t xml:space="preserve">P10-T01</t>
  </si>
  <si>
    <t xml:space="preserve">Ed25519 signed license + offline verification</t>
  </si>
  <si>
    <t xml:space="preserve">P10 · Signed Licensing &amp; Anti-Tamper</t>
  </si>
  <si>
    <t xml:space="preserve">Licensing</t>
  </si>
  <si>
    <t xml:space="preserve">Define a signed license artifact (compact JWS, Ed25519) carrying tenant, tier, feature limits, issue/expiry, and optional instance binding. Verify it OFFLINE at startup using an embedded public key and cache the parsed entitlements. Provide a signing tool kept OFF the product server. Today there is no signed license and the tier is an editable DB value.</t>
  </si>
  <si>
    <t xml:space="preserve">• A validly signed license verifies offline (no network) and yields entitlements.
• A tampered payload fails signature verification (test).
• An expired license is rejected/handled per policy.
• Verification works air-gapped (no egress in the test).</t>
  </si>
  <si>
    <t xml:space="preserve">P10-T02</t>
  </si>
  <si>
    <t xml:space="preserve">Entitlement resolver reads signed license (retire DB-editable tier)</t>
  </si>
  <si>
    <t xml:space="preserve">Refactor the entitlement resolver and LicenseFeatureEndpointFilter to source tier/features from the VERIFIED license, not an editable DB column; make the DB tier read-only/derived. Add overage handling and a grace window.</t>
  </si>
  <si>
    <t xml:space="preserve">• Editing the DB tier no longer escalates entitlements — gating follows the license (test).
• Overage/grace behavior matches policy (tests).
• Existing entitlement tests adjusted and green.</t>
  </si>
  <si>
    <t xml:space="preserve">P10-T03</t>
  </si>
  <si>
    <t xml:space="preserve">License activation &amp; lifecycle UX</t>
  </si>
  <si>
    <t xml:space="preserve">Admin UI to upload/activate a license, view current entitlements/expiry/overage, and warn before expiry.</t>
  </si>
  <si>
    <t xml:space="preserve">• Uploading a valid license activates it and shows entitlements.
• An invalid/expired license shows a clear error.
• An expiry warning appears within the configured window (test).</t>
  </si>
  <si>
    <t xml:space="preserve">P10-T04</t>
  </si>
  <si>
    <t xml:space="preserve">Phase 10 validation &amp; regression gate</t>
  </si>
  <si>
    <t xml:space="preserve">License signing/verification/tamper/expiry + entitlement-source packs; CI. Re-run suites and fix breakage from the entitlement-source change.</t>
  </si>
  <si>
    <t xml:space="preserve">• License packs green (tamper rejected, offline verify works, DB-edit cannot escalate).
• Existing entitlement/e2e suites green.
• Full suites green.
• Deployed demo activates a license.</t>
  </si>
  <si>
    <t xml:space="preserve">P11-T01</t>
  </si>
  <si>
    <t xml:space="preserve">Backend lead system (replace website localStorage capture)</t>
  </si>
  <si>
    <t xml:space="preserve">P11 · Outbound Notifications, Case Loop &amp; Lead System</t>
  </si>
  <si>
    <t xml:space="preserve">Web + Backend</t>
  </si>
  <si>
    <t xml:space="preserve">Website / Leads</t>
  </si>
  <si>
    <t xml:space="preserve">Replace the website's localStorage lead capture with a real backend lead endpoint: persist leads; send an email notification (SMTP); enqueue to a CRM/export queue; add spam protection (honeypot + rate limit + optional captcha); add a GDPR consent checkbox (store consent + timestamp + the text version shown); and keep an audit trail.</t>
  </si>
  <si>
    <t xml:space="preserve">• Submitting the form persists a lead, queues an email (mock SMTP asserts payload), records consent, and blocks spam (honeypot/rate-limit tests).
• No lead data is written to localStorage (assert).
• The audit trail records the submission.</t>
  </si>
  <si>
    <t xml:space="preserve">P11-T02</t>
  </si>
  <si>
    <t xml:space="preserve">Outbound notification service (email/webhook) with preferences</t>
  </si>
  <si>
    <t xml:space="preserve">Notifications</t>
  </si>
  <si>
    <t xml:space="preserve">Build an outbound notifier for suggestions/alerts: email (SMTP) and webhook (Teams/Slack) channels, per-user/role preferences, templating, and delivery logging with retry. Preserve the read-only product stance (notify, never control).</t>
  </si>
  <si>
    <t xml:space="preserve">• A new high-severity suggestion triggers the configured channels (mock SMTP/webhook assert payloads).
• User prefs suppress/route correctly (test).
• Failed deliveries retry and are logged (test).</t>
  </si>
  <si>
    <t xml:space="preserve">P11-T03</t>
  </si>
  <si>
    <t xml:space="preserve">Closed-loop 'did acting help?' measurement</t>
  </si>
  <si>
    <t xml:space="preserve">Suggestions</t>
  </si>
  <si>
    <t xml:space="preserve">Track suggestion-lifecycle outcomes: when a suggestion is actioned, capture the before/after metric window and surface whether the targeted KPI moved — honestly, with coverage caveats, never claiming causation.</t>
  </si>
  <si>
    <t xml:space="preserve">• Actioning a suggestion records an outcome window.
• The UI shows the KPI delta with an honesty caveat.
• The delta is computed from real read-model data and ABSTAINS when data is insufficient (test).</t>
  </si>
  <si>
    <t xml:space="preserve">P11-T04</t>
  </si>
  <si>
    <t xml:space="preserve">Phase 11 validation &amp; regression gate</t>
  </si>
  <si>
    <t xml:space="preserve">Lead + notification + closed-loop packs (mock SMTP/webhook); CI. Re-run suites and fix breakage from the website + notification wiring.</t>
  </si>
  <si>
    <t xml:space="preserve">• Lead/notification/closed-loop packs green.
• Website e2e green.
• Full suites green.
• Deployed demo captures a lead and fires a notification.</t>
  </si>
  <si>
    <t xml:space="preserve">P12-T01</t>
  </si>
  <si>
    <t xml:space="preserve">i18n infrastructure + string extraction</t>
  </si>
  <si>
    <t xml:space="preserve">P12 · Internationalization, RTL &amp; Mobile</t>
  </si>
  <si>
    <t xml:space="preserve">i18n</t>
  </si>
  <si>
    <t xml:space="preserve">Introduce react-i18next (or react-intl): provider, namespace structure, a language switcher, and lazy-loaded catalogs. Extract hardcoded strings on the highest-traffic screens into message keys (EN as source). Add locale-aware number/date/unit formatting helpers. Today there is no real i18n infrastructure (no provider, catalogs, or useTranslation).</t>
  </si>
  <si>
    <t xml:space="preserve">• Switching language re-renders strings (e2e).
• A string-extraction lint reports remaining hardcoded strings under a threshold on covered screens.
• Number/date formatting follows locale (unit tests for EN/DE/AR).</t>
  </si>
  <si>
    <t xml:space="preserve">P12-T02</t>
  </si>
  <si>
    <t xml:space="preserve">German + Arabic catalogs + RTL layout</t>
  </si>
  <si>
    <t xml:space="preserve">i18n / RTL</t>
  </si>
  <si>
    <t xml:space="preserve">Provide DE and AR message catalogs for covered screens; implement RTL (dir + CSS logical properties) so Arabic mirrors correctly; verify the dark industrial theme in RTL.</t>
  </si>
  <si>
    <t xml:space="preserve">• AR renders RTL with correct mirroring (snapshot/e2e).
• DE/AR strings exist for covered keys (catalog-completeness test).
• No layout breakage in RTL on covered screens (assertions + visual check).</t>
  </si>
  <si>
    <t xml:space="preserve">P12-T03</t>
  </si>
  <si>
    <t xml:space="preserve">Mobile/tablet consume-and-act hardening</t>
  </si>
  <si>
    <t xml:space="preserve">Mobile</t>
  </si>
  <si>
    <t xml:space="preserve">Harden responsiveness on the key consume-and-act screens (dashboards, suggestion review, genealogy, assistant) for tablet/phone widths; fix overflow, touch targets, and table reflow.</t>
  </si>
  <si>
    <t xml:space="preserve">• e2e at mobile/tablet viewports completes the key flows without overflow.
• Touch-target and table-reflow assertions pass on covered screens.</t>
  </si>
  <si>
    <t xml:space="preserve">P12-T04</t>
  </si>
  <si>
    <t xml:space="preserve">Phase 12 validation &amp; regression gate</t>
  </si>
  <si>
    <t xml:space="preserve">i18n/RTL/mobile packs; CI. Re-run suites and fix breakage (string keys change selectors that tests relied on).</t>
  </si>
  <si>
    <t xml:space="preserve">• i18n/RTL/mobile packs green.
• Existing e2e green (selectors updated to keys/roles, not raw text).
• Full suites green.
• Deployed demo switches to Arabic RTL.</t>
  </si>
  <si>
    <t xml:space="preserve">P13-T01</t>
  </si>
  <si>
    <t xml:space="preserve">On-prem / air-gapped install package</t>
  </si>
  <si>
    <t xml:space="preserve">P13 · Deployment Topologies, DR &amp; Portability</t>
  </si>
  <si>
    <t xml:space="preserve">Infrastructure + Deploy</t>
  </si>
  <si>
    <t xml:space="preserve">Deployment</t>
  </si>
  <si>
    <t xml:space="preserve">Produce an offline install bundle: pinned container images exported for air-gapped load, a hardened Docker Compose (and optional Helm/K8s manifests), an install script with preflight checks, and a 'no external egress required' guarantee (vendored deps + the self-hosted model option from P04). Document sizing tiers. Today deployment is SaaS/VPS only.</t>
  </si>
  <si>
    <t xml:space="preserve">• On a network-isolated VM, the bundle installs and the app boots with ZERO outbound calls (egress-blocked test).
• Preflight catches missing prerequisites (test).
• Documented sizing matches a smoke deployment.</t>
  </si>
  <si>
    <t xml:space="preserve">P13-T02</t>
  </si>
  <si>
    <t xml:space="preserve">Backup/restore + RPO/RTO runbook + HA option</t>
  </si>
  <si>
    <t xml:space="preserve">DR / HA</t>
  </si>
  <si>
    <t xml:space="preserve">Implement scheduled DB + object backups (including Timescale chunks), a tested restore procedure, and a documented RPO/RTO; provide an HA reference (Postgres replica + app scale-out).</t>
  </si>
  <si>
    <t xml:space="preserve">• A backup→restore drill recovers to a point within the stated RPO, verified by data checks.
• Restore completes within the stated RTO (timed test).
• The HA reference brings up a replica and survives a primary failover drill.</t>
  </si>
  <si>
    <t xml:space="preserve">P13-T03</t>
  </si>
  <si>
    <t xml:space="preserve">Source-code escrow + open-format data export</t>
  </si>
  <si>
    <t xml:space="preserve">Infrastructure + Documentation</t>
  </si>
  <si>
    <t xml:space="preserve">Portability</t>
  </si>
  <si>
    <t xml:space="preserve">Define a source-code escrow process (what/when/release conditions) and implement an open-format data export bundle (canonical model + telemetry + mappings + definitions as documented CSV/Parquet/JSON) a customer could re-import or read independently.</t>
  </si>
  <si>
    <t xml:space="preserve">• Export produces a documented, schema-versioned bundle.
• A re-import smoke loads it into a clean instance (round-trip test).
• The escrow process is documented and reviewed.</t>
  </si>
  <si>
    <t xml:space="preserve">P13-T04</t>
  </si>
  <si>
    <t xml:space="preserve">Phase 13 validation &amp; regression gate</t>
  </si>
  <si>
    <t xml:space="preserve">Air-gapped install + backup/restore + export round-trip drills; CI/scheduled. Re-run suites and fix breakage.</t>
  </si>
  <si>
    <t xml:space="preserve">• Deployment/DR/export packs green.
• Full suites green.
• A documented DR drill report is produced.
• The live instance is unaffected by the drills.</t>
  </si>
  <si>
    <t xml:space="preserve">P14-T01</t>
  </si>
  <si>
    <t xml:space="preserve">Compliance controls: audit trail, GDPR DSAR, retention</t>
  </si>
  <si>
    <t xml:space="preserve">P14 · Compliance &amp; Product-Module Refactor</t>
  </si>
  <si>
    <t xml:space="preserve">Backend + Security + Documentation</t>
  </si>
  <si>
    <t xml:space="preserve">Compliance</t>
  </si>
  <si>
    <t xml:space="preserve">Implement a tamper-evident audit trail for sensitive actions (who/what/when/old→new), GDPR data-subject access/erasure (DSAR export + deletion workflow honoring genealogy/audit constraints), and configurable data retention. Map controls to SOC 2 / ISO 27001 and (if pharma is in scope) GxP / 21 CFR Part 11 (e-signature, ALCOA+) with an evidence index.</t>
  </si>
  <si>
    <t xml:space="preserve">• Sensitive actions write audit records (test).
• A DSAR export returns a subject's data and an erasure request removes/anonymizes per policy (test).
• Retention prunes per config (clock test).
• A control→evidence matrix exists for SOC2/ISO (and Part 11 if in scope).</t>
  </si>
  <si>
    <t xml:space="preserve">P14-T02</t>
  </si>
  <si>
    <t xml:space="preserve">Product-module consolidation: proof endpoints + admin god-files → modules</t>
  </si>
  <si>
    <t xml:space="preserve">Refactor 'proof-shaped' phase endpoints and the largest admin files (Phase1WorkflowTruthEndpoints 1368, WorkflowEndpoints 1031, ConnectorConfigurationService 1246, AdminDbConfigurationTab 1127, Phase56Pages 1102, AdminSchemaConfigurationTab 948, DashboardDefinitionService 902, WidgetBuilderWizard 1710/1512) into the doctrine's product modules (Acquisition, Mapping, Canonical, Analytics, Suggestions, Assistant, Licensing, Identity, Demo, Website). Characterize with tests first; split by responsibility; keep routes/behavior stable.</t>
  </si>
  <si>
    <t xml:space="preserve">• No single source file &gt;~400 lines in the refactored areas (assert max file size in those folders).
• Characterization tests pass before AND after (behavior preserved).
• Module boundaries documented.</t>
  </si>
  <si>
    <t xml:space="preserve">P14-T03</t>
  </si>
  <si>
    <t xml:space="preserve">Retire legacy API client + rename phase-named artifacts</t>
  </si>
  <si>
    <t xml:space="preserve">Migrate all callers off legacy/plantProcessApi.ts (1264 lines) to the per-feature API clients, then delete it. Rename phase-named files/classes (Phase1/Phase56/P03P04/Pack3) to domain concepts so navigation is by meaning, not build history.</t>
  </si>
  <si>
    <t xml:space="preserve">• Zero imports of plantProcessApi.ts remain (grep gate = 0) and the file is deleted.
• A naming lint reports zero phase-named product artifacts.
• Build + full suites green.</t>
  </si>
  <si>
    <t xml:space="preserve">P14-T04</t>
  </si>
  <si>
    <t xml:space="preserve">Phase 14 validation &amp; regression gate</t>
  </si>
  <si>
    <t xml:space="preserve">Compliance (audit/DSAR/retention) + refactor characterization + naming/no-legacy packs; CI. Re-run suites and fix breakage.</t>
  </si>
  <si>
    <t xml:space="preserve">• Compliance + refactor + hygiene packs green.
• Full suites green.
• Deployed instance shows the audit trail + a DSAR export and the consolidated modules.</t>
  </si>
  <si>
    <t xml:space="preserve">Tasks</t>
  </si>
  <si>
    <t xml:space="preserve">Hours</t>
  </si>
  <si>
    <t xml:space="preserve">In 45–65h?</t>
  </si>
  <si>
    <t xml:space="preserve">Deployable outcome (what you can show at deploy)</t>
  </si>
  <si>
    <t xml:space="preserve">A build you can safely put in front of a customer: no token in localStorage, Argon2id, secrets external, clean repo, trustworthy CI.</t>
  </si>
  <si>
    <t xml:space="preserve">Tenant data provably isolated at the database (RLS), secrets encrypted at rest, hot paths indexed.</t>
  </si>
  <si>
    <t xml:space="preserve">Telemetry on a time-series store with compression/retention; ingestion benchmarked for real historian volumes.</t>
  </si>
  <si>
    <t xml:space="preserve">A real assistant answer from a configurable, governed model — redaction + grounding + audit + eval gate. Unblocks enterprise.</t>
  </si>
  <si>
    <t xml:space="preserve">Onboard a new source end-to-end through a visual flow with zero SQL; mapping code consolidated into a module.</t>
  </si>
  <si>
    <t xml:space="preserve">Honest weighted attribution for transition coils, flowing into value/risk; deeper drift + defect-catalog handling.</t>
  </si>
  <si>
    <t xml:space="preserve">Read from a real historian/OPC source (read-only) with resumable backfill and honest connector-truth status.</t>
  </si>
  <si>
    <t xml:space="preserve">Multi-factor login and real session management (revoke, timeouts, lockout).</t>
  </si>
  <si>
    <t xml:space="preserve">Single sign-on and automated provisioning against an IdP for enterprise onboarding.</t>
  </si>
  <si>
    <t xml:space="preserve">On-prem licensing you can trust: signed, offline-verifiable entitlements; tier no longer DB-editable.</t>
  </si>
  <si>
    <t xml:space="preserve">Real backend lead capture, outbound alerts, and closed-loop outcome measurement.</t>
  </si>
  <si>
    <t xml:space="preserve">EN/DE/AR with correct RTL on key screens; mobile-clean consume-and-act flows.</t>
  </si>
  <si>
    <t xml:space="preserve">Install anywhere (incl. air-gapped); survive disaster (backup/restore, RPO/RTO); customer data portability + escrow.</t>
  </si>
  <si>
    <t xml:space="preserve">Audit-ready (audit trail, DSAR, retention; SOC2/ISO/GxP mapping) and product-shaped (modules consolidated, legacy client gone).</t>
  </si>
  <si>
    <t xml:space="preserve">TOTAL</t>
  </si>
  <si>
    <t xml:space="preserve">Backlog Dashboard</t>
  </si>
  <si>
    <t xml:space="preserve">By Severity</t>
  </si>
  <si>
    <t xml:space="preserve">By Task Type</t>
  </si>
  <si>
    <t xml:space="preserve">Total</t>
  </si>
  <si>
    <t xml:space="preserve">By Track</t>
  </si>
  <si>
    <t xml:space="preserve">Grand total — tasks</t>
  </si>
  <si>
    <t xml:space="preserve">Grand total — hours</t>
  </si>
  <si>
    <t xml:space="preserve">Phases</t>
  </si>
</sst>
</file>

<file path=xl/styles.xml><?xml version="1.0" encoding="utf-8"?>
<styleSheet xmlns="http://schemas.openxmlformats.org/spreadsheetml/2006/main">
  <numFmts count="3">
    <numFmt numFmtId="164" formatCode="General"/>
    <numFmt numFmtId="165" formatCode="0"/>
    <numFmt numFmtId="166" formatCode="General"/>
  </numFmts>
  <fonts count="22">
    <font>
      <sz val="11"/>
      <color theme="1"/>
      <name val="Calibri"/>
      <family val="2"/>
      <charset val="1"/>
    </font>
    <font>
      <sz val="10"/>
      <name val="Arial"/>
      <family val="0"/>
    </font>
    <font>
      <sz val="10"/>
      <name val="Arial"/>
      <family val="0"/>
    </font>
    <font>
      <sz val="10"/>
      <name val="Arial"/>
      <family val="0"/>
    </font>
    <font>
      <b val="true"/>
      <sz val="26"/>
      <color rgb="FF0B1730"/>
      <name val="Arial"/>
      <family val="0"/>
      <charset val="1"/>
    </font>
    <font>
      <b val="true"/>
      <sz val="26"/>
      <color rgb="FF00D4FF"/>
      <name val="Arial"/>
      <family val="0"/>
      <charset val="1"/>
    </font>
    <font>
      <b val="true"/>
      <sz val="12"/>
      <color rgb="FF5B7186"/>
      <name val="Arial"/>
      <family val="0"/>
      <charset val="1"/>
    </font>
    <font>
      <b val="true"/>
      <sz val="12"/>
      <color rgb="FFFFFFFF"/>
      <name val="Arial"/>
      <family val="0"/>
      <charset val="1"/>
    </font>
    <font>
      <sz val="10"/>
      <color rgb="FF16202D"/>
      <name val="Arial"/>
      <family val="0"/>
      <charset val="1"/>
    </font>
    <font>
      <b val="true"/>
      <sz val="10"/>
      <color rgb="FFFFFFFF"/>
      <name val="Arial"/>
      <family val="0"/>
      <charset val="1"/>
    </font>
    <font>
      <b val="true"/>
      <sz val="10"/>
      <color rgb="FFB0233F"/>
      <name val="Arial"/>
      <family val="0"/>
      <charset val="1"/>
    </font>
    <font>
      <b val="true"/>
      <sz val="10"/>
      <color rgb="FF9A5B00"/>
      <name val="Arial"/>
      <family val="0"/>
      <charset val="1"/>
    </font>
    <font>
      <b val="true"/>
      <sz val="10"/>
      <color rgb="FF0B6B86"/>
      <name val="Arial"/>
      <family val="0"/>
      <charset val="1"/>
    </font>
    <font>
      <b val="true"/>
      <sz val="10"/>
      <color rgb="FF16202D"/>
      <name val="Arial"/>
      <family val="0"/>
      <charset val="1"/>
    </font>
    <font>
      <b val="true"/>
      <sz val="10"/>
      <color rgb="FF8EA7C1"/>
      <name val="Arial"/>
      <family val="0"/>
      <charset val="1"/>
    </font>
    <font>
      <b val="true"/>
      <sz val="11"/>
      <color rgb="FFFFFFFF"/>
      <name val="Arial"/>
      <family val="0"/>
      <charset val="1"/>
    </font>
    <font>
      <b val="true"/>
      <sz val="9"/>
      <color rgb="FF102A43"/>
      <name val="Consolas"/>
      <family val="0"/>
      <charset val="1"/>
    </font>
    <font>
      <sz val="9"/>
      <color rgb="FF16202D"/>
      <name val="Arial"/>
      <family val="0"/>
      <charset val="1"/>
    </font>
    <font>
      <b val="true"/>
      <sz val="10"/>
      <color rgb="FF0B1730"/>
      <name val="Arial"/>
      <family val="0"/>
      <charset val="1"/>
    </font>
    <font>
      <b val="true"/>
      <sz val="18"/>
      <color rgb="FF0B1730"/>
      <name val="Arial"/>
      <family val="0"/>
      <charset val="1"/>
    </font>
    <font>
      <b val="true"/>
      <sz val="11"/>
      <color rgb="FF0B1730"/>
      <name val="Arial"/>
      <family val="0"/>
      <charset val="1"/>
    </font>
    <font>
      <b val="true"/>
      <sz val="11"/>
      <color rgb="FF16202D"/>
      <name val="Arial"/>
      <family val="0"/>
      <charset val="1"/>
    </font>
  </fonts>
  <fills count="10">
    <fill>
      <patternFill patternType="none"/>
    </fill>
    <fill>
      <patternFill patternType="gray125"/>
    </fill>
    <fill>
      <patternFill patternType="solid">
        <fgColor rgb="FF102A43"/>
        <bgColor rgb="FF16202D"/>
      </patternFill>
    </fill>
    <fill>
      <patternFill patternType="solid">
        <fgColor rgb="FF0B1730"/>
        <bgColor rgb="FF16202D"/>
      </patternFill>
    </fill>
    <fill>
      <patternFill patternType="solid">
        <fgColor rgb="FFFDEEF1"/>
        <bgColor rgb="FFFFF4E6"/>
      </patternFill>
    </fill>
    <fill>
      <patternFill patternType="solid">
        <fgColor rgb="FFFFF4E6"/>
        <bgColor rgb="FFFDEEF1"/>
      </patternFill>
    </fill>
    <fill>
      <patternFill patternType="solid">
        <fgColor rgb="FFEAF8FC"/>
        <bgColor rgb="FFF4F6F8"/>
      </patternFill>
    </fill>
    <fill>
      <patternFill patternType="solid">
        <fgColor rgb="FFF4F6F8"/>
        <bgColor rgb="FFFAFAFA"/>
      </patternFill>
    </fill>
    <fill>
      <patternFill patternType="solid">
        <fgColor rgb="FFFAFAFA"/>
        <bgColor rgb="FFF4F6F8"/>
      </patternFill>
    </fill>
    <fill>
      <patternFill patternType="solid">
        <fgColor rgb="FFFFFFFF"/>
        <bgColor rgb="FFFAFAFA"/>
      </patternFill>
    </fill>
  </fills>
  <borders count="2">
    <border diagonalUp="false" diagonalDown="false">
      <left/>
      <right/>
      <top/>
      <bottom/>
      <diagonal/>
    </border>
    <border diagonalUp="false" diagonalDown="false">
      <left style="thin">
        <color rgb="FFD6DEE8"/>
      </left>
      <right style="thin">
        <color rgb="FFD6DEE8"/>
      </right>
      <top style="thin">
        <color rgb="FFD6DEE8"/>
      </top>
      <bottom style="thin">
        <color rgb="FFD6DEE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9" fillId="3" borderId="1" xfId="0" applyFont="true" applyBorder="true" applyAlignment="true" applyProtection="false">
      <alignment horizontal="left" vertical="center" textRotation="0" wrapText="false" indent="0" shrinkToFit="false"/>
      <protection locked="true" hidden="false"/>
    </xf>
    <xf numFmtId="164" fontId="10" fillId="4"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false" indent="0" shrinkToFit="false"/>
      <protection locked="true" hidden="false"/>
    </xf>
    <xf numFmtId="164" fontId="12" fillId="6" borderId="1" xfId="0" applyFont="true" applyBorder="true" applyAlignment="true" applyProtection="false">
      <alignment horizontal="left" vertical="center" textRotation="0" wrapText="false" indent="0" shrinkToFit="false"/>
      <protection locked="true" hidden="false"/>
    </xf>
    <xf numFmtId="164" fontId="13" fillId="7" borderId="1" xfId="0" applyFont="true" applyBorder="true" applyAlignment="true" applyProtection="false">
      <alignment horizontal="left" vertical="center" textRotation="0" wrapText="false" indent="0" shrinkToFit="false"/>
      <protection locked="true" hidden="false"/>
    </xf>
    <xf numFmtId="164" fontId="14" fillId="8" borderId="1" xfId="0" applyFont="true" applyBorder="true" applyAlignment="true" applyProtection="false">
      <alignment horizontal="left" vertical="center" textRotation="0" wrapText="fals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4" fontId="16" fillId="7" borderId="1" xfId="0" applyFont="true" applyBorder="true" applyAlignment="true" applyProtection="false">
      <alignment horizontal="left" vertical="top" textRotation="0" wrapText="false" indent="0" shrinkToFit="false"/>
      <protection locked="true" hidden="false"/>
    </xf>
    <xf numFmtId="164" fontId="13" fillId="7" borderId="1" xfId="0" applyFont="true" applyBorder="true" applyAlignment="true" applyProtection="false">
      <alignment horizontal="left" vertical="top" textRotation="0" wrapText="true" indent="0" shrinkToFit="false"/>
      <protection locked="true" hidden="false"/>
    </xf>
    <xf numFmtId="164" fontId="8" fillId="7" borderId="1" xfId="0" applyFont="true" applyBorder="true" applyAlignment="true" applyProtection="false">
      <alignment horizontal="center" vertical="top"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7" fillId="7" borderId="1" xfId="0" applyFont="true" applyBorder="true" applyAlignment="true" applyProtection="false">
      <alignment horizontal="left" vertical="top" textRotation="0" wrapText="true" indent="0" shrinkToFit="false"/>
      <protection locked="true" hidden="false"/>
    </xf>
    <xf numFmtId="165" fontId="13" fillId="7" borderId="1" xfId="0" applyFont="true" applyBorder="true" applyAlignment="true" applyProtection="false">
      <alignment horizontal="center" vertical="center" textRotation="0" wrapText="false" indent="0" shrinkToFit="false"/>
      <protection locked="true" hidden="false"/>
    </xf>
    <xf numFmtId="164" fontId="16" fillId="9" borderId="1" xfId="0" applyFont="true" applyBorder="true" applyAlignment="true" applyProtection="false">
      <alignment horizontal="left" vertical="top" textRotation="0" wrapText="false" indent="0" shrinkToFit="false"/>
      <protection locked="true" hidden="false"/>
    </xf>
    <xf numFmtId="164" fontId="13" fillId="9" borderId="1" xfId="0" applyFont="true" applyBorder="true" applyAlignment="true" applyProtection="false">
      <alignment horizontal="left" vertical="top" textRotation="0" wrapText="true" indent="0" shrinkToFit="false"/>
      <protection locked="true" hidden="false"/>
    </xf>
    <xf numFmtId="164" fontId="8" fillId="9" borderId="1" xfId="0" applyFont="true" applyBorder="true" applyAlignment="true" applyProtection="false">
      <alignment horizontal="center" vertical="top" textRotation="0" wrapText="true" indent="0" shrinkToFit="false"/>
      <protection locked="true" hidden="false"/>
    </xf>
    <xf numFmtId="164" fontId="17" fillId="9" borderId="1" xfId="0" applyFont="true" applyBorder="true" applyAlignment="true" applyProtection="false">
      <alignment horizontal="left" vertical="top" textRotation="0" wrapText="true" indent="0" shrinkToFit="false"/>
      <protection locked="true" hidden="false"/>
    </xf>
    <xf numFmtId="165" fontId="13" fillId="9" borderId="1" xfId="0" applyFont="true" applyBorder="true" applyAlignment="true" applyProtection="false">
      <alignment horizontal="center" vertical="center" textRotation="0" wrapText="fals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13" fillId="7" borderId="1" xfId="0" applyFont="true" applyBorder="true" applyAlignment="true" applyProtection="false">
      <alignment horizontal="center" vertical="center" textRotation="0" wrapText="true" indent="0" shrinkToFit="false"/>
      <protection locked="true" hidden="false"/>
    </xf>
    <xf numFmtId="164" fontId="18" fillId="0"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6" fontId="13" fillId="0" borderId="1" xfId="0" applyFont="true" applyBorder="true" applyAlignment="true" applyProtection="false">
      <alignment horizontal="center" vertical="center" textRotation="0" wrapText="false" indent="0" shrinkToFit="false"/>
      <protection locked="true" hidden="false"/>
    </xf>
    <xf numFmtId="164" fontId="15"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6" fontId="15" fillId="3" borderId="1"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left" vertical="center" textRotation="0" wrapText="fals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6" fontId="9" fillId="3" borderId="1"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6" fontId="2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02A43"/>
          <bgColor rgb="FF000000"/>
        </patternFill>
      </fill>
    </dxf>
    <dxf>
      <fill>
        <patternFill patternType="solid">
          <fgColor rgb="FFF4F6F8"/>
          <bgColor rgb="FF000000"/>
        </patternFill>
      </fill>
    </dxf>
    <dxf>
      <fill>
        <patternFill patternType="solid">
          <fgColor rgb="FFFFFFFF"/>
          <bgColor rgb="FF000000"/>
        </patternFill>
      </fill>
    </dxf>
    <dxf>
      <fill>
        <patternFill patternType="solid">
          <fgColor rgb="FF16202D"/>
          <bgColor rgb="FF000000"/>
        </patternFill>
      </fill>
    </dxf>
    <dxf>
      <fill>
        <patternFill patternType="solid">
          <fgColor rgb="FFEAF8FC"/>
          <bgColor rgb="FF000000"/>
        </patternFill>
      </fill>
    </dxf>
    <dxf>
      <fill>
        <patternFill patternType="solid">
          <fgColor rgb="FFFDEEF1"/>
          <bgColor rgb="FF000000"/>
        </patternFill>
      </fill>
    </dxf>
    <dxf>
      <fill>
        <patternFill patternType="solid">
          <fgColor rgb="FFFFF4E6"/>
          <bgColor rgb="FF000000"/>
        </patternFill>
      </fill>
    </dxf>
    <dxf>
      <fill>
        <patternFill patternType="solid">
          <fgColor rgb="FF0B6B86"/>
          <bgColor rgb="FF000000"/>
        </patternFill>
      </fill>
    </dxf>
    <dxf>
      <fill>
        <patternFill patternType="solid">
          <fgColor rgb="FF9A5B00"/>
          <bgColor rgb="FF000000"/>
        </patternFill>
      </fill>
    </dxf>
    <dxf>
      <fill>
        <patternFill patternType="solid">
          <fgColor rgb="FFB0233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B6B86"/>
      <rgbColor rgb="FFC0C0C0"/>
      <rgbColor rgb="FF808080"/>
      <rgbColor rgb="FF9999FF"/>
      <rgbColor rgb="FFB0233F"/>
      <rgbColor rgb="FFFFF4E6"/>
      <rgbColor rgb="FFEAF8FC"/>
      <rgbColor rgb="FF660066"/>
      <rgbColor rgb="FFFF8080"/>
      <rgbColor rgb="FF0066CC"/>
      <rgbColor rgb="FFD6DEE8"/>
      <rgbColor rgb="FF000080"/>
      <rgbColor rgb="FFFF00FF"/>
      <rgbColor rgb="FFFFFF00"/>
      <rgbColor rgb="FF00FFFF"/>
      <rgbColor rgb="FF800080"/>
      <rgbColor rgb="FF800000"/>
      <rgbColor rgb="FF008080"/>
      <rgbColor rgb="FF0000FF"/>
      <rgbColor rgb="FF00D4FF"/>
      <rgbColor rgb="FFF4F6F8"/>
      <rgbColor rgb="FFFAFAFA"/>
      <rgbColor rgb="FFFDEEF1"/>
      <rgbColor rgb="FF99CCFF"/>
      <rgbColor rgb="FFFF99CC"/>
      <rgbColor rgb="FFCC99FF"/>
      <rgbColor rgb="FFFFCC99"/>
      <rgbColor rgb="FF3366FF"/>
      <rgbColor rgb="FF33CCCC"/>
      <rgbColor rgb="FF99CC00"/>
      <rgbColor rgb="FFFFCC00"/>
      <rgbColor rgb="FFFF9900"/>
      <rgbColor rgb="FFFF6600"/>
      <rgbColor rgb="FF5B7186"/>
      <rgbColor rgb="FF8EA7C1"/>
      <rgbColor rgb="FF102A43"/>
      <rgbColor rgb="FF339966"/>
      <rgbColor rgb="FF0B1730"/>
      <rgbColor rgb="FF333300"/>
      <rgbColor rgb="FF9A5B00"/>
      <rgbColor rgb="FF993366"/>
      <rgbColor rgb="FF333399"/>
      <rgbColor rgb="FF1620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4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78"/>
  </cols>
  <sheetData>
    <row r="2" customFormat="false" ht="33.75" hidden="false" customHeight="true" outlineLevel="0" collapsed="false">
      <c r="B2" s="1" t="s">
        <v>0</v>
      </c>
      <c r="C2" s="2" t="s">
        <v>1</v>
      </c>
    </row>
    <row r="3" customFormat="false" ht="15" hidden="false" customHeight="false" outlineLevel="0" collapsed="false">
      <c r="B3" s="3" t="s">
        <v>2</v>
      </c>
      <c r="C3" s="3"/>
    </row>
    <row r="6" customFormat="false" ht="21.75" hidden="false" customHeight="true" outlineLevel="0" collapsed="false">
      <c r="B6" s="4" t="s">
        <v>3</v>
      </c>
      <c r="C6" s="5"/>
    </row>
    <row r="7" customFormat="false" ht="60" hidden="false" customHeight="true" outlineLevel="0" collapsed="false">
      <c r="B7" s="6" t="s">
        <v>4</v>
      </c>
      <c r="C7" s="6"/>
    </row>
    <row r="9" customFormat="false" ht="21.75" hidden="false" customHeight="true" outlineLevel="0" collapsed="false">
      <c r="B9" s="4" t="s">
        <v>5</v>
      </c>
      <c r="C9" s="5"/>
    </row>
    <row r="10" customFormat="false" ht="15" hidden="false" customHeight="true" outlineLevel="0" collapsed="false">
      <c r="B10" s="6" t="s">
        <v>6</v>
      </c>
      <c r="C10" s="6"/>
    </row>
    <row r="11" customFormat="false" ht="30" hidden="false" customHeight="true" outlineLevel="0" collapsed="false">
      <c r="B11" s="6" t="s">
        <v>7</v>
      </c>
      <c r="C11" s="6"/>
    </row>
    <row r="12" customFormat="false" ht="45" hidden="false" customHeight="true" outlineLevel="0" collapsed="false">
      <c r="B12" s="6" t="s">
        <v>8</v>
      </c>
      <c r="C12" s="6"/>
    </row>
    <row r="13" customFormat="false" ht="30" hidden="false" customHeight="true" outlineLevel="0" collapsed="false">
      <c r="B13" s="6" t="s">
        <v>9</v>
      </c>
      <c r="C13" s="6"/>
    </row>
    <row r="15" customFormat="false" ht="21.75" hidden="false" customHeight="true" outlineLevel="0" collapsed="false">
      <c r="B15" s="4" t="s">
        <v>10</v>
      </c>
      <c r="C15" s="5"/>
    </row>
    <row r="16" customFormat="false" ht="45" hidden="false" customHeight="true" outlineLevel="0" collapsed="false">
      <c r="B16" s="6" t="s">
        <v>11</v>
      </c>
      <c r="C16" s="6"/>
    </row>
    <row r="18" customFormat="false" ht="21.75" hidden="false" customHeight="true" outlineLevel="0" collapsed="false">
      <c r="B18" s="4" t="s">
        <v>12</v>
      </c>
      <c r="C18" s="5"/>
    </row>
    <row r="19" customFormat="false" ht="60" hidden="false" customHeight="true" outlineLevel="0" collapsed="false">
      <c r="B19" s="6" t="s">
        <v>13</v>
      </c>
      <c r="C19" s="6"/>
    </row>
    <row r="21" customFormat="false" ht="21.75" hidden="false" customHeight="true" outlineLevel="0" collapsed="false">
      <c r="B21" s="4" t="s">
        <v>14</v>
      </c>
      <c r="C21" s="5"/>
    </row>
    <row r="22" customFormat="false" ht="18" hidden="false" customHeight="true" outlineLevel="0" collapsed="false">
      <c r="B22" s="7" t="s">
        <v>15</v>
      </c>
      <c r="C22" s="7" t="s">
        <v>16</v>
      </c>
    </row>
    <row r="23" customFormat="false" ht="15.75" hidden="false" customHeight="true" outlineLevel="0" collapsed="false">
      <c r="B23" s="8" t="s">
        <v>17</v>
      </c>
      <c r="C23" s="9" t="s">
        <v>18</v>
      </c>
    </row>
    <row r="24" customFormat="false" ht="15.75" hidden="false" customHeight="true" outlineLevel="0" collapsed="false">
      <c r="B24" s="10" t="s">
        <v>19</v>
      </c>
      <c r="C24" s="9" t="s">
        <v>20</v>
      </c>
    </row>
    <row r="25" customFormat="false" ht="15.75" hidden="false" customHeight="true" outlineLevel="0" collapsed="false">
      <c r="B25" s="11" t="s">
        <v>21</v>
      </c>
      <c r="C25" s="9" t="s">
        <v>22</v>
      </c>
    </row>
    <row r="26" customFormat="false" ht="15.75" hidden="false" customHeight="true" outlineLevel="0" collapsed="false">
      <c r="B26" s="12" t="s">
        <v>23</v>
      </c>
      <c r="C26" s="9" t="s">
        <v>24</v>
      </c>
    </row>
    <row r="27" customFormat="false" ht="15.75" hidden="false" customHeight="true" outlineLevel="0" collapsed="false">
      <c r="B27" s="13" t="s">
        <v>25</v>
      </c>
      <c r="C27" s="9" t="s">
        <v>26</v>
      </c>
    </row>
    <row r="29" customFormat="false" ht="21.75" hidden="false" customHeight="true" outlineLevel="0" collapsed="false">
      <c r="B29" s="4" t="s">
        <v>27</v>
      </c>
      <c r="C29" s="5"/>
    </row>
    <row r="30" customFormat="false" ht="18" hidden="false" customHeight="true" outlineLevel="0" collapsed="false">
      <c r="B30" s="7" t="s">
        <v>15</v>
      </c>
      <c r="C30" s="7" t="s">
        <v>16</v>
      </c>
    </row>
    <row r="31" customFormat="false" ht="15.75" hidden="false" customHeight="true" outlineLevel="0" collapsed="false">
      <c r="B31" s="14" t="s">
        <v>28</v>
      </c>
      <c r="C31" s="9" t="s">
        <v>29</v>
      </c>
    </row>
    <row r="32" customFormat="false" ht="15.75" hidden="false" customHeight="true" outlineLevel="0" collapsed="false">
      <c r="B32" s="14" t="s">
        <v>30</v>
      </c>
      <c r="C32" s="9" t="s">
        <v>31</v>
      </c>
    </row>
    <row r="33" customFormat="false" ht="15.75" hidden="false" customHeight="true" outlineLevel="0" collapsed="false">
      <c r="B33" s="14" t="s">
        <v>32</v>
      </c>
      <c r="C33" s="9" t="s">
        <v>33</v>
      </c>
    </row>
    <row r="34" customFormat="false" ht="15.75" hidden="false" customHeight="true" outlineLevel="0" collapsed="false">
      <c r="B34" s="14" t="s">
        <v>34</v>
      </c>
      <c r="C34" s="9" t="s">
        <v>35</v>
      </c>
    </row>
    <row r="35" customFormat="false" ht="15.75" hidden="false" customHeight="true" outlineLevel="0" collapsed="false">
      <c r="B35" s="14" t="s">
        <v>36</v>
      </c>
      <c r="C35" s="9" t="s">
        <v>37</v>
      </c>
    </row>
    <row r="36" customFormat="false" ht="15.75" hidden="false" customHeight="true" outlineLevel="0" collapsed="false">
      <c r="B36" s="14" t="s">
        <v>38</v>
      </c>
      <c r="C36" s="9" t="s">
        <v>39</v>
      </c>
    </row>
    <row r="37" customFormat="false" ht="15.75" hidden="false" customHeight="true" outlineLevel="0" collapsed="false">
      <c r="B37" s="14" t="s">
        <v>40</v>
      </c>
      <c r="C37" s="9" t="s">
        <v>41</v>
      </c>
    </row>
    <row r="38" customFormat="false" ht="15.75" hidden="false" customHeight="true" outlineLevel="0" collapsed="false">
      <c r="B38" s="14" t="s">
        <v>42</v>
      </c>
      <c r="C38" s="9" t="s">
        <v>43</v>
      </c>
    </row>
    <row r="40" customFormat="false" ht="21.75" hidden="false" customHeight="true" outlineLevel="0" collapsed="false">
      <c r="B40" s="4" t="s">
        <v>44</v>
      </c>
      <c r="C40" s="5"/>
    </row>
    <row r="41" customFormat="false" ht="18" hidden="false" customHeight="true" outlineLevel="0" collapsed="false">
      <c r="B41" s="7" t="s">
        <v>15</v>
      </c>
      <c r="C41" s="7" t="s">
        <v>16</v>
      </c>
    </row>
    <row r="42" customFormat="false" ht="15.75" hidden="false" customHeight="true" outlineLevel="0" collapsed="false">
      <c r="B42" s="14" t="s">
        <v>45</v>
      </c>
      <c r="C42" s="9" t="s">
        <v>46</v>
      </c>
    </row>
    <row r="43" customFormat="false" ht="15.75" hidden="false" customHeight="true" outlineLevel="0" collapsed="false">
      <c r="B43" s="14" t="s">
        <v>47</v>
      </c>
      <c r="C43" s="9" t="s">
        <v>48</v>
      </c>
    </row>
    <row r="44" customFormat="false" ht="15.75" hidden="false" customHeight="true" outlineLevel="0" collapsed="false">
      <c r="B44" s="14" t="s">
        <v>49</v>
      </c>
      <c r="C44" s="9" t="s">
        <v>50</v>
      </c>
    </row>
    <row r="45" customFormat="false" ht="15.75" hidden="false" customHeight="true" outlineLevel="0" collapsed="false">
      <c r="B45" s="14" t="s">
        <v>28</v>
      </c>
      <c r="C45" s="9" t="s">
        <v>51</v>
      </c>
    </row>
    <row r="46" customFormat="false" ht="15.75" hidden="false" customHeight="true" outlineLevel="0" collapsed="false">
      <c r="B46" s="14" t="s">
        <v>52</v>
      </c>
      <c r="C46" s="9" t="s">
        <v>53</v>
      </c>
    </row>
    <row r="47" customFormat="false" ht="15.75" hidden="false" customHeight="true" outlineLevel="0" collapsed="false">
      <c r="B47" s="14" t="s">
        <v>54</v>
      </c>
      <c r="C47" s="9" t="s">
        <v>55</v>
      </c>
    </row>
  </sheetData>
  <mergeCells count="8">
    <mergeCell ref="B3:C3"/>
    <mergeCell ref="B7:C7"/>
    <mergeCell ref="B10:C10"/>
    <mergeCell ref="B11:C11"/>
    <mergeCell ref="B12:C12"/>
    <mergeCell ref="B13:C13"/>
    <mergeCell ref="B16:C16"/>
    <mergeCell ref="B19:C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0"/>
    <col collapsed="false" customWidth="true" hidden="false" outlineLevel="0" max="3" min="3" style="0" width="30"/>
    <col collapsed="false" customWidth="true" hidden="false" outlineLevel="0" max="4" min="4" style="0" width="13"/>
    <col collapsed="false" customWidth="true" hidden="false" outlineLevel="0" max="5" min="5" style="0" width="22"/>
    <col collapsed="false" customWidth="true" hidden="false" outlineLevel="0" max="6" min="6" style="0" width="20"/>
    <col collapsed="false" customWidth="true" hidden="false" outlineLevel="0" max="7" min="7" style="0" width="15"/>
    <col collapsed="false" customWidth="true" hidden="false" outlineLevel="0" max="8" min="8" style="0" width="75"/>
    <col collapsed="false" customWidth="true" hidden="false" outlineLevel="0" max="9" min="9" style="0" width="70"/>
    <col collapsed="false" customWidth="true" hidden="false" outlineLevel="0" max="10" min="10" style="0" width="14"/>
    <col collapsed="false" customWidth="true" hidden="false" outlineLevel="0" max="11" min="11" style="0" width="9"/>
  </cols>
  <sheetData>
    <row r="1" customFormat="false" ht="25.5" hidden="false" customHeight="true" outlineLevel="0" collapsed="false">
      <c r="A1" s="15" t="s">
        <v>56</v>
      </c>
      <c r="B1" s="15" t="s">
        <v>57</v>
      </c>
      <c r="C1" s="15" t="s">
        <v>58</v>
      </c>
      <c r="D1" s="15" t="s">
        <v>59</v>
      </c>
      <c r="E1" s="15" t="s">
        <v>60</v>
      </c>
      <c r="F1" s="15" t="s">
        <v>61</v>
      </c>
      <c r="G1" s="15" t="s">
        <v>62</v>
      </c>
      <c r="H1" s="15" t="s">
        <v>63</v>
      </c>
      <c r="I1" s="15" t="s">
        <v>64</v>
      </c>
      <c r="J1" s="15" t="s">
        <v>65</v>
      </c>
      <c r="K1" s="15" t="s">
        <v>66</v>
      </c>
    </row>
    <row r="2" customFormat="false" ht="119.25" hidden="false" customHeight="true" outlineLevel="0" collapsed="false">
      <c r="A2" s="16" t="s">
        <v>67</v>
      </c>
      <c r="B2" s="17" t="s">
        <v>68</v>
      </c>
      <c r="C2" s="18" t="s">
        <v>69</v>
      </c>
      <c r="D2" s="18" t="s">
        <v>28</v>
      </c>
      <c r="E2" s="18" t="s">
        <v>70</v>
      </c>
      <c r="F2" s="18" t="s">
        <v>71</v>
      </c>
      <c r="G2" s="19" t="s">
        <v>17</v>
      </c>
      <c r="H2" s="20" t="s">
        <v>72</v>
      </c>
      <c r="I2" s="20" t="s">
        <v>73</v>
      </c>
      <c r="J2" s="18" t="s">
        <v>47</v>
      </c>
      <c r="K2" s="21" t="n">
        <v>12</v>
      </c>
    </row>
    <row r="3" customFormat="false" ht="76.5" hidden="false" customHeight="true" outlineLevel="0" collapsed="false">
      <c r="A3" s="22" t="s">
        <v>74</v>
      </c>
      <c r="B3" s="23" t="s">
        <v>75</v>
      </c>
      <c r="C3" s="24" t="s">
        <v>69</v>
      </c>
      <c r="D3" s="24" t="s">
        <v>28</v>
      </c>
      <c r="E3" s="24" t="s">
        <v>76</v>
      </c>
      <c r="F3" s="24" t="s">
        <v>71</v>
      </c>
      <c r="G3" s="19" t="s">
        <v>17</v>
      </c>
      <c r="H3" s="25" t="s">
        <v>77</v>
      </c>
      <c r="I3" s="25" t="s">
        <v>78</v>
      </c>
      <c r="J3" s="24" t="s">
        <v>28</v>
      </c>
      <c r="K3" s="26" t="n">
        <v>8</v>
      </c>
    </row>
    <row r="4" customFormat="false" ht="90.75" hidden="false" customHeight="true" outlineLevel="0" collapsed="false">
      <c r="A4" s="16" t="s">
        <v>79</v>
      </c>
      <c r="B4" s="17" t="s">
        <v>80</v>
      </c>
      <c r="C4" s="18" t="s">
        <v>69</v>
      </c>
      <c r="D4" s="18" t="s">
        <v>28</v>
      </c>
      <c r="E4" s="18" t="s">
        <v>81</v>
      </c>
      <c r="F4" s="18" t="s">
        <v>82</v>
      </c>
      <c r="G4" s="27" t="s">
        <v>19</v>
      </c>
      <c r="H4" s="20" t="s">
        <v>83</v>
      </c>
      <c r="I4" s="20" t="s">
        <v>84</v>
      </c>
      <c r="J4" s="18" t="s">
        <v>28</v>
      </c>
      <c r="K4" s="21" t="n">
        <v>6</v>
      </c>
    </row>
    <row r="5" customFormat="false" ht="105" hidden="false" customHeight="true" outlineLevel="0" collapsed="false">
      <c r="A5" s="22" t="s">
        <v>85</v>
      </c>
      <c r="B5" s="23" t="s">
        <v>86</v>
      </c>
      <c r="C5" s="24" t="s">
        <v>69</v>
      </c>
      <c r="D5" s="24" t="s">
        <v>28</v>
      </c>
      <c r="E5" s="24" t="s">
        <v>87</v>
      </c>
      <c r="F5" s="24" t="s">
        <v>88</v>
      </c>
      <c r="G5" s="27" t="s">
        <v>19</v>
      </c>
      <c r="H5" s="25" t="s">
        <v>89</v>
      </c>
      <c r="I5" s="25" t="s">
        <v>90</v>
      </c>
      <c r="J5" s="24" t="s">
        <v>47</v>
      </c>
      <c r="K5" s="26" t="n">
        <v>8</v>
      </c>
    </row>
    <row r="6" customFormat="false" ht="119.25" hidden="false" customHeight="true" outlineLevel="0" collapsed="false">
      <c r="A6" s="16" t="s">
        <v>91</v>
      </c>
      <c r="B6" s="17" t="s">
        <v>92</v>
      </c>
      <c r="C6" s="18" t="s">
        <v>69</v>
      </c>
      <c r="D6" s="18" t="s">
        <v>28</v>
      </c>
      <c r="E6" s="18" t="s">
        <v>42</v>
      </c>
      <c r="F6" s="18" t="s">
        <v>93</v>
      </c>
      <c r="G6" s="27" t="s">
        <v>19</v>
      </c>
      <c r="H6" s="20" t="s">
        <v>94</v>
      </c>
      <c r="I6" s="20" t="s">
        <v>95</v>
      </c>
      <c r="J6" s="18" t="s">
        <v>52</v>
      </c>
      <c r="K6" s="21" t="n">
        <v>10</v>
      </c>
    </row>
    <row r="7" customFormat="false" ht="76.5" hidden="false" customHeight="true" outlineLevel="0" collapsed="false">
      <c r="A7" s="22" t="s">
        <v>96</v>
      </c>
      <c r="B7" s="23" t="s">
        <v>97</v>
      </c>
      <c r="C7" s="24" t="s">
        <v>69</v>
      </c>
      <c r="D7" s="24" t="s">
        <v>28</v>
      </c>
      <c r="E7" s="24" t="s">
        <v>98</v>
      </c>
      <c r="F7" s="24" t="s">
        <v>99</v>
      </c>
      <c r="G7" s="28" t="s">
        <v>21</v>
      </c>
      <c r="H7" s="25" t="s">
        <v>100</v>
      </c>
      <c r="I7" s="25" t="s">
        <v>101</v>
      </c>
      <c r="J7" s="24" t="s">
        <v>54</v>
      </c>
      <c r="K7" s="26" t="n">
        <v>4</v>
      </c>
    </row>
    <row r="8" customFormat="false" ht="62.25" hidden="false" customHeight="true" outlineLevel="0" collapsed="false">
      <c r="A8" s="16" t="s">
        <v>102</v>
      </c>
      <c r="B8" s="17" t="s">
        <v>103</v>
      </c>
      <c r="C8" s="18" t="s">
        <v>69</v>
      </c>
      <c r="D8" s="18" t="s">
        <v>42</v>
      </c>
      <c r="E8" s="18" t="s">
        <v>42</v>
      </c>
      <c r="F8" s="18" t="s">
        <v>104</v>
      </c>
      <c r="G8" s="19" t="s">
        <v>17</v>
      </c>
      <c r="H8" s="20" t="s">
        <v>105</v>
      </c>
      <c r="I8" s="20" t="s">
        <v>106</v>
      </c>
      <c r="J8" s="18" t="s">
        <v>54</v>
      </c>
      <c r="K8" s="21" t="n">
        <v>5</v>
      </c>
    </row>
    <row r="9" customFormat="false" ht="90.75" hidden="false" customHeight="true" outlineLevel="0" collapsed="false">
      <c r="A9" s="22" t="s">
        <v>107</v>
      </c>
      <c r="B9" s="23" t="s">
        <v>108</v>
      </c>
      <c r="C9" s="24" t="s">
        <v>109</v>
      </c>
      <c r="D9" s="24" t="s">
        <v>28</v>
      </c>
      <c r="E9" s="24" t="s">
        <v>110</v>
      </c>
      <c r="F9" s="24" t="s">
        <v>111</v>
      </c>
      <c r="G9" s="19" t="s">
        <v>17</v>
      </c>
      <c r="H9" s="25" t="s">
        <v>112</v>
      </c>
      <c r="I9" s="25" t="s">
        <v>113</v>
      </c>
      <c r="J9" s="24" t="s">
        <v>45</v>
      </c>
      <c r="K9" s="26" t="n">
        <v>16</v>
      </c>
    </row>
    <row r="10" customFormat="false" ht="76.5" hidden="false" customHeight="true" outlineLevel="0" collapsed="false">
      <c r="A10" s="16" t="s">
        <v>114</v>
      </c>
      <c r="B10" s="17" t="s">
        <v>115</v>
      </c>
      <c r="C10" s="18" t="s">
        <v>109</v>
      </c>
      <c r="D10" s="18" t="s">
        <v>28</v>
      </c>
      <c r="E10" s="18" t="s">
        <v>76</v>
      </c>
      <c r="F10" s="18" t="s">
        <v>111</v>
      </c>
      <c r="G10" s="27" t="s">
        <v>19</v>
      </c>
      <c r="H10" s="20" t="s">
        <v>116</v>
      </c>
      <c r="I10" s="20" t="s">
        <v>117</v>
      </c>
      <c r="J10" s="18" t="s">
        <v>45</v>
      </c>
      <c r="K10" s="21" t="n">
        <v>6</v>
      </c>
    </row>
    <row r="11" customFormat="false" ht="62.25" hidden="false" customHeight="true" outlineLevel="0" collapsed="false">
      <c r="A11" s="22" t="s">
        <v>118</v>
      </c>
      <c r="B11" s="23" t="s">
        <v>119</v>
      </c>
      <c r="C11" s="24" t="s">
        <v>109</v>
      </c>
      <c r="D11" s="24" t="s">
        <v>28</v>
      </c>
      <c r="E11" s="24" t="s">
        <v>120</v>
      </c>
      <c r="F11" s="24" t="s">
        <v>121</v>
      </c>
      <c r="G11" s="27" t="s">
        <v>19</v>
      </c>
      <c r="H11" s="25" t="s">
        <v>122</v>
      </c>
      <c r="I11" s="25" t="s">
        <v>123</v>
      </c>
      <c r="J11" s="24" t="s">
        <v>28</v>
      </c>
      <c r="K11" s="26" t="n">
        <v>10</v>
      </c>
    </row>
    <row r="12" customFormat="false" ht="76.5" hidden="false" customHeight="true" outlineLevel="0" collapsed="false">
      <c r="A12" s="16" t="s">
        <v>124</v>
      </c>
      <c r="B12" s="17" t="s">
        <v>125</v>
      </c>
      <c r="C12" s="18" t="s">
        <v>109</v>
      </c>
      <c r="D12" s="18" t="s">
        <v>28</v>
      </c>
      <c r="E12" s="18" t="s">
        <v>126</v>
      </c>
      <c r="F12" s="18" t="s">
        <v>127</v>
      </c>
      <c r="G12" s="28" t="s">
        <v>21</v>
      </c>
      <c r="H12" s="20" t="s">
        <v>128</v>
      </c>
      <c r="I12" s="20" t="s">
        <v>129</v>
      </c>
      <c r="J12" s="18" t="s">
        <v>28</v>
      </c>
      <c r="K12" s="21" t="n">
        <v>8</v>
      </c>
    </row>
    <row r="13" customFormat="false" ht="62.25" hidden="false" customHeight="true" outlineLevel="0" collapsed="false">
      <c r="A13" s="22" t="s">
        <v>130</v>
      </c>
      <c r="B13" s="23" t="s">
        <v>131</v>
      </c>
      <c r="C13" s="24" t="s">
        <v>109</v>
      </c>
      <c r="D13" s="24" t="s">
        <v>42</v>
      </c>
      <c r="E13" s="24" t="s">
        <v>42</v>
      </c>
      <c r="F13" s="24" t="s">
        <v>104</v>
      </c>
      <c r="G13" s="19" t="s">
        <v>17</v>
      </c>
      <c r="H13" s="25" t="s">
        <v>132</v>
      </c>
      <c r="I13" s="25" t="s">
        <v>133</v>
      </c>
      <c r="J13" s="24" t="s">
        <v>54</v>
      </c>
      <c r="K13" s="26" t="n">
        <v>6</v>
      </c>
    </row>
    <row r="14" customFormat="false" ht="76.5" hidden="false" customHeight="true" outlineLevel="0" collapsed="false">
      <c r="A14" s="16" t="s">
        <v>134</v>
      </c>
      <c r="B14" s="17" t="s">
        <v>135</v>
      </c>
      <c r="C14" s="18" t="s">
        <v>136</v>
      </c>
      <c r="D14" s="18" t="s">
        <v>28</v>
      </c>
      <c r="E14" s="18" t="s">
        <v>137</v>
      </c>
      <c r="F14" s="18" t="s">
        <v>138</v>
      </c>
      <c r="G14" s="27" t="s">
        <v>19</v>
      </c>
      <c r="H14" s="20" t="s">
        <v>139</v>
      </c>
      <c r="I14" s="20" t="s">
        <v>140</v>
      </c>
      <c r="J14" s="18" t="s">
        <v>45</v>
      </c>
      <c r="K14" s="21" t="n">
        <v>16</v>
      </c>
    </row>
    <row r="15" customFormat="false" ht="76.5" hidden="false" customHeight="true" outlineLevel="0" collapsed="false">
      <c r="A15" s="22" t="s">
        <v>141</v>
      </c>
      <c r="B15" s="23" t="s">
        <v>142</v>
      </c>
      <c r="C15" s="24" t="s">
        <v>136</v>
      </c>
      <c r="D15" s="24" t="s">
        <v>28</v>
      </c>
      <c r="E15" s="24" t="s">
        <v>126</v>
      </c>
      <c r="F15" s="24" t="s">
        <v>138</v>
      </c>
      <c r="G15" s="28" t="s">
        <v>21</v>
      </c>
      <c r="H15" s="25" t="s">
        <v>143</v>
      </c>
      <c r="I15" s="25" t="s">
        <v>144</v>
      </c>
      <c r="J15" s="24" t="s">
        <v>45</v>
      </c>
      <c r="K15" s="26" t="n">
        <v>10</v>
      </c>
    </row>
    <row r="16" customFormat="false" ht="62.25" hidden="false" customHeight="true" outlineLevel="0" collapsed="false">
      <c r="A16" s="16" t="s">
        <v>145</v>
      </c>
      <c r="B16" s="17" t="s">
        <v>146</v>
      </c>
      <c r="C16" s="18" t="s">
        <v>136</v>
      </c>
      <c r="D16" s="18" t="s">
        <v>28</v>
      </c>
      <c r="E16" s="18" t="s">
        <v>76</v>
      </c>
      <c r="F16" s="18" t="s">
        <v>147</v>
      </c>
      <c r="G16" s="28" t="s">
        <v>21</v>
      </c>
      <c r="H16" s="20" t="s">
        <v>148</v>
      </c>
      <c r="I16" s="20" t="s">
        <v>149</v>
      </c>
      <c r="J16" s="18" t="s">
        <v>47</v>
      </c>
      <c r="K16" s="21" t="n">
        <v>11</v>
      </c>
    </row>
    <row r="17" customFormat="false" ht="62.25" hidden="false" customHeight="true" outlineLevel="0" collapsed="false">
      <c r="A17" s="22" t="s">
        <v>150</v>
      </c>
      <c r="B17" s="23" t="s">
        <v>151</v>
      </c>
      <c r="C17" s="24" t="s">
        <v>136</v>
      </c>
      <c r="D17" s="24" t="s">
        <v>42</v>
      </c>
      <c r="E17" s="24" t="s">
        <v>42</v>
      </c>
      <c r="F17" s="24" t="s">
        <v>104</v>
      </c>
      <c r="G17" s="27" t="s">
        <v>19</v>
      </c>
      <c r="H17" s="25" t="s">
        <v>152</v>
      </c>
      <c r="I17" s="25" t="s">
        <v>153</v>
      </c>
      <c r="J17" s="24" t="s">
        <v>54</v>
      </c>
      <c r="K17" s="26" t="n">
        <v>8</v>
      </c>
    </row>
    <row r="18" customFormat="false" ht="105" hidden="false" customHeight="true" outlineLevel="0" collapsed="false">
      <c r="A18" s="16" t="s">
        <v>154</v>
      </c>
      <c r="B18" s="17" t="s">
        <v>155</v>
      </c>
      <c r="C18" s="18" t="s">
        <v>156</v>
      </c>
      <c r="D18" s="18" t="s">
        <v>30</v>
      </c>
      <c r="E18" s="18" t="s">
        <v>157</v>
      </c>
      <c r="F18" s="18" t="s">
        <v>158</v>
      </c>
      <c r="G18" s="19" t="s">
        <v>17</v>
      </c>
      <c r="H18" s="20" t="s">
        <v>159</v>
      </c>
      <c r="I18" s="20" t="s">
        <v>160</v>
      </c>
      <c r="J18" s="18" t="s">
        <v>45</v>
      </c>
      <c r="K18" s="21" t="n">
        <v>12</v>
      </c>
    </row>
    <row r="19" customFormat="false" ht="62.25" hidden="false" customHeight="true" outlineLevel="0" collapsed="false">
      <c r="A19" s="22" t="s">
        <v>161</v>
      </c>
      <c r="B19" s="23" t="s">
        <v>162</v>
      </c>
      <c r="C19" s="24" t="s">
        <v>156</v>
      </c>
      <c r="D19" s="24" t="s">
        <v>30</v>
      </c>
      <c r="E19" s="24" t="s">
        <v>163</v>
      </c>
      <c r="F19" s="24" t="s">
        <v>158</v>
      </c>
      <c r="G19" s="27" t="s">
        <v>19</v>
      </c>
      <c r="H19" s="25" t="s">
        <v>164</v>
      </c>
      <c r="I19" s="25" t="s">
        <v>165</v>
      </c>
      <c r="J19" s="24" t="s">
        <v>45</v>
      </c>
      <c r="K19" s="26" t="n">
        <v>10</v>
      </c>
    </row>
    <row r="20" customFormat="false" ht="62.25" hidden="false" customHeight="true" outlineLevel="0" collapsed="false">
      <c r="A20" s="16" t="s">
        <v>166</v>
      </c>
      <c r="B20" s="17" t="s">
        <v>167</v>
      </c>
      <c r="C20" s="18" t="s">
        <v>156</v>
      </c>
      <c r="D20" s="18" t="s">
        <v>30</v>
      </c>
      <c r="E20" s="18" t="s">
        <v>168</v>
      </c>
      <c r="F20" s="18" t="s">
        <v>169</v>
      </c>
      <c r="G20" s="19" t="s">
        <v>17</v>
      </c>
      <c r="H20" s="20" t="s">
        <v>170</v>
      </c>
      <c r="I20" s="20" t="s">
        <v>171</v>
      </c>
      <c r="J20" s="18" t="s">
        <v>45</v>
      </c>
      <c r="K20" s="21" t="n">
        <v>10</v>
      </c>
    </row>
    <row r="21" customFormat="false" ht="76.5" hidden="false" customHeight="true" outlineLevel="0" collapsed="false">
      <c r="A21" s="22" t="s">
        <v>172</v>
      </c>
      <c r="B21" s="23" t="s">
        <v>173</v>
      </c>
      <c r="C21" s="24" t="s">
        <v>156</v>
      </c>
      <c r="D21" s="24" t="s">
        <v>30</v>
      </c>
      <c r="E21" s="24" t="s">
        <v>157</v>
      </c>
      <c r="F21" s="24" t="s">
        <v>174</v>
      </c>
      <c r="G21" s="28" t="s">
        <v>21</v>
      </c>
      <c r="H21" s="25" t="s">
        <v>175</v>
      </c>
      <c r="I21" s="25" t="s">
        <v>176</v>
      </c>
      <c r="J21" s="24" t="s">
        <v>45</v>
      </c>
      <c r="K21" s="26" t="n">
        <v>6</v>
      </c>
    </row>
    <row r="22" customFormat="false" ht="62.25" hidden="false" customHeight="true" outlineLevel="0" collapsed="false">
      <c r="A22" s="16" t="s">
        <v>177</v>
      </c>
      <c r="B22" s="17" t="s">
        <v>178</v>
      </c>
      <c r="C22" s="18" t="s">
        <v>156</v>
      </c>
      <c r="D22" s="18" t="s">
        <v>30</v>
      </c>
      <c r="E22" s="18" t="s">
        <v>179</v>
      </c>
      <c r="F22" s="18" t="s">
        <v>180</v>
      </c>
      <c r="G22" s="27" t="s">
        <v>19</v>
      </c>
      <c r="H22" s="20" t="s">
        <v>181</v>
      </c>
      <c r="I22" s="20" t="s">
        <v>182</v>
      </c>
      <c r="J22" s="18" t="s">
        <v>54</v>
      </c>
      <c r="K22" s="21" t="n">
        <v>10</v>
      </c>
    </row>
    <row r="23" customFormat="false" ht="76.5" hidden="false" customHeight="true" outlineLevel="0" collapsed="false">
      <c r="A23" s="22" t="s">
        <v>183</v>
      </c>
      <c r="B23" s="23" t="s">
        <v>184</v>
      </c>
      <c r="C23" s="24" t="s">
        <v>156</v>
      </c>
      <c r="D23" s="24" t="s">
        <v>42</v>
      </c>
      <c r="E23" s="24" t="s">
        <v>42</v>
      </c>
      <c r="F23" s="24" t="s">
        <v>104</v>
      </c>
      <c r="G23" s="19" t="s">
        <v>17</v>
      </c>
      <c r="H23" s="25" t="s">
        <v>185</v>
      </c>
      <c r="I23" s="25" t="s">
        <v>186</v>
      </c>
      <c r="J23" s="24" t="s">
        <v>54</v>
      </c>
      <c r="K23" s="26" t="n">
        <v>6</v>
      </c>
    </row>
    <row r="24" customFormat="false" ht="76.5" hidden="false" customHeight="true" outlineLevel="0" collapsed="false">
      <c r="A24" s="16" t="s">
        <v>187</v>
      </c>
      <c r="B24" s="17" t="s">
        <v>188</v>
      </c>
      <c r="C24" s="18" t="s">
        <v>189</v>
      </c>
      <c r="D24" s="18" t="s">
        <v>32</v>
      </c>
      <c r="E24" s="18" t="s">
        <v>70</v>
      </c>
      <c r="F24" s="18" t="s">
        <v>190</v>
      </c>
      <c r="G24" s="27" t="s">
        <v>19</v>
      </c>
      <c r="H24" s="20" t="s">
        <v>191</v>
      </c>
      <c r="I24" s="20" t="s">
        <v>192</v>
      </c>
      <c r="J24" s="18" t="s">
        <v>45</v>
      </c>
      <c r="K24" s="21" t="n">
        <v>12</v>
      </c>
    </row>
    <row r="25" customFormat="false" ht="62.25" hidden="false" customHeight="true" outlineLevel="0" collapsed="false">
      <c r="A25" s="22" t="s">
        <v>193</v>
      </c>
      <c r="B25" s="23" t="s">
        <v>194</v>
      </c>
      <c r="C25" s="24" t="s">
        <v>189</v>
      </c>
      <c r="D25" s="24" t="s">
        <v>32</v>
      </c>
      <c r="E25" s="24" t="s">
        <v>195</v>
      </c>
      <c r="F25" s="24" t="s">
        <v>190</v>
      </c>
      <c r="G25" s="27" t="s">
        <v>19</v>
      </c>
      <c r="H25" s="25" t="s">
        <v>196</v>
      </c>
      <c r="I25" s="25" t="s">
        <v>197</v>
      </c>
      <c r="J25" s="24" t="s">
        <v>45</v>
      </c>
      <c r="K25" s="26" t="n">
        <v>12</v>
      </c>
    </row>
    <row r="26" customFormat="false" ht="62.25" hidden="false" customHeight="true" outlineLevel="0" collapsed="false">
      <c r="A26" s="16" t="s">
        <v>198</v>
      </c>
      <c r="B26" s="17" t="s">
        <v>199</v>
      </c>
      <c r="C26" s="18" t="s">
        <v>189</v>
      </c>
      <c r="D26" s="18" t="s">
        <v>32</v>
      </c>
      <c r="E26" s="18" t="s">
        <v>70</v>
      </c>
      <c r="F26" s="18" t="s">
        <v>190</v>
      </c>
      <c r="G26" s="27" t="s">
        <v>19</v>
      </c>
      <c r="H26" s="20" t="s">
        <v>200</v>
      </c>
      <c r="I26" s="20" t="s">
        <v>201</v>
      </c>
      <c r="J26" s="18" t="s">
        <v>45</v>
      </c>
      <c r="K26" s="21" t="n">
        <v>10</v>
      </c>
    </row>
    <row r="27" customFormat="false" ht="76.5" hidden="false" customHeight="true" outlineLevel="0" collapsed="false">
      <c r="A27" s="22" t="s">
        <v>202</v>
      </c>
      <c r="B27" s="23" t="s">
        <v>203</v>
      </c>
      <c r="C27" s="24" t="s">
        <v>189</v>
      </c>
      <c r="D27" s="24" t="s">
        <v>32</v>
      </c>
      <c r="E27" s="24" t="s">
        <v>76</v>
      </c>
      <c r="F27" s="24" t="s">
        <v>190</v>
      </c>
      <c r="G27" s="28" t="s">
        <v>21</v>
      </c>
      <c r="H27" s="25" t="s">
        <v>204</v>
      </c>
      <c r="I27" s="25" t="s">
        <v>205</v>
      </c>
      <c r="J27" s="24" t="s">
        <v>47</v>
      </c>
      <c r="K27" s="26" t="n">
        <v>12</v>
      </c>
    </row>
    <row r="28" customFormat="false" ht="55.5" hidden="false" customHeight="true" outlineLevel="0" collapsed="false">
      <c r="A28" s="16" t="s">
        <v>206</v>
      </c>
      <c r="B28" s="17" t="s">
        <v>207</v>
      </c>
      <c r="C28" s="18" t="s">
        <v>189</v>
      </c>
      <c r="D28" s="18" t="s">
        <v>32</v>
      </c>
      <c r="E28" s="18" t="s">
        <v>208</v>
      </c>
      <c r="F28" s="18" t="s">
        <v>190</v>
      </c>
      <c r="G28" s="29" t="s">
        <v>23</v>
      </c>
      <c r="H28" s="20" t="s">
        <v>209</v>
      </c>
      <c r="I28" s="20" t="s">
        <v>210</v>
      </c>
      <c r="J28" s="18" t="s">
        <v>45</v>
      </c>
      <c r="K28" s="21" t="n">
        <v>6</v>
      </c>
    </row>
    <row r="29" customFormat="false" ht="62.25" hidden="false" customHeight="true" outlineLevel="0" collapsed="false">
      <c r="A29" s="22" t="s">
        <v>211</v>
      </c>
      <c r="B29" s="23" t="s">
        <v>212</v>
      </c>
      <c r="C29" s="24" t="s">
        <v>189</v>
      </c>
      <c r="D29" s="24" t="s">
        <v>42</v>
      </c>
      <c r="E29" s="24" t="s">
        <v>42</v>
      </c>
      <c r="F29" s="24" t="s">
        <v>104</v>
      </c>
      <c r="G29" s="27" t="s">
        <v>19</v>
      </c>
      <c r="H29" s="25" t="s">
        <v>213</v>
      </c>
      <c r="I29" s="25" t="s">
        <v>214</v>
      </c>
      <c r="J29" s="24" t="s">
        <v>54</v>
      </c>
      <c r="K29" s="26" t="n">
        <v>6</v>
      </c>
    </row>
    <row r="30" customFormat="false" ht="90.75" hidden="false" customHeight="true" outlineLevel="0" collapsed="false">
      <c r="A30" s="16" t="s">
        <v>215</v>
      </c>
      <c r="B30" s="17" t="s">
        <v>216</v>
      </c>
      <c r="C30" s="18" t="s">
        <v>217</v>
      </c>
      <c r="D30" s="18" t="s">
        <v>32</v>
      </c>
      <c r="E30" s="18" t="s">
        <v>218</v>
      </c>
      <c r="F30" s="18" t="s">
        <v>219</v>
      </c>
      <c r="G30" s="28" t="s">
        <v>21</v>
      </c>
      <c r="H30" s="20" t="s">
        <v>220</v>
      </c>
      <c r="I30" s="20" t="s">
        <v>221</v>
      </c>
      <c r="J30" s="18" t="s">
        <v>45</v>
      </c>
      <c r="K30" s="21" t="n">
        <v>10</v>
      </c>
    </row>
    <row r="31" customFormat="false" ht="62.25" hidden="false" customHeight="true" outlineLevel="0" collapsed="false">
      <c r="A31" s="22" t="s">
        <v>222</v>
      </c>
      <c r="B31" s="23" t="s">
        <v>223</v>
      </c>
      <c r="C31" s="24" t="s">
        <v>217</v>
      </c>
      <c r="D31" s="24" t="s">
        <v>32</v>
      </c>
      <c r="E31" s="24" t="s">
        <v>76</v>
      </c>
      <c r="F31" s="24" t="s">
        <v>219</v>
      </c>
      <c r="G31" s="28" t="s">
        <v>21</v>
      </c>
      <c r="H31" s="25" t="s">
        <v>224</v>
      </c>
      <c r="I31" s="25" t="s">
        <v>225</v>
      </c>
      <c r="J31" s="24" t="s">
        <v>49</v>
      </c>
      <c r="K31" s="26" t="n">
        <v>12</v>
      </c>
    </row>
    <row r="32" customFormat="false" ht="55.5" hidden="false" customHeight="true" outlineLevel="0" collapsed="false">
      <c r="A32" s="16" t="s">
        <v>226</v>
      </c>
      <c r="B32" s="17" t="s">
        <v>227</v>
      </c>
      <c r="C32" s="18" t="s">
        <v>217</v>
      </c>
      <c r="D32" s="18" t="s">
        <v>32</v>
      </c>
      <c r="E32" s="18" t="s">
        <v>38</v>
      </c>
      <c r="F32" s="18" t="s">
        <v>219</v>
      </c>
      <c r="G32" s="29" t="s">
        <v>23</v>
      </c>
      <c r="H32" s="20" t="s">
        <v>228</v>
      </c>
      <c r="I32" s="20" t="s">
        <v>229</v>
      </c>
      <c r="J32" s="18" t="s">
        <v>45</v>
      </c>
      <c r="K32" s="21" t="n">
        <v>7</v>
      </c>
    </row>
    <row r="33" customFormat="false" ht="62.25" hidden="false" customHeight="true" outlineLevel="0" collapsed="false">
      <c r="A33" s="22" t="s">
        <v>230</v>
      </c>
      <c r="B33" s="23" t="s">
        <v>231</v>
      </c>
      <c r="C33" s="24" t="s">
        <v>217</v>
      </c>
      <c r="D33" s="24" t="s">
        <v>32</v>
      </c>
      <c r="E33" s="24" t="s">
        <v>76</v>
      </c>
      <c r="F33" s="24" t="s">
        <v>232</v>
      </c>
      <c r="G33" s="29" t="s">
        <v>23</v>
      </c>
      <c r="H33" s="25" t="s">
        <v>233</v>
      </c>
      <c r="I33" s="25" t="s">
        <v>234</v>
      </c>
      <c r="J33" s="24" t="s">
        <v>49</v>
      </c>
      <c r="K33" s="26" t="n">
        <v>10</v>
      </c>
    </row>
    <row r="34" customFormat="false" ht="62.25" hidden="false" customHeight="true" outlineLevel="0" collapsed="false">
      <c r="A34" s="16" t="s">
        <v>235</v>
      </c>
      <c r="B34" s="17" t="s">
        <v>236</v>
      </c>
      <c r="C34" s="18" t="s">
        <v>217</v>
      </c>
      <c r="D34" s="18" t="s">
        <v>42</v>
      </c>
      <c r="E34" s="18" t="s">
        <v>42</v>
      </c>
      <c r="F34" s="18" t="s">
        <v>104</v>
      </c>
      <c r="G34" s="28" t="s">
        <v>21</v>
      </c>
      <c r="H34" s="20" t="s">
        <v>237</v>
      </c>
      <c r="I34" s="20" t="s">
        <v>238</v>
      </c>
      <c r="J34" s="18" t="s">
        <v>54</v>
      </c>
      <c r="K34" s="21" t="n">
        <v>6</v>
      </c>
    </row>
    <row r="35" customFormat="false" ht="62.25" hidden="false" customHeight="true" outlineLevel="0" collapsed="false">
      <c r="A35" s="22" t="s">
        <v>239</v>
      </c>
      <c r="B35" s="23" t="s">
        <v>240</v>
      </c>
      <c r="C35" s="24" t="s">
        <v>241</v>
      </c>
      <c r="D35" s="24" t="s">
        <v>32</v>
      </c>
      <c r="E35" s="24" t="s">
        <v>76</v>
      </c>
      <c r="F35" s="24" t="s">
        <v>242</v>
      </c>
      <c r="G35" s="27" t="s">
        <v>19</v>
      </c>
      <c r="H35" s="25" t="s">
        <v>243</v>
      </c>
      <c r="I35" s="25" t="s">
        <v>244</v>
      </c>
      <c r="J35" s="24" t="s">
        <v>45</v>
      </c>
      <c r="K35" s="26" t="n">
        <v>16</v>
      </c>
    </row>
    <row r="36" customFormat="false" ht="55.5" hidden="false" customHeight="true" outlineLevel="0" collapsed="false">
      <c r="A36" s="16" t="s">
        <v>245</v>
      </c>
      <c r="B36" s="17" t="s">
        <v>246</v>
      </c>
      <c r="C36" s="18" t="s">
        <v>241</v>
      </c>
      <c r="D36" s="18" t="s">
        <v>32</v>
      </c>
      <c r="E36" s="18" t="s">
        <v>76</v>
      </c>
      <c r="F36" s="18" t="s">
        <v>242</v>
      </c>
      <c r="G36" s="28" t="s">
        <v>21</v>
      </c>
      <c r="H36" s="20" t="s">
        <v>247</v>
      </c>
      <c r="I36" s="20" t="s">
        <v>248</v>
      </c>
      <c r="J36" s="18" t="s">
        <v>45</v>
      </c>
      <c r="K36" s="21" t="n">
        <v>11</v>
      </c>
    </row>
    <row r="37" customFormat="false" ht="55.5" hidden="false" customHeight="true" outlineLevel="0" collapsed="false">
      <c r="A37" s="22" t="s">
        <v>249</v>
      </c>
      <c r="B37" s="23" t="s">
        <v>250</v>
      </c>
      <c r="C37" s="24" t="s">
        <v>241</v>
      </c>
      <c r="D37" s="24" t="s">
        <v>32</v>
      </c>
      <c r="E37" s="24" t="s">
        <v>208</v>
      </c>
      <c r="F37" s="24" t="s">
        <v>242</v>
      </c>
      <c r="G37" s="28" t="s">
        <v>21</v>
      </c>
      <c r="H37" s="25" t="s">
        <v>251</v>
      </c>
      <c r="I37" s="25" t="s">
        <v>252</v>
      </c>
      <c r="J37" s="24" t="s">
        <v>49</v>
      </c>
      <c r="K37" s="26" t="n">
        <v>10</v>
      </c>
    </row>
    <row r="38" customFormat="false" ht="62.25" hidden="false" customHeight="true" outlineLevel="0" collapsed="false">
      <c r="A38" s="16" t="s">
        <v>253</v>
      </c>
      <c r="B38" s="17" t="s">
        <v>254</v>
      </c>
      <c r="C38" s="18" t="s">
        <v>241</v>
      </c>
      <c r="D38" s="18" t="s">
        <v>42</v>
      </c>
      <c r="E38" s="18" t="s">
        <v>42</v>
      </c>
      <c r="F38" s="18" t="s">
        <v>104</v>
      </c>
      <c r="G38" s="27" t="s">
        <v>19</v>
      </c>
      <c r="H38" s="20" t="s">
        <v>255</v>
      </c>
      <c r="I38" s="20" t="s">
        <v>256</v>
      </c>
      <c r="J38" s="18" t="s">
        <v>54</v>
      </c>
      <c r="K38" s="21" t="n">
        <v>8</v>
      </c>
    </row>
    <row r="39" customFormat="false" ht="62.25" hidden="false" customHeight="true" outlineLevel="0" collapsed="false">
      <c r="A39" s="22" t="s">
        <v>257</v>
      </c>
      <c r="B39" s="23" t="s">
        <v>258</v>
      </c>
      <c r="C39" s="24" t="s">
        <v>259</v>
      </c>
      <c r="D39" s="24" t="s">
        <v>34</v>
      </c>
      <c r="E39" s="24" t="s">
        <v>260</v>
      </c>
      <c r="F39" s="24" t="s">
        <v>261</v>
      </c>
      <c r="G39" s="27" t="s">
        <v>19</v>
      </c>
      <c r="H39" s="25" t="s">
        <v>262</v>
      </c>
      <c r="I39" s="25" t="s">
        <v>263</v>
      </c>
      <c r="J39" s="24" t="s">
        <v>45</v>
      </c>
      <c r="K39" s="26" t="n">
        <v>16</v>
      </c>
    </row>
    <row r="40" customFormat="false" ht="62.25" hidden="false" customHeight="true" outlineLevel="0" collapsed="false">
      <c r="A40" s="16" t="s">
        <v>264</v>
      </c>
      <c r="B40" s="17" t="s">
        <v>265</v>
      </c>
      <c r="C40" s="18" t="s">
        <v>259</v>
      </c>
      <c r="D40" s="18" t="s">
        <v>34</v>
      </c>
      <c r="E40" s="18" t="s">
        <v>208</v>
      </c>
      <c r="F40" s="18" t="s">
        <v>266</v>
      </c>
      <c r="G40" s="28" t="s">
        <v>21</v>
      </c>
      <c r="H40" s="20" t="s">
        <v>267</v>
      </c>
      <c r="I40" s="20" t="s">
        <v>268</v>
      </c>
      <c r="J40" s="18" t="s">
        <v>45</v>
      </c>
      <c r="K40" s="21" t="n">
        <v>12</v>
      </c>
    </row>
    <row r="41" customFormat="false" ht="55.5" hidden="false" customHeight="true" outlineLevel="0" collapsed="false">
      <c r="A41" s="22" t="s">
        <v>269</v>
      </c>
      <c r="B41" s="23" t="s">
        <v>270</v>
      </c>
      <c r="C41" s="24" t="s">
        <v>259</v>
      </c>
      <c r="D41" s="24" t="s">
        <v>34</v>
      </c>
      <c r="E41" s="24" t="s">
        <v>98</v>
      </c>
      <c r="F41" s="24" t="s">
        <v>271</v>
      </c>
      <c r="G41" s="28" t="s">
        <v>21</v>
      </c>
      <c r="H41" s="25" t="s">
        <v>272</v>
      </c>
      <c r="I41" s="25" t="s">
        <v>273</v>
      </c>
      <c r="J41" s="24" t="s">
        <v>28</v>
      </c>
      <c r="K41" s="26" t="n">
        <v>10</v>
      </c>
    </row>
    <row r="42" customFormat="false" ht="62.25" hidden="false" customHeight="true" outlineLevel="0" collapsed="false">
      <c r="A42" s="16" t="s">
        <v>274</v>
      </c>
      <c r="B42" s="17" t="s">
        <v>275</v>
      </c>
      <c r="C42" s="18" t="s">
        <v>259</v>
      </c>
      <c r="D42" s="18" t="s">
        <v>42</v>
      </c>
      <c r="E42" s="18" t="s">
        <v>42</v>
      </c>
      <c r="F42" s="18" t="s">
        <v>104</v>
      </c>
      <c r="G42" s="27" t="s">
        <v>19</v>
      </c>
      <c r="H42" s="20" t="s">
        <v>276</v>
      </c>
      <c r="I42" s="20" t="s">
        <v>277</v>
      </c>
      <c r="J42" s="18" t="s">
        <v>54</v>
      </c>
      <c r="K42" s="21" t="n">
        <v>8</v>
      </c>
    </row>
    <row r="43" customFormat="false" ht="62.25" hidden="false" customHeight="true" outlineLevel="0" collapsed="false">
      <c r="A43" s="22" t="s">
        <v>278</v>
      </c>
      <c r="B43" s="23" t="s">
        <v>279</v>
      </c>
      <c r="C43" s="24" t="s">
        <v>280</v>
      </c>
      <c r="D43" s="24" t="s">
        <v>34</v>
      </c>
      <c r="E43" s="24" t="s">
        <v>98</v>
      </c>
      <c r="F43" s="24" t="s">
        <v>281</v>
      </c>
      <c r="G43" s="28" t="s">
        <v>21</v>
      </c>
      <c r="H43" s="25" t="s">
        <v>282</v>
      </c>
      <c r="I43" s="25" t="s">
        <v>283</v>
      </c>
      <c r="J43" s="24" t="s">
        <v>45</v>
      </c>
      <c r="K43" s="26" t="n">
        <v>16</v>
      </c>
    </row>
    <row r="44" customFormat="false" ht="55.5" hidden="false" customHeight="true" outlineLevel="0" collapsed="false">
      <c r="A44" s="16" t="s">
        <v>284</v>
      </c>
      <c r="B44" s="17" t="s">
        <v>285</v>
      </c>
      <c r="C44" s="18" t="s">
        <v>280</v>
      </c>
      <c r="D44" s="18" t="s">
        <v>34</v>
      </c>
      <c r="E44" s="18" t="s">
        <v>98</v>
      </c>
      <c r="F44" s="18" t="s">
        <v>286</v>
      </c>
      <c r="G44" s="28" t="s">
        <v>21</v>
      </c>
      <c r="H44" s="20" t="s">
        <v>287</v>
      </c>
      <c r="I44" s="20" t="s">
        <v>288</v>
      </c>
      <c r="J44" s="18" t="s">
        <v>45</v>
      </c>
      <c r="K44" s="21" t="n">
        <v>16</v>
      </c>
    </row>
    <row r="45" customFormat="false" ht="55.5" hidden="false" customHeight="true" outlineLevel="0" collapsed="false">
      <c r="A45" s="22" t="s">
        <v>289</v>
      </c>
      <c r="B45" s="23" t="s">
        <v>290</v>
      </c>
      <c r="C45" s="24" t="s">
        <v>280</v>
      </c>
      <c r="D45" s="24" t="s">
        <v>34</v>
      </c>
      <c r="E45" s="24" t="s">
        <v>38</v>
      </c>
      <c r="F45" s="24" t="s">
        <v>281</v>
      </c>
      <c r="G45" s="29" t="s">
        <v>23</v>
      </c>
      <c r="H45" s="25" t="s">
        <v>291</v>
      </c>
      <c r="I45" s="25" t="s">
        <v>292</v>
      </c>
      <c r="J45" s="24" t="s">
        <v>45</v>
      </c>
      <c r="K45" s="26" t="n">
        <v>8</v>
      </c>
    </row>
    <row r="46" customFormat="false" ht="62.25" hidden="false" customHeight="true" outlineLevel="0" collapsed="false">
      <c r="A46" s="16" t="s">
        <v>293</v>
      </c>
      <c r="B46" s="17" t="s">
        <v>294</v>
      </c>
      <c r="C46" s="18" t="s">
        <v>280</v>
      </c>
      <c r="D46" s="18" t="s">
        <v>42</v>
      </c>
      <c r="E46" s="18" t="s">
        <v>42</v>
      </c>
      <c r="F46" s="18" t="s">
        <v>104</v>
      </c>
      <c r="G46" s="28" t="s">
        <v>21</v>
      </c>
      <c r="H46" s="20" t="s">
        <v>295</v>
      </c>
      <c r="I46" s="20" t="s">
        <v>296</v>
      </c>
      <c r="J46" s="18" t="s">
        <v>54</v>
      </c>
      <c r="K46" s="21" t="n">
        <v>8</v>
      </c>
    </row>
    <row r="47" customFormat="false" ht="62.25" hidden="false" customHeight="true" outlineLevel="0" collapsed="false">
      <c r="A47" s="22" t="s">
        <v>297</v>
      </c>
      <c r="B47" s="23" t="s">
        <v>298</v>
      </c>
      <c r="C47" s="24" t="s">
        <v>299</v>
      </c>
      <c r="D47" s="24" t="s">
        <v>34</v>
      </c>
      <c r="E47" s="24" t="s">
        <v>98</v>
      </c>
      <c r="F47" s="24" t="s">
        <v>300</v>
      </c>
      <c r="G47" s="28" t="s">
        <v>21</v>
      </c>
      <c r="H47" s="25" t="s">
        <v>301</v>
      </c>
      <c r="I47" s="25" t="s">
        <v>302</v>
      </c>
      <c r="J47" s="24" t="s">
        <v>45</v>
      </c>
      <c r="K47" s="26" t="n">
        <v>16</v>
      </c>
    </row>
    <row r="48" customFormat="false" ht="62.25" hidden="false" customHeight="true" outlineLevel="0" collapsed="false">
      <c r="A48" s="16" t="s">
        <v>303</v>
      </c>
      <c r="B48" s="17" t="s">
        <v>304</v>
      </c>
      <c r="C48" s="18" t="s">
        <v>299</v>
      </c>
      <c r="D48" s="18" t="s">
        <v>34</v>
      </c>
      <c r="E48" s="18" t="s">
        <v>76</v>
      </c>
      <c r="F48" s="18" t="s">
        <v>300</v>
      </c>
      <c r="G48" s="28" t="s">
        <v>21</v>
      </c>
      <c r="H48" s="20" t="s">
        <v>305</v>
      </c>
      <c r="I48" s="20" t="s">
        <v>306</v>
      </c>
      <c r="J48" s="18" t="s">
        <v>47</v>
      </c>
      <c r="K48" s="21" t="n">
        <v>12</v>
      </c>
    </row>
    <row r="49" customFormat="false" ht="55.5" hidden="false" customHeight="true" outlineLevel="0" collapsed="false">
      <c r="A49" s="22" t="s">
        <v>307</v>
      </c>
      <c r="B49" s="23" t="s">
        <v>308</v>
      </c>
      <c r="C49" s="24" t="s">
        <v>299</v>
      </c>
      <c r="D49" s="24" t="s">
        <v>34</v>
      </c>
      <c r="E49" s="24" t="s">
        <v>70</v>
      </c>
      <c r="F49" s="24" t="s">
        <v>300</v>
      </c>
      <c r="G49" s="29" t="s">
        <v>23</v>
      </c>
      <c r="H49" s="25" t="s">
        <v>309</v>
      </c>
      <c r="I49" s="25" t="s">
        <v>310</v>
      </c>
      <c r="J49" s="24" t="s">
        <v>45</v>
      </c>
      <c r="K49" s="26" t="n">
        <v>9</v>
      </c>
    </row>
    <row r="50" customFormat="false" ht="76.5" hidden="false" customHeight="true" outlineLevel="0" collapsed="false">
      <c r="A50" s="16" t="s">
        <v>311</v>
      </c>
      <c r="B50" s="17" t="s">
        <v>312</v>
      </c>
      <c r="C50" s="18" t="s">
        <v>299</v>
      </c>
      <c r="D50" s="18" t="s">
        <v>42</v>
      </c>
      <c r="E50" s="18" t="s">
        <v>42</v>
      </c>
      <c r="F50" s="18" t="s">
        <v>104</v>
      </c>
      <c r="G50" s="28" t="s">
        <v>21</v>
      </c>
      <c r="H50" s="20" t="s">
        <v>313</v>
      </c>
      <c r="I50" s="20" t="s">
        <v>314</v>
      </c>
      <c r="J50" s="18" t="s">
        <v>54</v>
      </c>
      <c r="K50" s="21" t="n">
        <v>8</v>
      </c>
    </row>
    <row r="51" customFormat="false" ht="62.25" hidden="false" customHeight="true" outlineLevel="0" collapsed="false">
      <c r="A51" s="22" t="s">
        <v>315</v>
      </c>
      <c r="B51" s="23" t="s">
        <v>316</v>
      </c>
      <c r="C51" s="24" t="s">
        <v>317</v>
      </c>
      <c r="D51" s="24" t="s">
        <v>36</v>
      </c>
      <c r="E51" s="24" t="s">
        <v>318</v>
      </c>
      <c r="F51" s="24" t="s">
        <v>319</v>
      </c>
      <c r="G51" s="28" t="s">
        <v>21</v>
      </c>
      <c r="H51" s="25" t="s">
        <v>320</v>
      </c>
      <c r="I51" s="25" t="s">
        <v>321</v>
      </c>
      <c r="J51" s="24" t="s">
        <v>45</v>
      </c>
      <c r="K51" s="26" t="n">
        <v>14</v>
      </c>
    </row>
    <row r="52" customFormat="false" ht="62.25" hidden="false" customHeight="true" outlineLevel="0" collapsed="false">
      <c r="A52" s="16" t="s">
        <v>322</v>
      </c>
      <c r="B52" s="17" t="s">
        <v>323</v>
      </c>
      <c r="C52" s="18" t="s">
        <v>317</v>
      </c>
      <c r="D52" s="18" t="s">
        <v>36</v>
      </c>
      <c r="E52" s="18" t="s">
        <v>208</v>
      </c>
      <c r="F52" s="18" t="s">
        <v>324</v>
      </c>
      <c r="G52" s="28" t="s">
        <v>21</v>
      </c>
      <c r="H52" s="20" t="s">
        <v>325</v>
      </c>
      <c r="I52" s="20" t="s">
        <v>326</v>
      </c>
      <c r="J52" s="18" t="s">
        <v>45</v>
      </c>
      <c r="K52" s="21" t="n">
        <v>14</v>
      </c>
    </row>
    <row r="53" customFormat="false" ht="62.25" hidden="false" customHeight="true" outlineLevel="0" collapsed="false">
      <c r="A53" s="22" t="s">
        <v>327</v>
      </c>
      <c r="B53" s="23" t="s">
        <v>328</v>
      </c>
      <c r="C53" s="24" t="s">
        <v>317</v>
      </c>
      <c r="D53" s="24" t="s">
        <v>36</v>
      </c>
      <c r="E53" s="24" t="s">
        <v>208</v>
      </c>
      <c r="F53" s="24" t="s">
        <v>329</v>
      </c>
      <c r="G53" s="29" t="s">
        <v>23</v>
      </c>
      <c r="H53" s="25" t="s">
        <v>330</v>
      </c>
      <c r="I53" s="25" t="s">
        <v>331</v>
      </c>
      <c r="J53" s="24" t="s">
        <v>45</v>
      </c>
      <c r="K53" s="26" t="n">
        <v>9</v>
      </c>
    </row>
    <row r="54" customFormat="false" ht="62.25" hidden="false" customHeight="true" outlineLevel="0" collapsed="false">
      <c r="A54" s="16" t="s">
        <v>332</v>
      </c>
      <c r="B54" s="17" t="s">
        <v>333</v>
      </c>
      <c r="C54" s="18" t="s">
        <v>317</v>
      </c>
      <c r="D54" s="18" t="s">
        <v>42</v>
      </c>
      <c r="E54" s="18" t="s">
        <v>42</v>
      </c>
      <c r="F54" s="18" t="s">
        <v>104</v>
      </c>
      <c r="G54" s="28" t="s">
        <v>21</v>
      </c>
      <c r="H54" s="20" t="s">
        <v>334</v>
      </c>
      <c r="I54" s="20" t="s">
        <v>335</v>
      </c>
      <c r="J54" s="18" t="s">
        <v>54</v>
      </c>
      <c r="K54" s="21" t="n">
        <v>8</v>
      </c>
    </row>
    <row r="55" customFormat="false" ht="62.25" hidden="false" customHeight="true" outlineLevel="0" collapsed="false">
      <c r="A55" s="22" t="s">
        <v>336</v>
      </c>
      <c r="B55" s="23" t="s">
        <v>337</v>
      </c>
      <c r="C55" s="24" t="s">
        <v>338</v>
      </c>
      <c r="D55" s="24" t="s">
        <v>38</v>
      </c>
      <c r="E55" s="24" t="s">
        <v>38</v>
      </c>
      <c r="F55" s="24" t="s">
        <v>339</v>
      </c>
      <c r="G55" s="28" t="s">
        <v>21</v>
      </c>
      <c r="H55" s="25" t="s">
        <v>340</v>
      </c>
      <c r="I55" s="25" t="s">
        <v>341</v>
      </c>
      <c r="J55" s="24" t="s">
        <v>45</v>
      </c>
      <c r="K55" s="26" t="n">
        <v>14</v>
      </c>
    </row>
    <row r="56" customFormat="false" ht="55.5" hidden="false" customHeight="true" outlineLevel="0" collapsed="false">
      <c r="A56" s="16" t="s">
        <v>342</v>
      </c>
      <c r="B56" s="17" t="s">
        <v>343</v>
      </c>
      <c r="C56" s="18" t="s">
        <v>338</v>
      </c>
      <c r="D56" s="18" t="s">
        <v>38</v>
      </c>
      <c r="E56" s="18" t="s">
        <v>38</v>
      </c>
      <c r="F56" s="18" t="s">
        <v>344</v>
      </c>
      <c r="G56" s="28" t="s">
        <v>21</v>
      </c>
      <c r="H56" s="20" t="s">
        <v>345</v>
      </c>
      <c r="I56" s="20" t="s">
        <v>346</v>
      </c>
      <c r="J56" s="18" t="s">
        <v>45</v>
      </c>
      <c r="K56" s="21" t="n">
        <v>14</v>
      </c>
    </row>
    <row r="57" customFormat="false" ht="55.5" hidden="false" customHeight="true" outlineLevel="0" collapsed="false">
      <c r="A57" s="22" t="s">
        <v>347</v>
      </c>
      <c r="B57" s="23" t="s">
        <v>348</v>
      </c>
      <c r="C57" s="24" t="s">
        <v>338</v>
      </c>
      <c r="D57" s="24" t="s">
        <v>38</v>
      </c>
      <c r="E57" s="24" t="s">
        <v>38</v>
      </c>
      <c r="F57" s="24" t="s">
        <v>349</v>
      </c>
      <c r="G57" s="29" t="s">
        <v>23</v>
      </c>
      <c r="H57" s="25" t="s">
        <v>350</v>
      </c>
      <c r="I57" s="25" t="s">
        <v>351</v>
      </c>
      <c r="J57" s="24" t="s">
        <v>49</v>
      </c>
      <c r="K57" s="26" t="n">
        <v>11</v>
      </c>
    </row>
    <row r="58" customFormat="false" ht="62.25" hidden="false" customHeight="true" outlineLevel="0" collapsed="false">
      <c r="A58" s="16" t="s">
        <v>352</v>
      </c>
      <c r="B58" s="17" t="s">
        <v>353</v>
      </c>
      <c r="C58" s="18" t="s">
        <v>338</v>
      </c>
      <c r="D58" s="18" t="s">
        <v>42</v>
      </c>
      <c r="E58" s="18" t="s">
        <v>42</v>
      </c>
      <c r="F58" s="18" t="s">
        <v>104</v>
      </c>
      <c r="G58" s="28" t="s">
        <v>21</v>
      </c>
      <c r="H58" s="20" t="s">
        <v>354</v>
      </c>
      <c r="I58" s="20" t="s">
        <v>355</v>
      </c>
      <c r="J58" s="18" t="s">
        <v>54</v>
      </c>
      <c r="K58" s="21" t="n">
        <v>6</v>
      </c>
    </row>
    <row r="59" customFormat="false" ht="62.25" hidden="false" customHeight="true" outlineLevel="0" collapsed="false">
      <c r="A59" s="22" t="s">
        <v>356</v>
      </c>
      <c r="B59" s="23" t="s">
        <v>357</v>
      </c>
      <c r="C59" s="24" t="s">
        <v>358</v>
      </c>
      <c r="D59" s="24" t="s">
        <v>40</v>
      </c>
      <c r="E59" s="24" t="s">
        <v>359</v>
      </c>
      <c r="F59" s="24" t="s">
        <v>360</v>
      </c>
      <c r="G59" s="28" t="s">
        <v>21</v>
      </c>
      <c r="H59" s="25" t="s">
        <v>361</v>
      </c>
      <c r="I59" s="25" t="s">
        <v>362</v>
      </c>
      <c r="J59" s="24" t="s">
        <v>45</v>
      </c>
      <c r="K59" s="26" t="n">
        <v>16</v>
      </c>
    </row>
    <row r="60" customFormat="false" ht="62.25" hidden="false" customHeight="true" outlineLevel="0" collapsed="false">
      <c r="A60" s="16" t="s">
        <v>363</v>
      </c>
      <c r="B60" s="17" t="s">
        <v>364</v>
      </c>
      <c r="C60" s="18" t="s">
        <v>358</v>
      </c>
      <c r="D60" s="18" t="s">
        <v>40</v>
      </c>
      <c r="E60" s="18" t="s">
        <v>87</v>
      </c>
      <c r="F60" s="18" t="s">
        <v>365</v>
      </c>
      <c r="G60" s="28" t="s">
        <v>21</v>
      </c>
      <c r="H60" s="20" t="s">
        <v>366</v>
      </c>
      <c r="I60" s="20" t="s">
        <v>367</v>
      </c>
      <c r="J60" s="18" t="s">
        <v>45</v>
      </c>
      <c r="K60" s="21" t="n">
        <v>12</v>
      </c>
    </row>
    <row r="61" customFormat="false" ht="55.5" hidden="false" customHeight="true" outlineLevel="0" collapsed="false">
      <c r="A61" s="22" t="s">
        <v>368</v>
      </c>
      <c r="B61" s="23" t="s">
        <v>369</v>
      </c>
      <c r="C61" s="24" t="s">
        <v>358</v>
      </c>
      <c r="D61" s="24" t="s">
        <v>40</v>
      </c>
      <c r="E61" s="24" t="s">
        <v>370</v>
      </c>
      <c r="F61" s="24" t="s">
        <v>371</v>
      </c>
      <c r="G61" s="29" t="s">
        <v>23</v>
      </c>
      <c r="H61" s="25" t="s">
        <v>372</v>
      </c>
      <c r="I61" s="25" t="s">
        <v>373</v>
      </c>
      <c r="J61" s="24" t="s">
        <v>45</v>
      </c>
      <c r="K61" s="26" t="n">
        <v>10</v>
      </c>
    </row>
    <row r="62" customFormat="false" ht="62.25" hidden="false" customHeight="true" outlineLevel="0" collapsed="false">
      <c r="A62" s="16" t="s">
        <v>374</v>
      </c>
      <c r="B62" s="17" t="s">
        <v>375</v>
      </c>
      <c r="C62" s="18" t="s">
        <v>358</v>
      </c>
      <c r="D62" s="18" t="s">
        <v>42</v>
      </c>
      <c r="E62" s="18" t="s">
        <v>42</v>
      </c>
      <c r="F62" s="18" t="s">
        <v>104</v>
      </c>
      <c r="G62" s="28" t="s">
        <v>21</v>
      </c>
      <c r="H62" s="20" t="s">
        <v>376</v>
      </c>
      <c r="I62" s="20" t="s">
        <v>377</v>
      </c>
      <c r="J62" s="18" t="s">
        <v>54</v>
      </c>
      <c r="K62" s="21" t="n">
        <v>7</v>
      </c>
    </row>
    <row r="63" customFormat="false" ht="76.5" hidden="false" customHeight="true" outlineLevel="0" collapsed="false">
      <c r="A63" s="22" t="s">
        <v>378</v>
      </c>
      <c r="B63" s="23" t="s">
        <v>379</v>
      </c>
      <c r="C63" s="24" t="s">
        <v>380</v>
      </c>
      <c r="D63" s="24" t="s">
        <v>28</v>
      </c>
      <c r="E63" s="24" t="s">
        <v>381</v>
      </c>
      <c r="F63" s="24" t="s">
        <v>382</v>
      </c>
      <c r="G63" s="28" t="s">
        <v>21</v>
      </c>
      <c r="H63" s="25" t="s">
        <v>383</v>
      </c>
      <c r="I63" s="25" t="s">
        <v>384</v>
      </c>
      <c r="J63" s="24" t="s">
        <v>45</v>
      </c>
      <c r="K63" s="26" t="n">
        <v>14</v>
      </c>
    </row>
    <row r="64" customFormat="false" ht="90.75" hidden="false" customHeight="true" outlineLevel="0" collapsed="false">
      <c r="A64" s="16" t="s">
        <v>385</v>
      </c>
      <c r="B64" s="17" t="s">
        <v>386</v>
      </c>
      <c r="C64" s="18" t="s">
        <v>380</v>
      </c>
      <c r="D64" s="18" t="s">
        <v>28</v>
      </c>
      <c r="E64" s="18" t="s">
        <v>208</v>
      </c>
      <c r="F64" s="18" t="s">
        <v>47</v>
      </c>
      <c r="G64" s="28" t="s">
        <v>21</v>
      </c>
      <c r="H64" s="20" t="s">
        <v>387</v>
      </c>
      <c r="I64" s="20" t="s">
        <v>388</v>
      </c>
      <c r="J64" s="18" t="s">
        <v>47</v>
      </c>
      <c r="K64" s="21" t="n">
        <v>16</v>
      </c>
    </row>
    <row r="65" customFormat="false" ht="62.25" hidden="false" customHeight="true" outlineLevel="0" collapsed="false">
      <c r="A65" s="22" t="s">
        <v>389</v>
      </c>
      <c r="B65" s="23" t="s">
        <v>390</v>
      </c>
      <c r="C65" s="24" t="s">
        <v>380</v>
      </c>
      <c r="D65" s="24" t="s">
        <v>28</v>
      </c>
      <c r="E65" s="24" t="s">
        <v>70</v>
      </c>
      <c r="F65" s="24" t="s">
        <v>47</v>
      </c>
      <c r="G65" s="29" t="s">
        <v>23</v>
      </c>
      <c r="H65" s="25" t="s">
        <v>391</v>
      </c>
      <c r="I65" s="25" t="s">
        <v>392</v>
      </c>
      <c r="J65" s="24" t="s">
        <v>47</v>
      </c>
      <c r="K65" s="26" t="n">
        <v>10</v>
      </c>
    </row>
    <row r="66" customFormat="false" ht="62.25" hidden="false" customHeight="true" outlineLevel="0" collapsed="false">
      <c r="A66" s="16" t="s">
        <v>393</v>
      </c>
      <c r="B66" s="17" t="s">
        <v>394</v>
      </c>
      <c r="C66" s="18" t="s">
        <v>380</v>
      </c>
      <c r="D66" s="18" t="s">
        <v>42</v>
      </c>
      <c r="E66" s="18" t="s">
        <v>42</v>
      </c>
      <c r="F66" s="18" t="s">
        <v>104</v>
      </c>
      <c r="G66" s="28" t="s">
        <v>21</v>
      </c>
      <c r="H66" s="20" t="s">
        <v>395</v>
      </c>
      <c r="I66" s="20" t="s">
        <v>396</v>
      </c>
      <c r="J66" s="18" t="s">
        <v>54</v>
      </c>
      <c r="K66" s="21" t="n">
        <v>6</v>
      </c>
    </row>
  </sheetData>
  <autoFilter ref="A1:K6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3"/>
    <col collapsed="false" customWidth="true" hidden="false" outlineLevel="0" max="4" min="3" style="0" width="8"/>
    <col collapsed="false" customWidth="true" hidden="false" outlineLevel="0" max="5" min="5" style="0" width="12"/>
    <col collapsed="false" customWidth="true" hidden="false" outlineLevel="0" max="6" min="6" style="0" width="86"/>
  </cols>
  <sheetData>
    <row r="1" customFormat="false" ht="25.5" hidden="false" customHeight="true" outlineLevel="0" collapsed="false">
      <c r="A1" s="15" t="s">
        <v>58</v>
      </c>
      <c r="B1" s="15" t="s">
        <v>59</v>
      </c>
      <c r="C1" s="15" t="s">
        <v>397</v>
      </c>
      <c r="D1" s="15" t="s">
        <v>398</v>
      </c>
      <c r="E1" s="15" t="s">
        <v>399</v>
      </c>
      <c r="F1" s="15" t="s">
        <v>400</v>
      </c>
    </row>
    <row r="2" customFormat="false" ht="45.75" hidden="false" customHeight="true" outlineLevel="0" collapsed="false">
      <c r="A2" s="30" t="s">
        <v>69</v>
      </c>
      <c r="B2" s="31" t="s">
        <v>28</v>
      </c>
      <c r="C2" s="31" t="n">
        <f aca="false">COUNTIF('Task List'!$C:$C,$A2)</f>
        <v>7</v>
      </c>
      <c r="D2" s="32" t="n">
        <f aca="false">SUMIF('Task List'!$C:$C,$A2,'Task List'!$K:$K)</f>
        <v>53</v>
      </c>
      <c r="E2" s="32" t="str">
        <f aca="false">IF(AND(D2&gt;=45,D2&lt;=65),"OK","CHECK")</f>
        <v>OK</v>
      </c>
      <c r="F2" s="9" t="s">
        <v>401</v>
      </c>
    </row>
    <row r="3" customFormat="false" ht="45.75" hidden="false" customHeight="true" outlineLevel="0" collapsed="false">
      <c r="A3" s="30" t="s">
        <v>109</v>
      </c>
      <c r="B3" s="31" t="s">
        <v>28</v>
      </c>
      <c r="C3" s="31" t="n">
        <f aca="false">COUNTIF('Task List'!$C:$C,$A3)</f>
        <v>5</v>
      </c>
      <c r="D3" s="32" t="n">
        <f aca="false">SUMIF('Task List'!$C:$C,$A3,'Task List'!$K:$K)</f>
        <v>46</v>
      </c>
      <c r="E3" s="32" t="str">
        <f aca="false">IF(AND(D3&gt;=45,D3&lt;=65),"OK","CHECK")</f>
        <v>OK</v>
      </c>
      <c r="F3" s="9" t="s">
        <v>402</v>
      </c>
    </row>
    <row r="4" customFormat="false" ht="45.75" hidden="false" customHeight="true" outlineLevel="0" collapsed="false">
      <c r="A4" s="30" t="s">
        <v>136</v>
      </c>
      <c r="B4" s="31" t="s">
        <v>28</v>
      </c>
      <c r="C4" s="31" t="n">
        <f aca="false">COUNTIF('Task List'!$C:$C,$A4)</f>
        <v>4</v>
      </c>
      <c r="D4" s="32" t="n">
        <f aca="false">SUMIF('Task List'!$C:$C,$A4,'Task List'!$K:$K)</f>
        <v>45</v>
      </c>
      <c r="E4" s="32" t="str">
        <f aca="false">IF(AND(D4&gt;=45,D4&lt;=65),"OK","CHECK")</f>
        <v>OK</v>
      </c>
      <c r="F4" s="9" t="s">
        <v>403</v>
      </c>
    </row>
    <row r="5" customFormat="false" ht="45.75" hidden="false" customHeight="true" outlineLevel="0" collapsed="false">
      <c r="A5" s="30" t="s">
        <v>156</v>
      </c>
      <c r="B5" s="31" t="s">
        <v>30</v>
      </c>
      <c r="C5" s="31" t="n">
        <f aca="false">COUNTIF('Task List'!$C:$C,$A5)</f>
        <v>6</v>
      </c>
      <c r="D5" s="32" t="n">
        <f aca="false">SUMIF('Task List'!$C:$C,$A5,'Task List'!$K:$K)</f>
        <v>54</v>
      </c>
      <c r="E5" s="32" t="str">
        <f aca="false">IF(AND(D5&gt;=45,D5&lt;=65),"OK","CHECK")</f>
        <v>OK</v>
      </c>
      <c r="F5" s="9" t="s">
        <v>404</v>
      </c>
    </row>
    <row r="6" customFormat="false" ht="45.75" hidden="false" customHeight="true" outlineLevel="0" collapsed="false">
      <c r="A6" s="30" t="s">
        <v>189</v>
      </c>
      <c r="B6" s="31" t="s">
        <v>32</v>
      </c>
      <c r="C6" s="31" t="n">
        <f aca="false">COUNTIF('Task List'!$C:$C,$A6)</f>
        <v>6</v>
      </c>
      <c r="D6" s="32" t="n">
        <f aca="false">SUMIF('Task List'!$C:$C,$A6,'Task List'!$K:$K)</f>
        <v>58</v>
      </c>
      <c r="E6" s="32" t="str">
        <f aca="false">IF(AND(D6&gt;=45,D6&lt;=65),"OK","CHECK")</f>
        <v>OK</v>
      </c>
      <c r="F6" s="9" t="s">
        <v>405</v>
      </c>
    </row>
    <row r="7" customFormat="false" ht="45.75" hidden="false" customHeight="true" outlineLevel="0" collapsed="false">
      <c r="A7" s="30" t="s">
        <v>217</v>
      </c>
      <c r="B7" s="31" t="s">
        <v>32</v>
      </c>
      <c r="C7" s="31" t="n">
        <f aca="false">COUNTIF('Task List'!$C:$C,$A7)</f>
        <v>5</v>
      </c>
      <c r="D7" s="32" t="n">
        <f aca="false">SUMIF('Task List'!$C:$C,$A7,'Task List'!$K:$K)</f>
        <v>45</v>
      </c>
      <c r="E7" s="32" t="str">
        <f aca="false">IF(AND(D7&gt;=45,D7&lt;=65),"OK","CHECK")</f>
        <v>OK</v>
      </c>
      <c r="F7" s="9" t="s">
        <v>406</v>
      </c>
    </row>
    <row r="8" customFormat="false" ht="45.75" hidden="false" customHeight="true" outlineLevel="0" collapsed="false">
      <c r="A8" s="30" t="s">
        <v>241</v>
      </c>
      <c r="B8" s="31" t="s">
        <v>32</v>
      </c>
      <c r="C8" s="31" t="n">
        <f aca="false">COUNTIF('Task List'!$C:$C,$A8)</f>
        <v>4</v>
      </c>
      <c r="D8" s="32" t="n">
        <f aca="false">SUMIF('Task List'!$C:$C,$A8,'Task List'!$K:$K)</f>
        <v>45</v>
      </c>
      <c r="E8" s="32" t="str">
        <f aca="false">IF(AND(D8&gt;=45,D8&lt;=65),"OK","CHECK")</f>
        <v>OK</v>
      </c>
      <c r="F8" s="9" t="s">
        <v>407</v>
      </c>
    </row>
    <row r="9" customFormat="false" ht="45.75" hidden="false" customHeight="true" outlineLevel="0" collapsed="false">
      <c r="A9" s="30" t="s">
        <v>259</v>
      </c>
      <c r="B9" s="31" t="s">
        <v>34</v>
      </c>
      <c r="C9" s="31" t="n">
        <f aca="false">COUNTIF('Task List'!$C:$C,$A9)</f>
        <v>4</v>
      </c>
      <c r="D9" s="32" t="n">
        <f aca="false">SUMIF('Task List'!$C:$C,$A9,'Task List'!$K:$K)</f>
        <v>46</v>
      </c>
      <c r="E9" s="32" t="str">
        <f aca="false">IF(AND(D9&gt;=45,D9&lt;=65),"OK","CHECK")</f>
        <v>OK</v>
      </c>
      <c r="F9" s="9" t="s">
        <v>408</v>
      </c>
    </row>
    <row r="10" customFormat="false" ht="45.75" hidden="false" customHeight="true" outlineLevel="0" collapsed="false">
      <c r="A10" s="30" t="s">
        <v>280</v>
      </c>
      <c r="B10" s="31" t="s">
        <v>34</v>
      </c>
      <c r="C10" s="31" t="n">
        <f aca="false">COUNTIF('Task List'!$C:$C,$A10)</f>
        <v>4</v>
      </c>
      <c r="D10" s="32" t="n">
        <f aca="false">SUMIF('Task List'!$C:$C,$A10,'Task List'!$K:$K)</f>
        <v>48</v>
      </c>
      <c r="E10" s="32" t="str">
        <f aca="false">IF(AND(D10&gt;=45,D10&lt;=65),"OK","CHECK")</f>
        <v>OK</v>
      </c>
      <c r="F10" s="9" t="s">
        <v>409</v>
      </c>
    </row>
    <row r="11" customFormat="false" ht="45.75" hidden="false" customHeight="true" outlineLevel="0" collapsed="false">
      <c r="A11" s="30" t="s">
        <v>299</v>
      </c>
      <c r="B11" s="31" t="s">
        <v>34</v>
      </c>
      <c r="C11" s="31" t="n">
        <f aca="false">COUNTIF('Task List'!$C:$C,$A11)</f>
        <v>4</v>
      </c>
      <c r="D11" s="32" t="n">
        <f aca="false">SUMIF('Task List'!$C:$C,$A11,'Task List'!$K:$K)</f>
        <v>45</v>
      </c>
      <c r="E11" s="32" t="str">
        <f aca="false">IF(AND(D11&gt;=45,D11&lt;=65),"OK","CHECK")</f>
        <v>OK</v>
      </c>
      <c r="F11" s="9" t="s">
        <v>410</v>
      </c>
    </row>
    <row r="12" customFormat="false" ht="45.75" hidden="false" customHeight="true" outlineLevel="0" collapsed="false">
      <c r="A12" s="30" t="s">
        <v>317</v>
      </c>
      <c r="B12" s="31" t="s">
        <v>36</v>
      </c>
      <c r="C12" s="31" t="n">
        <f aca="false">COUNTIF('Task List'!$C:$C,$A12)</f>
        <v>4</v>
      </c>
      <c r="D12" s="32" t="n">
        <f aca="false">SUMIF('Task List'!$C:$C,$A12,'Task List'!$K:$K)</f>
        <v>45</v>
      </c>
      <c r="E12" s="32" t="str">
        <f aca="false">IF(AND(D12&gt;=45,D12&lt;=65),"OK","CHECK")</f>
        <v>OK</v>
      </c>
      <c r="F12" s="9" t="s">
        <v>411</v>
      </c>
    </row>
    <row r="13" customFormat="false" ht="45.75" hidden="false" customHeight="true" outlineLevel="0" collapsed="false">
      <c r="A13" s="30" t="s">
        <v>338</v>
      </c>
      <c r="B13" s="31" t="s">
        <v>38</v>
      </c>
      <c r="C13" s="31" t="n">
        <f aca="false">COUNTIF('Task List'!$C:$C,$A13)</f>
        <v>4</v>
      </c>
      <c r="D13" s="32" t="n">
        <f aca="false">SUMIF('Task List'!$C:$C,$A13,'Task List'!$K:$K)</f>
        <v>45</v>
      </c>
      <c r="E13" s="32" t="str">
        <f aca="false">IF(AND(D13&gt;=45,D13&lt;=65),"OK","CHECK")</f>
        <v>OK</v>
      </c>
      <c r="F13" s="9" t="s">
        <v>412</v>
      </c>
    </row>
    <row r="14" customFormat="false" ht="45.75" hidden="false" customHeight="true" outlineLevel="0" collapsed="false">
      <c r="A14" s="30" t="s">
        <v>358</v>
      </c>
      <c r="B14" s="31" t="s">
        <v>40</v>
      </c>
      <c r="C14" s="31" t="n">
        <f aca="false">COUNTIF('Task List'!$C:$C,$A14)</f>
        <v>4</v>
      </c>
      <c r="D14" s="32" t="n">
        <f aca="false">SUMIF('Task List'!$C:$C,$A14,'Task List'!$K:$K)</f>
        <v>45</v>
      </c>
      <c r="E14" s="32" t="str">
        <f aca="false">IF(AND(D14&gt;=45,D14&lt;=65),"OK","CHECK")</f>
        <v>OK</v>
      </c>
      <c r="F14" s="9" t="s">
        <v>413</v>
      </c>
    </row>
    <row r="15" customFormat="false" ht="45.75" hidden="false" customHeight="true" outlineLevel="0" collapsed="false">
      <c r="A15" s="30" t="s">
        <v>380</v>
      </c>
      <c r="B15" s="31" t="s">
        <v>28</v>
      </c>
      <c r="C15" s="31" t="n">
        <f aca="false">COUNTIF('Task List'!$C:$C,$A15)</f>
        <v>4</v>
      </c>
      <c r="D15" s="32" t="n">
        <f aca="false">SUMIF('Task List'!$C:$C,$A15,'Task List'!$K:$K)</f>
        <v>46</v>
      </c>
      <c r="E15" s="32" t="str">
        <f aca="false">IF(AND(D15&gt;=45,D15&lt;=65),"OK","CHECK")</f>
        <v>OK</v>
      </c>
      <c r="F15" s="9" t="s">
        <v>414</v>
      </c>
    </row>
    <row r="16" customFormat="false" ht="15" hidden="false" customHeight="false" outlineLevel="0" collapsed="false">
      <c r="A16" s="33" t="s">
        <v>415</v>
      </c>
      <c r="B16" s="34"/>
      <c r="C16" s="35" t="n">
        <f aca="false">SUM(C2:C15)</f>
        <v>65</v>
      </c>
      <c r="D16" s="35" t="n">
        <f aca="false">SUM(D2:D15)</f>
        <v>666</v>
      </c>
      <c r="E16" s="34"/>
      <c r="F16" s="3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10"/>
    <col collapsed="false" customWidth="true" hidden="false" outlineLevel="0" max="4" min="4" style="0" width="4"/>
    <col collapsed="false" customWidth="true" hidden="false" outlineLevel="0" max="5" min="5" style="0" width="30"/>
    <col collapsed="false" customWidth="true" hidden="false" outlineLevel="0" max="6" min="6" style="0" width="12"/>
    <col collapsed="false" customWidth="true" hidden="false" outlineLevel="0" max="7" min="7" style="0" width="10"/>
  </cols>
  <sheetData>
    <row r="2" customFormat="false" ht="22.05" hidden="false" customHeight="false" outlineLevel="0" collapsed="false">
      <c r="A2" s="36" t="s">
        <v>416</v>
      </c>
    </row>
    <row r="4" customFormat="false" ht="18" hidden="false" customHeight="true" outlineLevel="0" collapsed="false">
      <c r="A4" s="37" t="s">
        <v>417</v>
      </c>
      <c r="B4" s="38" t="s">
        <v>397</v>
      </c>
      <c r="C4" s="38" t="s">
        <v>398</v>
      </c>
      <c r="E4" s="37" t="s">
        <v>418</v>
      </c>
      <c r="F4" s="38" t="s">
        <v>397</v>
      </c>
      <c r="G4" s="38" t="s">
        <v>398</v>
      </c>
    </row>
    <row r="5" customFormat="false" ht="15" hidden="false" customHeight="false" outlineLevel="0" collapsed="false">
      <c r="A5" s="8" t="s">
        <v>17</v>
      </c>
      <c r="B5" s="31" t="n">
        <f aca="false">COUNTIF('Task List'!$G:$G,$A5)</f>
        <v>8</v>
      </c>
      <c r="C5" s="31" t="n">
        <f aca="false">SUMIF('Task List'!$G:$G,$A5,'Task List'!$K:$K)</f>
        <v>75</v>
      </c>
      <c r="E5" s="39" t="s">
        <v>52</v>
      </c>
      <c r="F5" s="31" t="n">
        <f aca="false">COUNTIF('Task List'!$J:$J,$E5)</f>
        <v>1</v>
      </c>
      <c r="G5" s="31" t="n">
        <f aca="false">SUMIF('Task List'!$J:$J,$E5,'Task List'!$K:$K)</f>
        <v>10</v>
      </c>
    </row>
    <row r="6" customFormat="false" ht="15" hidden="false" customHeight="false" outlineLevel="0" collapsed="false">
      <c r="A6" s="10" t="s">
        <v>19</v>
      </c>
      <c r="B6" s="31" t="n">
        <f aca="false">COUNTIF('Task List'!$G:$G,$A6)</f>
        <v>17</v>
      </c>
      <c r="C6" s="31" t="n">
        <f aca="false">SUMIF('Task List'!$G:$G,$A6,'Task List'!$K:$K)</f>
        <v>172</v>
      </c>
      <c r="E6" s="39" t="s">
        <v>28</v>
      </c>
      <c r="F6" s="31" t="n">
        <f aca="false">COUNTIF('Task List'!$J:$J,$E6)</f>
        <v>5</v>
      </c>
      <c r="G6" s="31" t="n">
        <f aca="false">SUMIF('Task List'!$J:$J,$E6,'Task List'!$K:$K)</f>
        <v>42</v>
      </c>
    </row>
    <row r="7" customFormat="false" ht="15" hidden="false" customHeight="false" outlineLevel="0" collapsed="false">
      <c r="A7" s="11" t="s">
        <v>21</v>
      </c>
      <c r="B7" s="31" t="n">
        <f aca="false">COUNTIF('Task List'!$G:$G,$A7)</f>
        <v>31</v>
      </c>
      <c r="C7" s="31" t="n">
        <f aca="false">SUMIF('Task List'!$G:$G,$A7,'Task List'!$K:$K)</f>
        <v>339</v>
      </c>
      <c r="E7" s="39" t="s">
        <v>49</v>
      </c>
      <c r="F7" s="31" t="n">
        <f aca="false">COUNTIF('Task List'!$J:$J,$E7)</f>
        <v>4</v>
      </c>
      <c r="G7" s="31" t="n">
        <f aca="false">SUMIF('Task List'!$J:$J,$E7,'Task List'!$K:$K)</f>
        <v>43</v>
      </c>
    </row>
    <row r="8" customFormat="false" ht="15" hidden="false" customHeight="false" outlineLevel="0" collapsed="false">
      <c r="A8" s="12" t="s">
        <v>23</v>
      </c>
      <c r="B8" s="31" t="n">
        <f aca="false">COUNTIF('Task List'!$G:$G,$A8)</f>
        <v>9</v>
      </c>
      <c r="C8" s="31" t="n">
        <f aca="false">SUMIF('Task List'!$G:$G,$A8,'Task List'!$K:$K)</f>
        <v>80</v>
      </c>
      <c r="E8" s="39" t="s">
        <v>45</v>
      </c>
      <c r="F8" s="31" t="n">
        <f aca="false">COUNTIF('Task List'!$J:$J,$E8)</f>
        <v>32</v>
      </c>
      <c r="G8" s="31" t="n">
        <f aca="false">SUMIF('Task List'!$J:$J,$E8,'Task List'!$K:$K)</f>
        <v>380</v>
      </c>
    </row>
    <row r="9" customFormat="false" ht="15" hidden="false" customHeight="false" outlineLevel="0" collapsed="false">
      <c r="A9" s="13" t="s">
        <v>25</v>
      </c>
      <c r="B9" s="31" t="n">
        <f aca="false">COUNTIF('Task List'!$G:$G,$A9)</f>
        <v>0</v>
      </c>
      <c r="C9" s="31" t="n">
        <f aca="false">SUMIF('Task List'!$G:$G,$A9,'Task List'!$K:$K)</f>
        <v>0</v>
      </c>
      <c r="E9" s="39" t="s">
        <v>47</v>
      </c>
      <c r="F9" s="31" t="n">
        <f aca="false">COUNTIF('Task List'!$J:$J,$E9)</f>
        <v>7</v>
      </c>
      <c r="G9" s="31" t="n">
        <f aca="false">SUMIF('Task List'!$J:$J,$E9,'Task List'!$K:$K)</f>
        <v>81</v>
      </c>
    </row>
    <row r="10" customFormat="false" ht="15" hidden="false" customHeight="false" outlineLevel="0" collapsed="false">
      <c r="A10" s="40" t="s">
        <v>419</v>
      </c>
      <c r="B10" s="41" t="n">
        <f aca="false">SUM(B5:B9)</f>
        <v>65</v>
      </c>
      <c r="C10" s="41" t="n">
        <f aca="false">SUM(C5:C9)</f>
        <v>666</v>
      </c>
      <c r="E10" s="39" t="s">
        <v>54</v>
      </c>
      <c r="F10" s="31" t="n">
        <f aca="false">COUNTIF('Task List'!$J:$J,$E10)</f>
        <v>16</v>
      </c>
      <c r="G10" s="31" t="n">
        <f aca="false">SUMIF('Task List'!$J:$J,$E10,'Task List'!$K:$K)</f>
        <v>110</v>
      </c>
    </row>
    <row r="11" customFormat="false" ht="15" hidden="false" customHeight="false" outlineLevel="0" collapsed="false">
      <c r="E11" s="40" t="s">
        <v>419</v>
      </c>
      <c r="F11" s="41" t="n">
        <f aca="false">SUM(F5:F10)</f>
        <v>65</v>
      </c>
      <c r="G11" s="41" t="n">
        <f aca="false">SUM(G5:G10)</f>
        <v>666</v>
      </c>
    </row>
    <row r="13" customFormat="false" ht="18" hidden="false" customHeight="true" outlineLevel="0" collapsed="false">
      <c r="A13" s="37" t="s">
        <v>420</v>
      </c>
      <c r="B13" s="38" t="s">
        <v>397</v>
      </c>
      <c r="C13" s="38" t="s">
        <v>398</v>
      </c>
    </row>
    <row r="14" customFormat="false" ht="15" hidden="false" customHeight="false" outlineLevel="0" collapsed="false">
      <c r="A14" s="39" t="s">
        <v>30</v>
      </c>
      <c r="B14" s="31" t="n">
        <f aca="false">COUNTIF('Task List'!$D:$D,$A14)</f>
        <v>5</v>
      </c>
      <c r="C14" s="31" t="n">
        <f aca="false">SUMIF('Task List'!$D:$D,$A14,'Task List'!$K:$K)</f>
        <v>48</v>
      </c>
    </row>
    <row r="15" customFormat="false" ht="15" hidden="false" customHeight="false" outlineLevel="0" collapsed="false">
      <c r="A15" s="39" t="s">
        <v>40</v>
      </c>
      <c r="B15" s="31" t="n">
        <f aca="false">COUNTIF('Task List'!$D:$D,$A15)</f>
        <v>3</v>
      </c>
      <c r="C15" s="31" t="n">
        <f aca="false">SUMIF('Task List'!$D:$D,$A15,'Task List'!$K:$K)</f>
        <v>38</v>
      </c>
    </row>
    <row r="16" customFormat="false" ht="15" hidden="false" customHeight="false" outlineLevel="0" collapsed="false">
      <c r="A16" s="39" t="s">
        <v>38</v>
      </c>
      <c r="B16" s="31" t="n">
        <f aca="false">COUNTIF('Task List'!$D:$D,$A16)</f>
        <v>3</v>
      </c>
      <c r="C16" s="31" t="n">
        <f aca="false">SUMIF('Task List'!$D:$D,$A16,'Task List'!$K:$K)</f>
        <v>39</v>
      </c>
    </row>
    <row r="17" customFormat="false" ht="15" hidden="false" customHeight="false" outlineLevel="0" collapsed="false">
      <c r="A17" s="39" t="s">
        <v>28</v>
      </c>
      <c r="B17" s="31" t="n">
        <f aca="false">COUNTIF('Task List'!$D:$D,$A17)</f>
        <v>16</v>
      </c>
      <c r="C17" s="31" t="n">
        <f aca="false">SUMIF('Task List'!$D:$D,$A17,'Task List'!$K:$K)</f>
        <v>165</v>
      </c>
    </row>
    <row r="18" customFormat="false" ht="15" hidden="false" customHeight="false" outlineLevel="0" collapsed="false">
      <c r="A18" s="39" t="s">
        <v>34</v>
      </c>
      <c r="B18" s="31" t="n">
        <f aca="false">COUNTIF('Task List'!$D:$D,$A18)</f>
        <v>9</v>
      </c>
      <c r="C18" s="31" t="n">
        <f aca="false">SUMIF('Task List'!$D:$D,$A18,'Task List'!$K:$K)</f>
        <v>115</v>
      </c>
    </row>
    <row r="19" customFormat="false" ht="15" hidden="false" customHeight="false" outlineLevel="0" collapsed="false">
      <c r="A19" s="39" t="s">
        <v>42</v>
      </c>
      <c r="B19" s="31" t="n">
        <f aca="false">COUNTIF('Task List'!$D:$D,$A19)</f>
        <v>14</v>
      </c>
      <c r="C19" s="31" t="n">
        <f aca="false">SUMIF('Task List'!$D:$D,$A19,'Task List'!$K:$K)</f>
        <v>96</v>
      </c>
    </row>
    <row r="20" customFormat="false" ht="15" hidden="false" customHeight="false" outlineLevel="0" collapsed="false">
      <c r="A20" s="39" t="s">
        <v>36</v>
      </c>
      <c r="B20" s="31" t="n">
        <f aca="false">COUNTIF('Task List'!$D:$D,$A20)</f>
        <v>3</v>
      </c>
      <c r="C20" s="31" t="n">
        <f aca="false">SUMIF('Task List'!$D:$D,$A20,'Task List'!$K:$K)</f>
        <v>37</v>
      </c>
    </row>
    <row r="21" customFormat="false" ht="15" hidden="false" customHeight="false" outlineLevel="0" collapsed="false">
      <c r="A21" s="39" t="s">
        <v>32</v>
      </c>
      <c r="B21" s="31" t="n">
        <f aca="false">COUNTIF('Task List'!$D:$D,$A21)</f>
        <v>12</v>
      </c>
      <c r="C21" s="31" t="n">
        <f aca="false">SUMIF('Task List'!$D:$D,$A21,'Task List'!$K:$K)</f>
        <v>128</v>
      </c>
    </row>
    <row r="22" customFormat="false" ht="15" hidden="false" customHeight="false" outlineLevel="0" collapsed="false">
      <c r="A22" s="40" t="s">
        <v>419</v>
      </c>
      <c r="B22" s="41" t="n">
        <f aca="false">SUM(B14:B21)</f>
        <v>65</v>
      </c>
      <c r="C22" s="41" t="n">
        <f aca="false">SUM(C14:C21)</f>
        <v>666</v>
      </c>
    </row>
    <row r="24" customFormat="false" ht="15" hidden="false" customHeight="false" outlineLevel="0" collapsed="false">
      <c r="A24" s="42" t="s">
        <v>421</v>
      </c>
      <c r="B24" s="43" t="n">
        <f aca="false">COUNTA('Task List'!$A$2:$A$66)</f>
        <v>65</v>
      </c>
    </row>
    <row r="25" customFormat="false" ht="15" hidden="false" customHeight="false" outlineLevel="0" collapsed="false">
      <c r="A25" s="42" t="s">
        <v>422</v>
      </c>
      <c r="B25" s="43" t="n">
        <f aca="false">SUM('Task List'!$K$2:$K$66)</f>
        <v>666</v>
      </c>
    </row>
    <row r="26" customFormat="false" ht="15" hidden="false" customHeight="false" outlineLevel="0" collapsed="false">
      <c r="A26" s="42" t="s">
        <v>423</v>
      </c>
      <c r="B26" s="43" t="n">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2026-06-03T10:03:39Z</dcterms:created>
  <dc:creator>openpyxl</dc:creator>
  <dc:description/>
  <dc:language>en-US</dc:language>
  <cp:lastModifiedBy/>
  <dcterms:modified xsi:type="dcterms:W3CDTF">2026-06-03T10:03:40Z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