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acklog" sheetId="1" state="visible" r:id="rId3"/>
    <sheet name="Change Log v20 to v21" sheetId="2" state="visible" r:id="rId4"/>
    <sheet name="Phase Plan &amp; Stat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<sst xmlns="http://schemas.openxmlformats.org/spreadsheetml/2006/main" count="2069" uniqueCount="800">
  <si>
    <t xml:space="preserve">PPIQ PRODUCT BACKLOG v21 - 10-Jul-2026. Rebuilt on three discoveries: (1) TWO parallel import architectures - the generic, throttled, remote C# reader (Architecture A: DeltaImportExecutionService + all six IDataSourceReader connectors + Worker schedule + /admin/workflow-foundation endpoints) is BUILT and REGISTERED while the HMI is wired to the same-database SQL world (Architecture B) - journey step 3 likely already exists; verify first (M1-01). (2) Rule 1 is violated by the installer itself: scripts/110+111 create five demo-named schemas on every customer database - deleted with all of Architecture B in M2-02. (3) Journey step 14 (the weekly SUPERVISOR job that re-tunes every engine job) exists nowhere - it is M2's flagship (M2-01) and Thursday's ONLY 'next release' line. M1 = 6 days to the 16-Jul demo: show all 15 journey steps live except step 14, which is framed deliberately. M2 = the three rules and the full journey at 100%. Fixed 10-Jul, commit them: CI truth gates hardened (StripComments + e2e stage 5 unblocked + falsification harness 3/3 red).</t>
  </si>
  <si>
    <t xml:space="preserve">Task ID</t>
  </si>
  <si>
    <t xml:space="preserve">Milestone</t>
  </si>
  <si>
    <t xml:space="preserve">Phase</t>
  </si>
  <si>
    <t xml:space="preserve">Group</t>
  </si>
  <si>
    <t xml:space="preserve">Task Name</t>
  </si>
  <si>
    <t xml:space="preserve">Severity</t>
  </si>
  <si>
    <t xml:space="preserve">Task Type</t>
  </si>
  <si>
    <t xml:space="preserve">Module</t>
  </si>
  <si>
    <t xml:space="preserve">SubModule</t>
  </si>
  <si>
    <t xml:space="preserve">Description (deep, junior-dev-actionable)</t>
  </si>
  <si>
    <t xml:space="preserve">Validation (hard, reproducible)</t>
  </si>
  <si>
    <t xml:space="preserve">Est (h)</t>
  </si>
  <si>
    <t xml:space="preserve">Status vs v20</t>
  </si>
  <si>
    <t xml:space="preserve">v20 ID</t>
  </si>
  <si>
    <t xml:space="preserve">M1-01</t>
  </si>
  <si>
    <t xml:space="preserve">M1</t>
  </si>
  <si>
    <t xml:space="preserve">M1-P1</t>
  </si>
  <si>
    <t xml:space="preserve">G1 Import pipeline</t>
  </si>
  <si>
    <t xml:space="preserve">LIVE PROOF: Architecture A imports from the remote emulated sources (journey step 3 may already exist)</t>
  </si>
  <si>
    <t xml:space="preserve">Critical</t>
  </si>
  <si>
    <t xml:space="preserve">verification</t>
  </si>
  <si>
    <t xml:space="preserve">Backend</t>
  </si>
  <si>
    <t xml:space="preserve">ImportPipeline</t>
  </si>
  <si>
    <t xml:space="preserve">TWO complete, parallel, incompatible import architectures exist (proven 10-Jul by static trace). ARCHITECTURE A (C#): ConnectionProfile -&gt; SourceDatasetDefinition -&gt; IDataSourceConnectorFactory.GetDataSourceReader(providerType) -&gt; ThrottlingDataSourceReader (row cap + rate limit + approved window; SourceLoadRejectedException) -&gt; connector.ReadRowsSinceKeyAsync -&gt; ImportBatch + StagingRecord(rawJson), cursor via IncrementalCursorField/LastCursorValue with MaxCursor(), ScheduleNextRunAfterSuccess/Failure. ALL SIX connectors implement IDataSourceReader (OracleConnector : IDataSourceConnector, ISchemaReader, IDataSourceReader). It is registered in Application/DependencyInjection.cs, scheduled by Workers/Worker.cs (SYSTEM_DELTA_IMPORT_JOB, enabled by default, config-driven interval/caps), and mapped UNGATED at Program.cs:1034 -&gt; POST /admin/workflow-foundation/run-due-source-imports (+ source-schedule-board, staging/summary, staging/records, schema-mapping/workbench, import-jobs/from-mapping). ARCHITECTURE B (SQL): ppiq_run_stage1_delta_import = same-database INSERT...SELECT over local src_* schemas; registration refuses anything not in the LOCAL information_schema; this is what the HMI's Run Stage-1 button calls. THE EXPERIMENT: start the six source containers; login e2eadmin; GET source-schedule-board; GET staging/summary; POST run-due-source-imports {maxDatasetsPerRun:25,maxRowsPerDataset:5000}; GET staging/summary again; psql: SELECT count(*) FROM import_batches WHERE source_system='DeltaImportExecutionService'; SELECT source_object_name,count(*) FROM staging_records GROUP BY 1. Three outcomes: (a) staging grows -&gt; step 3 DONE, zero build; (b) schedule board empty -&gt; datasets never defined, ~2h configuration; (c) exception -&gt; capture verbatim, becomes a numbered task same day. Do this BEFORE any import work; it decides the whole week.</t>
  </si>
  <si>
    <t xml:space="preserve">One of the three outcomes is recorded with pasted output. If (a): staging_records rows exist whose source_object_name names a REMOTE table (e.g. meltshop_heats, not src_meltshop_pg.heats) and a second run imports only the increment (cursor advanced). If (b)/(c): the blocker is a new numbered Critical task filed the same day with the verbatim evidence.</t>
  </si>
  <si>
    <t xml:space="preserve">NEW</t>
  </si>
  <si>
    <t xml:space="preserve">-</t>
  </si>
  <si>
    <t xml:space="preserve">M1-02</t>
  </si>
  <si>
    <t xml:space="preserve">G16 Demo readiness</t>
  </si>
  <si>
    <t xml:space="preserve">Browser render verification of every surface changed on 09-Jul (nothing has been seen)</t>
  </si>
  <si>
    <t xml:space="preserve">Testing</t>
  </si>
  <si>
    <t xml:space="preserve">Manual verification</t>
  </si>
  <si>
    <t xml:space="preserve">Unchanged from v20 M1-23, MOVED TO THE FRONT per its own text ('this task BLOCKS the dress rehearsal') and the Phase Plan's own theme ('Browser verification FIRST'). Seven packs landed 09-Jul, all proven only by tsc + vitest + dotnet build; zero opened in a browser. Walk with the stack up: (1) /assistant renders a CHAT (after M1-03 lands, ask returns 200 isRefusal=true, not 500/403; citation is a button); (2) /data-integration/connector-truth = EMPTY STATE, never 'MeltShop PostgreSQL'; (3) /data-integration/connections + /importing load; (4) /admin?adminTab=jobs-monitor redirects to /data-integration/jobs; (5) /admin shows Site identity + License + pointer only; (6) LogPanel word filter + Source=System toggle; (7) /advisory/benchmarking Median and 107 on separate lines, Plant percentile promoted, no Mode card; (8) /commercial/license works and /license 404s; (9) /i18n-rtl last card reads Ready not P08. Record PASS/FAIL + screenshot per row.</t>
  </si>
  <si>
    <t xml:space="preserve">9-row checklist committed under docs/, every row PASS with a dated screenshot. Any FAIL becomes a numbered bug row in this backlog before M1-P2 starts.</t>
  </si>
  <si>
    <t xml:space="preserve">CARRIED (moved P3-&gt;P1)</t>
  </si>
  <si>
    <t xml:space="preserve">M1-23</t>
  </si>
  <si>
    <t xml:space="preserve">M1-03</t>
  </si>
  <si>
    <t xml:space="preserve">G2 Assistant</t>
  </si>
  <si>
    <t xml:space="preserve">Register the assistant service graph (AddAssistant) - pack built and validated, run it</t>
  </si>
  <si>
    <t xml:space="preserve">bug fix</t>
  </si>
  <si>
    <t xml:space="preserve">DI wiring</t>
  </si>
  <si>
    <t xml:space="preserve">v20 M1-06 verbatim in substance; the apply pack ALREADY EXISTS: Apply-AssistantServiceGraphRegistration.ps1 (outputs, 10-Jul). It inserts ONE fully-qualified call after Program.cs:719 builder.Services.AddV5AssistantGateway(...) via anchored substring insert (no rewrite; BOM + terminator preserved), and ships AssistantServiceGraphRegistrationTests reading Program.cs through PipelineSourceText.StripComments() so a comment cannot satisfy the guard. DI graph verified closed: AddInfrastructure (Program.cs:321) registers NpgsqlDataSource (DependencyInjection.cs:61); AssistantService(scoped) &lt;- NpgsqlRetrievalIndex(NpgsqlDataSource,IEmbedder), ToolRegistry(IEnumerable&lt;ITool&gt;), three tools each (NpgsqlDataSource), IAssistantModel singleton factory; no captive dependency. Deviations from the v20 card, both deliberate: NO using-directive (fully-qualified call, avoids second *.Assistant namespace ambiguity in a 1236-line file); acceptance item 4 (WebApplicationFactory GetRequiredService&lt;AssistantService&gt; test) moves to M2 - the grep guard proves text, the factory test proves resolution, and the factory test is the real one.</t>
  </si>
  <si>
    <t xml:space="preserve">Run the pack (-WhatIf then apply; gates auto-revert). Restart API. POST /api/assistant/ask as e2eadmin -&gt; 200, isRefusal=true, refusalReason non-empty, citations=[], NOT 500, NOT 403. Falsify the guard: comment out the inserted line -&gt; Registration_is_not_satisfied_by_a_comment goes RED.</t>
  </si>
  <si>
    <t xml:space="preserve">CARRIED (pack pre-built)</t>
  </si>
  <si>
    <t xml:space="preserve">M1-06</t>
  </si>
  <si>
    <t xml:space="preserve">M1-04</t>
  </si>
  <si>
    <t xml:space="preserve">G0 Runtime</t>
  </si>
  <si>
    <t xml:space="preserve">Evidence pack: demo-dataset recoverability + Stage-1 registry truth (30 minutes that de-risk the week)</t>
  </si>
  <si>
    <t xml:space="preserve">Tooling</t>
  </si>
  <si>
    <t xml:space="preserve">TWO unverified assumptions currently under the demo. (1) DATASET: tools/reset-app-database.ps1 DROPs ppiq_app and runs ONLY Backend/database/scripts/*.sql - it NEVER runs seed/. After reset, the five src_* schemas are recreated EMPTY and the 38,345-row Session-A plant is GONE. The only path back is loadA.sql.gz + Apply-SessionA-PlantThroughPipeline.ps1 - BOTH match .gitignore (lines 109 and 112: Apply-*.ps1), and the loader's own message ('place loadA.sql.gz in the repo root first') is the wording of an untracked file. Run: git ls-files --error-unmatch loadA.sql.gz ; git ls-files --error-unmatch Apply-SessionA-PlantThroughPipeline.ps1. Zero hits = the demo dataset exists on ONE laptop with no reproduction path -&gt; archive both files somewhere durable TODAY and never run reset until M1-12's precondition holds. (2) REGISTRY: the two psql queries against source_table_dump_registry (last_index_column per table + its data_type). Registration REFUSES a missing watermark column (NOT NULL + existence check), so the '7 tables have no source_updated_at_utc' card cannot describe the registry state - what those rows actually hold decides whether Architecture B's watermark defects matter at all before B is deleted in M2.</t>
  </si>
  <si>
    <t xml:space="preserve">Both git ls-files outputs pasted; if untracked, both files copied to a durable location outside the repo and the location recorded in the session log. Both psql outputs pasted. Any surprise becomes a numbered task.</t>
  </si>
  <si>
    <t xml:space="preserve">M1-05</t>
  </si>
  <si>
    <t xml:space="preserve">M1-P2</t>
  </si>
  <si>
    <t xml:space="preserve">G10 Surface 1 - staging config</t>
  </si>
  <si>
    <t xml:space="preserve">Rewire Surface-1 registration to Architecture A (ConnectionProfile + SourceDatasetDefinition, not the SQL registry)</t>
  </si>
  <si>
    <t xml:space="preserve">modification</t>
  </si>
  <si>
    <t xml:space="preserve">Frontend+Backend</t>
  </si>
  <si>
    <t xml:space="preserve">Surface1-ImportPrep</t>
  </si>
  <si>
    <t xml:space="preserve">SourceImportPrepPage (delivered under old v17 M1-03/M1-04) does LIVE discovery correctly - /tables and /columns hit the real remote containers via ISchemaReader. But its Register step calls ppiq_register_dump_source, which validates against the LOCAL information_schema and therefore RAISES on any discovered remote table name (meltshop_heats exists in the container, not in ppiq_app). Repoint Register: create/update a SourceDatasetDefinition bound to the selected ConnectionProfile - SourceObjectName/SourceSchemaName from discovery, IncrementalCursorField = the discovered timestamp candidate (fallback PrimaryTimestampField, else null -&gt; full-read path), the saved column subset + row filter persisted into DatasetOptionsJson (connectors already receive it via DataSourceReadRequest), IsActive=true, NextRunAtUtc=now. The existing POST /admin/workflow-foundation/import-jobs/from-mapping and source-datasets/{id}/schedule-now endpoints are the job-binding surface (journey steps 2 and 5) - wire the page's final step to them instead of inventing new routes. Keep the SQL-registry path untouched (Architecture B dies in M2, not now). Access control: /admin prefix is already covered by the Matrix ('/admin', All(), tenant.admin) - no new Matrix line needed; if you see 403 read the response body.</t>
  </si>
  <si>
    <t xml:space="preserve">In the HMI: pick the Meltshop profile -&gt; discover -&gt; select table + columns + cursor -&gt; Register -&gt; a SourceDatasetDefinition row exists; POST run-due-source-imports (or the worker tick) pulls its rows into staging_records; a SECOND run imports only the increment (LastCursorValue advanced, rows +delta only); an Oracle table registers the same way with zero code branches.</t>
  </si>
  <si>
    <t xml:space="preserve">RETARGETED</t>
  </si>
  <si>
    <t xml:space="preserve">M1-12</t>
  </si>
  <si>
    <t xml:space="preserve">G3 Engine honesty</t>
  </si>
  <si>
    <t xml:space="preserve">GENERIC PROJECTOR (keystone, retargeted): StagingRecords + saved mapping -&gt; canonical</t>
  </si>
  <si>
    <t xml:space="preserve">new feature</t>
  </si>
  <si>
    <t xml:space="preserve">Stage2-Projector</t>
  </si>
  <si>
    <t xml:space="preserve">v20 M1-03 retargeted at the RIGHT input. Architecture A ends at StagingRecords (one jsonb rawJson per source row, batch-linked); Architecture B's IF/ELSIF ladder begins at dump_store; NOTHING bridges A to canonical. Build the projector that reads StagingRecords for a SourceDatasetDefinition + the user's saved mapping definition (SchemaViewDefinition: field -&gt; canonical column, type casts, key normalisation via ppiq_normalize_business_key, unit/site resolution) and projects into canonical (material_units, genealogy_edges via the weighted-ledger rules from the 09-Jul architectural fact, quality_events, parameter_observations). jsonb-&gt;columns via a saved mapping is SIMPLER than projecting a relational dump table - one generic reader, jsonb_extract path per mapped field. HARD RULES: no dataset identifier anywhere in the projection path (the generic-only grep gate must stay green); idempotent per batch (re-projecting an already-projected batch writes zero rows - track projected batch ids); NOT NULL coverage explicit (plant_time_zone_id + plant_utc_offset_minutes bit the seed on 09-Jul; the projector must supply them from site config, never hardcode 'Europe/Berlin'); typed error into job_log on an unmapped mandatory field, never a silent skip. The 8 demo sources become seed MAPPINGS shipped as emulation fixtures, not code branches. SCOPE: projector core only - per-view Loading job orchestration is M2 (the monolithic 'project all pending batches' entry point is acceptable for Thursday).</t>
  </si>
  <si>
    <t xml:space="preserve">Fresh empty DB (day-one state) + register an arbitrary schema through Surface-1 + author a mapping -&gt; run import -&gt; run projector -&gt; canonical populated with ZERO code change; generic-only grep gate green over the projection path; re-running with no new staging batches writes zero rows and says so; a deliberately unmapped mandatory field produces a typed job_log error naming the field.</t>
  </si>
  <si>
    <t xml:space="preserve">RETARGETED (input = StagingRecords not dump_store)</t>
  </si>
  <si>
    <t xml:space="preserve">M1-07</t>
  </si>
  <si>
    <t xml:space="preserve">Parameter-observations data pack (unblocks the engine, both layers)</t>
  </si>
  <si>
    <t xml:space="preserve">data fixture</t>
  </si>
  <si>
    <t xml:space="preserve">v20 M1-02 verbatim, RECLASSIFIED from 'new feature' to 'data fixture' - the misclassification is what made the old ordering rule schedule M1-05 before its own blocker. The Session-A plant created heats/slabs/coils/quality_events but ZERO parameter_observations; ppiq_ml_run_learning_job_governed_v1 correctly returns BlockedTooFewRows ('at least 30 observations required'); ml_correlation_results_v2 stays empty; Surface-3 proves machinery but never a finding. Generate observations for the 13 parameter_definitions across the 3-month window WITH the planted causal relations preserved (CRACK_LONG &lt;- superheat/peritectic at the seeded 9.3x), delivered THROUGH THE PIPELINE (staging -&gt; projector) if M1-06 lands first, else via the same silent loader that produced the plant core - never hand-INSERTed into canonical.</t>
  </si>
  <si>
    <t xml:space="preserve">SELECT count(*) FROM parameter_observations &gt; 30 per parameter per window; ppiq_ml_run_learning_job_governed_v1('ML_PROCESS_VS_DEFECT',30) returns Ready; ml_correlation_results_v2 receives rows; the planted CRACK_LONG driver ranks top with q-value shown; SCRATCH (control) shows no significant driver.</t>
  </si>
  <si>
    <t xml:space="preserve">CARRIED (reclassified data fixture)</t>
  </si>
  <si>
    <t xml:space="preserve">M1-08</t>
  </si>
  <si>
    <t xml:space="preserve">G3 Analytics gate</t>
  </si>
  <si>
    <t xml:space="preserve">ReadinessGate verification on the populated set (config/coverage only, never the gate's honesty)</t>
  </si>
  <si>
    <t xml:space="preserve">Analytics-Engine</t>
  </si>
  <si>
    <t xml:space="preserve">v20 M1-05 verbatim: the gate is WORKING, not broken - it blocks with readiness_status=BlockedTooFewRows because parameter_observations is empty. After M1-07, re-read ReadinessGate.Evaluate against the populated set and adjust CONFIG/COVERAGE only. The refusal path is never weakened to make a run pass.</t>
  </si>
  <si>
    <t xml:space="preserve">A managed run reaches Completed with findings &gt; 0 on imported canonical data. If it still blocks after observations exist, the blocking reason is captured verbatim and the demo script carries the explicit golden-set framing line.</t>
  </si>
  <si>
    <t xml:space="preserve">CARRIED (reclassified verification)</t>
  </si>
  <si>
    <t xml:space="preserve">M1-09</t>
  </si>
  <si>
    <t xml:space="preserve">Chunk producer (dataset+doc+finding) + POST /api/assistant/reindex (journey step 15 answers for real)</t>
  </si>
  <si>
    <t xml:space="preserve">Retrieval</t>
  </si>
  <si>
    <t xml:space="preserve">v20 M1-07 + the endpoint half of v20 M1-08, merged; the automatic post-analysis refresh and stale-purge defer to M2. Build CanonicalChunkProducer emitting RetrievedChunk(SourceKind,SourceRef,Content,Score,IsSynthetic,ScopeRole): (a) DATASET chunks from registered SourceDatasetDefinitions, their columns, the saved mappings, connector registry, data-quality summaries - scope_role viewer; (b) DOC chunks from the honesty contract / grounding policy / tier descriptions - scope_role viewer; (c) FINDING chunks from ml_correlation_results_v2 (available once M1-07/M1-08 land) - scope_role engineer. Use EXACTLY the three SourceKinds HandleFor() recognises (finding / report|doc / else-&gt;Dataset). Register AssistantRetrievalIndexBuildService in AddAssistant() (it is in no container). Endpoint: POST /api/assistant/reindex in the SAME MapGroup('/api/assistant') (inherits RequireAuthorization + the Matrix line assistant.use); resolve tenant exactly as /ask; return AssistantIndexBuildResult verbatim. ALL FIVE numbered notes from the v20 cards still apply verbatim - especially: ReindexAsync opens its own connection/transaction, do NOT wrap it in an ambient EF scope (the 320 deadlock class); never call refresh from /ask; never mark chunks synthetic 'for the demo'; a chunk with no canonical row behind it is a fabricated citation.</t>
  </si>
  <si>
    <t xml:space="preserve">POST /api/assistant/reindex as e2eadmin -&gt; 200, chunkCount &gt;= 20, status completed. POST /ask 'which source tables are registered?' -&gt; isRefusal=false, &gt;=1 citation, every citation.id resolves to a real canonical row. Reindex twice -&gt; replacedCount equals prior chunkCount, non-stale count unchanged (idempotent). 'What will the defect rate be next month?' -&gt; isRefusal=true. As viewer role, no engineer-scoped chunk appears in any citation (data-leak test).</t>
  </si>
  <si>
    <t xml:space="preserve">MERGED (v20 M1-07 + endpoint of M1-08)</t>
  </si>
  <si>
    <t xml:space="preserve">M1-10</t>
  </si>
  <si>
    <t xml:space="preserve">G12 UX / information architecture</t>
  </si>
  <si>
    <t xml:space="preserve">Jobs Monitor shows all four journey job types honestly</t>
  </si>
  <si>
    <t xml:space="preserve">Very important</t>
  </si>
  <si>
    <t xml:space="preserve">JobsMonitor</t>
  </si>
  <si>
    <t xml:space="preserve">The journey names four job types the customer must SEE scheduled and monitored: db-link import (SYSTEM_DELTA_IMPORT_JOB per-dataset, with NextRunAtUtc/LastCursorValue from SourceDatasetDefinition), data loading (the M1-06 projector runs), data analysis (analysis-job definitions -&gt; governed runs), AI+ML (the ML tier). The Jobs Monitor already exists; extend it to surface Architecture A's schedule board (the GET /admin/workflow-foundation/source-schedule-board data) alongside the existing job types, each with last-run time, outcome, duration, rows. No fabrication: a job type with no runs shows an honest empty state.</t>
  </si>
  <si>
    <t xml:space="preserve">On the rehearsed path, all four job types are visible in one monitor with real last-run data; a dataset scheduled via Surface-1 appears within one worker tick; nothing shows a fabricated status.</t>
  </si>
  <si>
    <t xml:space="preserve">M1-11</t>
  </si>
  <si>
    <t xml:space="preserve">ppiq.ps1 up waits for Kestrel before printing the URL</t>
  </si>
  <si>
    <t xml:space="preserve">Important</t>
  </si>
  <si>
    <t xml:space="preserve">v20 M1-11 verbatim. Poll the port until it accepts a connection or a deadline expires; fail loudly naming the console window; same for 5173. All five notes apply (foreground-run-first; build!=host-starts; EF ~4s even with nothing to apply; Test-NetConnection needs -InformationLevel Quiet; the same race will hit the rehearsal script).</t>
  </si>
  <si>
    <t xml:space="preserve">ppiq.ps1 up does not print the API URL until the port listens; 60s deadline exits non-zero naming the window; up + immediate /health succeeds 10/10.</t>
  </si>
  <si>
    <t xml:space="preserve">CARRIED</t>
  </si>
  <si>
    <t xml:space="preserve">M1-P3</t>
  </si>
  <si>
    <t xml:space="preserve">G4 Rehearsal &amp; HMI proof</t>
  </si>
  <si>
    <t xml:space="preserve">Dress rehearsal x2 (recorded): empty DB -&gt; DB-link -&gt; import -&gt; prepare -&gt; load -&gt; dashboard -&gt; finding -&gt; ML tier -&gt; chat citation</t>
  </si>
  <si>
    <t xml:space="preserve">test</t>
  </si>
  <si>
    <t xml:space="preserve">E2E</t>
  </si>
  <si>
    <t xml:space="preserve">The full 15-step journey walked live, twice, recorded - this run IS the demo. PRECONDITION (hard): M1-04 proved the plant dataset is regenerable, OR the rehearsal runs on a disposable second database - reset-app-database.ps1 destroys 38,345 material_units and the reset script never runs seed/. Choreography: reset to day-one -&gt; every page renders an honest empty state -&gt; Surface-1: connect Meltshop (test-connection green) -&gt; register two tables with cursor -&gt; watch the db-link job pull rows into staging (Jobs Monitor + LogPanel) -&gt; second run imports only the delta -&gt; author a mapping -&gt; Loading/projector run fills canonical -&gt; bind a widget, re-import, watch the number change -&gt; genealogy walk C-0044170 (or a plant coil) both directions with 70/30 attribution -&gt; Surface-3: run the analysis, read the ranked contributor with population/method/q-value -&gt; ML tier gated by license toggle -&gt; /assistant: one dataset question answered WITH a citation that opens, one unanswerable question refused honestly. Time-box &lt;= 25 min. MANUAL rows initialed (cold-load console, stopped-container typed error, widget delta, attribution clip, honesty bar). Capture the 4-minute silent video from the second run (absorbs v20 M1-29).</t>
  </si>
  <si>
    <t xml:space="preserve">Recording exists; both walks &lt;= 25 min with zero dead ends; MANUAL rows initialed; the plant data is present after the walk (count asserted, not assumed); the video file is stored with the deck.</t>
  </si>
  <si>
    <t xml:space="preserve">MERGED (v20 M1-27 + M1-29)</t>
  </si>
  <si>
    <t xml:space="preserve">M1-27</t>
  </si>
  <si>
    <t xml:space="preserve">M1-13</t>
  </si>
  <si>
    <t xml:space="preserve">G6 Docs &amp; assets</t>
  </si>
  <si>
    <t xml:space="preserve">Demo script + deck fills: the supervisor framing (step 14), ROI price base, competitor one-liners, closing ask</t>
  </si>
  <si>
    <t xml:space="preserve">docs</t>
  </si>
  <si>
    <t xml:space="preserve">Docs</t>
  </si>
  <si>
    <t xml:space="preserve">Demo</t>
  </si>
  <si>
    <t xml:space="preserve">v20 M1-30 plus the ONE hedge the demo carries. Step 14's weekly supervisor job does not exist in code or backlog (it is M2's flagship); everything else on the journey runs live. Script the framing verbatim and rehearse it: 'The engine has two layers running today - statistical correlation with FDR control, and the ML tier. What ships next is the supervisor: one job that runs each weekend, reads the entire dataset and every job's history, and re-tunes their coefficients. The jobs are the hands; the supervisor makes them better every week.' Say it deliberately - it is the strongest differentiation slide, and an engineer who catches an overclaim ends the deal. Fill ROI price base (pricing memory: Standard 12k/6k, Pro Plus 28k/14k, Enterprise 50k/25k), pilot offer, competitor one-liners, closing ask. Identity &amp; Topology v5 corrections move to M2 (non-blocking for Thursday).</t>
  </si>
  <si>
    <t xml:space="preserve">Deck exports clean; the supervisor line is in the script word-for-word and rehearsed; every number in the deck matches what will be said; nothing in the script claims a capability the rehearsal did not demonstrate.</t>
  </si>
  <si>
    <t xml:space="preserve">MERGED (v20 M1-30 + supervisor framing)</t>
  </si>
  <si>
    <t xml:space="preserve">M1-30</t>
  </si>
  <si>
    <t xml:space="preserve">M2-01</t>
  </si>
  <si>
    <t xml:space="preserve">M2</t>
  </si>
  <si>
    <t xml:space="preserve">M2-P0 KEYSTONE</t>
  </si>
  <si>
    <t xml:space="preserve">THE SUPERVISOR JOB (journey step 14): the premade weekly engine job that re-tunes every other engine job</t>
  </si>
  <si>
    <t xml:space="preserve">NOT IN ANY PREVIOUS BACKLOG OR MILESTONE - surfaced 10-Jul when the canonical journey was written down. The engine = all data-analysis jobs + all AI+ML jobs; two layers; every job's result improves the others. The supervisor is ONE premade job (job type ENGINE_SUPERVISOR), scheduled nightly/weekly (default: weekend), that reviews the WHOLE dataset and EVERY engine job's history and re-tunes their coefficients and parameters from a whole-dataset understanding - e.g. correlation window sizes, FDR alpha per outcome family, readiness thresholds, rule weights, stratification variables. DESIGN CONSTRAINTS (honesty contract): every adjustment is a PROVENANCE ROW (job, parameter, before, after, justification, evidence handle) - the supervisor never silently mutates; adjustments are bounded (config floor/ceiling per parameter); a dry-run mode produces the adjustment set without applying; the assistant can cite supervisor adjustments as doc/finding chunks. Deliver as: design doc (reviewed before code), schema (engine_job_parameters + supervisor_adjustments), the job, HMI surface showing the last supervision run and its adjustments, and known-answer tests (inject a drifted coefficient, supervisor corrects it within bounds).</t>
  </si>
  <si>
    <t xml:space="preserve">The supervisor runs on schedule and on demand; every adjustment appears as a provenance row with before/after/justification; an injected drifted coefficient is corrected within configured bounds on the next run; jobs re-run after supervision produce measurably different (and known-answer-validated) results; dry-run produces the set without applying; the HMI shows the last supervision honestly.</t>
  </si>
  <si>
    <t xml:space="preserve">NEW (journey step 14)</t>
  </si>
  <si>
    <t xml:space="preserve">M2-02</t>
  </si>
  <si>
    <t xml:space="preserve">G8 Hardening &amp; rename</t>
  </si>
  <si>
    <t xml:space="preserve">DELETE Architecture B: the same-database SQL import world, in its entirety</t>
  </si>
  <si>
    <t xml:space="preserve">refactor</t>
  </si>
  <si>
    <t xml:space="preserve">Once every demo flow runs Architecture A + the M1-06 projector, delete: scripts/110_phase1_demo_source_shapes.sql and 111_phase1_demo_mapping_views.sql (five demo-named schemas INSTALLED ON EVERY CUSTOMER DATABASE by the numbered migration path - the most literal Rule-1 violation in the repo); ppiq_run_stage1_delta_import + ppiq_run_stage2_canonical_refresh (the IF/ELSIF ladder) + ppiq_run_two_stage_full_cycle + ppiq_register_dump_source; the dump_store schema; source_table_dump_registry + two_stage_import_runs + two_stage_processed_watermarks; TwoStageImportEndpoints.cs; ProvisionBaselineAsync's ten hardcoded tables. Deleting B also RETIRES its five known watermark defects unfixed (strict &gt; loses ties; ORDER BY non-monotonic LIMIT skips rows; the _all shared budget; the endpoint 30s timeout; watermark-ahead-of-data) - do not spend hours curing a corpse. Then add the MIGRATION-PATH GENERIC GATE: an architecture test that fails the build if any file under database/scripts or database/seed creates a schema/table whose name matches the demo fleet or any dataset-specific identifier. The emulated fleet's DDL+data move to an emulation-fixtures location OUTSIDE the product migration path (they run against the source CONTAINERS, where a customer's databases live).</t>
  </si>
  <si>
    <t xml:space="preserve">A fresh customer install (reset + migrate) creates ZERO src_* schemas and zero demo tables; grep for dump_store/src_meltshop across Backend returns only emulation fixtures outside the migration path; the new gate goes RED when a demo-named schema is reintroduced (falsified once, like the CI truth gates); all suites green after deletion.</t>
  </si>
  <si>
    <t xml:space="preserve">NEW (supersedes v20 M1-01 + the FDW keystone framing)</t>
  </si>
  <si>
    <t xml:space="preserve">M2-03</t>
  </si>
  <si>
    <t xml:space="preserve">Purge demo seeds from the product path (Rule 1 at the seed layer)</t>
  </si>
  <si>
    <t xml:space="preserve">Database</t>
  </si>
  <si>
    <t xml:space="preserve">seed/011_p4_demo_correctness_signal.sql creates public.ppiq_p4_demo_outcomes/_features/_truth in the PRODUCT schema; seed/040_demo_readiness_fixtures_DEMO_ONLY.sql says it in its own filename. Relocate both (and any correctness-signal machinery that needs them) to the emulation-fixtures location; the correctness harness (v20 M2-47) consumes them from there. The product seed path ships nothing demo-named.</t>
  </si>
  <si>
    <t xml:space="preserve">Fresh install contains zero ppiq_p4_demo_* tables; the correctness harness still runs green from the fixtures location; the M2-02 gate covers seed/ as well as scripts/.</t>
  </si>
  <si>
    <t xml:space="preserve">M2-04</t>
  </si>
  <si>
    <t xml:space="preserve">G9 Product hardening</t>
  </si>
  <si>
    <t xml:space="preserve">Per-VIEW Loading jobs on the generic projector (journey step 5 complete)</t>
  </si>
  <si>
    <t xml:space="preserve">v20 M1-04 verbatim, on the retargeted projector: one Loading JobDefinition per active mapping view, auto-created on save, min interval 3 min, each carrying its OWN processed watermark over StagingRecords batches; delete the monolithic 'project all pending' entry point once every flow runs per-view.</t>
  </si>
  <si>
    <t xml:space="preserve">Create a NEW mapping view in the HMI over an unmapped staging dataset -&gt; a Loading job appears, runs, canonical rows appear, ZERO code change; each view's watermark advances independently; re-running a view with no new batches exits without writing.</t>
  </si>
  <si>
    <t xml:space="preserve">M2-05</t>
  </si>
  <si>
    <t xml:space="preserve">M2-P1</t>
  </si>
  <si>
    <t xml:space="preserve">ONE assistant surface (three endpoint groups, two service graphs ship today)</t>
  </si>
  <si>
    <t xml:space="preserve">Assistant</t>
  </si>
  <si>
    <t xml:space="preserve">v20 M1-09 verbatim (decide which of MapV5AssistantGatewayEndpoints / MapAssistantEndpoints / MapPhase8AssistantRuntimeEndpoints is the product; harvest redaction/audit/eval from the V5 gateway before deleting; de-phase the phase8 backend routes WITH their Matrix entries in one commit; all five notes apply).</t>
  </si>
  <si>
    <t xml:space="preserve">Exactly ONE MapXxxAssistantEndpoints call remains; everything the deleted surfaces provided is present in the survivor or a backlog row names its file:line; frontend unchanged; assistantChain.test.ts green; every old path hit once and accounted for.</t>
  </si>
  <si>
    <t xml:space="preserve">M2-06</t>
  </si>
  <si>
    <t xml:space="preserve">Assistant auto-refresh after analysis runs + stale-generation purge + the WebApplicationFactory resolution test</t>
  </si>
  <si>
    <t xml:space="preserve">The deferred halves of v20 M1-08 and M1-06: hook the chunk refresh to the end of a successful analysis run (the same place that writes ml_correlation_results_v2 - an assistant whose evidence lags its findings cites yesterday's plant); make the purge at NpgsqlRetrievalIndex:93 reachable so canon.assistant_chunk does not grow one dead generation per run; fix or delete ChangedOnly (hardcoded true - a response field that always says true is a lie with a schema); add the xunit test that builds the real container (WebApplicationFactory) and calls GetRequiredService&lt;AssistantService&gt;() - the test that would have caught the original defect the day the endpoint was written (the grep guard proves text; this proves resolution).</t>
  </si>
  <si>
    <t xml:space="preserve">After an analysis run completes, a new finding is citable without any manual call; a 500-question load test shows SearchAsync memory flat; the resolution test is green and goes RED if the registration line is removed; ChangedOnly is meaningful or gone.</t>
  </si>
  <si>
    <t xml:space="preserve">MERGED (v20 M1-08 remainder + M1-06 acceptance 4)</t>
  </si>
  <si>
    <t xml:space="preserve">M2-07</t>
  </si>
  <si>
    <t xml:space="preserve">Assistant end-to-end proof, CI-gated (cited answer / honest refusal / blocked claim / role scoping)</t>
  </si>
  <si>
    <t xml:space="preserve">v20 M1-24 verbatim, all five notes - especially: run it on an EMPTY index first and confirm every question refuses (if A passes on an empty index the model is answering from its own weights, the worst possible failure); a 200 with isRefusal=true is a PASS for wiring and a FAIL for capability, track them separately.</t>
  </si>
  <si>
    <t xml:space="preserve">CI-gated test: (1) refuses everything on an empty index; (2) after reindex, cited answer with every citation.id resolving; (3) refuses an unsupported question; (4) blocked[] populated for an uncited claim, sentence absent from text; (5) engineer-scoped chunks invisible to a viewer. All five green in dotnet test; the file named in the Jenkinsfile.</t>
  </si>
  <si>
    <t xml:space="preserve">M1-24</t>
  </si>
  <si>
    <t xml:space="preserve">M2-08</t>
  </si>
  <si>
    <t xml:space="preserve">Evidence-row route so a citation opens the evidence it cites</t>
  </si>
  <si>
    <t xml:space="preserve">Frontend</t>
  </si>
  <si>
    <t xml:space="preserve">v20 M1-17 verbatim.</t>
  </si>
  <si>
    <t xml:space="preserve">Clicking a citation on /assistant opens the exact evidence row it names; an unresolvable handle shows an honest 'evidence no longer available' state; the grounding contract still blocks uncited numbers.</t>
  </si>
  <si>
    <t xml:space="preserve">M1-17</t>
  </si>
  <si>
    <t xml:space="preserve">M2-09</t>
  </si>
  <si>
    <t xml:space="preserve">M2-P8 CARRYOVER (frontend/UX/i18n/proof)</t>
  </si>
  <si>
    <t xml:space="preserve">G14 Internationalization</t>
  </si>
  <si>
    <t xml:space="preserve">Full i18n: EN/DE (+AR-ready) across all demo-path pages</t>
  </si>
  <si>
    <t xml:space="preserve">i18n</t>
  </si>
  <si>
    <t xml:space="preserve">Customer complaint from presentation #1: no translation. Introduce react-i18next (or equivalent) with EN+DE locale files, AR structure ready and an RTL-safe layout audit; externalize ALL user-visible strings on the demo pages + nav + toasts + LogPanel + wizards; language switcher in the header, persisted per user; backend enum/labels mapped via translation keys, never English string checks. UPDATED CONTEXT (09-Jul): mojibake is repaired and gated, so extraction will not carry corrupted glyphs into locale files; StandardPageHeader and StandardStatGrid now centralise most page chrome, which shrinks the surface; a repo-wide phase-token gate already exists and should be mirrored for raw literals. STAGE THIS: (1) framework + switcher + locale scaffolding, (2) shell/nav, (3) pages two at a time, (4) raw-literal gate, (5) AR file + RTL audit. Do not attempt it in one pass.</t>
  </si>
  <si>
    <t xml:space="preserve">Switch EN&lt;-&gt;DE live: every visible string on the demo path translates (nav, buttons, table headers, empty states, errors, LogPanel, the sample-data badge, the honesty sentences). Grep gate: zero raw literals in demo-path components. AR locale loads without layout break. Compliance/honesty sentences are translated as WHOLE strings, never assembled from fragments.</t>
  </si>
  <si>
    <t xml:space="preserve">CARRIED (M1-&gt;M2)</t>
  </si>
  <si>
    <t xml:space="preserve">M1-16</t>
  </si>
  <si>
    <t xml:space="preserve">M2-10</t>
  </si>
  <si>
    <t xml:space="preserve">Administrator content: Site Identity edit, Users/Roles, System health</t>
  </si>
  <si>
    <t xml:space="preserve">Admin</t>
  </si>
  <si>
    <t xml:space="preserve">NEW - the promise M1-06 could not keep. After extracting Data Integration, Administrator holds a read-only Site Identity card, a static License card and a pointer. The backlog says Admin = users/roles/license/site. NONE of Users/Roles, Site-Identity EDIT, or System health exists as UI. Build them: site-identity PUT (the GET already backs AppLayout's plant name), a users+roles table over the existing auth store, and a system-health card reading /health + /db-health. Two admin types per doctrine: undeletable sysadmin vs customer tenant admin.</t>
  </si>
  <si>
    <t xml:space="preserve">A tenant admin renames the site and the sidebar updates without a reload; the users table lists real accounts with their roles; system health shows API + DB + last migration; a non-admin receives 403 from the server, not a hidden button.</t>
  </si>
  <si>
    <t xml:space="preserve">M2-11</t>
  </si>
  <si>
    <t xml:space="preserve">G13 Test realignment</t>
  </si>
  <si>
    <t xml:space="preserve">E2E suite realignment after the IA, route and assistant changes</t>
  </si>
  <si>
    <t xml:space="preserve">RE-ESTIMATED 4h -&gt; 8h. The v17 estimate predated three structural changes that invalidate large parts of the 397-spec suite: M1-08 renamed 12 canonical routes (old paths are now redirects); M1-06 moved DB Configuration / Schema Configuration / Importing / Jobs Monitor / Connector Truth out of /admin?adminTab=... into /data-integration/*; M1-11 deleted GroundedAssistantPage and changed the assistant page's structure. Cat A: accept fresh baselines via a clean Playwright-owned run (stop manual servers first). Cat B: fix or test.fixme with a linked reason - never delete assertions. Cat C: specs asserting the six-tab admin must be rewritten against the new IA. || NOTE 10-Jul: the CI truth gates were hardened (PipelineSourceText.StripComments, e2e stage 5 when{} removed -&gt; stage 5 now EXECUTES and BLOCKS every deploy; falsification harness proves all three mutations red). Land this realignment BEFORE the next git push or expect a correctly-red pipeline.</t>
  </si>
  <si>
    <t xml:space="preserve">npm run e2e green on Playwright-owned servers; every fixme carries a linked reason; the run output is committed; a spec exists that follows /admin?adminTab=jobs-monitor through the redirect to /data-integration/jobs.</t>
  </si>
  <si>
    <t xml:space="preserve">M1-25</t>
  </si>
  <si>
    <t xml:space="preserve">M2-12</t>
  </si>
  <si>
    <t xml:space="preserve">Action-matrix click-through on the NEW information architecture</t>
  </si>
  <si>
    <t xml:space="preserve">REWRITTEN. v17 said 'the six-tab admin' - that no longer exists. Click every control on the demo path across the new IA: the Data Integration area (Connections, Table Registry, Prepare Import, Importing, Jobs Monitor, Connector Truth), the slimmed Administrator, /assistant, /advisory/*, and the log panel's new source toggle and word filter. Run the persona matrix for real (not --list). Fix dead controls same-day.</t>
  </si>
  <si>
    <t xml:space="preserve">Zero dead buttons on the demo path; matrix run output committed; every route named in src/security/roleAccess.ts resolves to a page that exists.</t>
  </si>
  <si>
    <t xml:space="preserve">M1-26</t>
  </si>
  <si>
    <t xml:space="preserve">M2-13</t>
  </si>
  <si>
    <t xml:space="preserve">Triage the 865 genealogy diagnostics on live plant data</t>
  </si>
  <si>
    <t xml:space="preserve">Genealogy</t>
  </si>
  <si>
    <t xml:space="preserve">NEW - surfaced 09-Jul. ppiq_validate_genealogy_graph() had NEVER successfully returned a row (it threw 42804 on its first result because 690's cast was not the definition loaded). With that fixed it reports 865 rows against 35,906 canonical edges / 38,346 materials: dozens of IsolatedMaterial warnings for HEATS with no genealogy edge at all (H-26001..H-27795, WALK-*, ADV_ORPHAN_MATERIAL_001, ADV_UNKNOWN_TYPE_MATERIAL_001). ppiq_golden_thread returns MissingHop when a walk does not reach a heat. Determine per source_system whether these are real plant-data orphans (Session-A load) or fixture residue, and fix or quarantine accordingly.</t>
  </si>
  <si>
    <t xml:space="preserve">A per-source_system breakdown of isolated materials is committed; every orphan is classified real / fixture / quarantined; the golden coil C-0044170 walk reaches a heat; ppiq_validate_genealogy_graph reports zero Error-severity rows on the demo dataset.</t>
  </si>
  <si>
    <t xml:space="preserve">M2-14</t>
  </si>
  <si>
    <t xml:space="preserve">Delete DemoAnalyticsPages and demo-analytics.css (Golden Rule)</t>
  </si>
  <si>
    <t xml:space="preserve">PlatformOps</t>
  </si>
  <si>
    <t xml:space="preserve">M1-06 already removed the LAST Admin import of DemoAnalyticsPages (AdminPageContent no longer renders DemoAnalyticsWorkflowTruthPage, and ConnectorTruthPage replaced it with an honest empty state). What remains is bigger than v18 assumed: App.tsx STILL lazily imports ./pages/PlatformOps/DemoAnalyticsPages (line ~355) for DemoAnalyticsDynamicPage / DemoAnalyticsSuggestionsPage / DemoAnalyticsWidgetScriptCompilerPage. Each must be replaced by a real page or its route deleted, and DemoAnalyticsPages.tsx is a one-line `export * from './DemoAnalyticsPages.implementation'` thin re-export that noThinReExports currently passes - fix that gate's pattern while you are here. Then delete PlatformOps/ and demo-analytics.css. Two of its titles were de-phased on 09-Jul; do not mistake that for the page being legitimate.</t>
  </si>
  <si>
    <t xml:space="preserve">Zero references to PlatformOps/DemoAnalyticsPages in src; the noHardcodedDemoPages gate is extended to catch a demo page COMPOSED INTO a non-demo page (the case it missed for weeks); tsc + full suite green.</t>
  </si>
  <si>
    <t xml:space="preserve">M1-15</t>
  </si>
  <si>
    <t xml:space="preserve">M2-15</t>
  </si>
  <si>
    <t xml:space="preserve">Decide src/phase11: wire the four modules in, or delete them</t>
  </si>
  <si>
    <t xml:space="preserve">Technical-Debt</t>
  </si>
  <si>
    <t xml:space="preserve">NEW - discovered 09-Jul. src/phase11/ holds four TESTED modules imported by NOTHING outside their own tests: phase11WidgetLayout.ts (a real grid layout engine - clamp, minimize/maximize, serialize/restore), phase11UiState.ts (a five-state idle/loading/empty/partial/ready/error resolver that DUPLICATES StateRenderer.tsx), phase11StandardControlContract.ts (a typed native-element -&gt; Standard-component map that DUPLICATES the T11 gate's regex), phase11HeatmapInteractions.ts, plus a stray phase5HeatmapRegression.test.ts. This is not a naming problem: it is two implementations of the same rules. Decide per module - WIRE (make StateRenderer consume the resolver; make the T11 gate read the typed contract; give the widget grid its layout engine) or DELETE. Do not merely rename.</t>
  </si>
  <si>
    <t xml:space="preserve">Each of the four modules is either imported by production code or deleted with its tests; no rule in this codebase has two sources of truth; the T11 gate reads the contract rather than restating it in a regex.</t>
  </si>
  <si>
    <t xml:space="preserve">M1-21</t>
  </si>
  <si>
    <t xml:space="preserve">M2-16</t>
  </si>
  <si>
    <t xml:space="preserve">Harden the phase-token gate: single-digit P tokens and directory names</t>
  </si>
  <si>
    <t xml:space="preserve">enhancement</t>
  </si>
  <si>
    <t xml:space="preserve">CI gate</t>
  </si>
  <si>
    <t xml:space="preserve">Two blind spots found on 09-Jul, both AFTER the gate was declared repo-wide. (a) The rendered-text check matches P06-P15 (deliberately range-limited so BenchmarkingPage's P25/P50/P75 percentile headers do not false-positive). The deleted GroundedAssistantPage carried a 'P4 . Production Assistant' kicker that NO check would ever have caught - single-digit P tokens are invisible. Extend the pattern to \bP\d\b when followed by a separator + word, and add a unit test proving P25/P50/P75 still pass. (b) No gate looks at FILE OR DIRECTORY NAMES. src/pages/Phase8, Phase9, Phase7ValueScenario, src/phase11 and three phase-named stylesheets are invisible. Add a name check that FAILS on them, then mark it .skip with a comment pointing at M2-32 - a red gate you cannot fix today is worse than a documented one. Do not add an allowlist.</t>
  </si>
  <si>
    <t xml:space="preserve">npx vitest run src/test/architecture/ is green. Temporarily inserting '&lt;strong&gt;P4&lt;/strong&gt;' into any page under src/pages makes the suite RED and names the file. BenchmarkingPage's P25/P50/P75 headers keep the suite green. The directory-name check exists, is .skip'd, and its skip reason names M2-32.</t>
  </si>
  <si>
    <t xml:space="preserve">M1-22</t>
  </si>
  <si>
    <t xml:space="preserve">M2-17</t>
  </si>
  <si>
    <t xml:space="preserve">G15 Observability UX</t>
  </si>
  <si>
    <t xml:space="preserve">LogPanel component tests (the validation M1-10 asked for)</t>
  </si>
  <si>
    <t xml:space="preserve">LogPanel</t>
  </si>
  <si>
    <t xml:space="preserve">M1-10 shipped without the tests its own validation clause demanded, and it also shipped a SECURITY boundary that nothing tests. Two halves. FRONTEND: component tests for LogPanel - the 350ms debounce issues ONE request per settled input, not one per keystroke; the Source toggle swaps endpoint (/admin/job-logs vs /admin/system-logs) and swaps the severity option list (system adds Debug); filters combine; the 10s poll is cleared on unmount and when the panel closes. BACKEND: an integration test for GET /admin/system-logs proving the path-traversal guard. The client supplies DateOnly day + int hour and can never name a file, so the test must assert the GUARD ITSELF: hour=99 clamps to 23; a day/hour with no file returns 200 with exists=false and an empty entries array (not 404, not an exception); the resolved path assertion (candidate.StartsWith(logDirectory + separator)) is exercised. Also assert the Serilog line parser: a VRB/DBG/INF/WRN/ERR/FTL line maps to Debug/Debug/Info/Warning/Error/Error, and a CONTINUATION line (a stack trace) attaches to the preceding entry instead of becoming an orphan row.</t>
  </si>
  <si>
    <t xml:space="preserve">npx vitest run src/components/logging is green with &gt;= 6 assertions; dotnet test --filter SystemLog is green with &gt;= 4. A deliberately malformed systemlog line does not throw. Coverage of LogPanel.tsx &gt;= 80%.</t>
  </si>
  <si>
    <t xml:space="preserve">M1-14</t>
  </si>
  <si>
    <t xml:space="preserve">M2-18</t>
  </si>
  <si>
    <t xml:space="preserve">Data Integration polish: fold /prepare into the layout, finish the sub-nav</t>
  </si>
  <si>
    <t xml:space="preserve">DataIntegration</t>
  </si>
  <si>
    <t xml:space="preserve">M1-06 shipped /data-integration as a layout route with &lt;Outlet context&gt; and five children (connections, registry, importing, jobs, connector-truth). Two loose ends remain, both small: (1) /data-integration/prepare (the M1-03 SourceImportPrepPage) kept its own TOP-LEVEL route, so it renders WITHOUT the Data Integration header and Refresh button even though the sidebar lists it in that section. Move it inside the layout as a child route. (2) There is no sub-navigation inside the area: a user on /connections cannot see the other four without going back to the sidebar. Add a StandardTabs or NavLink strip inside DataIntegrationLayout. Do NOT re-create the six-tab Admin shell.</t>
  </si>
  <si>
    <t xml:space="preserve">/data-integration/prepare renders inside the area chrome; the layout still issues exactly ONE fetch per visit (Network tab); the six children are reachable from within the area without returning to the sidebar.</t>
  </si>
  <si>
    <t xml:space="preserve">M1-20</t>
  </si>
  <si>
    <t xml:space="preserve">M2-19</t>
  </si>
  <si>
    <t xml:space="preserve">UX discoverability + expectation pass across the demo pages</t>
  </si>
  <si>
    <t xml:space="preserve">Navigation/IA</t>
  </si>
  <si>
    <t xml:space="preserve">RESCOPED. The presentation-quality work is done (09-Jul): StandardPageHeader + StandardStatGrid replaced the label-glued-to-value markup on 8 pages, the internal 'Mode' card is gone, one headline figure is promoted per page, sample data is disclosed with a badge, and wording is business-facing. What REMAINS is the discoverability half: every primary action reachable where a plant user expects it; wizard entry points visible (Add Widget, New Analysis, Prepare Import); consistent button placement and labels; empty states that explain the NEXT step; the three no-code surfaces visibly three distinct, named places. Deliverable is a walkthrough document, not a code pack - it cannot be gated by a script.</t>
  </si>
  <si>
    <t xml:space="preserve">UX walkthrough doc with before/after per page; zero 'why is this here?' items open; task-completion click-count recorded before and after for three journeys (connect a source, build a widget, run an analysis).</t>
  </si>
  <si>
    <t xml:space="preserve">M1-18</t>
  </si>
  <si>
    <t xml:space="preserve">M2-20</t>
  </si>
  <si>
    <t xml:space="preserve">G5 UI charm</t>
  </si>
  <si>
    <t xml:space="preserve">Charm pass on the demo pages not covered by the Step-3 UI rebuild</t>
  </si>
  <si>
    <t xml:space="preserve">UI</t>
  </si>
  <si>
    <t xml:space="preserve">RESCOPED. The 8 advisory/connector pages were rebuilt 09-Jul (headers, stat grids, spacing, palette, wording). Remaining: Dashboard, Material Investigation, Risk, Data Quality, Correlations, Page Builder and the wizards - spacing/typography, skeletons, empty-state copy, palette consistency, zero console warnings. NO logic or route changes.</t>
  </si>
  <si>
    <t xml:space="preserve">Screenshot review signed; console clean on the whole demo path; no page mixes the old bare-div stat markup with StandardStatGrid.</t>
  </si>
  <si>
    <t xml:space="preserve">M1-19</t>
  </si>
  <si>
    <t xml:space="preserve">M2-21</t>
  </si>
  <si>
    <t xml:space="preserve">Mini grounding eval (5 questions) as a repeatable script</t>
  </si>
  <si>
    <t xml:space="preserve">REWRITTEN 10-Jul. The original card assumed a working assistant needing an eval. It does not have one: AssistantService was never registered, canon.assistant_chunk is empty, and no chunk producer exists. This task now DEPENDS on the three assistant tasks in M1-P1 and on the end-to-end proof. Once those land, curate five questions that a plant engineer would actually ask, record the expected grounding behaviour for each (cited answer / honest refusal / blocked claim), and make the script re-runnable so the answer set can be compared across model or index changes.
NOTES AND TIPS FROM THE 09/10-JUL DIAGNOSIS (read these before you touch anything):
1. Do not write the eval before the assistant answers. An eval against an empty index measures nothing and will pass forever.
2. Include at least one question that MUST refuse. A model that never refuses has no honesty contract.
3. Include one question whose answer changes when the index is refreshed - it proves the eval reads live evidence.
4. Store expected outcomes as SHAPES (isRefusal, citation count &gt; 0) not as exact strings; ExtractiveAssistantModel output is deterministic per-index but will change the moment a provider is wired.
5. The V5 gateway exposes /eval/run. Check whether it is a real harness before building a second one.</t>
  </si>
  <si>
    <t xml:space="preserve">5/5 pass recorded in walk-evidence; the refusal case is asserted, not just the happy path.</t>
  </si>
  <si>
    <t xml:space="preserve">M1-28</t>
  </si>
  <si>
    <t xml:space="preserve">M2-22</t>
  </si>
  <si>
    <t xml:space="preserve">Widget-expression audit table: stop 117 dropping it, and resolve the text/smallint column drift</t>
  </si>
  <si>
    <t xml:space="preserve">EVIDENCE FIRST (two psql queries): information_schema.columns for dashboard_widget_expression columns + count(*) of dashboard_widget_expression_audit. Confirmed statically 10-Jul: scripts/113 creates the audit table and adds expression_version text DEFAULT 'phase1.v1' + expression_last_validation_status text; scripts/117 DROPs the audit table (re-running migrations WIPES an audit table - Aspects A2.9 failure) and re-adds the same columns as smallint - which silently NO-OP because 113's text columns already exist (ADD COLUMN IF NOT EXISTS). The live schema is text; check what the C# model binds. Also strip the 'phase1.v1' phase token from a stored DATA DEFAULT (Naming Golden Rule applies to values here too).</t>
  </si>
  <si>
    <t xml:space="preserve">Re-running the numbered scripts preserves audit rows (count before == after); one authoritative column type matching the C# binding; the seven-table duplicate-CREATE known-answer list (i18n pair x3, audit pair, page_definitions, cost_assumption, assistant_chunk, schema_drift_events) feeds the M2 truth-gate task as its fixture.</t>
  </si>
  <si>
    <t xml:space="preserve">M2-23</t>
  </si>
  <si>
    <t xml:space="preserve">G2 Credential &amp; secrets doctrine</t>
  </si>
  <si>
    <t xml:space="preserve">Credential resolution doctrine across ALL provider types + secret store</t>
  </si>
  <si>
    <t xml:space="preserve">Core</t>
  </si>
  <si>
    <t xml:space="preserve">Generalize the M1 fix: unified secret_reference resolver (env/file/vault-ready), per-provider tests, masking in logs and API responses everywhere.</t>
  </si>
  <si>
    <t xml:space="preserve">6/6 providers hard-fail typed without creds; secrets never appear in job_log/systemlog/API.</t>
  </si>
  <si>
    <t xml:space="preserve">M2-24</t>
  </si>
  <si>
    <t xml:space="preserve">Extract golden-dataset seeding OUT of ppiq_ml_run_learning_job_v1 into the V2-34 harness</t>
  </si>
  <si>
    <t xml:space="preserve">Runtime learning must never silently seed 12k synthetic rows into product tables; seeding becomes an explicit harness step.</t>
  </si>
  <si>
    <t xml:space="preserve">Fresh-start DB stays 0 rows after a learning run; harness seeds only when invoked.</t>
  </si>
  <si>
    <t xml:space="preserve">M2-25</t>
  </si>
  <si>
    <t xml:space="preserve">M2-P4</t>
  </si>
  <si>
    <t xml:space="preserve">Local dev reproducibility: EF-first + PGCLIENTENCODING + design-time factory (MERGED)</t>
  </si>
  <si>
    <t xml:space="preserve">MERGES old V1-01+V1-02 and the LOCAL residue of V1-03. The SERVER path is already green (the pipeline runs EF in a sibling before the numbered SQL, handles encoding, and uses ConnectionStrings__PlantProcessDb). Remaining is LOCAL-only and small: (a) fold `dotnet ef database update` into the start of `ppiq.ps1 migrate`/`demo`; (b) export PGCLIENTENCODING=UTF8 before every psql in ppiq.ps1; (c) rewr</t>
  </si>
  <si>
    <t xml:space="preserve">From a clean LOCAL DB, `ppiq.ps1 demo` provisions one-shot (EF schema -&gt; SQL decoration -&gt; app on :5063) with ZERO hand-set env vars, twice. grep finds no duplicate demo compose. Evidence: clean-run terminal log + grep.</t>
  </si>
  <si>
    <t xml:space="preserve">M2-26</t>
  </si>
  <si>
    <t xml:space="preserve">Delete env/profiles/local.env from the repo + rotate the exposed credential</t>
  </si>
  <si>
    <t xml:space="preserve">hardening</t>
  </si>
  <si>
    <t xml:space="preserve">CORRECTED. v17 named 'plantprocess123'. The file actually carries POSTGRES_USER=ppiq_dev / POSTGRES_PASSWORD=ppiq_dev_local_only plus PPIQ_BOOTSTRAP_ADMIN_PASSWORD and the e2eadmin password, and the DB credential was pasted into a working transcript on 09-Jul. Remove the file from the repo, move to a developer-local untracked profile, rotate the credential, and keep the .env &lt;-&gt; Postgres-volume coupling documented (a rotated password against an existing volume locks the app out).</t>
  </si>
  <si>
    <t xml:space="preserve">local.env is untracked and absent from git history going forward; a fresh clone cannot start with a committed password; the rotated credential is proven against the existing Postgres volume before the old one is retired.</t>
  </si>
  <si>
    <t xml:space="preserve">M2-27</t>
  </si>
  <si>
    <t xml:space="preserve">Wire + prove the Value Engine LIVE on demo data (engine already built)</t>
  </si>
  <si>
    <t xml:space="preserve">CODE-VALIDATED: ValueImpactEngine.cs is BUILT (bounded Low/Expected/High, ABSTAINS on missing assumptions, attaches a provenance handle + input JSON per term, monotonic guard); ValueRealizationContracts.cs adds the realized-value ledger; ValueHonestyLint blocks forbidden phrases. DO NOT rebuild. LAST MILE: (1) populate ValueImpactInputs + CostAssumptionSet from the DEMO dataset and the real per-pl</t>
  </si>
  <si>
    <t xml:space="preserve">LIVE on the demo dataset: a defect finding on C-0044170 yields a bounded euro range in the HMI; each term drills through to its input JSON + provenance handle; removing a required assumption flips the widget to the explicit abstain message (never a fabricated number); an e2e spec asserts both the li</t>
  </si>
  <si>
    <t xml:space="preserve">M2-28</t>
  </si>
  <si>
    <t xml:space="preserve">Full backend+frontend suite green twice on clean machine (local)</t>
  </si>
  <si>
    <t xml:space="preserve">Server suite is green; close the LOCAL clean-machine path so the whole backend+frontend suite runs green twice on a fresh checkout with no hand-set vars. Builds on the local test-config task.</t>
  </si>
  <si>
    <t xml:space="preserve">Both suites exit 0 twice on a fresh local machine. Evidence: two green logs.</t>
  </si>
  <si>
    <t xml:space="preserve">M2-29</t>
  </si>
  <si>
    <t xml:space="preserve">Generic-Only CI gate - build FAILS on any dataset/industry-specific identifier in core</t>
  </si>
  <si>
    <t xml:space="preserve">Make the Generic-Only red line ENFORCEABLE (same spirit as the CI truth-gate). Add an architecture test + CI lint that scans the core/canonical/projection/import path (Domain, Application, the SQL functions under database/scripts, the connectors' canonical mapping) and FAILS the build on any dataset/industry-specific literal: demo schema/table names (src_meltshop_pg, src_hsm_oracle_shape, ...), de</t>
  </si>
  <si>
    <t xml:space="preserve">Re-introducing a hardcoded demo identifier into the canonical projection path turns the build RED (negative test). The gate runs in Jenkins and blocks merge. Seed/demo-mapping fixtures are allowlisted and pass. After V2's eradication task, the gate is GREEN on the real code.</t>
  </si>
  <si>
    <t xml:space="preserve">M2-30</t>
  </si>
  <si>
    <t xml:space="preserve">M2-P5</t>
  </si>
  <si>
    <t xml:space="preserve">Job governance 1: per-type interval FLOORS (config-driven, backend-enforced)</t>
  </si>
  <si>
    <t xml:space="preserve">Karim-locked floors: DB Link (Stage-1) 2 min; Loading (Stage-2 per-view) 3 min (must exceed DB Link or it reprocesses unchanged staging); Engine 20 min; AI+ML 60 min. Floors live in ONE config surface (table or options, per-type defaults, overridable per install - never constants). Enforce in the schedule create/update endpoint (reject below floor with a typed error) AND in the scheduler (defense </t>
  </si>
  <si>
    <t xml:space="preserve">POST a 1-min DB Link schedule -&gt; 400 with floor message; UI blocks with the same message; change the config floor -&gt; both honor it without redeploy of frontend logic (values come from API).</t>
  </si>
  <si>
    <t xml:space="preserve">M2-31</t>
  </si>
  <si>
    <t xml:space="preserve">Job governance 2: per-type max-parallelism + per-source single-scan lock + start jitter</t>
  </si>
  <si>
    <t xml:space="preserve">Floors limit frequency, not concurrency: 60 DB-Link jobs at the 2-min floor would fire on one tick and hammer 5 source DBs. Add: (1) per-type max concurrent executions (queue the rest, FIFO); (2) per-SOURCE-SYSTEM single-scan lock (Doctrine 4.8 source-load protection: at most one concurrent scan per customer source); (3) deterministic start jitter/stagger so schedules spread across the window. Des</t>
  </si>
  <si>
    <t xml:space="preserve">Schedule 60 DB-Link + 35 Loading + 10 Engine + 5 AI+ML on the demo stack; run 30 min: server healthy, docker stats bounded, no source container ever shows 2 concurrent scans (assert via lock table), monitor shows queued -&gt; running transitions.</t>
  </si>
  <si>
    <t xml:space="preserve">M2-32</t>
  </si>
  <si>
    <t xml:space="preserve">Migration truth-gate A: every seed INSERT covers its table's mandatory columns</t>
  </si>
  <si>
    <t xml:space="preserve">CI-Gates</t>
  </si>
  <si>
    <t xml:space="preserve">NEW - would have caught a defect that hid for weeks. seed/010_p3_golden_thread_seed.sql omitted plant_time_zone_id and plant_utc_offset_minutes after they were added to material_units as NOT NULL with no default; the failure only surfaced as 23502 once an earlier script in the same chain stopped failing first. Build a CI check that, for every INSERT in Backend/database/seed/**, compares the column list against information_schema for NOT NULL-without-default columns.</t>
  </si>
  <si>
    <t xml:space="preserve">A seed missing a mandatory column FAILS CI with the column named; the check runs against a real migrated database, not a parsed guess.</t>
  </si>
  <si>
    <t xml:space="preserve">M2-33</t>
  </si>
  <si>
    <t xml:space="preserve">Migration truth-gate B: no two scripts may create the same table OR FUNCTION</t>
  </si>
  <si>
    <t xml:space="preserve">v18 scoped this to TABLES because 310 and 320 both did CREATE TABLE IF NOT EXISTS public.ppiq_business_key_definitions with zero-overlap column sets. The same class then bit us a SECOND way, through FUNCTIONS: ppiq_validate_genealogy_graph is defined in BOTH 312 (uncast, m.material_key) and 690 (correct, m.material_key::text). migrate applies scripts/*.sql sorted by NAME, so 690 should win - and the live database had the UNCAST body, meaning 690 never took effect. The function then threw 42804 'structure of query does not match function result type' on its very first returned row, which is why 865 genealogy diagnostics had never been seen by anyone. CREATE OR REPLACE FUNCTION is exactly as silent as CREATE TABLE IF NOT EXISTS. Gate BOTH: parse every scripts/*.sql for CREATE (OR REPLACE )?(TABLE|FUNCTION|VIEW|TRIGGER) and fail the build when two files create the same qualified object, unless the file pair is listed in an explicit, commented intent file (later-wins is legitimate for hotfixes - silence is not). || NOTE 10-Jul: seed the gate with the seven duplicate tables found 10-Jul AND extend to CREATE OR REPLACE FUNCTION (ppiq_validate_genealogy_graph defined in both 312 and 690). Falsify once before trusting (the CI-truth-gate lesson).</t>
  </si>
  <si>
    <t xml:space="preserve">The gate FAILS on the repo as it stands today for ppiq_validate_genealogy_graph (312 vs 690) and passes once the intent is declared or 312's definition is deleted. Adding a second CREATE TABLE for any existing table fails CI. Run it in the truth-gate stage, not as a warning.</t>
  </si>
  <si>
    <t xml:space="preserve">M2-34</t>
  </si>
  <si>
    <t xml:space="preserve">M2-P7</t>
  </si>
  <si>
    <t xml:space="preserve">migrate must fail loudly, per file</t>
  </si>
  <si>
    <t xml:space="preserve">Deploy</t>
  </si>
  <si>
    <t xml:space="preserve">NEW - root cause of the two defects above going unnoticed. ppiq.ps1 migrate runs every scripts/*.sql sorted by name with ON_ERROR_STOP=1, which stops the FILE, not the RUN. A script can abort halfway, the remaining files still apply, and the output scrolls past. A broken migration is indistinguishable from a working one unless someone goes looking. Print a per-file OK/FAIL summary, exit non-zero on any failure, and record applied scripts with a checksum.</t>
  </si>
  <si>
    <t xml:space="preserve">A deliberately broken script makes migrate exit non-zero and name the file and line; the summary table lists every script with OK/FAIL; a re-run of an already-applied script is a no-op.</t>
  </si>
  <si>
    <t xml:space="preserve">M2-35</t>
  </si>
  <si>
    <t xml:space="preserve">G17 Database hygiene</t>
  </si>
  <si>
    <t xml:space="preserve">Make 320 lock-light on re-run (unconditional ACCESS EXCLUSIVE blocks commissioning)</t>
  </si>
  <si>
    <t xml:space="preserve">Migrations</t>
  </si>
  <si>
    <t xml:space="preserve">320_p3_business_key_reconciliation.sql runs ALTER TABLE ... ADD COLUMN IF NOT EXISTS, DROP TRIGGER IF EXISTS and CREATE TRIGGER unconditionally. Postgres takes ACCESS EXCLUSIVE on material_aliases BEFORE it checks whether the column or trigger already exists, so a NO-OP re-run still grabs an exclusive lock three times. On 09-Jul this made Phase3GoldenThreadAndAttributionTests time out at 30s (Npgsql's default CommandTimeout) against the test's OWN connections - the script blocked on a lock it was competing with itself for. The backfill is not the problem: material_aliases holds 21 rows. On a customer database at commissioning, an idle-in-transaction session turns this into an outage, not a timeout. Guard the DDL: IF NOT EXISTS (SELECT 1 FROM information_schema.columns WHERE ...) THEN ALTER TABLE ...; and IF NOT EXISTS (SELECT 1 FROM pg_trigger WHERE tgname=...) THEN CREATE TRIGGER ...; so a re-run takes NO exclusive lock at all. Do the same sweep across every script that ALTERs a hot table.</t>
  </si>
  <si>
    <t xml:space="preserve">Open a session holding an idle transaction on material_aliases. Run `ppiq.ps1 migrate` in another. It completes. Before the fix it blocks. pg_locks shows no AccessExclusiveLock acquired by 320 on a second run. dotnet test --filter Phase3GoldenThread stays green and finishes in &lt; 5s.</t>
  </si>
  <si>
    <t xml:space="preserve">M2-36</t>
  </si>
  <si>
    <t xml:space="preserve">ppiq_run_mapping_lifecycle_proof publishes a mapping version on EVERY call</t>
  </si>
  <si>
    <t xml:space="preserve">Mapping</t>
  </si>
  <si>
    <t xml:space="preserve">A function whose name says 'proof' mutates. Each call creates a mapping_code 'P03_COMPLETION_PROOF_&lt;random&gt;', publishes a version, then attempts a rollback which the domain correctly refuses (CannotRollbackPublished: 'a published mapping version cannot be rolled back; supersede it instead'). ppiq_mapping_versions now holds 37 Published / 31 RolledBack rows, and its output leads with PreviousDryRun / PreviousPublish - rows from earlier runs. Two calls during a diagnostic session on 09-Jul added two more. Decide which is true and make the other follow: EITHER the proof should roll back a DRAFT version (and the test's Assert.Contains(rollback &amp;&amp; Ok) becomes right), OR publishing is terminal (and the test should assert the rollback is present AND REFUSED with the typed code). Do not 'fix' it by clearing the table. Also make the function idempotent, or rename it so nobody trusts the word proof.</t>
  </si>
  <si>
    <t xml:space="preserve">Calling ppiq_run_mapping_lifecycle_proof() twice in a row yields identical row counts and no new ppiq_mapping_versions rows, OR the function is renamed and its mutation documented. MappingLifecycleProofTests asserts the chosen semantics explicitly. SELECT status, count(*) FROM ppiq_mapping_versions GROUP BY 1 does not grow when the test suite runs.</t>
  </si>
  <si>
    <t xml:space="preserve">M2-37</t>
  </si>
  <si>
    <t xml:space="preserve">G4 Logging 100%</t>
  </si>
  <si>
    <t xml:space="preserve">Job + Data operational logging to rolling files (JobLog/DataLog_&lt;day&gt;_&lt;hr&gt;.log)</t>
  </si>
  <si>
    <t xml:space="preserve">Observability</t>
  </si>
  <si>
    <t xml:space="preserve">Customer-oriented operational logging for EVERY job and data-source operation. Emit a structured event (job type, job name, severity, started/ended, duration, rows, outcome) for: connector reads, incremental/delta imports (DeltaImportExecutionService), mapping publish/rollback, and each correlation/learning job; hook JobRegistrationService + the two-stage functions. Write to JobLog_&lt;day&gt;_&lt;hr&gt;.log </t>
  </si>
  <si>
    <t xml:space="preserve">Running an import + a correlation job produces Info events (start/finish, duration, rows) and any failure produces an Error event, in JobLog/DataLog_&lt;day&gt;_&lt;hr&gt;.log AND in the queryable store; a forced job crash is logged as Error with the reason; hourly rotation verified; events carry the job type/n</t>
  </si>
  <si>
    <t xml:space="preserve">M2-38</t>
  </si>
  <si>
    <t xml:space="preserve">M2-P3</t>
  </si>
  <si>
    <t xml:space="preserve">G6 License &amp; roles</t>
  </si>
  <si>
    <t xml:space="preserve">Deepen license tiers: caps enforced + expiry/grace + admin governance</t>
  </si>
  <si>
    <t xml:space="preserve">feature</t>
  </si>
  <si>
    <t xml:space="preserve">Licensing</t>
  </si>
  <si>
    <t xml:space="preserve">The signed-token activation works (proven on the server with Enterprise). Deepen ENFORCEMENT: seat/source/env caps actually enforced from the token; expiry -&gt; warnings -&gt; configurable read-only grace -&gt; read-only (data never destroyed); soft-vs-hard caps; admin governance to add/manage seats. The 07-editions-and-licensing doc already describes the intended model.</t>
  </si>
  <si>
    <t xml:space="preserve">Toggling a tier visibly adds/removes features AND enforces a cap live; an expired token enters grace then read-only. Evidence: tamper test + clips.</t>
  </si>
  <si>
    <t xml:space="preserve">M2-39</t>
  </si>
  <si>
    <t xml:space="preserve">Real production Ed25519 license signing key (Option-1 -&gt; Option-3)  [NEW 26-Jun]</t>
  </si>
  <si>
    <t xml:space="preserve">NEW from the 26-Jun session. The demo activates Enterprise with the DEV Ed25519 key (kid ppiq-dev-ed25519), registered only when PPIQ_PRESENTATION=on. For real customers: generate a REAL production Ed25519 signing keypair (kept in a secret store, never in git), sign per-customer/per-tier tokens with it, register the real public key through the canonical licensing/ops flow (not the dev fixture), an</t>
  </si>
  <si>
    <t xml:space="preserve">A real-key-signed per-customer token activates on a clean 'customer' install with PPIQ_PRESENTATION off and NO dev key registered; grep shows the dev key + VITE_SMOKE_* absent from a customer build. Evidence: activation log + grep.</t>
  </si>
  <si>
    <t xml:space="preserve">M2-40</t>
  </si>
  <si>
    <t xml:space="preserve">Full RBAC role-scope live across 6 roles - and make the persona matrix ENFORCING</t>
  </si>
  <si>
    <t xml:space="preserve">EXTENDED. src/security/roleAccess.ts was repaired 09-Jul (keys repointed to canonical routes, unmapped paths now DENY instead of falling back to a capability every role holds). But routeDecision() is still consumed ONLY by the read-only PersonaAccessMatrixPage and its test - NO router guard calls it. The page now says so honestly. Make it true: wire routeDecision into a route guard, keep it in step with the server-side AccessControlMiddleware matrix, and add a test that the two agree.</t>
  </si>
  <si>
    <t xml:space="preserve">A Viewer navigating to /assistant/configuration is stopped client-side with a reason AND server-side with a 403; a CI test asserts every route in roleAccess.ts appears in the backend Matrix and vice versa.</t>
  </si>
  <si>
    <t xml:space="preserve">M2-41</t>
  </si>
  <si>
    <t xml:space="preserve">Demo-layer eradication B: rename generic code trapped in demo-named files</t>
  </si>
  <si>
    <t xml:space="preserve">Class-1 renames with all references updated: DemoAnalyticsPages(.implementation) -&gt; PlatformOpsPages; DemoAnalyticsWorkflowTruthPage -&gt; ConnectorTruthPage; demo-analytics.css -&gt; platform-ops.css; api/demo-analytics/demoAnalytics.api.ts -&gt; split generic Suggestions/DynamicPage endpoints into platformOps.api.ts; Phase10LicenseDemoPage -&gt; CommercialLicenseShowcasePage (also kills a phase code). Namin || NOTE 10-Jul: subordinate to the new M2-02/M2-03 keystones - coordinate, don't duplicate.</t>
  </si>
  <si>
    <t xml:space="preserve">No file/route/component in src/ contains "demo" except the architecture test + allowlist; bundle chunk names contain no Demo*; tsc+build+vitest green; /admin Connector Truth tab unchanged visually.</t>
  </si>
  <si>
    <t xml:space="preserve">M2-42</t>
  </si>
  <si>
    <t xml:space="preserve">Spamhaus / outbound-mail relay remediation (relay + SPF/DKIM/PTR + block 25)</t>
  </si>
  <si>
    <t xml:space="preserve">The Hetzner/Spamhaus abuse notice (23 Jun) requires lead-capture email to stop sending direct on port 25. Route all outbound mail (the website lead-capture, V5OutboundLeadSystemEndpoints) through an authenticated transactional relay on 587/465, publish SPF and DKIM DNS records for plantprocessiq.com, set a valid PTR/reverse-DNS for the sending IP, and block outbound port 25 at the firewall. Relay </t>
  </si>
  <si>
    <t xml:space="preserve">A lead submitted on the live site is delivered to the inbox via the 587/465 relay (headers show the relay, not direct 25); `dig TXT` shows valid SPF + DKIM for plantprocessiq.com; the sending IP has a matching PTR; outbound 25 is closed (egress test); a public Spamhaus lookup shows the IP/domain not</t>
  </si>
  <si>
    <t xml:space="preserve">M2-43</t>
  </si>
  <si>
    <t xml:space="preserve">Wire website CTA to a real inbox (CODE DONE — commit + SMTP + relay)</t>
  </si>
  <si>
    <t xml:space="preserve">Per the handover the lead-email CODE is DONE and builds clean (V5OutboundLeadSystemEndpoints.cs TrySendLeadEmailAsync; env PlantProcess__Lead__Smtp__*; form POSTs to /api/v5/outbound/leads). Remaining: COMMIT it; supply live SMTP env; do a real-send test. IMPORTANT: route via an authenticated transactional relay (587/465) with SPF+DKIM+PTR and outbound port 25 blocked - never send from the VPS IP </t>
  </si>
  <si>
    <t xml:space="preserve">A test submit lands in your inbox/DB via the relay; Spamhaus web-checker shows the IP not listing. Evidence: the received lead + checker screenshot + commit hash.</t>
  </si>
  <si>
    <t xml:space="preserve">M2-44</t>
  </si>
  <si>
    <t xml:space="preserve">Extend the grounding contract to ALL widgets (render-time uncited-number gate)</t>
  </si>
  <si>
    <t xml:space="preserve">CODE-VALIDATED: GroundingService.cs already blocks uncited numbers (every number must trace to a claim handle), blocks causation language, drops synthetic claims, refuses honestly. DO NOT rebuild the contract. Lift the SAME mechanism from the assistant to EVERY surfaced number across dashboards: each KPI/chart-series/tile/cell carries a resolvable provenance handle or is not rendered. Add a render</t>
  </si>
  <si>
    <t xml:space="preserve">A CI gate asserts 0 uncited numerics on the demo path; clicking any number/graph/tile opens its provenance handle resolving to a real source; a deliberately uncited test value is BLOCKED from render (negative test); the implementation reuses GroundingService's proven logic, not a parallel one.</t>
  </si>
  <si>
    <t xml:space="preserve">M2-45</t>
  </si>
  <si>
    <t xml:space="preserve">Sharpen AI/ML results: calibration, effect-size ranking, stratified quality</t>
  </si>
  <si>
    <t xml:space="preserve">Improve the learning output: calibrated scores, effect-size (not just p-value) ranking, stratified quality by visible confounders, under BH-FDR - framed as suspected contributors. The 06-analytics-methodology doc already commits to this posture.</t>
  </si>
  <si>
    <t xml:space="preserve">On the golden dataset, true signals are recovered and spurious rejected under FDR; results show effect size + stratification. Evidence: golden-set test + clip.</t>
  </si>
  <si>
    <t xml:space="preserve">M2-46</t>
  </si>
  <si>
    <t xml:space="preserve">Impressive evidence-ranked suggestion engine (deterministic, euro impact)</t>
  </si>
  <si>
    <t xml:space="preserve">Deterministic, MD5-stable suggestions ranked by evidence + euro impact, workflow-bound with RBAC, surfaced in SuggestionCardsPanel - the 'told me something I didn't know, and proved it' moment.</t>
  </si>
  <si>
    <t xml:space="preserve">Suggestions render with population, method, evidence handle and a euro range; reproducible IDs. Evidence: test + clip.</t>
  </si>
  <si>
    <t xml:space="preserve">M2-47</t>
  </si>
  <si>
    <t xml:space="preserve">M2-P6</t>
  </si>
  <si>
    <t xml:space="preserve">MFA step-up for admin accounts</t>
  </si>
  <si>
    <t xml:space="preserve">TOTP/WebAuthn step-up enforced for admin roles per the identity doctrine. (sysadmin is the support account; MFA applies to any admin-capable login.)</t>
  </si>
  <si>
    <t xml:space="preserve">An admin action triggers an MFA step-up live; non-admin does not. Evidence: test + clip.</t>
  </si>
  <si>
    <t xml:space="preserve">M2-48</t>
  </si>
  <si>
    <t xml:space="preserve">Job governance 3: Loading no-op fast path (watermark compare, exit in ms)</t>
  </si>
  <si>
    <t xml:space="preserve">A Loading job first compares ITS processed watermark against the Stage-1 watermarks of the staging tables its mapping view reads; if nothing new arrived it exits as NoNewData in milliseconds (logged, cheap). Makes the 3-min floor safe and 35 Loading jobs nearly free between real arrivals.</t>
  </si>
  <si>
    <t xml:space="preserve">Run a Loading job twice with no new staging rows: second run completes &lt; 200 ms with status NoNewData; insert one staging row -&gt; next run processes exactly the delta.</t>
  </si>
  <si>
    <t xml:space="preserve">M2-49</t>
  </si>
  <si>
    <t xml:space="preserve">Job governance 4: Run-now button on every job type (respects locks, refuses double-run)</t>
  </si>
  <si>
    <t xml:space="preserve">Run-now bypasses the SCHEDULE, never the guards: it acquires the same per-source lock/parallelism slot, and refuses politely (typed 409) if the same job is already executing (no silent queue-forever, no double-execution). Exposed on all four job types in Jobs Monitor + the owning pages.</t>
  </si>
  <si>
    <t xml:space="preserve">Click Run-now while the job runs -&gt; UI shows "already running" from the 409; run-now on a source mid-scan queues/locks correctly; no duplicate concurrent execution observable in the run table.</t>
  </si>
  <si>
    <t xml:space="preserve">M2-50</t>
  </si>
  <si>
    <t xml:space="preserve">320 must be lock-light on re-run (unconditional ACCESS EXCLUSIVE DDL)</t>
  </si>
  <si>
    <t xml:space="preserve">NEW. 320_p3_business_key_reconciliation.sql issues ALTER TABLE ... ADD COLUMN IF NOT EXISTS, DROP TRIGGER IF EXISTS and CREATE TRIGGER unconditionally. All three take ACCESS EXCLUSIVE on material_aliases BEFORE checking whether the work is needed, so a re-run blocks on any open connection - which is exactly how the integration test timed out at Npgsql's 30s default while holding its own connections. Guard each with a catalog check (information_schema.columns, pg_trigger) so a no-op run takes no exclusive lock. This matters far more on a customer's live database than in the test.</t>
  </si>
  <si>
    <t xml:space="preserve">Re-running 320 against a populated database with an open API connection completes in milliseconds and acquires no ACCESS EXCLUSIVE lock (verified via pg_locks during the run).</t>
  </si>
  <si>
    <t xml:space="preserve">M2-51</t>
  </si>
  <si>
    <t xml:space="preserve">ppiq_run_mapping_lifecycle_proof is not idempotent</t>
  </si>
  <si>
    <t xml:space="preserve">NEW. The 'proof' PUBLISHES a new mapping version on every call - 37 Published + 31 RolledBack rows had accumulated by 09-Jul. Its own test asserts a rollback step with Ok=true, but the domain correctly refuses: CannotRollbackPublished ('a published mapping version cannot be rolled back; supersede it instead'). Decide which is right: the proof should roll back a DRAFT version, or the test should assert publish-is-terminal. Then make the function idempotent (transaction-scoped or self-cleaning) so running the suite twice is not a state mutation.</t>
  </si>
  <si>
    <t xml:space="preserve">The proof runs twice with identical output and creates no net rows; the test asserts the real lifecycle (validate -&gt; publish -&gt; supersede) rather than a rollback the domain forbids.</t>
  </si>
  <si>
    <t xml:space="preserve">M2-52</t>
  </si>
  <si>
    <t xml:space="preserve">In-app Log tab: per-page context, saved filters, CSV export</t>
  </si>
  <si>
    <t xml:space="preserve">RESCOPED. The global LogPanel now ships job/system source toggle, server-side word search, severity/type/day filters and a 10s poll (M1-10, 09-Jul). What remains: a per-page log context (show only the jobs that page triggered), saved filter presets per user, and CSV/NDJSON export for support tickets.</t>
  </si>
  <si>
    <t xml:space="preserve">From any page, the log tab defaults to that page's job types; a saved preset survives reload; export produces a file whose row count matches the visible filter.</t>
  </si>
  <si>
    <t xml:space="preserve">M2-53</t>
  </si>
  <si>
    <t xml:space="preserve">M2-P2</t>
  </si>
  <si>
    <t xml:space="preserve">Logging to 100%: LogPanel polish, retention ops, log shipping doc, audit alignment</t>
  </si>
  <si>
    <t xml:space="preserve">Finish V1-46 polish (job-name typeahead, saved filters, CSV export), table+file retention/purge verified, ops doc (where logs live per profile, rotation, how to ship to customer SIEM), align audit_log vs job_log responsibilities in the doctrine.</t>
  </si>
  <si>
    <t xml:space="preserve">Export produces a filtered CSV; purge job evidenced; doc reviewed against a fresh install.</t>
  </si>
  <si>
    <t xml:space="preserve">M2-54</t>
  </si>
  <si>
    <t xml:space="preserve">Pricing &amp; license-tiers PAGE (web) — content delivered in 07-editions doc</t>
  </si>
  <si>
    <t xml:space="preserve">content</t>
  </si>
  <si>
    <t xml:space="preserve">The CONTENT exists: 07-editions-and-licensing.md states the editions, the signed-entitlement model, renewal, and caps. Remaining: render it as a public web page on the marketing site (honesty-lint green) and fill [[PER_PLANT_ACV_RANGE]]/[[FLEET_ACV_RANGE]] with your real numbers.</t>
  </si>
  <si>
    <t xml:space="preserve">The page lists all four tiers with grants/renewal/caps; honesty-lint green; ACV ranges filled. Evidence: the page.</t>
  </si>
  <si>
    <t xml:space="preserve">M2-55</t>
  </si>
  <si>
    <t xml:space="preserve">G7 Values justified</t>
  </si>
  <si>
    <t xml:space="preserve">Visual-regression harness (baseline + diff gate)</t>
  </si>
  <si>
    <t xml:space="preserve">Capture a baseline of every demo-path page and gate PRs on a pixel/DOM diff so styling never silently drifts.</t>
  </si>
  <si>
    <t xml:space="preserve">A deliberate style change fails the diff gate; an intended change updates the baseline. Evidence: CI run.</t>
  </si>
  <si>
    <t xml:space="preserve">M2-56</t>
  </si>
  <si>
    <t xml:space="preserve">Naming golden-rule pass: the INTERNAL phase/task-named artifacts</t>
  </si>
  <si>
    <t xml:space="preserve">RESCOPED. The USER-VISIBLE half is done (M1-08, 09-Jul): routes, nav labels, page titles, kickers, test-ids, loading strings and src/api/assistantApi.ts, all gated repo-wide including string literals in data maps. What remains is internal and each item is coupled to a stylesheet, so class names must move in the SAME commit or the page silently unstyles: pages/Phase8/ + phase8-ai.css + .phase8-* classes; pages/Phase9/ + phase9-personas.css + .phase9-* classes (and data-testid="phase9-persona-access-matrix"); pages/Phase7ValueScenario/ + phase7-value-scenario.css; pages/Analytics/AdvancedAnalysisPage data-testid="phase8-readiness-*"; playwright.phase9.config.ts; and the BACKEND endpoints /api/phase8/suggestions/* and /api/phase8/assistant-config, which additionally need matching AccessControlMiddleware matrix entries. src/phase11 is handled by its own M1 task (wire-or-delete, not rename).</t>
  </si>
  <si>
    <t xml:space="preserve">Zero phase/task tokens in any file name, directory name, class name, test-id or backend route; the existing repo-wide gate is widened to file paths and class names and stays green; every renamed stylesheet's selectors move in the same commit.</t>
  </si>
  <si>
    <t xml:space="preserve">M2-57</t>
  </si>
  <si>
    <t xml:space="preserve">Harden .env&lt;-&gt;Postgres-volume password coupling + provisioning resilience  [NEW 26-Jun]</t>
  </si>
  <si>
    <t xml:space="preserve">NEW from the 26-Jun session. Two small hardenings: (1) make ensure-runtime-env.sh PRESERVE POSTGRES_PASSWORD across a stale-key regeneration (today a regen rotates it and diverges from the existing Postgres volume -&gt; 28P01); document the rule that /var/lib/ppiq-preserve/.env must not be deleted, and if it is, the volume must be wiped in the same step. (2) Wrap FirstRunProvisioningHostedService pro</t>
  </si>
  <si>
    <t xml:space="preserve">A simulated stale-key regen keeps the same POSTGRES_PASSWORD and the API still connects; an induced provisioning error is logged and the API still starts. Evidence: regen log + fault-injection test.</t>
  </si>
  <si>
    <t xml:space="preserve">M2-58</t>
  </si>
  <si>
    <t xml:space="preserve">Standardize all native buttons onto StandardButton</t>
  </si>
  <si>
    <t xml:space="preserve">~151 native buttons not on StandardButton. Migrate all to the standard component so styling is uniform current AND future (the Material-Investigation mismatch class is standardized away, not patched once).</t>
  </si>
  <si>
    <t xml:space="preserve">A scan shows 0 native buttons outside StandardButton; visual-regression green. Evidence: scan + diff.</t>
  </si>
  <si>
    <t xml:space="preserve">M2-59</t>
  </si>
  <si>
    <t xml:space="preserve">Performance-at-scale validation (630/5,600, virtualized tables)</t>
  </si>
  <si>
    <t xml:space="preserve">Validate no hang/lag at demo scale; virtualize large tables; progress indicators on long loads.</t>
  </si>
  <si>
    <t xml:space="preserve">At ~630 heats/~5,600 coils, no hang; tables virtualize; long loads show progress. Evidence: measured run.</t>
  </si>
  <si>
    <t xml:space="preserve">M2-60</t>
  </si>
  <si>
    <t xml:space="preserve">User guide: embed app screenshots into the delivered 02-capabilities narrative</t>
  </si>
  <si>
    <t xml:space="preserve">The narrative user guide is DELIVERED (02-platform-capabilities.md + index walk the platform feature by feature, zero placeholders). Remaining: capture real app screenshots from the live demo and embed them inline + a 9-step walkthrough section.</t>
  </si>
  <si>
    <t xml:space="preserve">The guide carries screenshots matching the current UI alongside the delivered narrative. Evidence: the doc.</t>
  </si>
  <si>
    <t xml:space="preserve">M2-61</t>
  </si>
  <si>
    <t xml:space="preserve">Install runbook: embed screenshots into the delivered 03-architecture narrative</t>
  </si>
  <si>
    <t xml:space="preserve">The deployment narrative is DELIVERED (03-architecture-and-deployment.md covers SaaS/dedicated/on-prem/air-gapped). Remaining: add the concrete server runbook (infra plantprocessiq + app ppiq-app, the git-push pipeline, .env/secret handling, sysadmin first-login) WITH screenshots, cross-referencing Identity &amp; Topology v4.</t>
  </si>
  <si>
    <t xml:space="preserve">A clean machine reaches a working login by following the runbook only. Evidence: the runbook + a clean-follow log.</t>
  </si>
  <si>
    <t xml:space="preserve">M2-62</t>
  </si>
  <si>
    <t xml:space="preserve">Admin/Operator guide: screenshots + two-admin model (05-onboarding delivered)</t>
  </si>
  <si>
    <t xml:space="preserve">The onboarding/integration narrative is DELIVERED (05-data-onboarding-and-integration.md). Remaining: an admin/operator guide with screenshots covering source onboarding, mapping, jobs monitor, schema-drift, and the two-admin model (sysadmin vs the customer admin added at commissioning).</t>
  </si>
  <si>
    <t xml:space="preserve">The guide covers each admin task with screenshots. Evidence: the doc.</t>
  </si>
  <si>
    <t xml:space="preserve">M2-63</t>
  </si>
  <si>
    <t xml:space="preserve">Security whitepaper (DELIVERED as 04-security doc — verify + publish)</t>
  </si>
  <si>
    <t xml:space="preserve">The security/procurement brief is DELIVERED (04-security-and-data-protection.md: read-only, identity incl. the two-admin model, secrets, isolation, encryption, audit, AI data boundary - each a design property). Remaining: confirm every stated control matches the shipped code (some are V2 enforcement tasks above) and add the Spamhaus-safe mail posture; then publish.</t>
  </si>
  <si>
    <t xml:space="preserve">Each control in the doc maps to shipped behavior or a tracked task; mail posture added. Evidence: the doc + a control-to-code map.</t>
  </si>
  <si>
    <t xml:space="preserve">M2-64</t>
  </si>
  <si>
    <t xml:space="preserve">Explain why 690's function body did not win under migrate</t>
  </si>
  <si>
    <t xml:space="preserve">NEW - unresolved. 690_mapping_and_genealogy_function_completion.sql defines ppiq_validate_genealogy_graph WITH the m.material_key::text cast. migrate applies every scripts/*.sql sorted by NAME, so 690 runs after 312/313 and should win. It did not: pg_proc held the uncast body, and the function threw 42804 on its first returned row. Applying 690 by hand succeeded immediately. Either 690 was aborting earlier in the file, or something re-applies 312/313 afterwards. Find out - this is the same class as the two gates above and may be hiding more. || NOTE 10-Jul: answered in part - migrate's ON_ERROR_STOP stops the FILE not the RUN; verify and close.</t>
  </si>
  <si>
    <t xml:space="preserve">A written explanation with evidence; if 690 aborts under migrate, the cause is fixed and the per-file summary from the migrate task proves it.</t>
  </si>
  <si>
    <t xml:space="preserve">M2-65</t>
  </si>
  <si>
    <t xml:space="preserve">API reference</t>
  </si>
  <si>
    <t xml:space="preserve">Normal</t>
  </si>
  <si>
    <t xml:space="preserve">Generate/author an API reference for the public endpoints (auth, licensing ed25519 activate/current with the licenseJws field, readiness, /api/v5/outbound/leads, etc.).</t>
  </si>
  <si>
    <t xml:space="preserve">The reference lists each endpoint with request/response shapes (correct field names). Evidence: the doc.</t>
  </si>
  <si>
    <t xml:space="preserve">M2-66</t>
  </si>
  <si>
    <t xml:space="preserve">G5 LLM &amp; prediction</t>
  </si>
  <si>
    <t xml:space="preserve">Chatbot/LLM + prediction to 100%: provider matrix, no-egress mode, grounded eval set</t>
  </si>
  <si>
    <t xml:space="preserve">CONTEXT CORRECTED 10-Jul. This card assumed a working assistant needing a provider matrix. It does not have one. AssistantService was never registered in DI; canon.assistant_chunk has never held a row; the chunk producer that would fill it was never written; and three assistant endpoint groups ship in parallel. M1 now carries those four tasks. What REMAINS here is the genuine M2 scope: a provider matrix (self-hosted vs zero-retention), no-egress mode proven, model-version governance, and prediction. Do not start this until the M1 assistant chain answers a cited question.
Complete V1-43: provider config CRUD against the REAL ppiq_assistant_provider_configs schema, at least self-hosted + one zero-retention cloud provider, egress guard verified, and a 25-question grounded eval set over engine results (citations resolve, uncited numbers blocked, refusal on out-of-evidence). Prediction: suggestion engine tuning + confidence display. || NOTE 10-Jul: AssistantService is the product surface (M1 registered it; chunks land in M1-09). This card now means provider matrix on TOP of that chain, not a parallel one.</t>
  </si>
  <si>
    <t xml:space="preserve">Eval set 25/25 grounded-pass in CI; no-egress toggle proven by network capture; provider switch via admin without restart.</t>
  </si>
  <si>
    <t xml:space="preserve">M2-67</t>
  </si>
  <si>
    <t xml:space="preserve">Wire DataBoundaryPolicy into assistant dispatch (no-egress live)</t>
  </si>
  <si>
    <t xml:space="preserve">NOTE 10-Jul: V5AssistantGatewayService advertises redactionBoundary=true in its health payload. Read it before writing a new DataBoundaryPolicy - the logic may already exist there and simply serve the wrong endpoint (the frontend calls AssistantService, not the gateway). Harvest, then delete the gateway.
Route every assistant call through the gateway so only question + scoped evidence leaves; honour a per-tenant no-egress toggle (self-hosted default). The 04-security doc commits to this.</t>
  </si>
  <si>
    <t xml:space="preserve">Self-hosted mode leaks nothing; private-endpoint sends only question+evidence; toggle proven. Evidence: test + capture.</t>
  </si>
  <si>
    <t xml:space="preserve">M2-68</t>
  </si>
  <si>
    <t xml:space="preserve">Assistant eval harness + model-version governance gate</t>
  </si>
  <si>
    <t xml:space="preserve">An eval harness that gates assistant regressions and a model-version governance gate (no uncited number, citations resolve).</t>
  </si>
  <si>
    <t xml:space="preserve">The harness fails on an injected uncited-number regression; passes clean. Evidence: the harness + CI.</t>
  </si>
  <si>
    <t xml:space="preserve">M2-69</t>
  </si>
  <si>
    <t xml:space="preserve">Correlation correctness harness: known-answer tests justify every displayed value</t>
  </si>
  <si>
    <t xml:space="preserve">Seeded known-answer dataset where the true driver+effect sizes are constructed; harness runs the full engine and asserts: identified contributors match ground truth, q-values within tolerance, population counts exact, bootstrap stability reproducible under fixed seed. Every number the HMI renders must be traceable to an engine output row (no frontend math). Extend prover with a numeric-audit block</t>
  </si>
  <si>
    <t xml:space="preserve">CI job runs the harness; any drift fails the build; a written justification doc maps each HMI figure to its engine field.</t>
  </si>
  <si>
    <t xml:space="preserve">M2-70</t>
  </si>
  <si>
    <t xml:space="preserve">E2E suite full realignment to V1-final product (Cat B remainder + Cat C coverage)</t>
  </si>
  <si>
    <t xml:space="preserve">Complete what M1 triaged: rewrite dead-assumption specs; ADD coverage: LogPanel open/filter/stream, six-connector green test-connect, credential-less typed error (ELKA01 guard e2e), site-identity rename, plant-scale counts, the three-surfaces happy paths.</t>
  </si>
  <si>
    <t xml:space="preserve">397+ tests green on 4 projects with zero fixmes referencing shipped behavior; new specs enumerated in the run output.</t>
  </si>
  <si>
    <t xml:space="preserve">M2-71</t>
  </si>
  <si>
    <t xml:space="preserve">Wire + expose L4 statistics LIVE (Spearman/MI/Lasso/VIF/bootstrap/FDR already built)</t>
  </si>
  <si>
    <t xml:space="preserve">CODE-VALIDATED: AdvancedCorrelationComputeService.cs (390) is BUILT - Spearman, Pearson/point-biserial, normalized MI, Cramer's V, iterative VIF, Lasso, Benjamini-Hochberg FDR, bootstrap stability, stratification. Update Doctrine sec.21 ('unstarted' is wrong). Remaining: run a correlation/inspection job LIVE on demo data through the HMI and surface the suspected contributor (method, q, bootstrap %</t>
  </si>
  <si>
    <t xml:space="preserve">A correlation job recomputes LIVE on demo data and the HMI shows a suspected contributor with the method named, q&lt;0.05 under BH-FDR, bootstrap stability %, stratified, population/exclusions stated; a golden dataset recovers true signals and rejects spurious ones under FDR; the engine test is extende</t>
  </si>
  <si>
    <t xml:space="preserve">M2-72</t>
  </si>
  <si>
    <t xml:space="preserve">E2E action-matrix enumerating every demo-path control (CI gate)</t>
  </si>
  <si>
    <t xml:space="preserve">The action-matrix spec exists and is 20/20 green (handover); promote it to a BLOCKING CI gate that enumerates every control on every demo-path page and runs on push.</t>
  </si>
  <si>
    <t xml:space="preserve">The action-matrix spec is green and blocking in CI. Evidence: the spec + CI run.</t>
  </si>
  <si>
    <t xml:space="preserve">M2-73</t>
  </si>
  <si>
    <t xml:space="preserve">Strengthened NO-DEMO-CODE CI gate (the guard that failed, twice)</t>
  </si>
  <si>
    <t xml:space="preserve">SHARPENED with two live misses. (1) noHardcodedDemoPages passed while DemoAnalyticsWorkflowTruthPage was rendered as a TAB inside AdminPageContent - the gate only checked React ROUTES, not composition. (2) A dead /suggestions route rendering DemoAnalyticsSuggestionsPage sat unreachable behind a duplicate path declaration for weeks. The gate must catch a demo-named export imported by ANY non-demo module, and must flag duplicate route path declarations. || NOTE 10-Jul: pattern now has FIVE instances (Jenkinsfile comment guards, rollback echo, mojibake repairer, harness v1, AddAssistant). Gate rule: a guard satisfiable by its own prose or output is not a guard; falsify every new gate once.</t>
  </si>
  <si>
    <t xml:space="preserve">A fixture that composes a Demo* component into a product page FAILS the gate; a duplicate &lt;Route path="/x"&gt; declaration FAILS the gate; both fixtures are committed.</t>
  </si>
  <si>
    <t xml:space="preserve">M2-74</t>
  </si>
  <si>
    <t xml:space="preserve">Real lead-capture backend (form-&gt;DB row+email via relay, e2e asserts)</t>
  </si>
  <si>
    <t xml:space="preserve">Harden the CTA path into a real backend: validated submit -&gt; stored row + email (via the authenticated relay, never the VPS IP), with an e2e test asserting the row. Builds on the V1 lead-email code.</t>
  </si>
  <si>
    <t xml:space="preserve">e2e asserts a lead row + email on submit through the relay. Evidence: the test.</t>
  </si>
  <si>
    <t xml:space="preserve">M2-75</t>
  </si>
  <si>
    <t xml:space="preserve">Identity &amp; Topology v5: correct the environment record</t>
  </si>
  <si>
    <t xml:space="preserve">Architecture</t>
  </si>
  <si>
    <t xml:space="preserve">NEW. Three documented facts are wrong and each cost debugging time on 09-Jul: (1) ppiq_app Postgres is a NATIVE Windows service (postgresql-x64-16) listening on 5432 - the ppiq-app-db container has been Exited(255) for weeks while everything worked; (2) DB credentials are ppiq_dev / ppiq_dev_local_only, not ppiq; (3) psql -h localhost resolves to ::1 and fails pg_hba - use 127.0.0.1. Also record that ppiq.ps1 down removes the SOURCE containers, and that reset-app-database.ps1 drops the 38,345-row plant dataset.</t>
  </si>
  <si>
    <t xml:space="preserve">Identity &amp; Topology v5 committed; a new developer can reach ppiq_app from a clean checkout using only the doc.</t>
  </si>
  <si>
    <t xml:space="preserve">M2-76</t>
  </si>
  <si>
    <t xml:space="preserve">G1 Server &amp; delivery</t>
  </si>
  <si>
    <t xml:space="preserve">Hetzner permanent fix: Caddyfile real file mount, website in compose, deploy gate + smoke</t>
  </si>
  <si>
    <t xml:space="preserve">Infra</t>
  </si>
  <si>
    <t xml:space="preserve">Server</t>
  </si>
  <si>
    <t xml:space="preserve">Replace runtime alias: fix bind-mount (file not dir), add plantprocess-website service to compose on the edge network, Jenkins deploys all three surfaces, post-deploy smoke incl. HMI-marker NEGATIVE check on website domain.</t>
  </si>
  <si>
    <t xml:space="preserve">Reboot-safe green deploy from git push; website domain never serves HMI markers.</t>
  </si>
  <si>
    <t xml:space="preserve">M2-77</t>
  </si>
  <si>
    <t xml:space="preserve">Remote license control: server-issued tokens, revocation/heartbeat, in-app license admin (&gt;75%)</t>
  </si>
  <si>
    <t xml:space="preserve">Extend Ed25519 licensing: license server endpoint (issue/renew/revoke), app heartbeat with grace period + offline allowance, in-app license admin page (view plan/expiry/entitlements, apply new token), tamper log to audit_log. Role model: finalize RBAC matrix (sysadmin/tenant-admin/engineer/viewer) across all admin surfaces. Target &gt;75% in M2; remainder (SCIM/SSO edge, delegated admin) M3.</t>
  </si>
  <si>
    <t xml:space="preserve">Revoking on the license server flips the app to locked state within one heartbeat; roles enforce on every /admin endpoint (integration tests per role).</t>
  </si>
  <si>
    <t xml:space="preserve">M2-78</t>
  </si>
  <si>
    <t xml:space="preserve">Phase gate: clean checkout boots seeded + green twice + SERVER deploy green</t>
  </si>
  <si>
    <t xml:space="preserve">End-of-phase regression. LOCAL: clean clone -&gt; `ppiq.ps1 reset &amp;&amp; ppiq.ps1 demo` boots the seeded stack; `ppiq.ps1 test` green twice; genealogy walk resolves; capture the `seed exit=0` line. SERVER: confirm `git push` -&gt; Jenkins `plantprocessiq-deploy` reaches PIPELINE GREEN (already true at build #96; the gate is to keep it green after the foundation/test work lands). Seals V1-P1 as deployable in</t>
  </si>
  <si>
    <t xml:space="preserve">All LOCAL gates pass on a fresh machine, scripted, with seed exit=0; the SERVER pipeline is green on the same commit. Evidence: one combined run log + the green Jenkins build.</t>
  </si>
  <si>
    <t xml:space="preserve">M2-79</t>
  </si>
  <si>
    <t xml:space="preserve">Commit LOCAL test config — fix the clean-machine failures (server suite already green)</t>
  </si>
  <si>
    <t xml:space="preserve">The SERVER pipeline already runs the backend (~567) and frontend (202) suites green. The remaining gap is the LOCAL clean-machine path: author committed appsettings.Test.json (DSN + 64-char signing key + a real admin + PPIQ_FORCE_EXTERNAL_API_TEST_HOST) and wire Do-Test so WebApplicationFactory boots the host and finds the DB without per-run env vars. This was the documented cause of the local 83 </t>
  </si>
  <si>
    <t xml:space="preserve">`ppiq.ps1 test` exits 0 TWICE on a fresh LOCAL checkout (no hand-set vars). Evidence: two consecutive green run logs.</t>
  </si>
  <si>
    <t xml:space="preserve">M2-80</t>
  </si>
  <si>
    <t xml:space="preserve">App boots under Playwright (no early webServer exit)</t>
  </si>
  <si>
    <t xml:space="preserve">Fix playwright config so webServer starts the API+web and waits for :5063/:5173 instead of exiting early; run at least one real spec against the booted app.</t>
  </si>
  <si>
    <t xml:space="preserve">`ppiq.ps1 e2e` starts the app and runs &gt;=1 spec to green. Evidence: Playwright HTML report.</t>
  </si>
  <si>
    <t xml:space="preserve">M2-81</t>
  </si>
  <si>
    <t xml:space="preserve">Persistent infra Caddyfile + correct route targets  [NEW 26-Jun]</t>
  </si>
  <si>
    <t xml:space="preserve">NEW from the 26-Jun session. The live infra Caddyfile is an orphaned inode (host bind source deleted) with STALE targets (plantprocess-app-web, plantprocess-website) that don't match the real containers (plantprocess-web, plantprocess-api); app.* still serves 200 but it's fragile and hot-reloads are non-persistent. Re-establish a persistent host-bound Caddyfile in the infra project with CORRECT ta</t>
  </si>
  <si>
    <t xml:space="preserve">After recreating ppiq-caddy, app.*/api.*/website.* all route to the correct live containers; the Caddyfile is host-bound and survives a restart. Evidence: docker exec cat + curl matrix.</t>
  </si>
  <si>
    <t xml:space="preserve">M2-82</t>
  </si>
  <si>
    <t xml:space="preserve">Cut the 2-3 minute demo video (blueprint delivered)</t>
  </si>
  <si>
    <t xml:space="preserve">Docs/Demo</t>
  </si>
  <si>
    <t xml:space="preserve">Rehearsal</t>
  </si>
  <si>
    <t xml:space="preserve">Per the handover the cut sheet PlantProcess-IQ-Demo-Reel-CutSheet.md is DELIVERED (2:45 EDL + VO + export + 'no dead click' QC). The MP4 render is yours and depends on the V1-13 recording.</t>
  </si>
  <si>
    <t xml:space="preserve">2-3 min MP4; no dead click. Evidence: the file.</t>
  </si>
  <si>
    <t xml:space="preserve">M3-01</t>
  </si>
  <si>
    <t xml:space="preserve">M3</t>
  </si>
  <si>
    <t xml:space="preserve">M3-P1</t>
  </si>
  <si>
    <t xml:space="preserve">G1 Multi-industry</t>
  </si>
  <si>
    <t xml:space="preserve">Second+third industry seed fleets: automotive + food/beverage emulated sources</t>
  </si>
  <si>
    <t xml:space="preserve">Two new emulated source fleets (compose projects) mirroring the meltshop pattern: automotive (stations, torque/leak tests, defects) and food/beverage (batches, CIP cycles, micro results). Same generic journey must ingest both with ZERO app changes - this is the generic-product proof for 20-plant sales. Seed generators produce realistic distributions with constructed known drivers for the V2-34 har</t>
  </si>
  <si>
    <t xml:space="preserve">Full journey (connect-&gt;import-&gt;map-&gt;canonical-&gt;correlate) passes on each fleet using only configuration; scorecard A6 evidence updated.</t>
  </si>
  <si>
    <t xml:space="preserve">M3-02</t>
  </si>
  <si>
    <t xml:space="preserve">M3-P2</t>
  </si>
  <si>
    <t xml:space="preserve">G2 Bug-burn</t>
  </si>
  <si>
    <t xml:space="preserve">V2 bug-burn: zero known Criticals, regression suite extended per fix</t>
  </si>
  <si>
    <t xml:space="preserve">Triage every defect raised during M2 + customer evaluation feedback; each fix lands with a regression test (Autonomous Generic-Fix Mandate: root cause only, no masking).</t>
  </si>
  <si>
    <t xml:space="preserve">Defect register shows zero open Critical/Very-Important; suites green including all new regressions.</t>
  </si>
  <si>
    <t xml:space="preserve">M3-03</t>
  </si>
  <si>
    <t xml:space="preserve">G4 License 100%</t>
  </si>
  <si>
    <t xml:space="preserve">License + roles to 100%: SSO/SCIM path, delegated tenant admin, commissioning runbook</t>
  </si>
  <si>
    <t xml:space="preserve">Complete the &gt;75% M2 scope: enterprise SSO/SCIM happy path, delegated tenant-admin management, license commissioning runbook for a new plant (Admin Golden Rule codified), penetration checklist on auth surfaces.</t>
  </si>
  <si>
    <t xml:space="preserve">New-plant commissioning executed start-to-finish from the runbook by someone other than the author; role matrix tests 100%.</t>
  </si>
  <si>
    <t xml:space="preserve">M3-04</t>
  </si>
  <si>
    <t xml:space="preserve">Second-industry demo dataset (paper/board line) + mapping templates</t>
  </si>
  <si>
    <t xml:space="preserve">A paper/board demo dataset (sources + fixtures) and mapping templates, built entirely through the HMI like the steel demo - proving the generic mandate the docs claim.</t>
  </si>
  <si>
    <t xml:space="preserve">The paper demo builds from empty via HMI; a genealogy thread resolves on its keys. Evidence: clip.</t>
  </si>
  <si>
    <t xml:space="preserve">M3-05</t>
  </si>
  <si>
    <t xml:space="preserve">Third-industry demo dataset (food &amp; beverage) + tier configs</t>
  </si>
  <si>
    <t xml:space="preserve">A food &amp; beverage demo dataset + per-tier configs, same HMI-only build.</t>
  </si>
  <si>
    <t xml:space="preserve">The F&amp;B demo builds from empty via HMI. Evidence: clip.</t>
  </si>
  <si>
    <t xml:space="preserve">M3-06</t>
  </si>
  <si>
    <t xml:space="preserve">One-command customer-install package (per-industry overlay)</t>
  </si>
  <si>
    <t xml:space="preserve">Package a one-command customer install with a per-industry overlay, building on the green server pipeline + PPIQ_SITE_HOST host-derivation.</t>
  </si>
  <si>
    <t xml:space="preserve">A fresh host installs + reaches login with one command + an overlay. Evidence: clean-install log.</t>
  </si>
  <si>
    <t xml:space="preserve">M3-07</t>
  </si>
  <si>
    <t xml:space="preserve">Enforce RLS on core tables (decide tenant_id; non-superuser app role)</t>
  </si>
  <si>
    <t xml:space="preserve">Decide deliberately (RLS-scoped core vs single-tenant-per-deploy). If multi-tenant: add tenant_id to the core EF entities model-first, run the app under a non-superuser role so RLS is actually enforced (locally ppiq_dev is bypassrls), and prove cross-tenant 403/empty. NOTE: ppiq_ed25519_license_public_keys already demonstrates forced RLS - use it as the pattern.</t>
  </si>
  <si>
    <t xml:space="preserve">Cross-tenant access returns 403/empty live under a non-superuser role. Evidence: RlsTenantIsolation test green + clip.</t>
  </si>
  <si>
    <t xml:space="preserve">M3-08</t>
  </si>
  <si>
    <t xml:space="preserve">Wire SourceLoadProtectionPolicy into the live query path</t>
  </si>
  <si>
    <t xml:space="preserve">Enforce the per-source impact budget on a real query path so an over-budget query is throttled, not just policy-defined.</t>
  </si>
  <si>
    <t xml:space="preserve">An over-budget query is throttled live. Evidence: test + clip.</t>
  </si>
  <si>
    <t xml:space="preserve">M3-09</t>
  </si>
  <si>
    <t xml:space="preserve">M3-P3</t>
  </si>
  <si>
    <t xml:space="preserve">Nightly full-suite CI job (cron)</t>
  </si>
  <si>
    <t xml:space="preserve">The deploy pipeline runs on push; add a scheduled nightly job that runs the FULL backend+frontend+e2e suite and reports flaky tests, independent of pushes.</t>
  </si>
  <si>
    <t xml:space="preserve">A nightly run exists and reports pass-rate + flaky count. Evidence: the cron job + a nightly report.</t>
  </si>
  <si>
    <t xml:space="preserve">M3-10</t>
  </si>
  <si>
    <t xml:space="preserve">Generic canonical-mapping template library + no-code visual-mapper polish</t>
  </si>
  <si>
    <t xml:space="preserve">A reusable template library + polish on the no-code visual mapper so the common case needs zero SQL across industries.</t>
  </si>
  <si>
    <t xml:space="preserve">A non-developer maps a new source via templates + drag-drop, no SQL. Evidence: clip.</t>
  </si>
  <si>
    <t xml:space="preserve">M3-11</t>
  </si>
  <si>
    <t xml:space="preserve">Historian connector to GA (behavioural-tested)</t>
  </si>
  <si>
    <t xml:space="preserve">Take one historian connector (e.g. OPC-UA) to GA with behavioural certification tests.</t>
  </si>
  <si>
    <t xml:space="preserve">The historian connector passes behavioural certification + links live. Evidence: test + clip.</t>
  </si>
  <si>
    <t xml:space="preserve">M3-12</t>
  </si>
  <si>
    <t xml:space="preserve">Multi-tenancy: tenant column on material_units + tenant-parameterized canonical layer + RLS</t>
  </si>
  <si>
    <t xml:space="preserve">CODE-VALIDATED GAP: the canonical layer is single-tenant-baked. canonical_material_units / canonical_genealogy_edges (310_mapping_genealogy_foundation.sql) are VIEWS with a HARDCODED tenant_id constant; material_units has NO tenant column; two tests only agree because a migration forces the constant to be the earliest ppiq_tenants row. Add a real tenant_id to material_units (+ backfill migration),</t>
  </si>
  <si>
    <t xml:space="preserve">A cross-tenant query returns 0 rows / 403 (RLS proven by test); the canonical views resolve the SESSION tenant, not a constant; the genealogy tests pass without relying on 'earliest row == constant'; a second seeded tenant's data is fully isolated end-to-end.</t>
  </si>
  <si>
    <t xml:space="preserve">M3-13</t>
  </si>
  <si>
    <t xml:space="preserve">Demo dataset polish + per-industry scripted reset</t>
  </si>
  <si>
    <t xml:space="preserve">Polish each demo dataset and add a one-command scripted reset per industry so any prospect sees the same clean story.</t>
  </si>
  <si>
    <t xml:space="preserve">One command resets+reseeds an industry to a known state. Evidence: run log.</t>
  </si>
  <si>
    <t xml:space="preserve">M3-14</t>
  </si>
  <si>
    <t xml:space="preserve">Encryption at rest: staging/canonical/credential-vault</t>
  </si>
  <si>
    <t xml:space="preserve">Encryption at rest for the app DB and the source-credential vault; document the key management. The 04-security doc already states this as a design property - implement + verify it.</t>
  </si>
  <si>
    <t xml:space="preserve">At-rest encryption is on and verified; credentials are encrypted in the vault. Evidence: config + verification.</t>
  </si>
  <si>
    <t xml:space="preserve">M3-15</t>
  </si>
  <si>
    <t xml:space="preserve">M3-P4</t>
  </si>
  <si>
    <t xml:space="preserve">WCAG 2.1 AA light theme + contrast audit</t>
  </si>
  <si>
    <t xml:space="preserve">A WCAG 2.1 AA light theme + contrast audit across the app.</t>
  </si>
  <si>
    <t xml:space="preserve">An automated WCAG audit passes AA; the light theme renders. Evidence: audit report.</t>
  </si>
  <si>
    <t xml:space="preserve">M3-16</t>
  </si>
  <si>
    <t xml:space="preserve">Arabic RTL + locale/units/timezone switching per user</t>
  </si>
  <si>
    <t xml:space="preserve">Arabic RTL layout + per-user locale/units/timezone switching.</t>
  </si>
  <si>
    <t xml:space="preserve">Switching to Arabic re-flows RTL correctly; units/timezone follow the user. Evidence: clip.</t>
  </si>
  <si>
    <t xml:space="preserve">M3-17</t>
  </si>
  <si>
    <t xml:space="preserve">i18n as backend resource files (.resx/JSON)</t>
  </si>
  <si>
    <t xml:space="preserve">RESCOPED. The mojibake half is DONE (09-Jul): 119 corrupted lines repaired across 13 frontend files via a guarded cp1252 round-trip, and a noMojibake vitest gate now prevents regression. Six backend .cs files remain and are handled by their own M1 task. What remains here is the original intent: move backend user-facing strings into resource files so they can be translated alongside the frontend locales.</t>
  </si>
  <si>
    <t xml:space="preserve">Backend user-facing strings resolve from resource files; a DE resource file changes an API-sourced label without a code change; no English string comparison remains in a gate or a policy.</t>
  </si>
  <si>
    <t xml:space="preserve">M3-18</t>
  </si>
  <si>
    <t xml:space="preserve">Soak job (24-72h synthetic load on demo path)</t>
  </si>
  <si>
    <t xml:space="preserve">A 24-72h synthetic-load soak against the demo path to catch leaks/instability.</t>
  </si>
  <si>
    <t xml:space="preserve">A 24h+ soak completes with no leak/regression. Evidence: soak report.</t>
  </si>
  <si>
    <t xml:space="preserve">M3-19</t>
  </si>
  <si>
    <t xml:space="preserve">Real-domain TLS cutover (off sslip.io)  [NEW 26-Jun]</t>
  </si>
  <si>
    <t xml:space="preserve">NEW from the 26-Jun session. The demo runs on 178.105.152.180.sslip.io with host-derived URLs (PPIQ_SITE_HOST). To move to a real domain: set PPIQ_SITE_HOST=&lt;domain&gt;, CADDY_AUTO_HTTPS=on, ACME_EMAIL=&lt;addr&gt;, point real DNS, and let Caddy issue real certs - all URLs + CORS follow automatically.</t>
  </si>
  <si>
    <t xml:space="preserve">The app/api/website serve on the real domain over valid public TLS; CORS allows the real origins. Evidence: cert + curl.</t>
  </si>
  <si>
    <t xml:space="preserve">M3-20</t>
  </si>
  <si>
    <t xml:space="preserve">i18n-harden the honesty + grounding gates (structural, not English keywords)</t>
  </si>
  <si>
    <t xml:space="preserve">CODE-VALIDATED GAP (violates the EN/DE/AR i18n doctrine): ValueHonestyLint forbids English literals ('guaranteed','will save') and GroundingService's forbidden-phrase list is English-only ('root cause','is caused by'...). The number-block is structural (good) but the phrase-block breaks in German/Arabic. Replace English-keyword phrase detection with structural/typed signals: a causation-assertion </t>
  </si>
  <si>
    <t xml:space="preserve">The honesty/causation gate blocks the same intent in German and Arabic test fixtures (not just English); no raw English-keyword regex remains in the value/grounding path; the existing English tests still pass.</t>
  </si>
  <si>
    <t xml:space="preserve">M3-21</t>
  </si>
  <si>
    <t xml:space="preserve">Move Jenkins to a separate Docker network from the app project  [NEW 26-Jun]</t>
  </si>
  <si>
    <t xml:space="preserve">NEW from the 26-Jun session. Today ppiq-jenkins and the app project share network reachability via the edge alias. Move Jenkins onto its own network so the CI/CD agent is isolated from the app stack (defense in depth), keeping only the Caddy fronting it.</t>
  </si>
  <si>
    <t xml:space="preserve">Jenkins runs on a dedicated network; the app stack cannot reach Jenkins by name; deploys still work. Evidence: network inspect + a green deploy.</t>
  </si>
  <si>
    <t xml:space="preserve">M3-22</t>
  </si>
  <si>
    <t xml:space="preserve">M3-P5</t>
  </si>
  <si>
    <t xml:space="preserve">HasDefaultSchema -&gt; ppiq_meta/ppiq_plant for EF entities</t>
  </si>
  <si>
    <t xml:space="preserve">Add HasDefaultSchema mapping so EF tables land in ppiq_meta/ppiq_plant instead of public, realising the app-metadata vs customer-data split.</t>
  </si>
  <si>
    <t xml:space="preserve">`\dt ppiq_meta.*` and `ppiq_plant.*` list the EF tables after migrate. Evidence: psql output.</t>
  </si>
  <si>
    <t xml:space="preserve">M3-23</t>
  </si>
  <si>
    <t xml:space="preserve">Log retention, size caps &amp; optional forwarding (ops policy)</t>
  </si>
  <si>
    <t xml:space="preserve">Production logging policy: a retention window (delete/compress logs older than N days), per-file and total size caps, and an optional forward target (a file share or syslog/OTLP) - all env-configurable. Ensure logs never fill the VPS disk; ensure no secrets are written (scrub connection strings/tokens from log output).</t>
  </si>
  <si>
    <t xml:space="preserve">Logs older than the configured window are pruned/compressed; total log size stays under the cap under a soak; a secret deliberately passed through is NOT present in any log (scrub test); the forwarding target receives events when enabled.</t>
  </si>
  <si>
    <t xml:space="preserve">M3-24</t>
  </si>
  <si>
    <t xml:space="preserve">QES product page to depth</t>
  </si>
  <si>
    <t xml:space="preserve">Optional</t>
  </si>
  <si>
    <t xml:space="preserve">Take the QES product page to full depth (was 'coming soon').</t>
  </si>
  <si>
    <t xml:space="preserve">The QES page is complete; honesty-lint green. Evidence: the page.</t>
  </si>
  <si>
    <t xml:space="preserve">M3-25</t>
  </si>
  <si>
    <t xml:space="preserve">Energy Management product page to depth</t>
  </si>
  <si>
    <t xml:space="preserve">Take the Energy Management product page to full depth.</t>
  </si>
  <si>
    <t xml:space="preserve">The Energy page is complete; honesty-lint green. Evidence: the page.</t>
  </si>
  <si>
    <t xml:space="preserve">M3-26</t>
  </si>
  <si>
    <t xml:space="preserve">G3 Engine hardening</t>
  </si>
  <si>
    <t xml:space="preserve">Engine/ML/AI hardening: performance envelopes, drift detection, chatbot eval expansion</t>
  </si>
  <si>
    <t xml:space="preserve">Perf: correlation on 1M-row canonical within budget (document envelope); numeric stability under resampling; suggestion drift monitor; chatbot eval set grown to 100 questions incl. adversarial uncited-number probes.</t>
  </si>
  <si>
    <t xml:space="preserve">Perf budget doc with measured numbers; drift alarm demonstrably fires on injected drift; eval 100/100.</t>
  </si>
  <si>
    <t xml:space="preserve">M3-27</t>
  </si>
  <si>
    <t xml:space="preserve">Health dashboard (suite/e2e pass-rate, flaky count)</t>
  </si>
  <si>
    <t xml:space="preserve">A small dashboard surfacing suite pass-rate, e2e pass-rate, and flaky-test count over time.</t>
  </si>
  <si>
    <t xml:space="preserve">The dashboard renders current + trend from real runs. Evidence: the page.</t>
  </si>
  <si>
    <t xml:space="preserve">M4-01</t>
  </si>
  <si>
    <t xml:space="preserve">M4</t>
  </si>
  <si>
    <t xml:space="preserve">M4-P1</t>
  </si>
  <si>
    <t xml:space="preserve">Contract-shaped</t>
  </si>
  <si>
    <t xml:space="preserve">Convert presentation customer into a signed paid pilot</t>
  </si>
  <si>
    <t xml:space="preserve">Convert the presentation prospect into a signed paid pilot (using the delivered 08-pilot offer with your price filled).</t>
  </si>
  <si>
    <t xml:space="preserve">A signed pilot agreement exists. Evidence: the signature.</t>
  </si>
  <si>
    <t xml:space="preserve">M4-02</t>
  </si>
  <si>
    <t xml:space="preserve">Prove ROI on the customer's real data (pilot deliverable)</t>
  </si>
  <si>
    <t xml:space="preserve">On the customer's real data, prove a bounded ROI - the pilot deliverable.</t>
  </si>
  <si>
    <t xml:space="preserve">A proven (not projected) euro figure on the customer's data. Evidence: the report.</t>
  </si>
  <si>
    <t xml:space="preserve">M4-03</t>
  </si>
  <si>
    <t xml:space="preserve">Run the paid pilot</t>
  </si>
  <si>
    <t xml:space="preserve">Run the paid pilot end-to-end on the customer's environment.</t>
  </si>
  <si>
    <t xml:space="preserve">The pilot completes its scope. Evidence: the pilot log.</t>
  </si>
  <si>
    <t xml:space="preserve">M4-04</t>
  </si>
  <si>
    <t xml:space="preserve">Convert pilot to a signed contract</t>
  </si>
  <si>
    <t xml:space="preserve">Convert the completed pilot into a signed annual contract.</t>
  </si>
  <si>
    <t xml:space="preserve">A signed contract exists. Evidence: the signature.</t>
  </si>
  <si>
    <t xml:space="preserve">M4-05</t>
  </si>
  <si>
    <t xml:space="preserve">M4-P2</t>
  </si>
  <si>
    <t xml:space="preserve">Backup/restore drill (verified restore, recorded)</t>
  </si>
  <si>
    <t xml:space="preserve">Drill a full backup + verified restore of the app DB; record it. Closes the restore half of A4-9/G9 the deploy session did not.</t>
  </si>
  <si>
    <t xml:space="preserve">A restore from backup reaches a working login; recorded. Evidence: the recording.</t>
  </si>
  <si>
    <t xml:space="preserve">M4-06</t>
  </si>
  <si>
    <t xml:space="preserve">Time-series store (hypertables, compression, retention)</t>
  </si>
  <si>
    <t xml:space="preserve">Introduce a time-series store (hypertables/columnar, compression, downsampling, retention) for high-frequency parameters.</t>
  </si>
  <si>
    <t xml:space="preserve">Parameter data lands in the time-series store with compression + retention. Evidence: schema + query.</t>
  </si>
  <si>
    <t xml:space="preserve">M4-07</t>
  </si>
  <si>
    <t xml:space="preserve">Deployable OT-safe edge agent (one-way push)</t>
  </si>
  <si>
    <t xml:space="preserve">Build a deployable Edge Collector that pushes one-way from the DMZ; the core never connects into OT. The docs already describe this model.</t>
  </si>
  <si>
    <t xml:space="preserve">The agent pushes one-way; no inbound path to OT; load within budget. Evidence: deploy + capture.</t>
  </si>
  <si>
    <t xml:space="preserve">M4-08</t>
  </si>
  <si>
    <t xml:space="preserve">Human-approved advisory write-back (business workflow, never OT)</t>
  </si>
  <si>
    <t xml:space="preserve">Advisory write-back into business workflow (case/action tracking) with human approval - never a setpoint/command to control.</t>
  </si>
  <si>
    <t xml:space="preserve">An approved advisory creates a tracked action; no OT write path exists. Evidence: workflow + code-search.</t>
  </si>
  <si>
    <t xml:space="preserve">M4-09</t>
  </si>
  <si>
    <t xml:space="preserve">Load-test at reference-plant scale</t>
  </si>
  <si>
    <t xml:space="preserve">Load-test at realistic reference-plant scale (well beyond demo scale).</t>
  </si>
  <si>
    <t xml:space="preserve">The system holds at reference scale within budget. Evidence: load report.</t>
  </si>
  <si>
    <t xml:space="preserve">M4-10</t>
  </si>
  <si>
    <t xml:space="preserve">M4-P3</t>
  </si>
  <si>
    <t xml:space="preserve">Start SOC 2 Type II observation window</t>
  </si>
  <si>
    <t xml:space="preserve">Begin the SOC 2 Type II observation window (controls evidenced over time).</t>
  </si>
  <si>
    <t xml:space="preserve">The observation window is open with controls evidenced. Evidence: the tracker.</t>
  </si>
  <si>
    <t xml:space="preserve">M4-11</t>
  </si>
  <si>
    <t xml:space="preserve">Incorporate (UG/GmbH) + imprint</t>
  </si>
  <si>
    <t xml:space="preserve">Incorporate the company (UG/GmbH) and add the legal imprint.</t>
  </si>
  <si>
    <t xml:space="preserve">The entity exists + imprint published. Evidence: the registration.</t>
  </si>
  <si>
    <t xml:space="preserve">M4-12</t>
  </si>
  <si>
    <t xml:space="preserve">Pilot contract + MNDA + DPA templates</t>
  </si>
  <si>
    <t xml:space="preserve">Pilot contract, mutual NDA, and DPA templates ready to sign (the 08-pilot doc is the commercial offer; these are the legal instruments).</t>
  </si>
  <si>
    <t xml:space="preserve">The three templates exist + reviewed. Evidence: the files.</t>
  </si>
  <si>
    <t xml:space="preserve">M4-13</t>
  </si>
  <si>
    <t xml:space="preserve">Target list + outreach sequence (PSI network)</t>
  </si>
  <si>
    <t xml:space="preserve">A target list + outreach sequence leveraging your PSI/SMS network.</t>
  </si>
  <si>
    <t xml:space="preserve">The list + sequence exist + first touches sent. Evidence: the tracker.</t>
  </si>
  <si>
    <t xml:space="preserve">M4-14</t>
  </si>
  <si>
    <t xml:space="preserve">Produce the case study / reference</t>
  </si>
  <si>
    <t xml:space="preserve">Produce a case study / reference from the pilot customer.</t>
  </si>
  <si>
    <t xml:space="preserve">A published case study + a reference contact. Evidence: the file.</t>
  </si>
  <si>
    <t xml:space="preserve">M4-15</t>
  </si>
  <si>
    <t xml:space="preserve">M4-P4</t>
  </si>
  <si>
    <t xml:space="preserve">Viability arrangement (hire / escrow+BCP / partner)</t>
  </si>
  <si>
    <t xml:space="preserve">Close the bus-factor objection: a hire, source escrow + BCP, or a partner.</t>
  </si>
  <si>
    <t xml:space="preserve">A viability arrangement is in place. Evidence: the agreement.</t>
  </si>
  <si>
    <t xml:space="preserve">M4-16</t>
  </si>
  <si>
    <t xml:space="preserve">Verify deploy rollback to :previous</t>
  </si>
  <si>
    <t xml:space="preserve">The pipeline already tags :previous and rolls back on a failed health gate. Verify it end-to-end by inducing a health-gate failure and confirming the rollback restores service.</t>
  </si>
  <si>
    <t xml:space="preserve">An induced bad deploy rolls back to :previous and service stays up. Evidence: pipeline log.</t>
  </si>
  <si>
    <t xml:space="preserve">M4-17</t>
  </si>
  <si>
    <t xml:space="preserve">Enforce performance budgets in CI</t>
  </si>
  <si>
    <t xml:space="preserve">Add performance budgets as CI gates so regressions fail the build.</t>
  </si>
  <si>
    <t xml:space="preserve">A deliberate perf regression fails CI. Evidence: CI run.</t>
  </si>
  <si>
    <t xml:space="preserve">M4-18</t>
  </si>
  <si>
    <t xml:space="preserve">ISO 27001 mapping + sensitive-data catalog</t>
  </si>
  <si>
    <t xml:space="preserve">Map controls to ISO 27001 and catalog sensitive data.</t>
  </si>
  <si>
    <t xml:space="preserve">The mapping + catalog exist. Evidence: the docs.</t>
  </si>
  <si>
    <t xml:space="preserve">M4-19</t>
  </si>
  <si>
    <t xml:space="preserve">AI triage loop (agent drafts fix PRs, human-approved)</t>
  </si>
  <si>
    <t xml:space="preserve">An AI triage loop where an agent drafts fix PRs from failing tests, human-approved.</t>
  </si>
  <si>
    <t xml:space="preserve">The loop drafts a PR for an injected failure; human merges. Evidence: the PR.</t>
  </si>
  <si>
    <t xml:space="preserve">M4-20</t>
  </si>
  <si>
    <t xml:space="preserve">Consolidate full operator/admin/security docs</t>
  </si>
  <si>
    <t xml:space="preserve">Consolidate the delivered doc suite (01-09) + the screenshot-embedded guides into one coherent, cross-linked, versioned doc set.</t>
  </si>
  <si>
    <t xml:space="preserve">One consolidated doc set, cross-linked. Evidence: the docs.</t>
  </si>
  <si>
    <t xml:space="preserve">M4-21</t>
  </si>
  <si>
    <t xml:space="preserve">Support SLA offering</t>
  </si>
  <si>
    <t xml:space="preserve">A support SLA offering (tiers, response times).</t>
  </si>
  <si>
    <t xml:space="preserve">The SLA offering exists. Evidence: the doc.</t>
  </si>
  <si>
    <t xml:space="preserve">M4-22</t>
  </si>
  <si>
    <t xml:space="preserve">M4-P5</t>
  </si>
  <si>
    <t xml:space="preserve">Public status page</t>
  </si>
  <si>
    <t xml:space="preserve">A public status page for the hosted service.</t>
  </si>
  <si>
    <t xml:space="preserve">The status page reflects real health. Evidence: the page.</t>
  </si>
  <si>
    <t xml:space="preserve">M4-23</t>
  </si>
  <si>
    <t xml:space="preserve">Funding / partnership decision</t>
  </si>
  <si>
    <t xml:space="preserve">Decide funding/partnership direction.</t>
  </si>
  <si>
    <t xml:space="preserve">A decision recorded. Evidence: the note.</t>
  </si>
  <si>
    <t xml:space="preserve">M4-24</t>
  </si>
  <si>
    <t xml:space="preserve">GxP / 21 CFR Part 11 pack (audit trail, e-signature)</t>
  </si>
  <si>
    <t xml:space="preserve">A GxP / 21 CFR Part 11 pack where required (audit trail + e-signature).</t>
  </si>
  <si>
    <t xml:space="preserve">The pack evidences audit trail + e-signature. Evidence: the docs.</t>
  </si>
  <si>
    <t xml:space="preserve">M4-25</t>
  </si>
  <si>
    <t xml:space="preserve">Recorded certified dry-run (one-click readiness on video)</t>
  </si>
  <si>
    <t xml:space="preserve">A recorded certified dry-run showing one-click readiness green - the reference acceptance artifact.</t>
  </si>
  <si>
    <t xml:space="preserve">The recording shows readiness green end-to-end. Evidence: the file.</t>
  </si>
  <si>
    <t xml:space="preserve">VERIFY (pre-rehearsal): the three no-code surfaces drive the PROVEN engine end-to-end - the mapping UI must author a MappingDefinition the generic projector consumes, NOT the /admin/schema-mapping SQL-view path</t>
  </si>
  <si>
    <t xml:space="preserve">NoCodeSurfaces</t>
  </si>
  <si>
    <t xml:space="preserve">12-Jul live+static finding. Two mapping subsystems exist and the no-code UI drives the WRONG one for canonical fill. PROVEN path (M1-06 Stage A, 1802 heats landed): MappingDefinition (MappingJson field map, supports const: literals) -&gt; MappingExecutionService.ExecuteAsync(mappingId,batchId) -&gt; writes the six canonical entities into material_units / genealogy_edges; auto-fired post-import by ImportBatchQueueProcessorService + ImportWorkflowService when an active MappingDefinition matches batch.SourceObjectName (else batch.MarkFailed 'No active mapping definition found'). UI path (CanonicalSchemaMappingPanel, routed under Data Integration -&gt; Schema Configuration): calls /admin/schema-mapping previewJoin/createKpiView/executeMapping(viewCode); ExecuteMappingAsync loads a row from canonical_schema_views and runs its SqlText to build a DB view/KPI - it NEVER calls MappingExecutionService and NEVER writes material_units. So a user 'preparing data' in the HMI today builds SQL join/KPI views, which does NOT populate canonical the way the projector does. M1-12 (dress rehearsal) and M2-04 (per-view Loading) both ASSUME 'author a mapping in the HMI -&gt; projector fills canonical'; that assumption is unverified and currently looks false. THE EXPERIMENT (HMI only, no scripts, stack up, a real staging batch present e.g. a fresh meltshop_heats batch with Pending rows): (S1) open the data-prep/mapping surface -&gt; author + Save/Execute a mapping for that source object -&gt; psql: SELECT count(*) FROM mapping_definitions WHERE source_object_name='&lt;obj&gt;' AND is_active; and SELECT count(*) FROM material_units WHERE source_system='postgresql'; before/after. PASS if a MappingDefinition row is created THROUGH the UI AND canonical material_units grow for that batch (staging flips Mapped). FAIL if the UI only creates a canonical_schema_views row and no MappingDefinition / no canonical rows -&gt; file a numbered Critical bug 'no-code data-prep UI disconnected from generic projector' and scope the wiring (data-prep Save authors a MappingDefinition the projector consumes, or a SchemaView-&gt;MappingDefinition bridge). (S2) Add Widget wizard -&gt; bind a chart to a real canonical column -&gt; the widget renders the live number; re-import and the number changes. (S3) New Analysis (Surface-3) -&gt; run -&gt; a ranked contributor with population/method/q-value (needs M1-07 observations). Record PASS/FAIL per surface with pasted evidence. RUN THIS BEFORE M1-12 so any disconnection is a filed bug with runway, not a dead end in the rehearsal. SCOPE GUARD: verify-only; the fix (if S1 fails) is a separate numbered task, and the heavy build (per-view Loading from HMI = M2-04, visual-mapper polish = M3-10) stays in M2/M3 - do not expand M1 here.</t>
  </si>
  <si>
    <t xml:space="preserve">Three PASS/FAIL rows committed under docs/ with pasted psql/console evidence. S1: a mapping_definitions row created THROUGH the HMI (not a script) for the test source object, AND material_units count for that batch increases with staging rows flipping to Mapped (counts asserted, not assumed). S2: a saved widget renders a live value sourced from canonical, and the value changes after a re-import. S3: an analysis run returns a ranked contributor with population/method/q-value. Any FAIL is a numbered Critical bug row filed in this backlog BEFORE M1-P3 (M1-12) starts.</t>
  </si>
  <si>
    <t xml:space="preserve">NEW (12-Jul trace)</t>
  </si>
  <si>
    <t xml:space="preserve">WHAT CHANGED AND WHY. v20 was written before the 10-Jul static trace found Architecture A (the real remote import engine, built and scheduled but not wired to the HMI), before the migration-path Rule-1 violation (scripts/110+111), and before the canonical 15-step journey was written down (which surfaced the missing step-14 supervisor). v21 re-centres M1 on proving/wiring what EXISTS and re-centres M2 on the three rules + the journey at 100%. Internal ID references inside CARRIED descriptions refer to v20 IDs - resolve via the v20 ID column.</t>
  </si>
  <si>
    <t xml:space="preserve">Decision</t>
  </si>
  <si>
    <t xml:space="preserve">Evidence / reasoning</t>
  </si>
  <si>
    <t xml:space="preserve">Where it went in v21</t>
  </si>
  <si>
    <t xml:space="preserve">SUPERSEDED (do not cure a corpse)</t>
  </si>
  <si>
    <t xml:space="preserve">Its five watermark defects (strict &gt; ties-loss; ORDER BY non-monotonic LIMIT; _all shared budget; endpoint timeout; watermark-ahead) all live in Architecture B, which M2-02 deletes whole. Registry evidence still collected first.</t>
  </si>
  <si>
    <t xml:space="preserve">M1-04 (evidence) + M2-02 (deletion)</t>
  </si>
  <si>
    <t xml:space="preserve">RECLASSIFIED data fixture</t>
  </si>
  <si>
    <t xml:space="preserve">'New feature' misclassification is what made the ordering rule schedule its dependent (M1-05) first.</t>
  </si>
  <si>
    <t xml:space="preserve">The projector's input is StagingRecords(rawJson) from Architecture A, NOT dump_store. jsonb-&gt;columns via saved mapping is simpler than the dump-table version. Scope unchanged: projector core only.</t>
  </si>
  <si>
    <t xml:space="preserve">MOVED to M2</t>
  </si>
  <si>
    <t xml:space="preserve">Per-view Loading jobs consume the projector; monolithic entry point acceptable for Thursday; its own card said delete-the-monolith 'once every source flows through a view' - an M2 sentence.</t>
  </si>
  <si>
    <t xml:space="preserve">RECLASSIFIED verification</t>
  </si>
  <si>
    <t xml:space="preserve">The gate WORKS (BlockedTooFewRows on an empty parameter_observations is honesty, not a bug).</t>
  </si>
  <si>
    <t xml:space="preserve">CARRIED, pack pre-built</t>
  </si>
  <si>
    <t xml:space="preserve">Apply-AssistantServiceGraphRegistration.ps1 built+validated 10-Jul (anchored insert, comment-proof guard). Acceptance item 4 (WebApplicationFactory resolution test) -&gt; M2-06.</t>
  </si>
  <si>
    <t xml:space="preserve">M1-07 + M1-08</t>
  </si>
  <si>
    <t xml:space="preserve">MERGED / SPLIT</t>
  </si>
  <si>
    <t xml:space="preserve">Chunk producer + reindex endpoint together (M1-09); auto-refresh + stale purge + ChangedOnly deferred (M2-06).</t>
  </si>
  <si>
    <t xml:space="preserve">M1-09 + M2-06</t>
  </si>
  <si>
    <t xml:space="preserve">One-surface consolidation is refactor risk in demo week.</t>
  </si>
  <si>
    <t xml:space="preserve">MOVED TO FRONT</t>
  </si>
  <si>
    <t xml:space="preserve">Its own text: 'BLOCKS the dress rehearsal'. Phase Plan theme said 'Browser verification FIRST' while the task sat in the last phase.</t>
  </si>
  <si>
    <t xml:space="preserve">M1-27 + M1-29</t>
  </si>
  <si>
    <t xml:space="preserve">MERGED</t>
  </si>
  <si>
    <t xml:space="preserve">The second rehearsal IS the video take.</t>
  </si>
  <si>
    <t xml:space="preserve">M1-13..M1-22, M1-25, M1-26, M1-28</t>
  </si>
  <si>
    <t xml:space="preserve">i18n, Admin content, e2e realignment, action matrix, genealogy triage, DemoAnalyticsPages, phase11, gate hardening, LogPanel tests, DI polish, UX/charm, grounding eval - all real, none demo-blocking in 6 days. i18n deliberately: 14h of locale keys on copy that M2's UX passes will change = paying twice; the customer hears 'German is in the next release'.</t>
  </si>
  <si>
    <t xml:space="preserve">M2-09..M2-21</t>
  </si>
  <si>
    <t xml:space="preserve">NEW: the SUPERVISOR (journey step 14)</t>
  </si>
  <si>
    <t xml:space="preserve">Exists nowhere in code or any backlog version. It is the differentiation claim. 24h, design-doc-first, provenance-per-adjustment, bounded, dry-run.</t>
  </si>
  <si>
    <t xml:space="preserve">NEW: DELETE Architecture B</t>
  </si>
  <si>
    <t xml:space="preserve">scripts/110+111 install five demo schemas on every customer DB (Rule 1); Stage-1 SQL cannot read a remote source (Rule 2). FDW framing REJECTED: wrong tool (no CSV/Excel, customer creds inside our PG, extension per source). Architecture A IS the reader.</t>
  </si>
  <si>
    <t xml:space="preserve">M2-02 + M2-03</t>
  </si>
  <si>
    <t xml:space="preserve">NEW: Jobs Monitor four job types</t>
  </si>
  <si>
    <t xml:space="preserve">The journey names four job types the customer must SEE.</t>
  </si>
  <si>
    <t xml:space="preserve">FIXED 10-Jul, commit them</t>
  </si>
  <si>
    <t xml:space="preserve">CiPipelineTruthGateTests + DeployRedPathProofTests read raw text; the Jenkinsfile header comment satisfied every assertion; 'rollback' was satisfied by the failure-echo 'no rollback was needed'. Hardened with PipelineSourceText.StripComments; e2e stage 5 when{} removed (now BLOCKING); falsification harness proved all three mutations red. CONSEQUENCE: land e2e realignment (M2-11 carried row) before the next git push.</t>
  </si>
  <si>
    <t xml:space="preserve">committed work + note on carried e2e row</t>
  </si>
  <si>
    <t xml:space="preserve">PHASE PLAN v21 - formula-driven from the Backlog sheet. M1 phases are DAYS-not-45-65h (deliberate exception: 6-day demo sprint, ~53h total, ~8.8h/day). M2 phases follow the 45-65h rule.</t>
  </si>
  <si>
    <t xml:space="preserve">Tasks</t>
  </si>
  <si>
    <t xml:space="preserve">Hours</t>
  </si>
  <si>
    <t xml:space="preserve">Deliverable theme</t>
  </si>
  <si>
    <t xml:space="preserve">Verify + unblock</t>
  </si>
  <si>
    <t xml:space="preserve">Build: Surface-1 rewire, GENERIC PROJECTOR, observations, chunk producer</t>
  </si>
  <si>
    <t xml:space="preserve">Prove: rehearsal x2 + script</t>
  </si>
  <si>
    <t xml:space="preserve">Rules+journey 100%: SUPERVISOR, delete Architecture B, purge seeds, per-view Loading</t>
  </si>
  <si>
    <t xml:space="preserve">i18n EN/DE, Admin content, e2e realignment, action matrix, genealogy triage, gates, UX/charm</t>
  </si>
  <si>
    <t xml:space="preserve">Milestone totals</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</si>
</sst>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0"/>
      <color rgb="FF00D4FF"/>
      <name val="Arial"/>
      <family val="0"/>
      <charset val="1"/>
    </font>
    <font>
      <b val="true"/>
      <sz val="9"/>
      <color rgb="FF2CE6A2"/>
      <name val="Arial"/>
      <family val="0"/>
      <charset val="1"/>
    </font>
    <font>
      <sz val="9"/>
      <color rgb="FFEAF6FF"/>
      <name val="Arial"/>
      <family val="0"/>
      <charset val="1"/>
    </font>
    <font>
      <b val="true"/>
      <sz val="9"/>
      <color rgb="FFFF4D6D"/>
      <name val="Arial"/>
      <family val="0"/>
      <charset val="1"/>
    </font>
    <font>
      <b val="true"/>
      <sz val="9"/>
      <color rgb="FFFFB020"/>
      <name val="Arial"/>
      <family val="0"/>
      <charset val="1"/>
    </font>
    <font>
      <b val="true"/>
      <sz val="9"/>
      <color rgb="FF0A84FF"/>
      <name val="Arial"/>
      <family val="0"/>
      <charset val="1"/>
    </font>
    <font>
      <b val="true"/>
      <sz val="9"/>
      <color rgb="FF00D4FF"/>
      <name val="Arial"/>
      <family val="0"/>
      <charset val="1"/>
    </font>
    <font>
      <b val="true"/>
      <sz val="9"/>
      <color rgb="FF8EA7C1"/>
      <name val="Arial"/>
      <family val="0"/>
      <charset val="1"/>
    </font>
    <font>
      <b val="true"/>
      <sz val="9"/>
      <color rgb="FFEAF6FF"/>
      <name val="Arial"/>
      <family val="0"/>
      <charset val="1"/>
    </font>
  </fonts>
  <fills count="5">
    <fill>
      <patternFill patternType="none"/>
    </fill>
    <fill>
      <patternFill patternType="gray125"/>
    </fill>
    <fill>
      <patternFill patternType="solid">
        <fgColor rgb="FF0B1730"/>
        <bgColor rgb="FF050B18"/>
      </patternFill>
    </fill>
    <fill>
      <patternFill patternType="solid">
        <fgColor rgb="FF102A43"/>
        <bgColor rgb="FF0B1730"/>
      </patternFill>
    </fill>
    <fill>
      <patternFill patternType="solid">
        <fgColor rgb="FF050B18"/>
        <bgColor rgb="FF000000"/>
      </patternFill>
    </fill>
  </fills>
  <borders count="2">
    <border diagonalUp="false" diagonalDown="false">
      <left/>
      <right/>
      <top/>
      <bottom/>
      <diagonal/>
    </border>
    <border diagonalUp="false" diagonalDown="false">
      <left style="thin">
        <color rgb="FF102A43"/>
      </left>
      <right style="thin">
        <color rgb="FF102A43"/>
      </right>
      <top style="thin">
        <color rgb="FF102A43"/>
      </top>
      <bottom style="thin">
        <color rgb="FF102A4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top" textRotation="0" wrapText="true" indent="0" shrinkToFit="false"/>
      <protection locked="true" hidden="false"/>
    </xf>
    <xf numFmtId="164" fontId="4" fillId="3" borderId="1" xfId="0" applyFont="true" applyBorder="true" applyAlignment="true" applyProtection="false">
      <alignment horizontal="general" vertical="center" textRotation="0" wrapText="fals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general" vertical="top" textRotation="0" wrapText="true" indent="0" shrinkToFit="false"/>
      <protection locked="true" hidden="false"/>
    </xf>
    <xf numFmtId="164" fontId="10" fillId="2" borderId="1"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64" fontId="11" fillId="2" borderId="1" xfId="0" applyFont="true" applyBorder="true" applyAlignment="true" applyProtection="false">
      <alignment horizontal="general" vertical="top" textRotation="0" wrapText="true" indent="0" shrinkToFit="false"/>
      <protection locked="true" hidden="false"/>
    </xf>
    <xf numFmtId="164" fontId="4" fillId="2" borderId="1" xfId="0" applyFont="true" applyBorder="true" applyAlignment="true" applyProtection="false">
      <alignment horizontal="general" vertical="top" textRotation="0" wrapText="true" indent="0" shrinkToFit="false"/>
      <protection locked="true" hidden="false"/>
    </xf>
    <xf numFmtId="164" fontId="12" fillId="4" borderId="1" xfId="0" applyFont="true" applyBorder="true" applyAlignment="true" applyProtection="false">
      <alignment horizontal="general" vertical="top" textRotation="0" wrapText="true" indent="0" shrinkToFit="false"/>
      <protection locked="true" hidden="false"/>
    </xf>
    <xf numFmtId="164" fontId="12" fillId="2"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AF6FF"/>
      <rgbColor rgb="FFFF0000"/>
      <rgbColor rgb="FF00FF00"/>
      <rgbColor rgb="FF0000FF"/>
      <rgbColor rgb="FFFFFF00"/>
      <rgbColor rgb="FFFF00FF"/>
      <rgbColor rgb="FF00FFFF"/>
      <rgbColor rgb="FF800000"/>
      <rgbColor rgb="FF008000"/>
      <rgbColor rgb="FF050B18"/>
      <rgbColor rgb="FF808000"/>
      <rgbColor rgb="FF800080"/>
      <rgbColor rgb="FF008080"/>
      <rgbColor rgb="FFC0C0C0"/>
      <rgbColor rgb="FF808080"/>
      <rgbColor rgb="FF9999FF"/>
      <rgbColor rgb="FF993366"/>
      <rgbColor rgb="FFFFFFCC"/>
      <rgbColor rgb="FFCCFFFF"/>
      <rgbColor rgb="FF660066"/>
      <rgbColor rgb="FFFF4D6D"/>
      <rgbColor rgb="FF0A84FF"/>
      <rgbColor rgb="FFCCCCFF"/>
      <rgbColor rgb="FF000080"/>
      <rgbColor rgb="FFFF00FF"/>
      <rgbColor rgb="FFFFFF00"/>
      <rgbColor rgb="FF00FFFF"/>
      <rgbColor rgb="FF800080"/>
      <rgbColor rgb="FF800000"/>
      <rgbColor rgb="FF008080"/>
      <rgbColor rgb="FF0000FF"/>
      <rgbColor rgb="FF00D4FF"/>
      <rgbColor rgb="FFCCFFFF"/>
      <rgbColor rgb="FFCCFFCC"/>
      <rgbColor rgb="FFFFFF99"/>
      <rgbColor rgb="FF99CCFF"/>
      <rgbColor rgb="FFFF99CC"/>
      <rgbColor rgb="FFCC99FF"/>
      <rgbColor rgb="FFFFCC99"/>
      <rgbColor rgb="FF3366FF"/>
      <rgbColor rgb="FF2CE6A2"/>
      <rgbColor rgb="FF99CC00"/>
      <rgbColor rgb="FFFFCC00"/>
      <rgbColor rgb="FFFFB020"/>
      <rgbColor rgb="FFFF6600"/>
      <rgbColor rgb="FF666699"/>
      <rgbColor rgb="FF8EA7C1"/>
      <rgbColor rgb="FF102A43"/>
      <rgbColor rgb="FF339966"/>
      <rgbColor rgb="FF0B173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5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7"/>
    <col collapsed="false" customWidth="true" hidden="false" outlineLevel="0" max="3" min="3" style="1" width="14"/>
    <col collapsed="false" customWidth="true" hidden="false" outlineLevel="0" max="4" min="4" style="1" width="22"/>
    <col collapsed="false" customWidth="true" hidden="false" outlineLevel="0" max="5" min="5" style="1" width="46"/>
    <col collapsed="false" customWidth="true" hidden="false" outlineLevel="0" max="7" min="6" style="1" width="12"/>
    <col collapsed="false" customWidth="true" hidden="false" outlineLevel="0" max="8" min="8" style="1" width="13"/>
    <col collapsed="false" customWidth="true" hidden="false" outlineLevel="0" max="9" min="9" style="1" width="15"/>
    <col collapsed="false" customWidth="true" hidden="false" outlineLevel="0" max="10" min="10" style="1" width="95"/>
    <col collapsed="false" customWidth="true" hidden="false" outlineLevel="0" max="11" min="11" style="1" width="60"/>
    <col collapsed="false" customWidth="true" hidden="false" outlineLevel="0" max="12" min="12" style="1" width="7"/>
    <col collapsed="false" customWidth="true" hidden="false" outlineLevel="0" max="13" min="13" style="1" width="20"/>
    <col collapsed="false" customWidth="true" hidden="false" outlineLevel="0" max="14" min="14" style="1" width="8"/>
  </cols>
  <sheetData>
    <row r="1" customFormat="false" ht="90" hidden="false" customHeight="true" outlineLevel="0" collapsed="false">
      <c r="A1" s="2" t="s">
        <v>0</v>
      </c>
      <c r="B1" s="2"/>
      <c r="C1" s="2"/>
      <c r="D1" s="2"/>
      <c r="E1" s="2"/>
      <c r="F1" s="2"/>
      <c r="G1" s="2"/>
      <c r="H1" s="2"/>
      <c r="I1" s="2"/>
      <c r="J1" s="2"/>
      <c r="K1" s="2"/>
      <c r="L1" s="2"/>
      <c r="M1" s="2"/>
      <c r="N1" s="2"/>
    </row>
    <row r="2" customFormat="false" ht="15" hidden="false" customHeight="true" outlineLevel="0" collapsed="false">
      <c r="A2" s="3" t="s">
        <v>1</v>
      </c>
      <c r="B2" s="3" t="s">
        <v>2</v>
      </c>
      <c r="C2" s="3" t="s">
        <v>3</v>
      </c>
      <c r="D2" s="3" t="s">
        <v>4</v>
      </c>
      <c r="E2" s="3" t="s">
        <v>5</v>
      </c>
      <c r="F2" s="3" t="s">
        <v>6</v>
      </c>
      <c r="G2" s="3" t="s">
        <v>7</v>
      </c>
      <c r="H2" s="3" t="s">
        <v>8</v>
      </c>
      <c r="I2" s="3" t="s">
        <v>9</v>
      </c>
      <c r="J2" s="3" t="s">
        <v>10</v>
      </c>
      <c r="K2" s="3" t="s">
        <v>11</v>
      </c>
      <c r="L2" s="3" t="s">
        <v>12</v>
      </c>
      <c r="M2" s="3" t="s">
        <v>13</v>
      </c>
      <c r="N2" s="3" t="s">
        <v>14</v>
      </c>
    </row>
    <row r="3" customFormat="false" ht="178.5" hidden="false" customHeight="true" outlineLevel="0" collapsed="false">
      <c r="A3" s="4" t="s">
        <v>15</v>
      </c>
      <c r="B3" s="5" t="s">
        <v>16</v>
      </c>
      <c r="C3" s="5" t="s">
        <v>17</v>
      </c>
      <c r="D3" s="5" t="s">
        <v>18</v>
      </c>
      <c r="E3" s="5" t="s">
        <v>19</v>
      </c>
      <c r="F3" s="6" t="s">
        <v>20</v>
      </c>
      <c r="G3" s="5" t="s">
        <v>21</v>
      </c>
      <c r="H3" s="5" t="s">
        <v>22</v>
      </c>
      <c r="I3" s="5" t="s">
        <v>23</v>
      </c>
      <c r="J3" s="5" t="s">
        <v>24</v>
      </c>
      <c r="K3" s="5" t="s">
        <v>25</v>
      </c>
      <c r="L3" s="5" t="n">
        <v>2</v>
      </c>
      <c r="M3" s="5" t="s">
        <v>26</v>
      </c>
      <c r="N3" s="5" t="s">
        <v>27</v>
      </c>
    </row>
    <row r="4" customFormat="false" ht="84.75" hidden="false" customHeight="true" outlineLevel="0" collapsed="false">
      <c r="A4" s="7" t="s">
        <v>28</v>
      </c>
      <c r="B4" s="8" t="s">
        <v>16</v>
      </c>
      <c r="C4" s="8" t="s">
        <v>17</v>
      </c>
      <c r="D4" s="8" t="s">
        <v>29</v>
      </c>
      <c r="E4" s="8" t="s">
        <v>30</v>
      </c>
      <c r="F4" s="9" t="s">
        <v>20</v>
      </c>
      <c r="G4" s="8" t="s">
        <v>21</v>
      </c>
      <c r="H4" s="8" t="s">
        <v>31</v>
      </c>
      <c r="I4" s="8" t="s">
        <v>32</v>
      </c>
      <c r="J4" s="8" t="s">
        <v>33</v>
      </c>
      <c r="K4" s="8" t="s">
        <v>34</v>
      </c>
      <c r="L4" s="8" t="n">
        <v>1.5</v>
      </c>
      <c r="M4" s="8" t="s">
        <v>35</v>
      </c>
      <c r="N4" s="8" t="s">
        <v>36</v>
      </c>
    </row>
    <row r="5" customFormat="false" ht="105.75" hidden="false" customHeight="true" outlineLevel="0" collapsed="false">
      <c r="A5" s="4" t="s">
        <v>37</v>
      </c>
      <c r="B5" s="5" t="s">
        <v>16</v>
      </c>
      <c r="C5" s="5" t="s">
        <v>17</v>
      </c>
      <c r="D5" s="5" t="s">
        <v>38</v>
      </c>
      <c r="E5" s="5" t="s">
        <v>39</v>
      </c>
      <c r="F5" s="6" t="s">
        <v>20</v>
      </c>
      <c r="G5" s="5" t="s">
        <v>40</v>
      </c>
      <c r="H5" s="5" t="s">
        <v>22</v>
      </c>
      <c r="I5" s="5" t="s">
        <v>41</v>
      </c>
      <c r="J5" s="5" t="s">
        <v>42</v>
      </c>
      <c r="K5" s="5" t="s">
        <v>43</v>
      </c>
      <c r="L5" s="5" t="n">
        <v>0.5</v>
      </c>
      <c r="M5" s="5" t="s">
        <v>44</v>
      </c>
      <c r="N5" s="5" t="s">
        <v>45</v>
      </c>
    </row>
    <row r="6" customFormat="false" ht="116.25" hidden="false" customHeight="true" outlineLevel="0" collapsed="false">
      <c r="A6" s="7" t="s">
        <v>46</v>
      </c>
      <c r="B6" s="8" t="s">
        <v>16</v>
      </c>
      <c r="C6" s="8" t="s">
        <v>17</v>
      </c>
      <c r="D6" s="8" t="s">
        <v>47</v>
      </c>
      <c r="E6" s="8" t="s">
        <v>48</v>
      </c>
      <c r="F6" s="9" t="s">
        <v>20</v>
      </c>
      <c r="G6" s="8" t="s">
        <v>21</v>
      </c>
      <c r="H6" s="8" t="s">
        <v>22</v>
      </c>
      <c r="I6" s="8" t="s">
        <v>49</v>
      </c>
      <c r="J6" s="8" t="s">
        <v>50</v>
      </c>
      <c r="K6" s="8" t="s">
        <v>51</v>
      </c>
      <c r="L6" s="8" t="n">
        <v>0.5</v>
      </c>
      <c r="M6" s="8" t="s">
        <v>26</v>
      </c>
      <c r="N6" s="8" t="s">
        <v>27</v>
      </c>
    </row>
    <row r="7" customFormat="false" ht="116.25" hidden="false" customHeight="true" outlineLevel="0" collapsed="false">
      <c r="A7" s="4" t="s">
        <v>52</v>
      </c>
      <c r="B7" s="5" t="s">
        <v>16</v>
      </c>
      <c r="C7" s="5" t="s">
        <v>53</v>
      </c>
      <c r="D7" s="5" t="s">
        <v>54</v>
      </c>
      <c r="E7" s="5" t="s">
        <v>55</v>
      </c>
      <c r="F7" s="6" t="s">
        <v>20</v>
      </c>
      <c r="G7" s="5" t="s">
        <v>56</v>
      </c>
      <c r="H7" s="5" t="s">
        <v>57</v>
      </c>
      <c r="I7" s="5" t="s">
        <v>58</v>
      </c>
      <c r="J7" s="5" t="s">
        <v>59</v>
      </c>
      <c r="K7" s="5" t="s">
        <v>60</v>
      </c>
      <c r="L7" s="5" t="n">
        <v>6</v>
      </c>
      <c r="M7" s="5" t="s">
        <v>61</v>
      </c>
      <c r="N7" s="5" t="s">
        <v>62</v>
      </c>
    </row>
    <row r="8" customFormat="false" ht="137.25" hidden="false" customHeight="true" outlineLevel="0" collapsed="false">
      <c r="A8" s="7" t="s">
        <v>45</v>
      </c>
      <c r="B8" s="8" t="s">
        <v>16</v>
      </c>
      <c r="C8" s="8" t="s">
        <v>53</v>
      </c>
      <c r="D8" s="8" t="s">
        <v>63</v>
      </c>
      <c r="E8" s="8" t="s">
        <v>64</v>
      </c>
      <c r="F8" s="9" t="s">
        <v>20</v>
      </c>
      <c r="G8" s="8" t="s">
        <v>65</v>
      </c>
      <c r="H8" s="8" t="s">
        <v>22</v>
      </c>
      <c r="I8" s="8" t="s">
        <v>66</v>
      </c>
      <c r="J8" s="8" t="s">
        <v>67</v>
      </c>
      <c r="K8" s="8" t="s">
        <v>68</v>
      </c>
      <c r="L8" s="8" t="n">
        <v>16</v>
      </c>
      <c r="M8" s="8" t="s">
        <v>69</v>
      </c>
      <c r="N8" s="8" t="s">
        <v>37</v>
      </c>
    </row>
    <row r="9" customFormat="false" ht="74.25" hidden="false" customHeight="true" outlineLevel="0" collapsed="false">
      <c r="A9" s="4" t="s">
        <v>70</v>
      </c>
      <c r="B9" s="5" t="s">
        <v>16</v>
      </c>
      <c r="C9" s="5" t="s">
        <v>53</v>
      </c>
      <c r="D9" s="5" t="s">
        <v>18</v>
      </c>
      <c r="E9" s="5" t="s">
        <v>71</v>
      </c>
      <c r="F9" s="6" t="s">
        <v>20</v>
      </c>
      <c r="G9" s="5" t="s">
        <v>72</v>
      </c>
      <c r="H9" s="5" t="s">
        <v>22</v>
      </c>
      <c r="I9" s="5" t="s">
        <v>23</v>
      </c>
      <c r="J9" s="5" t="s">
        <v>73</v>
      </c>
      <c r="K9" s="5" t="s">
        <v>74</v>
      </c>
      <c r="L9" s="5" t="n">
        <v>4</v>
      </c>
      <c r="M9" s="5" t="s">
        <v>75</v>
      </c>
      <c r="N9" s="5" t="s">
        <v>28</v>
      </c>
    </row>
    <row r="10" customFormat="false" ht="32.25" hidden="false" customHeight="true" outlineLevel="0" collapsed="false">
      <c r="A10" s="7" t="s">
        <v>76</v>
      </c>
      <c r="B10" s="8" t="s">
        <v>16</v>
      </c>
      <c r="C10" s="8" t="s">
        <v>53</v>
      </c>
      <c r="D10" s="8" t="s">
        <v>77</v>
      </c>
      <c r="E10" s="8" t="s">
        <v>78</v>
      </c>
      <c r="F10" s="9" t="s">
        <v>20</v>
      </c>
      <c r="G10" s="8" t="s">
        <v>21</v>
      </c>
      <c r="H10" s="8" t="s">
        <v>22</v>
      </c>
      <c r="I10" s="8" t="s">
        <v>79</v>
      </c>
      <c r="J10" s="8" t="s">
        <v>80</v>
      </c>
      <c r="K10" s="8" t="s">
        <v>81</v>
      </c>
      <c r="L10" s="8" t="n">
        <v>2</v>
      </c>
      <c r="M10" s="8" t="s">
        <v>82</v>
      </c>
      <c r="N10" s="8" t="s">
        <v>52</v>
      </c>
    </row>
    <row r="11" customFormat="false" ht="126.75" hidden="false" customHeight="true" outlineLevel="0" collapsed="false">
      <c r="A11" s="4" t="s">
        <v>83</v>
      </c>
      <c r="B11" s="5" t="s">
        <v>16</v>
      </c>
      <c r="C11" s="5" t="s">
        <v>53</v>
      </c>
      <c r="D11" s="5" t="s">
        <v>38</v>
      </c>
      <c r="E11" s="5" t="s">
        <v>84</v>
      </c>
      <c r="F11" s="6" t="s">
        <v>20</v>
      </c>
      <c r="G11" s="5" t="s">
        <v>65</v>
      </c>
      <c r="H11" s="5" t="s">
        <v>22</v>
      </c>
      <c r="I11" s="5" t="s">
        <v>85</v>
      </c>
      <c r="J11" s="5" t="s">
        <v>86</v>
      </c>
      <c r="K11" s="5" t="s">
        <v>87</v>
      </c>
      <c r="L11" s="5" t="n">
        <v>10</v>
      </c>
      <c r="M11" s="5" t="s">
        <v>88</v>
      </c>
      <c r="N11" s="5" t="s">
        <v>70</v>
      </c>
    </row>
    <row r="12" customFormat="false" ht="63.75" hidden="false" customHeight="true" outlineLevel="0" collapsed="false">
      <c r="A12" s="7" t="s">
        <v>89</v>
      </c>
      <c r="B12" s="8" t="s">
        <v>16</v>
      </c>
      <c r="C12" s="8" t="s">
        <v>53</v>
      </c>
      <c r="D12" s="8" t="s">
        <v>90</v>
      </c>
      <c r="E12" s="8" t="s">
        <v>91</v>
      </c>
      <c r="F12" s="10" t="s">
        <v>92</v>
      </c>
      <c r="G12" s="8" t="s">
        <v>56</v>
      </c>
      <c r="H12" s="8" t="s">
        <v>57</v>
      </c>
      <c r="I12" s="8" t="s">
        <v>93</v>
      </c>
      <c r="J12" s="8" t="s">
        <v>94</v>
      </c>
      <c r="K12" s="8" t="s">
        <v>95</v>
      </c>
      <c r="L12" s="8" t="n">
        <v>3</v>
      </c>
      <c r="M12" s="8" t="s">
        <v>26</v>
      </c>
      <c r="N12" s="8" t="s">
        <v>27</v>
      </c>
    </row>
    <row r="13" customFormat="false" ht="32.25" hidden="false" customHeight="true" outlineLevel="0" collapsed="false">
      <c r="A13" s="4" t="s">
        <v>96</v>
      </c>
      <c r="B13" s="5" t="s">
        <v>16</v>
      </c>
      <c r="C13" s="5" t="s">
        <v>17</v>
      </c>
      <c r="D13" s="5" t="s">
        <v>47</v>
      </c>
      <c r="E13" s="5" t="s">
        <v>97</v>
      </c>
      <c r="F13" s="11" t="s">
        <v>98</v>
      </c>
      <c r="G13" s="5" t="s">
        <v>40</v>
      </c>
      <c r="H13" s="5" t="s">
        <v>22</v>
      </c>
      <c r="I13" s="5" t="s">
        <v>49</v>
      </c>
      <c r="J13" s="5" t="s">
        <v>99</v>
      </c>
      <c r="K13" s="5" t="s">
        <v>100</v>
      </c>
      <c r="L13" s="5" t="n">
        <v>0.5</v>
      </c>
      <c r="M13" s="5" t="s">
        <v>101</v>
      </c>
      <c r="N13" s="5" t="s">
        <v>96</v>
      </c>
    </row>
    <row r="14" customFormat="false" ht="105.75" hidden="false" customHeight="true" outlineLevel="0" collapsed="false">
      <c r="A14" s="7" t="s">
        <v>62</v>
      </c>
      <c r="B14" s="8" t="s">
        <v>16</v>
      </c>
      <c r="C14" s="8" t="s">
        <v>102</v>
      </c>
      <c r="D14" s="8" t="s">
        <v>103</v>
      </c>
      <c r="E14" s="8" t="s">
        <v>104</v>
      </c>
      <c r="F14" s="9" t="s">
        <v>20</v>
      </c>
      <c r="G14" s="8" t="s">
        <v>105</v>
      </c>
      <c r="H14" s="8" t="s">
        <v>31</v>
      </c>
      <c r="I14" s="8" t="s">
        <v>106</v>
      </c>
      <c r="J14" s="8" t="s">
        <v>107</v>
      </c>
      <c r="K14" s="8" t="s">
        <v>108</v>
      </c>
      <c r="L14" s="8" t="n">
        <v>4</v>
      </c>
      <c r="M14" s="8" t="s">
        <v>109</v>
      </c>
      <c r="N14" s="8" t="s">
        <v>110</v>
      </c>
    </row>
    <row r="15" customFormat="false" ht="74.25" hidden="false" customHeight="true" outlineLevel="0" collapsed="false">
      <c r="A15" s="4" t="s">
        <v>111</v>
      </c>
      <c r="B15" s="5" t="s">
        <v>16</v>
      </c>
      <c r="C15" s="5" t="s">
        <v>102</v>
      </c>
      <c r="D15" s="5" t="s">
        <v>112</v>
      </c>
      <c r="E15" s="5" t="s">
        <v>113</v>
      </c>
      <c r="F15" s="11" t="s">
        <v>98</v>
      </c>
      <c r="G15" s="5" t="s">
        <v>114</v>
      </c>
      <c r="H15" s="5" t="s">
        <v>115</v>
      </c>
      <c r="I15" s="5" t="s">
        <v>116</v>
      </c>
      <c r="J15" s="5" t="s">
        <v>117</v>
      </c>
      <c r="K15" s="5" t="s">
        <v>118</v>
      </c>
      <c r="L15" s="5" t="n">
        <v>3</v>
      </c>
      <c r="M15" s="5" t="s">
        <v>119</v>
      </c>
      <c r="N15" s="5" t="s">
        <v>120</v>
      </c>
    </row>
    <row r="16" customFormat="false" ht="116.25" hidden="false" customHeight="true" outlineLevel="0" collapsed="false">
      <c r="A16" s="12" t="s">
        <v>121</v>
      </c>
      <c r="B16" s="8" t="s">
        <v>122</v>
      </c>
      <c r="C16" s="8" t="s">
        <v>123</v>
      </c>
      <c r="D16" s="8" t="s">
        <v>63</v>
      </c>
      <c r="E16" s="8" t="s">
        <v>124</v>
      </c>
      <c r="F16" s="9" t="s">
        <v>20</v>
      </c>
      <c r="G16" s="8" t="s">
        <v>65</v>
      </c>
      <c r="H16" s="8" t="s">
        <v>22</v>
      </c>
      <c r="I16" s="8" t="s">
        <v>79</v>
      </c>
      <c r="J16" s="8" t="s">
        <v>125</v>
      </c>
      <c r="K16" s="8" t="s">
        <v>126</v>
      </c>
      <c r="L16" s="8" t="n">
        <v>24</v>
      </c>
      <c r="M16" s="8" t="s">
        <v>127</v>
      </c>
      <c r="N16" s="8" t="s">
        <v>27</v>
      </c>
    </row>
    <row r="17" customFormat="false" ht="126.75" hidden="false" customHeight="true" outlineLevel="0" collapsed="false">
      <c r="A17" s="13" t="s">
        <v>128</v>
      </c>
      <c r="B17" s="5" t="s">
        <v>122</v>
      </c>
      <c r="C17" s="5" t="s">
        <v>123</v>
      </c>
      <c r="D17" s="5" t="s">
        <v>129</v>
      </c>
      <c r="E17" s="5" t="s">
        <v>130</v>
      </c>
      <c r="F17" s="6" t="s">
        <v>20</v>
      </c>
      <c r="G17" s="5" t="s">
        <v>131</v>
      </c>
      <c r="H17" s="5" t="s">
        <v>22</v>
      </c>
      <c r="I17" s="5" t="s">
        <v>23</v>
      </c>
      <c r="J17" s="5" t="s">
        <v>132</v>
      </c>
      <c r="K17" s="5" t="s">
        <v>133</v>
      </c>
      <c r="L17" s="5" t="n">
        <v>12</v>
      </c>
      <c r="M17" s="5" t="s">
        <v>134</v>
      </c>
      <c r="N17" s="5" t="s">
        <v>27</v>
      </c>
    </row>
    <row r="18" customFormat="false" ht="42.75" hidden="false" customHeight="true" outlineLevel="0" collapsed="false">
      <c r="A18" s="12" t="s">
        <v>135</v>
      </c>
      <c r="B18" s="8" t="s">
        <v>122</v>
      </c>
      <c r="C18" s="8" t="s">
        <v>123</v>
      </c>
      <c r="D18" s="8" t="s">
        <v>129</v>
      </c>
      <c r="E18" s="8" t="s">
        <v>136</v>
      </c>
      <c r="F18" s="9" t="s">
        <v>20</v>
      </c>
      <c r="G18" s="8" t="s">
        <v>131</v>
      </c>
      <c r="H18" s="8" t="s">
        <v>22</v>
      </c>
      <c r="I18" s="8" t="s">
        <v>137</v>
      </c>
      <c r="J18" s="8" t="s">
        <v>138</v>
      </c>
      <c r="K18" s="8" t="s">
        <v>139</v>
      </c>
      <c r="L18" s="8" t="n">
        <v>3</v>
      </c>
      <c r="M18" s="8" t="s">
        <v>26</v>
      </c>
      <c r="N18" s="8" t="s">
        <v>27</v>
      </c>
    </row>
    <row r="19" customFormat="false" ht="42.75" hidden="false" customHeight="true" outlineLevel="0" collapsed="false">
      <c r="A19" s="5" t="s">
        <v>140</v>
      </c>
      <c r="B19" s="5" t="s">
        <v>122</v>
      </c>
      <c r="C19" s="5" t="s">
        <v>123</v>
      </c>
      <c r="D19" s="5" t="s">
        <v>141</v>
      </c>
      <c r="E19" s="5" t="s">
        <v>142</v>
      </c>
      <c r="F19" s="6" t="s">
        <v>20</v>
      </c>
      <c r="G19" s="5" t="s">
        <v>65</v>
      </c>
      <c r="H19" s="5" t="s">
        <v>22</v>
      </c>
      <c r="I19" s="5" t="s">
        <v>66</v>
      </c>
      <c r="J19" s="5" t="s">
        <v>143</v>
      </c>
      <c r="K19" s="5" t="s">
        <v>144</v>
      </c>
      <c r="L19" s="5" t="n">
        <v>12</v>
      </c>
      <c r="M19" s="5" t="s">
        <v>101</v>
      </c>
      <c r="N19" s="5" t="s">
        <v>46</v>
      </c>
    </row>
    <row r="20" customFormat="false" ht="42.75" hidden="false" customHeight="true" outlineLevel="0" collapsed="false">
      <c r="A20" s="8" t="s">
        <v>145</v>
      </c>
      <c r="B20" s="8" t="s">
        <v>122</v>
      </c>
      <c r="C20" s="8" t="s">
        <v>146</v>
      </c>
      <c r="D20" s="8" t="s">
        <v>38</v>
      </c>
      <c r="E20" s="8" t="s">
        <v>147</v>
      </c>
      <c r="F20" s="9" t="s">
        <v>20</v>
      </c>
      <c r="G20" s="8" t="s">
        <v>131</v>
      </c>
      <c r="H20" s="8" t="s">
        <v>22</v>
      </c>
      <c r="I20" s="8" t="s">
        <v>148</v>
      </c>
      <c r="J20" s="8" t="s">
        <v>149</v>
      </c>
      <c r="K20" s="8" t="s">
        <v>150</v>
      </c>
      <c r="L20" s="8" t="n">
        <v>2</v>
      </c>
      <c r="M20" s="8" t="s">
        <v>101</v>
      </c>
      <c r="N20" s="8" t="s">
        <v>83</v>
      </c>
    </row>
    <row r="21" customFormat="false" ht="63.75" hidden="false" customHeight="true" outlineLevel="0" collapsed="false">
      <c r="A21" s="5" t="s">
        <v>151</v>
      </c>
      <c r="B21" s="5" t="s">
        <v>122</v>
      </c>
      <c r="C21" s="5" t="s">
        <v>146</v>
      </c>
      <c r="D21" s="5" t="s">
        <v>38</v>
      </c>
      <c r="E21" s="5" t="s">
        <v>152</v>
      </c>
      <c r="F21" s="6" t="s">
        <v>20</v>
      </c>
      <c r="G21" s="5" t="s">
        <v>65</v>
      </c>
      <c r="H21" s="5" t="s">
        <v>22</v>
      </c>
      <c r="I21" s="5" t="s">
        <v>85</v>
      </c>
      <c r="J21" s="5" t="s">
        <v>153</v>
      </c>
      <c r="K21" s="5" t="s">
        <v>154</v>
      </c>
      <c r="L21" s="5" t="n">
        <v>4</v>
      </c>
      <c r="M21" s="5" t="s">
        <v>155</v>
      </c>
      <c r="N21" s="5" t="s">
        <v>76</v>
      </c>
    </row>
    <row r="22" customFormat="false" ht="53.25" hidden="false" customHeight="true" outlineLevel="0" collapsed="false">
      <c r="A22" s="8" t="s">
        <v>156</v>
      </c>
      <c r="B22" s="8" t="s">
        <v>122</v>
      </c>
      <c r="C22" s="8" t="s">
        <v>146</v>
      </c>
      <c r="D22" s="8" t="s">
        <v>38</v>
      </c>
      <c r="E22" s="8" t="s">
        <v>157</v>
      </c>
      <c r="F22" s="9" t="s">
        <v>20</v>
      </c>
      <c r="G22" s="8" t="s">
        <v>105</v>
      </c>
      <c r="H22" s="8" t="s">
        <v>31</v>
      </c>
      <c r="I22" s="8" t="s">
        <v>148</v>
      </c>
      <c r="J22" s="8" t="s">
        <v>158</v>
      </c>
      <c r="K22" s="8" t="s">
        <v>159</v>
      </c>
      <c r="L22" s="8" t="n">
        <v>2.5</v>
      </c>
      <c r="M22" s="8" t="s">
        <v>101</v>
      </c>
      <c r="N22" s="8" t="s">
        <v>160</v>
      </c>
    </row>
    <row r="23" customFormat="false" ht="32.25" hidden="false" customHeight="true" outlineLevel="0" collapsed="false">
      <c r="A23" s="5" t="s">
        <v>161</v>
      </c>
      <c r="B23" s="5" t="s">
        <v>122</v>
      </c>
      <c r="C23" s="5" t="s">
        <v>146</v>
      </c>
      <c r="D23" s="5" t="s">
        <v>38</v>
      </c>
      <c r="E23" s="5" t="s">
        <v>162</v>
      </c>
      <c r="F23" s="14" t="s">
        <v>92</v>
      </c>
      <c r="G23" s="5" t="s">
        <v>65</v>
      </c>
      <c r="H23" s="5" t="s">
        <v>163</v>
      </c>
      <c r="I23" s="5" t="s">
        <v>148</v>
      </c>
      <c r="J23" s="5" t="s">
        <v>164</v>
      </c>
      <c r="K23" s="5" t="s">
        <v>165</v>
      </c>
      <c r="L23" s="5" t="n">
        <v>4</v>
      </c>
      <c r="M23" s="5" t="s">
        <v>101</v>
      </c>
      <c r="N23" s="5" t="s">
        <v>166</v>
      </c>
    </row>
    <row r="24" customFormat="false" ht="84.75" hidden="false" customHeight="true" outlineLevel="0" collapsed="false">
      <c r="A24" s="8" t="s">
        <v>167</v>
      </c>
      <c r="B24" s="8" t="s">
        <v>122</v>
      </c>
      <c r="C24" s="8" t="s">
        <v>168</v>
      </c>
      <c r="D24" s="8" t="s">
        <v>169</v>
      </c>
      <c r="E24" s="8" t="s">
        <v>170</v>
      </c>
      <c r="F24" s="9" t="s">
        <v>20</v>
      </c>
      <c r="G24" s="8" t="s">
        <v>65</v>
      </c>
      <c r="H24" s="8" t="s">
        <v>163</v>
      </c>
      <c r="I24" s="8" t="s">
        <v>171</v>
      </c>
      <c r="J24" s="8" t="s">
        <v>172</v>
      </c>
      <c r="K24" s="8" t="s">
        <v>173</v>
      </c>
      <c r="L24" s="8" t="n">
        <v>14</v>
      </c>
      <c r="M24" s="8" t="s">
        <v>174</v>
      </c>
      <c r="N24" s="8" t="s">
        <v>175</v>
      </c>
    </row>
    <row r="25" customFormat="false" ht="53.25" hidden="false" customHeight="true" outlineLevel="0" collapsed="false">
      <c r="A25" s="5" t="s">
        <v>176</v>
      </c>
      <c r="B25" s="5" t="s">
        <v>122</v>
      </c>
      <c r="C25" s="5" t="s">
        <v>168</v>
      </c>
      <c r="D25" s="5" t="s">
        <v>90</v>
      </c>
      <c r="E25" s="5" t="s">
        <v>177</v>
      </c>
      <c r="F25" s="6" t="s">
        <v>20</v>
      </c>
      <c r="G25" s="5" t="s">
        <v>65</v>
      </c>
      <c r="H25" s="5" t="s">
        <v>57</v>
      </c>
      <c r="I25" s="5" t="s">
        <v>178</v>
      </c>
      <c r="J25" s="5" t="s">
        <v>179</v>
      </c>
      <c r="K25" s="5" t="s">
        <v>180</v>
      </c>
      <c r="L25" s="5" t="n">
        <v>8</v>
      </c>
      <c r="M25" s="5" t="s">
        <v>174</v>
      </c>
      <c r="N25" s="5" t="s">
        <v>111</v>
      </c>
    </row>
    <row r="26" customFormat="false" ht="95.25" hidden="false" customHeight="true" outlineLevel="0" collapsed="false">
      <c r="A26" s="8" t="s">
        <v>181</v>
      </c>
      <c r="B26" s="8" t="s">
        <v>122</v>
      </c>
      <c r="C26" s="8" t="s">
        <v>168</v>
      </c>
      <c r="D26" s="8" t="s">
        <v>182</v>
      </c>
      <c r="E26" s="8" t="s">
        <v>183</v>
      </c>
      <c r="F26" s="9" t="s">
        <v>20</v>
      </c>
      <c r="G26" s="8" t="s">
        <v>105</v>
      </c>
      <c r="H26" s="8" t="s">
        <v>31</v>
      </c>
      <c r="I26" s="8" t="s">
        <v>106</v>
      </c>
      <c r="J26" s="8" t="s">
        <v>184</v>
      </c>
      <c r="K26" s="8" t="s">
        <v>185</v>
      </c>
      <c r="L26" s="8" t="n">
        <v>8</v>
      </c>
      <c r="M26" s="8" t="s">
        <v>174</v>
      </c>
      <c r="N26" s="8" t="s">
        <v>186</v>
      </c>
    </row>
    <row r="27" customFormat="false" ht="42.75" hidden="false" customHeight="true" outlineLevel="0" collapsed="false">
      <c r="A27" s="5" t="s">
        <v>187</v>
      </c>
      <c r="B27" s="5" t="s">
        <v>122</v>
      </c>
      <c r="C27" s="5" t="s">
        <v>168</v>
      </c>
      <c r="D27" s="5" t="s">
        <v>103</v>
      </c>
      <c r="E27" s="5" t="s">
        <v>188</v>
      </c>
      <c r="F27" s="6" t="s">
        <v>20</v>
      </c>
      <c r="G27" s="5" t="s">
        <v>21</v>
      </c>
      <c r="H27" s="5" t="s">
        <v>31</v>
      </c>
      <c r="I27" s="5" t="s">
        <v>106</v>
      </c>
      <c r="J27" s="5" t="s">
        <v>189</v>
      </c>
      <c r="K27" s="5" t="s">
        <v>190</v>
      </c>
      <c r="L27" s="5" t="n">
        <v>3</v>
      </c>
      <c r="M27" s="5" t="s">
        <v>174</v>
      </c>
      <c r="N27" s="5" t="s">
        <v>191</v>
      </c>
    </row>
    <row r="28" customFormat="false" ht="63.75" hidden="false" customHeight="true" outlineLevel="0" collapsed="false">
      <c r="A28" s="8" t="s">
        <v>192</v>
      </c>
      <c r="B28" s="8" t="s">
        <v>122</v>
      </c>
      <c r="C28" s="8" t="s">
        <v>168</v>
      </c>
      <c r="D28" s="8" t="s">
        <v>63</v>
      </c>
      <c r="E28" s="8" t="s">
        <v>193</v>
      </c>
      <c r="F28" s="10" t="s">
        <v>92</v>
      </c>
      <c r="G28" s="8" t="s">
        <v>21</v>
      </c>
      <c r="H28" s="8" t="s">
        <v>22</v>
      </c>
      <c r="I28" s="8" t="s">
        <v>194</v>
      </c>
      <c r="J28" s="8" t="s">
        <v>195</v>
      </c>
      <c r="K28" s="8" t="s">
        <v>196</v>
      </c>
      <c r="L28" s="8" t="n">
        <v>3</v>
      </c>
      <c r="M28" s="8" t="s">
        <v>174</v>
      </c>
      <c r="N28" s="8" t="s">
        <v>89</v>
      </c>
    </row>
    <row r="29" customFormat="false" ht="84.75" hidden="false" customHeight="true" outlineLevel="0" collapsed="false">
      <c r="A29" s="5" t="s">
        <v>197</v>
      </c>
      <c r="B29" s="5" t="s">
        <v>122</v>
      </c>
      <c r="C29" s="5" t="s">
        <v>168</v>
      </c>
      <c r="D29" s="5" t="s">
        <v>129</v>
      </c>
      <c r="E29" s="5" t="s">
        <v>198</v>
      </c>
      <c r="F29" s="6" t="s">
        <v>20</v>
      </c>
      <c r="G29" s="5" t="s">
        <v>131</v>
      </c>
      <c r="H29" s="5" t="s">
        <v>163</v>
      </c>
      <c r="I29" s="5" t="s">
        <v>199</v>
      </c>
      <c r="J29" s="5" t="s">
        <v>200</v>
      </c>
      <c r="K29" s="5" t="s">
        <v>201</v>
      </c>
      <c r="L29" s="5" t="n">
        <v>2</v>
      </c>
      <c r="M29" s="5" t="s">
        <v>174</v>
      </c>
      <c r="N29" s="5" t="s">
        <v>202</v>
      </c>
    </row>
    <row r="30" customFormat="false" ht="74.25" hidden="false" customHeight="true" outlineLevel="0" collapsed="false">
      <c r="A30" s="8" t="s">
        <v>203</v>
      </c>
      <c r="B30" s="8" t="s">
        <v>122</v>
      </c>
      <c r="C30" s="8" t="s">
        <v>168</v>
      </c>
      <c r="D30" s="8" t="s">
        <v>129</v>
      </c>
      <c r="E30" s="8" t="s">
        <v>204</v>
      </c>
      <c r="F30" s="15" t="s">
        <v>98</v>
      </c>
      <c r="G30" s="8" t="s">
        <v>131</v>
      </c>
      <c r="H30" s="8" t="s">
        <v>163</v>
      </c>
      <c r="I30" s="8" t="s">
        <v>205</v>
      </c>
      <c r="J30" s="8" t="s">
        <v>206</v>
      </c>
      <c r="K30" s="8" t="s">
        <v>207</v>
      </c>
      <c r="L30" s="8" t="n">
        <v>3</v>
      </c>
      <c r="M30" s="8" t="s">
        <v>174</v>
      </c>
      <c r="N30" s="8" t="s">
        <v>208</v>
      </c>
    </row>
    <row r="31" customFormat="false" ht="84.75" hidden="false" customHeight="true" outlineLevel="0" collapsed="false">
      <c r="A31" s="5" t="s">
        <v>209</v>
      </c>
      <c r="B31" s="5" t="s">
        <v>122</v>
      </c>
      <c r="C31" s="5" t="s">
        <v>168</v>
      </c>
      <c r="D31" s="5" t="s">
        <v>90</v>
      </c>
      <c r="E31" s="5" t="s">
        <v>210</v>
      </c>
      <c r="F31" s="11" t="s">
        <v>98</v>
      </c>
      <c r="G31" s="5" t="s">
        <v>211</v>
      </c>
      <c r="H31" s="5" t="s">
        <v>163</v>
      </c>
      <c r="I31" s="5" t="s">
        <v>212</v>
      </c>
      <c r="J31" s="5" t="s">
        <v>213</v>
      </c>
      <c r="K31" s="5" t="s">
        <v>214</v>
      </c>
      <c r="L31" s="5" t="n">
        <v>1</v>
      </c>
      <c r="M31" s="5" t="s">
        <v>174</v>
      </c>
      <c r="N31" s="5" t="s">
        <v>215</v>
      </c>
    </row>
    <row r="32" customFormat="false" ht="105.75" hidden="false" customHeight="true" outlineLevel="0" collapsed="false">
      <c r="A32" s="8" t="s">
        <v>216</v>
      </c>
      <c r="B32" s="8" t="s">
        <v>122</v>
      </c>
      <c r="C32" s="8" t="s">
        <v>168</v>
      </c>
      <c r="D32" s="8" t="s">
        <v>217</v>
      </c>
      <c r="E32" s="8" t="s">
        <v>218</v>
      </c>
      <c r="F32" s="15" t="s">
        <v>98</v>
      </c>
      <c r="G32" s="8" t="s">
        <v>105</v>
      </c>
      <c r="H32" s="8" t="s">
        <v>57</v>
      </c>
      <c r="I32" s="8" t="s">
        <v>219</v>
      </c>
      <c r="J32" s="8" t="s">
        <v>220</v>
      </c>
      <c r="K32" s="8" t="s">
        <v>221</v>
      </c>
      <c r="L32" s="8" t="n">
        <v>2</v>
      </c>
      <c r="M32" s="8" t="s">
        <v>174</v>
      </c>
      <c r="N32" s="8" t="s">
        <v>222</v>
      </c>
    </row>
    <row r="33" customFormat="false" ht="63.75" hidden="false" customHeight="true" outlineLevel="0" collapsed="false">
      <c r="A33" s="5" t="s">
        <v>223</v>
      </c>
      <c r="B33" s="5" t="s">
        <v>122</v>
      </c>
      <c r="C33" s="5" t="s">
        <v>168</v>
      </c>
      <c r="D33" s="5" t="s">
        <v>90</v>
      </c>
      <c r="E33" s="5" t="s">
        <v>224</v>
      </c>
      <c r="F33" s="11" t="s">
        <v>98</v>
      </c>
      <c r="G33" s="5" t="s">
        <v>56</v>
      </c>
      <c r="H33" s="5" t="s">
        <v>163</v>
      </c>
      <c r="I33" s="5" t="s">
        <v>225</v>
      </c>
      <c r="J33" s="5" t="s">
        <v>226</v>
      </c>
      <c r="K33" s="5" t="s">
        <v>227</v>
      </c>
      <c r="L33" s="5" t="n">
        <v>1</v>
      </c>
      <c r="M33" s="5" t="s">
        <v>174</v>
      </c>
      <c r="N33" s="5" t="s">
        <v>228</v>
      </c>
    </row>
    <row r="34" customFormat="false" ht="63.75" hidden="false" customHeight="true" outlineLevel="0" collapsed="false">
      <c r="A34" s="8" t="s">
        <v>229</v>
      </c>
      <c r="B34" s="8" t="s">
        <v>122</v>
      </c>
      <c r="C34" s="8" t="s">
        <v>168</v>
      </c>
      <c r="D34" s="8" t="s">
        <v>90</v>
      </c>
      <c r="E34" s="8" t="s">
        <v>230</v>
      </c>
      <c r="F34" s="10" t="s">
        <v>92</v>
      </c>
      <c r="G34" s="8" t="s">
        <v>56</v>
      </c>
      <c r="H34" s="8" t="s">
        <v>163</v>
      </c>
      <c r="I34" s="8" t="s">
        <v>231</v>
      </c>
      <c r="J34" s="8" t="s">
        <v>232</v>
      </c>
      <c r="K34" s="8" t="s">
        <v>233</v>
      </c>
      <c r="L34" s="8" t="n">
        <v>5</v>
      </c>
      <c r="M34" s="8" t="s">
        <v>174</v>
      </c>
      <c r="N34" s="8" t="s">
        <v>234</v>
      </c>
    </row>
    <row r="35" customFormat="false" ht="32.25" hidden="false" customHeight="true" outlineLevel="0" collapsed="false">
      <c r="A35" s="5" t="s">
        <v>235</v>
      </c>
      <c r="B35" s="5" t="s">
        <v>122</v>
      </c>
      <c r="C35" s="5" t="s">
        <v>168</v>
      </c>
      <c r="D35" s="5" t="s">
        <v>236</v>
      </c>
      <c r="E35" s="5" t="s">
        <v>237</v>
      </c>
      <c r="F35" s="14" t="s">
        <v>92</v>
      </c>
      <c r="G35" s="5" t="s">
        <v>56</v>
      </c>
      <c r="H35" s="5" t="s">
        <v>163</v>
      </c>
      <c r="I35" s="5" t="s">
        <v>238</v>
      </c>
      <c r="J35" s="5" t="s">
        <v>239</v>
      </c>
      <c r="K35" s="5" t="s">
        <v>240</v>
      </c>
      <c r="L35" s="5" t="n">
        <v>3</v>
      </c>
      <c r="M35" s="5" t="s">
        <v>174</v>
      </c>
      <c r="N35" s="5" t="s">
        <v>241</v>
      </c>
    </row>
    <row r="36" customFormat="false" ht="137.25" hidden="false" customHeight="true" outlineLevel="0" collapsed="false">
      <c r="A36" s="8" t="s">
        <v>242</v>
      </c>
      <c r="B36" s="8" t="s">
        <v>122</v>
      </c>
      <c r="C36" s="8" t="s">
        <v>168</v>
      </c>
      <c r="D36" s="8" t="s">
        <v>38</v>
      </c>
      <c r="E36" s="8" t="s">
        <v>243</v>
      </c>
      <c r="F36" s="10" t="s">
        <v>92</v>
      </c>
      <c r="G36" s="8" t="s">
        <v>105</v>
      </c>
      <c r="H36" s="8" t="s">
        <v>31</v>
      </c>
      <c r="I36" s="8" t="s">
        <v>106</v>
      </c>
      <c r="J36" s="8" t="s">
        <v>244</v>
      </c>
      <c r="K36" s="8" t="s">
        <v>245</v>
      </c>
      <c r="L36" s="8" t="n">
        <v>1.5</v>
      </c>
      <c r="M36" s="8" t="s">
        <v>174</v>
      </c>
      <c r="N36" s="8" t="s">
        <v>246</v>
      </c>
    </row>
    <row r="37" customFormat="false" ht="74.25" hidden="false" customHeight="true" outlineLevel="0" collapsed="false">
      <c r="A37" s="13" t="s">
        <v>247</v>
      </c>
      <c r="B37" s="5" t="s">
        <v>122</v>
      </c>
      <c r="C37" s="5" t="s">
        <v>146</v>
      </c>
      <c r="D37" s="5" t="s">
        <v>141</v>
      </c>
      <c r="E37" s="5" t="s">
        <v>248</v>
      </c>
      <c r="F37" s="6" t="s">
        <v>20</v>
      </c>
      <c r="G37" s="5" t="s">
        <v>40</v>
      </c>
      <c r="H37" s="5" t="s">
        <v>22</v>
      </c>
      <c r="I37" s="5" t="s">
        <v>137</v>
      </c>
      <c r="J37" s="5" t="s">
        <v>249</v>
      </c>
      <c r="K37" s="5" t="s">
        <v>250</v>
      </c>
      <c r="L37" s="5" t="n">
        <v>2</v>
      </c>
      <c r="M37" s="5" t="s">
        <v>26</v>
      </c>
      <c r="N37" s="5" t="s">
        <v>27</v>
      </c>
    </row>
    <row r="38" customFormat="false" ht="21.75" hidden="false" customHeight="true" outlineLevel="0" collapsed="false">
      <c r="A38" s="8" t="s">
        <v>251</v>
      </c>
      <c r="B38" s="8" t="s">
        <v>122</v>
      </c>
      <c r="C38" s="8" t="s">
        <v>146</v>
      </c>
      <c r="D38" s="8" t="s">
        <v>252</v>
      </c>
      <c r="E38" s="8" t="s">
        <v>253</v>
      </c>
      <c r="F38" s="9" t="s">
        <v>20</v>
      </c>
      <c r="G38" s="8" t="s">
        <v>56</v>
      </c>
      <c r="H38" s="8" t="s">
        <v>22</v>
      </c>
      <c r="I38" s="8" t="s">
        <v>254</v>
      </c>
      <c r="J38" s="8" t="s">
        <v>255</v>
      </c>
      <c r="K38" s="8" t="s">
        <v>256</v>
      </c>
      <c r="L38" s="8" t="n">
        <v>6</v>
      </c>
      <c r="M38" s="8" t="s">
        <v>101</v>
      </c>
      <c r="N38" s="8" t="s">
        <v>121</v>
      </c>
    </row>
    <row r="39" customFormat="false" ht="21.75" hidden="false" customHeight="true" outlineLevel="0" collapsed="false">
      <c r="A39" s="5" t="s">
        <v>257</v>
      </c>
      <c r="B39" s="5" t="s">
        <v>122</v>
      </c>
      <c r="C39" s="5" t="s">
        <v>146</v>
      </c>
      <c r="D39" s="5" t="s">
        <v>63</v>
      </c>
      <c r="E39" s="5" t="s">
        <v>258</v>
      </c>
      <c r="F39" s="6" t="s">
        <v>20</v>
      </c>
      <c r="G39" s="5" t="s">
        <v>56</v>
      </c>
      <c r="H39" s="5" t="s">
        <v>22</v>
      </c>
      <c r="I39" s="5" t="s">
        <v>254</v>
      </c>
      <c r="J39" s="5" t="s">
        <v>259</v>
      </c>
      <c r="K39" s="5" t="s">
        <v>260</v>
      </c>
      <c r="L39" s="5" t="n">
        <v>4</v>
      </c>
      <c r="M39" s="5" t="s">
        <v>101</v>
      </c>
      <c r="N39" s="5" t="s">
        <v>128</v>
      </c>
    </row>
    <row r="40" customFormat="false" ht="42.75" hidden="false" customHeight="true" outlineLevel="0" collapsed="false">
      <c r="A40" s="8" t="s">
        <v>261</v>
      </c>
      <c r="B40" s="8" t="s">
        <v>122</v>
      </c>
      <c r="C40" s="8" t="s">
        <v>262</v>
      </c>
      <c r="D40" s="8" t="s">
        <v>141</v>
      </c>
      <c r="E40" s="8" t="s">
        <v>263</v>
      </c>
      <c r="F40" s="9" t="s">
        <v>20</v>
      </c>
      <c r="G40" s="8" t="s">
        <v>131</v>
      </c>
      <c r="H40" s="8" t="s">
        <v>22</v>
      </c>
      <c r="I40" s="8" t="s">
        <v>254</v>
      </c>
      <c r="J40" s="8" t="s">
        <v>264</v>
      </c>
      <c r="K40" s="8" t="s">
        <v>265</v>
      </c>
      <c r="L40" s="8" t="n">
        <v>1.2</v>
      </c>
      <c r="M40" s="8" t="s">
        <v>101</v>
      </c>
      <c r="N40" s="8" t="s">
        <v>135</v>
      </c>
    </row>
    <row r="41" customFormat="false" ht="53.25" hidden="false" customHeight="true" outlineLevel="0" collapsed="false">
      <c r="A41" s="5" t="s">
        <v>266</v>
      </c>
      <c r="B41" s="5" t="s">
        <v>122</v>
      </c>
      <c r="C41" s="5" t="s">
        <v>262</v>
      </c>
      <c r="D41" s="5" t="s">
        <v>141</v>
      </c>
      <c r="E41" s="5" t="s">
        <v>267</v>
      </c>
      <c r="F41" s="6" t="s">
        <v>20</v>
      </c>
      <c r="G41" s="5" t="s">
        <v>268</v>
      </c>
      <c r="H41" s="5" t="s">
        <v>22</v>
      </c>
      <c r="I41" s="5" t="s">
        <v>254</v>
      </c>
      <c r="J41" s="5" t="s">
        <v>269</v>
      </c>
      <c r="K41" s="5" t="s">
        <v>270</v>
      </c>
      <c r="L41" s="5" t="n">
        <v>2.7</v>
      </c>
      <c r="M41" s="5" t="s">
        <v>101</v>
      </c>
      <c r="N41" s="5" t="s">
        <v>140</v>
      </c>
    </row>
    <row r="42" customFormat="false" ht="42.75" hidden="false" customHeight="true" outlineLevel="0" collapsed="false">
      <c r="A42" s="8" t="s">
        <v>271</v>
      </c>
      <c r="B42" s="8" t="s">
        <v>122</v>
      </c>
      <c r="C42" s="8" t="s">
        <v>262</v>
      </c>
      <c r="D42" s="8" t="s">
        <v>141</v>
      </c>
      <c r="E42" s="8" t="s">
        <v>272</v>
      </c>
      <c r="F42" s="9" t="s">
        <v>20</v>
      </c>
      <c r="G42" s="8" t="s">
        <v>65</v>
      </c>
      <c r="H42" s="8" t="s">
        <v>22</v>
      </c>
      <c r="I42" s="8" t="s">
        <v>254</v>
      </c>
      <c r="J42" s="8" t="s">
        <v>273</v>
      </c>
      <c r="K42" s="8" t="s">
        <v>274</v>
      </c>
      <c r="L42" s="8" t="n">
        <v>3</v>
      </c>
      <c r="M42" s="8" t="s">
        <v>101</v>
      </c>
      <c r="N42" s="8" t="s">
        <v>145</v>
      </c>
    </row>
    <row r="43" customFormat="false" ht="21.75" hidden="false" customHeight="true" outlineLevel="0" collapsed="false">
      <c r="A43" s="5" t="s">
        <v>275</v>
      </c>
      <c r="B43" s="5" t="s">
        <v>122</v>
      </c>
      <c r="C43" s="5" t="s">
        <v>262</v>
      </c>
      <c r="D43" s="5" t="s">
        <v>141</v>
      </c>
      <c r="E43" s="5" t="s">
        <v>276</v>
      </c>
      <c r="F43" s="6" t="s">
        <v>20</v>
      </c>
      <c r="G43" s="5" t="s">
        <v>268</v>
      </c>
      <c r="H43" s="5" t="s">
        <v>22</v>
      </c>
      <c r="I43" s="5" t="s">
        <v>254</v>
      </c>
      <c r="J43" s="5" t="s">
        <v>277</v>
      </c>
      <c r="K43" s="5" t="s">
        <v>278</v>
      </c>
      <c r="L43" s="5" t="n">
        <v>7</v>
      </c>
      <c r="M43" s="5" t="s">
        <v>101</v>
      </c>
      <c r="N43" s="5" t="s">
        <v>151</v>
      </c>
    </row>
    <row r="44" customFormat="false" ht="42.75" hidden="false" customHeight="true" outlineLevel="0" collapsed="false">
      <c r="A44" s="8" t="s">
        <v>279</v>
      </c>
      <c r="B44" s="8" t="s">
        <v>122</v>
      </c>
      <c r="C44" s="8" t="s">
        <v>262</v>
      </c>
      <c r="D44" s="8" t="s">
        <v>141</v>
      </c>
      <c r="E44" s="8" t="s">
        <v>280</v>
      </c>
      <c r="F44" s="9" t="s">
        <v>20</v>
      </c>
      <c r="G44" s="8" t="s">
        <v>268</v>
      </c>
      <c r="H44" s="8" t="s">
        <v>22</v>
      </c>
      <c r="I44" s="8" t="s">
        <v>254</v>
      </c>
      <c r="J44" s="8" t="s">
        <v>281</v>
      </c>
      <c r="K44" s="8" t="s">
        <v>282</v>
      </c>
      <c r="L44" s="8" t="n">
        <v>6</v>
      </c>
      <c r="M44" s="8" t="s">
        <v>101</v>
      </c>
      <c r="N44" s="8" t="s">
        <v>156</v>
      </c>
    </row>
    <row r="45" customFormat="false" ht="42.75" hidden="false" customHeight="true" outlineLevel="0" collapsed="false">
      <c r="A45" s="5" t="s">
        <v>283</v>
      </c>
      <c r="B45" s="5" t="s">
        <v>122</v>
      </c>
      <c r="C45" s="5" t="s">
        <v>284</v>
      </c>
      <c r="D45" s="5" t="s">
        <v>141</v>
      </c>
      <c r="E45" s="5" t="s">
        <v>285</v>
      </c>
      <c r="F45" s="6" t="s">
        <v>20</v>
      </c>
      <c r="G45" s="5" t="s">
        <v>65</v>
      </c>
      <c r="H45" s="5" t="s">
        <v>22</v>
      </c>
      <c r="I45" s="5" t="s">
        <v>254</v>
      </c>
      <c r="J45" s="5" t="s">
        <v>286</v>
      </c>
      <c r="K45" s="5" t="s">
        <v>287</v>
      </c>
      <c r="L45" s="5" t="n">
        <v>8</v>
      </c>
      <c r="M45" s="5" t="s">
        <v>101</v>
      </c>
      <c r="N45" s="5" t="s">
        <v>161</v>
      </c>
    </row>
    <row r="46" customFormat="false" ht="42.75" hidden="false" customHeight="true" outlineLevel="0" collapsed="false">
      <c r="A46" s="8" t="s">
        <v>288</v>
      </c>
      <c r="B46" s="8" t="s">
        <v>122</v>
      </c>
      <c r="C46" s="8" t="s">
        <v>284</v>
      </c>
      <c r="D46" s="8" t="s">
        <v>141</v>
      </c>
      <c r="E46" s="8" t="s">
        <v>289</v>
      </c>
      <c r="F46" s="9" t="s">
        <v>20</v>
      </c>
      <c r="G46" s="8" t="s">
        <v>65</v>
      </c>
      <c r="H46" s="8" t="s">
        <v>22</v>
      </c>
      <c r="I46" s="8" t="s">
        <v>254</v>
      </c>
      <c r="J46" s="8" t="s">
        <v>290</v>
      </c>
      <c r="K46" s="8" t="s">
        <v>291</v>
      </c>
      <c r="L46" s="8" t="n">
        <v>12</v>
      </c>
      <c r="M46" s="8" t="s">
        <v>101</v>
      </c>
      <c r="N46" s="8" t="s">
        <v>167</v>
      </c>
    </row>
    <row r="47" customFormat="false" ht="42.75" hidden="false" customHeight="true" outlineLevel="0" collapsed="false">
      <c r="A47" s="5" t="s">
        <v>292</v>
      </c>
      <c r="B47" s="5" t="s">
        <v>122</v>
      </c>
      <c r="C47" s="5" t="s">
        <v>262</v>
      </c>
      <c r="D47" s="5" t="s">
        <v>141</v>
      </c>
      <c r="E47" s="5" t="s">
        <v>293</v>
      </c>
      <c r="F47" s="6" t="s">
        <v>20</v>
      </c>
      <c r="G47" s="5" t="s">
        <v>65</v>
      </c>
      <c r="H47" s="5" t="s">
        <v>22</v>
      </c>
      <c r="I47" s="5" t="s">
        <v>294</v>
      </c>
      <c r="J47" s="5" t="s">
        <v>295</v>
      </c>
      <c r="K47" s="5" t="s">
        <v>296</v>
      </c>
      <c r="L47" s="5" t="n">
        <v>3</v>
      </c>
      <c r="M47" s="5" t="s">
        <v>101</v>
      </c>
      <c r="N47" s="5" t="s">
        <v>176</v>
      </c>
    </row>
    <row r="48" customFormat="false" ht="116.25" hidden="false" customHeight="true" outlineLevel="0" collapsed="false">
      <c r="A48" s="8" t="s">
        <v>297</v>
      </c>
      <c r="B48" s="8" t="s">
        <v>122</v>
      </c>
      <c r="C48" s="8" t="s">
        <v>262</v>
      </c>
      <c r="D48" s="8" t="s">
        <v>141</v>
      </c>
      <c r="E48" s="8" t="s">
        <v>298</v>
      </c>
      <c r="F48" s="9" t="s">
        <v>20</v>
      </c>
      <c r="G48" s="8" t="s">
        <v>65</v>
      </c>
      <c r="H48" s="8" t="s">
        <v>22</v>
      </c>
      <c r="I48" s="8" t="s">
        <v>294</v>
      </c>
      <c r="J48" s="8" t="s">
        <v>299</v>
      </c>
      <c r="K48" s="8" t="s">
        <v>300</v>
      </c>
      <c r="L48" s="8" t="n">
        <v>4</v>
      </c>
      <c r="M48" s="8" t="s">
        <v>101</v>
      </c>
      <c r="N48" s="8" t="s">
        <v>181</v>
      </c>
    </row>
    <row r="49" customFormat="false" ht="42.75" hidden="false" customHeight="true" outlineLevel="0" collapsed="false">
      <c r="A49" s="5" t="s">
        <v>301</v>
      </c>
      <c r="B49" s="5" t="s">
        <v>122</v>
      </c>
      <c r="C49" s="5" t="s">
        <v>302</v>
      </c>
      <c r="D49" s="5" t="s">
        <v>141</v>
      </c>
      <c r="E49" s="5" t="s">
        <v>303</v>
      </c>
      <c r="F49" s="6" t="s">
        <v>20</v>
      </c>
      <c r="G49" s="5" t="s">
        <v>40</v>
      </c>
      <c r="H49" s="5" t="s">
        <v>22</v>
      </c>
      <c r="I49" s="5" t="s">
        <v>304</v>
      </c>
      <c r="J49" s="5" t="s">
        <v>305</v>
      </c>
      <c r="K49" s="5" t="s">
        <v>306</v>
      </c>
      <c r="L49" s="5" t="n">
        <v>3</v>
      </c>
      <c r="M49" s="5" t="s">
        <v>101</v>
      </c>
      <c r="N49" s="5" t="s">
        <v>187</v>
      </c>
    </row>
    <row r="50" customFormat="false" ht="95.25" hidden="false" customHeight="true" outlineLevel="0" collapsed="false">
      <c r="A50" s="8" t="s">
        <v>307</v>
      </c>
      <c r="B50" s="8" t="s">
        <v>122</v>
      </c>
      <c r="C50" s="8" t="s">
        <v>262</v>
      </c>
      <c r="D50" s="8" t="s">
        <v>308</v>
      </c>
      <c r="E50" s="8" t="s">
        <v>309</v>
      </c>
      <c r="F50" s="10" t="s">
        <v>92</v>
      </c>
      <c r="G50" s="8" t="s">
        <v>40</v>
      </c>
      <c r="H50" s="8" t="s">
        <v>22</v>
      </c>
      <c r="I50" s="8" t="s">
        <v>310</v>
      </c>
      <c r="J50" s="8" t="s">
        <v>311</v>
      </c>
      <c r="K50" s="8" t="s">
        <v>312</v>
      </c>
      <c r="L50" s="8" t="n">
        <v>2</v>
      </c>
      <c r="M50" s="8" t="s">
        <v>101</v>
      </c>
      <c r="N50" s="8" t="s">
        <v>192</v>
      </c>
    </row>
    <row r="51" customFormat="false" ht="84.75" hidden="false" customHeight="true" outlineLevel="0" collapsed="false">
      <c r="A51" s="5" t="s">
        <v>313</v>
      </c>
      <c r="B51" s="5" t="s">
        <v>122</v>
      </c>
      <c r="C51" s="5" t="s">
        <v>262</v>
      </c>
      <c r="D51" s="5" t="s">
        <v>308</v>
      </c>
      <c r="E51" s="5" t="s">
        <v>314</v>
      </c>
      <c r="F51" s="11" t="s">
        <v>98</v>
      </c>
      <c r="G51" s="5" t="s">
        <v>40</v>
      </c>
      <c r="H51" s="5" t="s">
        <v>22</v>
      </c>
      <c r="I51" s="5" t="s">
        <v>315</v>
      </c>
      <c r="J51" s="5" t="s">
        <v>316</v>
      </c>
      <c r="K51" s="5" t="s">
        <v>317</v>
      </c>
      <c r="L51" s="5" t="n">
        <v>2</v>
      </c>
      <c r="M51" s="5" t="s">
        <v>101</v>
      </c>
      <c r="N51" s="5" t="s">
        <v>197</v>
      </c>
    </row>
    <row r="52" customFormat="false" ht="53.25" hidden="false" customHeight="true" outlineLevel="0" collapsed="false">
      <c r="A52" s="8" t="s">
        <v>318</v>
      </c>
      <c r="B52" s="8" t="s">
        <v>122</v>
      </c>
      <c r="C52" s="8" t="s">
        <v>146</v>
      </c>
      <c r="D52" s="8" t="s">
        <v>319</v>
      </c>
      <c r="E52" s="8" t="s">
        <v>320</v>
      </c>
      <c r="F52" s="10" t="s">
        <v>92</v>
      </c>
      <c r="G52" s="8" t="s">
        <v>65</v>
      </c>
      <c r="H52" s="8" t="s">
        <v>22</v>
      </c>
      <c r="I52" s="8" t="s">
        <v>321</v>
      </c>
      <c r="J52" s="8" t="s">
        <v>322</v>
      </c>
      <c r="K52" s="8" t="s">
        <v>323</v>
      </c>
      <c r="L52" s="8" t="n">
        <v>8</v>
      </c>
      <c r="M52" s="8" t="s">
        <v>101</v>
      </c>
      <c r="N52" s="8" t="s">
        <v>203</v>
      </c>
    </row>
    <row r="53" customFormat="false" ht="42.75" hidden="false" customHeight="true" outlineLevel="0" collapsed="false">
      <c r="A53" s="5" t="s">
        <v>324</v>
      </c>
      <c r="B53" s="5" t="s">
        <v>122</v>
      </c>
      <c r="C53" s="5" t="s">
        <v>325</v>
      </c>
      <c r="D53" s="5" t="s">
        <v>326</v>
      </c>
      <c r="E53" s="5" t="s">
        <v>327</v>
      </c>
      <c r="F53" s="14" t="s">
        <v>92</v>
      </c>
      <c r="G53" s="5" t="s">
        <v>328</v>
      </c>
      <c r="H53" s="5" t="s">
        <v>22</v>
      </c>
      <c r="I53" s="5" t="s">
        <v>329</v>
      </c>
      <c r="J53" s="5" t="s">
        <v>330</v>
      </c>
      <c r="K53" s="5" t="s">
        <v>331</v>
      </c>
      <c r="L53" s="5" t="n">
        <v>9.6</v>
      </c>
      <c r="M53" s="5" t="s">
        <v>101</v>
      </c>
      <c r="N53" s="5" t="s">
        <v>209</v>
      </c>
    </row>
    <row r="54" customFormat="false" ht="42.75" hidden="false" customHeight="true" outlineLevel="0" collapsed="false">
      <c r="A54" s="8" t="s">
        <v>332</v>
      </c>
      <c r="B54" s="8" t="s">
        <v>122</v>
      </c>
      <c r="C54" s="8" t="s">
        <v>325</v>
      </c>
      <c r="D54" s="8" t="s">
        <v>326</v>
      </c>
      <c r="E54" s="8" t="s">
        <v>333</v>
      </c>
      <c r="F54" s="10" t="s">
        <v>92</v>
      </c>
      <c r="G54" s="8" t="s">
        <v>328</v>
      </c>
      <c r="H54" s="8" t="s">
        <v>22</v>
      </c>
      <c r="I54" s="8" t="s">
        <v>329</v>
      </c>
      <c r="J54" s="8" t="s">
        <v>334</v>
      </c>
      <c r="K54" s="8" t="s">
        <v>335</v>
      </c>
      <c r="L54" s="8" t="n">
        <v>10</v>
      </c>
      <c r="M54" s="8" t="s">
        <v>101</v>
      </c>
      <c r="N54" s="8" t="s">
        <v>216</v>
      </c>
    </row>
    <row r="55" customFormat="false" ht="53.25" hidden="false" customHeight="true" outlineLevel="0" collapsed="false">
      <c r="A55" s="5" t="s">
        <v>336</v>
      </c>
      <c r="B55" s="5" t="s">
        <v>122</v>
      </c>
      <c r="C55" s="5" t="s">
        <v>325</v>
      </c>
      <c r="D55" s="5" t="s">
        <v>326</v>
      </c>
      <c r="E55" s="5" t="s">
        <v>337</v>
      </c>
      <c r="F55" s="14" t="s">
        <v>92</v>
      </c>
      <c r="G55" s="5" t="s">
        <v>328</v>
      </c>
      <c r="H55" s="5" t="s">
        <v>22</v>
      </c>
      <c r="I55" s="5" t="s">
        <v>254</v>
      </c>
      <c r="J55" s="5" t="s">
        <v>338</v>
      </c>
      <c r="K55" s="5" t="s">
        <v>339</v>
      </c>
      <c r="L55" s="5" t="n">
        <v>6</v>
      </c>
      <c r="M55" s="5" t="s">
        <v>101</v>
      </c>
      <c r="N55" s="5" t="s">
        <v>223</v>
      </c>
    </row>
    <row r="56" customFormat="false" ht="53.25" hidden="false" customHeight="true" outlineLevel="0" collapsed="false">
      <c r="A56" s="8" t="s">
        <v>340</v>
      </c>
      <c r="B56" s="8" t="s">
        <v>122</v>
      </c>
      <c r="C56" s="8" t="s">
        <v>262</v>
      </c>
      <c r="D56" s="8" t="s">
        <v>129</v>
      </c>
      <c r="E56" s="8" t="s">
        <v>341</v>
      </c>
      <c r="F56" s="10" t="s">
        <v>92</v>
      </c>
      <c r="G56" s="8" t="s">
        <v>131</v>
      </c>
      <c r="H56" s="8" t="s">
        <v>22</v>
      </c>
      <c r="I56" s="8" t="s">
        <v>254</v>
      </c>
      <c r="J56" s="8" t="s">
        <v>342</v>
      </c>
      <c r="K56" s="8" t="s">
        <v>343</v>
      </c>
      <c r="L56" s="8" t="n">
        <v>6</v>
      </c>
      <c r="M56" s="8" t="s">
        <v>101</v>
      </c>
      <c r="N56" s="8" t="s">
        <v>229</v>
      </c>
    </row>
    <row r="57" customFormat="false" ht="42.75" hidden="false" customHeight="true" outlineLevel="0" collapsed="false">
      <c r="A57" s="5" t="s">
        <v>344</v>
      </c>
      <c r="B57" s="5" t="s">
        <v>122</v>
      </c>
      <c r="C57" s="5" t="s">
        <v>284</v>
      </c>
      <c r="D57" s="5" t="s">
        <v>141</v>
      </c>
      <c r="E57" s="5" t="s">
        <v>345</v>
      </c>
      <c r="F57" s="14" t="s">
        <v>92</v>
      </c>
      <c r="G57" s="5" t="s">
        <v>268</v>
      </c>
      <c r="H57" s="5" t="s">
        <v>22</v>
      </c>
      <c r="I57" s="5" t="s">
        <v>254</v>
      </c>
      <c r="J57" s="5" t="s">
        <v>346</v>
      </c>
      <c r="K57" s="5" t="s">
        <v>347</v>
      </c>
      <c r="L57" s="5" t="n">
        <v>5</v>
      </c>
      <c r="M57" s="5" t="s">
        <v>101</v>
      </c>
      <c r="N57" s="5" t="s">
        <v>235</v>
      </c>
    </row>
    <row r="58" customFormat="false" ht="42.75" hidden="false" customHeight="true" outlineLevel="0" collapsed="false">
      <c r="A58" s="8" t="s">
        <v>348</v>
      </c>
      <c r="B58" s="8" t="s">
        <v>122</v>
      </c>
      <c r="C58" s="8" t="s">
        <v>284</v>
      </c>
      <c r="D58" s="8" t="s">
        <v>141</v>
      </c>
      <c r="E58" s="8" t="s">
        <v>349</v>
      </c>
      <c r="F58" s="10" t="s">
        <v>92</v>
      </c>
      <c r="G58" s="8" t="s">
        <v>328</v>
      </c>
      <c r="H58" s="8" t="s">
        <v>22</v>
      </c>
      <c r="I58" s="8" t="s">
        <v>254</v>
      </c>
      <c r="J58" s="8" t="s">
        <v>350</v>
      </c>
      <c r="K58" s="8" t="s">
        <v>351</v>
      </c>
      <c r="L58" s="8" t="n">
        <v>1.4</v>
      </c>
      <c r="M58" s="8" t="s">
        <v>101</v>
      </c>
      <c r="N58" s="8" t="s">
        <v>242</v>
      </c>
    </row>
    <row r="59" customFormat="false" ht="42.75" hidden="false" customHeight="true" outlineLevel="0" collapsed="false">
      <c r="A59" s="5" t="s">
        <v>352</v>
      </c>
      <c r="B59" s="5" t="s">
        <v>122</v>
      </c>
      <c r="C59" s="5" t="s">
        <v>284</v>
      </c>
      <c r="D59" s="5" t="s">
        <v>141</v>
      </c>
      <c r="E59" s="5" t="s">
        <v>353</v>
      </c>
      <c r="F59" s="14" t="s">
        <v>92</v>
      </c>
      <c r="G59" s="5" t="s">
        <v>268</v>
      </c>
      <c r="H59" s="5" t="s">
        <v>22</v>
      </c>
      <c r="I59" s="5" t="s">
        <v>254</v>
      </c>
      <c r="J59" s="5" t="s">
        <v>354</v>
      </c>
      <c r="K59" s="5" t="s">
        <v>355</v>
      </c>
      <c r="L59" s="5" t="n">
        <v>3.6</v>
      </c>
      <c r="M59" s="5" t="s">
        <v>101</v>
      </c>
      <c r="N59" s="5" t="s">
        <v>247</v>
      </c>
    </row>
    <row r="60" customFormat="false" ht="21.75" hidden="false" customHeight="true" outlineLevel="0" collapsed="false">
      <c r="A60" s="8" t="s">
        <v>356</v>
      </c>
      <c r="B60" s="8" t="s">
        <v>122</v>
      </c>
      <c r="C60" s="8" t="s">
        <v>284</v>
      </c>
      <c r="D60" s="8" t="s">
        <v>141</v>
      </c>
      <c r="E60" s="8" t="s">
        <v>357</v>
      </c>
      <c r="F60" s="10" t="s">
        <v>92</v>
      </c>
      <c r="G60" s="8" t="s">
        <v>328</v>
      </c>
      <c r="H60" s="8" t="s">
        <v>22</v>
      </c>
      <c r="I60" s="8" t="s">
        <v>254</v>
      </c>
      <c r="J60" s="8" t="s">
        <v>358</v>
      </c>
      <c r="K60" s="8" t="s">
        <v>359</v>
      </c>
      <c r="L60" s="8" t="n">
        <v>12</v>
      </c>
      <c r="M60" s="8" t="s">
        <v>101</v>
      </c>
      <c r="N60" s="8" t="s">
        <v>251</v>
      </c>
    </row>
    <row r="61" customFormat="false" ht="21.75" hidden="false" customHeight="true" outlineLevel="0" collapsed="false">
      <c r="A61" s="5" t="s">
        <v>360</v>
      </c>
      <c r="B61" s="5" t="s">
        <v>122</v>
      </c>
      <c r="C61" s="5" t="s">
        <v>284</v>
      </c>
      <c r="D61" s="5" t="s">
        <v>141</v>
      </c>
      <c r="E61" s="5" t="s">
        <v>361</v>
      </c>
      <c r="F61" s="14" t="s">
        <v>92</v>
      </c>
      <c r="G61" s="5" t="s">
        <v>328</v>
      </c>
      <c r="H61" s="5" t="s">
        <v>22</v>
      </c>
      <c r="I61" s="5" t="s">
        <v>254</v>
      </c>
      <c r="J61" s="5" t="s">
        <v>362</v>
      </c>
      <c r="K61" s="5" t="s">
        <v>363</v>
      </c>
      <c r="L61" s="5" t="n">
        <v>4.5</v>
      </c>
      <c r="M61" s="5" t="s">
        <v>101</v>
      </c>
      <c r="N61" s="5" t="s">
        <v>257</v>
      </c>
    </row>
    <row r="62" customFormat="false" ht="21.75" hidden="false" customHeight="true" outlineLevel="0" collapsed="false">
      <c r="A62" s="8" t="s">
        <v>364</v>
      </c>
      <c r="B62" s="8" t="s">
        <v>122</v>
      </c>
      <c r="C62" s="8" t="s">
        <v>365</v>
      </c>
      <c r="D62" s="8" t="s">
        <v>141</v>
      </c>
      <c r="E62" s="8" t="s">
        <v>366</v>
      </c>
      <c r="F62" s="10" t="s">
        <v>92</v>
      </c>
      <c r="G62" s="8" t="s">
        <v>328</v>
      </c>
      <c r="H62" s="8" t="s">
        <v>22</v>
      </c>
      <c r="I62" s="8" t="s">
        <v>254</v>
      </c>
      <c r="J62" s="8" t="s">
        <v>367</v>
      </c>
      <c r="K62" s="8" t="s">
        <v>368</v>
      </c>
      <c r="L62" s="8" t="n">
        <v>8</v>
      </c>
      <c r="M62" s="8" t="s">
        <v>101</v>
      </c>
      <c r="N62" s="8" t="s">
        <v>261</v>
      </c>
    </row>
    <row r="63" customFormat="false" ht="32.25" hidden="false" customHeight="true" outlineLevel="0" collapsed="false">
      <c r="A63" s="5" t="s">
        <v>369</v>
      </c>
      <c r="B63" s="5" t="s">
        <v>122</v>
      </c>
      <c r="C63" s="5" t="s">
        <v>365</v>
      </c>
      <c r="D63" s="5" t="s">
        <v>141</v>
      </c>
      <c r="E63" s="5" t="s">
        <v>370</v>
      </c>
      <c r="F63" s="14" t="s">
        <v>92</v>
      </c>
      <c r="G63" s="5" t="s">
        <v>65</v>
      </c>
      <c r="H63" s="5" t="s">
        <v>22</v>
      </c>
      <c r="I63" s="5" t="s">
        <v>254</v>
      </c>
      <c r="J63" s="5" t="s">
        <v>371</v>
      </c>
      <c r="K63" s="5" t="s">
        <v>372</v>
      </c>
      <c r="L63" s="5" t="n">
        <v>4</v>
      </c>
      <c r="M63" s="5" t="s">
        <v>101</v>
      </c>
      <c r="N63" s="5" t="s">
        <v>266</v>
      </c>
    </row>
    <row r="64" customFormat="false" ht="32.25" hidden="false" customHeight="true" outlineLevel="0" collapsed="false">
      <c r="A64" s="8" t="s">
        <v>373</v>
      </c>
      <c r="B64" s="8" t="s">
        <v>122</v>
      </c>
      <c r="C64" s="8" t="s">
        <v>365</v>
      </c>
      <c r="D64" s="8" t="s">
        <v>141</v>
      </c>
      <c r="E64" s="8" t="s">
        <v>374</v>
      </c>
      <c r="F64" s="10" t="s">
        <v>92</v>
      </c>
      <c r="G64" s="8" t="s">
        <v>65</v>
      </c>
      <c r="H64" s="8" t="s">
        <v>22</v>
      </c>
      <c r="I64" s="8" t="s">
        <v>254</v>
      </c>
      <c r="J64" s="8" t="s">
        <v>375</v>
      </c>
      <c r="K64" s="8" t="s">
        <v>376</v>
      </c>
      <c r="L64" s="8" t="n">
        <v>4</v>
      </c>
      <c r="M64" s="8" t="s">
        <v>101</v>
      </c>
      <c r="N64" s="8" t="s">
        <v>271</v>
      </c>
    </row>
    <row r="65" customFormat="false" ht="53.25" hidden="false" customHeight="true" outlineLevel="0" collapsed="false">
      <c r="A65" s="5" t="s">
        <v>377</v>
      </c>
      <c r="B65" s="5" t="s">
        <v>122</v>
      </c>
      <c r="C65" s="5" t="s">
        <v>302</v>
      </c>
      <c r="D65" s="5" t="s">
        <v>141</v>
      </c>
      <c r="E65" s="5" t="s">
        <v>378</v>
      </c>
      <c r="F65" s="14" t="s">
        <v>92</v>
      </c>
      <c r="G65" s="5" t="s">
        <v>40</v>
      </c>
      <c r="H65" s="5" t="s">
        <v>22</v>
      </c>
      <c r="I65" s="5" t="s">
        <v>137</v>
      </c>
      <c r="J65" s="5" t="s">
        <v>379</v>
      </c>
      <c r="K65" s="5" t="s">
        <v>380</v>
      </c>
      <c r="L65" s="5" t="n">
        <v>2</v>
      </c>
      <c r="M65" s="5" t="s">
        <v>101</v>
      </c>
      <c r="N65" s="5" t="s">
        <v>275</v>
      </c>
    </row>
    <row r="66" customFormat="false" ht="53.25" hidden="false" customHeight="true" outlineLevel="0" collapsed="false">
      <c r="A66" s="8" t="s">
        <v>381</v>
      </c>
      <c r="B66" s="8" t="s">
        <v>122</v>
      </c>
      <c r="C66" s="8" t="s">
        <v>262</v>
      </c>
      <c r="D66" s="8" t="s">
        <v>141</v>
      </c>
      <c r="E66" s="8" t="s">
        <v>382</v>
      </c>
      <c r="F66" s="10" t="s">
        <v>92</v>
      </c>
      <c r="G66" s="8" t="s">
        <v>40</v>
      </c>
      <c r="H66" s="8" t="s">
        <v>22</v>
      </c>
      <c r="I66" s="8" t="s">
        <v>137</v>
      </c>
      <c r="J66" s="8" t="s">
        <v>383</v>
      </c>
      <c r="K66" s="8" t="s">
        <v>384</v>
      </c>
      <c r="L66" s="8" t="n">
        <v>3</v>
      </c>
      <c r="M66" s="8" t="s">
        <v>101</v>
      </c>
      <c r="N66" s="8" t="s">
        <v>279</v>
      </c>
    </row>
    <row r="67" customFormat="false" ht="32.25" hidden="false" customHeight="true" outlineLevel="0" collapsed="false">
      <c r="A67" s="5" t="s">
        <v>385</v>
      </c>
      <c r="B67" s="5" t="s">
        <v>122</v>
      </c>
      <c r="C67" s="5" t="s">
        <v>146</v>
      </c>
      <c r="D67" s="5" t="s">
        <v>319</v>
      </c>
      <c r="E67" s="5" t="s">
        <v>386</v>
      </c>
      <c r="F67" s="11" t="s">
        <v>98</v>
      </c>
      <c r="G67" s="5" t="s">
        <v>65</v>
      </c>
      <c r="H67" s="5" t="s">
        <v>22</v>
      </c>
      <c r="I67" s="5" t="s">
        <v>321</v>
      </c>
      <c r="J67" s="5" t="s">
        <v>387</v>
      </c>
      <c r="K67" s="5" t="s">
        <v>388</v>
      </c>
      <c r="L67" s="5" t="n">
        <v>5</v>
      </c>
      <c r="M67" s="5" t="s">
        <v>101</v>
      </c>
      <c r="N67" s="5" t="s">
        <v>283</v>
      </c>
    </row>
    <row r="68" customFormat="false" ht="21.75" hidden="false" customHeight="true" outlineLevel="0" collapsed="false">
      <c r="A68" s="8" t="s">
        <v>389</v>
      </c>
      <c r="B68" s="8" t="s">
        <v>122</v>
      </c>
      <c r="C68" s="8" t="s">
        <v>390</v>
      </c>
      <c r="D68" s="8" t="s">
        <v>319</v>
      </c>
      <c r="E68" s="8" t="s">
        <v>391</v>
      </c>
      <c r="F68" s="15" t="s">
        <v>98</v>
      </c>
      <c r="G68" s="8" t="s">
        <v>56</v>
      </c>
      <c r="H68" s="8" t="s">
        <v>22</v>
      </c>
      <c r="I68" s="8" t="s">
        <v>321</v>
      </c>
      <c r="J68" s="8" t="s">
        <v>392</v>
      </c>
      <c r="K68" s="8" t="s">
        <v>393</v>
      </c>
      <c r="L68" s="8" t="n">
        <v>6</v>
      </c>
      <c r="M68" s="8" t="s">
        <v>101</v>
      </c>
      <c r="N68" s="8" t="s">
        <v>288</v>
      </c>
    </row>
    <row r="69" customFormat="false" ht="32.25" hidden="false" customHeight="true" outlineLevel="0" collapsed="false">
      <c r="A69" s="5" t="s">
        <v>394</v>
      </c>
      <c r="B69" s="5" t="s">
        <v>122</v>
      </c>
      <c r="C69" s="5" t="s">
        <v>325</v>
      </c>
      <c r="D69" s="5" t="s">
        <v>326</v>
      </c>
      <c r="E69" s="5" t="s">
        <v>395</v>
      </c>
      <c r="F69" s="11" t="s">
        <v>98</v>
      </c>
      <c r="G69" s="5" t="s">
        <v>396</v>
      </c>
      <c r="H69" s="5" t="s">
        <v>22</v>
      </c>
      <c r="I69" s="5" t="s">
        <v>329</v>
      </c>
      <c r="J69" s="5" t="s">
        <v>397</v>
      </c>
      <c r="K69" s="5" t="s">
        <v>398</v>
      </c>
      <c r="L69" s="5" t="n">
        <v>1.5</v>
      </c>
      <c r="M69" s="5" t="s">
        <v>101</v>
      </c>
      <c r="N69" s="5" t="s">
        <v>292</v>
      </c>
    </row>
    <row r="70" customFormat="false" ht="21.75" hidden="false" customHeight="true" outlineLevel="0" collapsed="false">
      <c r="A70" s="8" t="s">
        <v>399</v>
      </c>
      <c r="B70" s="8" t="s">
        <v>122</v>
      </c>
      <c r="C70" s="8" t="s">
        <v>325</v>
      </c>
      <c r="D70" s="8" t="s">
        <v>400</v>
      </c>
      <c r="E70" s="8" t="s">
        <v>401</v>
      </c>
      <c r="F70" s="15" t="s">
        <v>98</v>
      </c>
      <c r="G70" s="8" t="s">
        <v>328</v>
      </c>
      <c r="H70" s="8" t="s">
        <v>22</v>
      </c>
      <c r="I70" s="8" t="s">
        <v>254</v>
      </c>
      <c r="J70" s="8" t="s">
        <v>402</v>
      </c>
      <c r="K70" s="8" t="s">
        <v>403</v>
      </c>
      <c r="L70" s="8" t="n">
        <v>6</v>
      </c>
      <c r="M70" s="8" t="s">
        <v>101</v>
      </c>
      <c r="N70" s="8" t="s">
        <v>297</v>
      </c>
    </row>
    <row r="71" customFormat="false" ht="84.75" hidden="false" customHeight="true" outlineLevel="0" collapsed="false">
      <c r="A71" s="5" t="s">
        <v>404</v>
      </c>
      <c r="B71" s="5" t="s">
        <v>122</v>
      </c>
      <c r="C71" s="5" t="s">
        <v>262</v>
      </c>
      <c r="D71" s="5" t="s">
        <v>129</v>
      </c>
      <c r="E71" s="5" t="s">
        <v>405</v>
      </c>
      <c r="F71" s="11" t="s">
        <v>98</v>
      </c>
      <c r="G71" s="5" t="s">
        <v>131</v>
      </c>
      <c r="H71" s="5" t="s">
        <v>22</v>
      </c>
      <c r="I71" s="5" t="s">
        <v>254</v>
      </c>
      <c r="J71" s="5" t="s">
        <v>406</v>
      </c>
      <c r="K71" s="5" t="s">
        <v>407</v>
      </c>
      <c r="L71" s="5" t="n">
        <v>12</v>
      </c>
      <c r="M71" s="5" t="s">
        <v>101</v>
      </c>
      <c r="N71" s="5" t="s">
        <v>301</v>
      </c>
    </row>
    <row r="72" customFormat="false" ht="42.75" hidden="false" customHeight="true" outlineLevel="0" collapsed="false">
      <c r="A72" s="8" t="s">
        <v>408</v>
      </c>
      <c r="B72" s="8" t="s">
        <v>122</v>
      </c>
      <c r="C72" s="8" t="s">
        <v>365</v>
      </c>
      <c r="D72" s="8" t="s">
        <v>141</v>
      </c>
      <c r="E72" s="8" t="s">
        <v>409</v>
      </c>
      <c r="F72" s="15" t="s">
        <v>98</v>
      </c>
      <c r="G72" s="8" t="s">
        <v>268</v>
      </c>
      <c r="H72" s="8" t="s">
        <v>22</v>
      </c>
      <c r="I72" s="8" t="s">
        <v>254</v>
      </c>
      <c r="J72" s="8" t="s">
        <v>410</v>
      </c>
      <c r="K72" s="8" t="s">
        <v>411</v>
      </c>
      <c r="L72" s="8" t="n">
        <v>5</v>
      </c>
      <c r="M72" s="8" t="s">
        <v>101</v>
      </c>
      <c r="N72" s="8" t="s">
        <v>307</v>
      </c>
    </row>
    <row r="73" customFormat="false" ht="21.75" hidden="false" customHeight="true" outlineLevel="0" collapsed="false">
      <c r="A73" s="5" t="s">
        <v>412</v>
      </c>
      <c r="B73" s="5" t="s">
        <v>122</v>
      </c>
      <c r="C73" s="5" t="s">
        <v>365</v>
      </c>
      <c r="D73" s="5" t="s">
        <v>141</v>
      </c>
      <c r="E73" s="5" t="s">
        <v>413</v>
      </c>
      <c r="F73" s="11" t="s">
        <v>98</v>
      </c>
      <c r="G73" s="5" t="s">
        <v>131</v>
      </c>
      <c r="H73" s="5" t="s">
        <v>22</v>
      </c>
      <c r="I73" s="5" t="s">
        <v>254</v>
      </c>
      <c r="J73" s="5" t="s">
        <v>414</v>
      </c>
      <c r="K73" s="5" t="s">
        <v>415</v>
      </c>
      <c r="L73" s="5" t="n">
        <v>12.6</v>
      </c>
      <c r="M73" s="5" t="s">
        <v>101</v>
      </c>
      <c r="N73" s="5" t="s">
        <v>313</v>
      </c>
    </row>
    <row r="74" customFormat="false" ht="21.75" hidden="false" customHeight="true" outlineLevel="0" collapsed="false">
      <c r="A74" s="8" t="s">
        <v>416</v>
      </c>
      <c r="B74" s="8" t="s">
        <v>122</v>
      </c>
      <c r="C74" s="8" t="s">
        <v>365</v>
      </c>
      <c r="D74" s="8" t="s">
        <v>141</v>
      </c>
      <c r="E74" s="8" t="s">
        <v>417</v>
      </c>
      <c r="F74" s="15" t="s">
        <v>98</v>
      </c>
      <c r="G74" s="8" t="s">
        <v>328</v>
      </c>
      <c r="H74" s="8" t="s">
        <v>22</v>
      </c>
      <c r="I74" s="8" t="s">
        <v>254</v>
      </c>
      <c r="J74" s="8" t="s">
        <v>418</v>
      </c>
      <c r="K74" s="8" t="s">
        <v>419</v>
      </c>
      <c r="L74" s="8" t="n">
        <v>8</v>
      </c>
      <c r="M74" s="8" t="s">
        <v>101</v>
      </c>
      <c r="N74" s="8" t="s">
        <v>318</v>
      </c>
    </row>
    <row r="75" customFormat="false" ht="32.25" hidden="false" customHeight="true" outlineLevel="0" collapsed="false">
      <c r="A75" s="5" t="s">
        <v>420</v>
      </c>
      <c r="B75" s="5" t="s">
        <v>122</v>
      </c>
      <c r="C75" s="5" t="s">
        <v>365</v>
      </c>
      <c r="D75" s="5" t="s">
        <v>141</v>
      </c>
      <c r="E75" s="5" t="s">
        <v>421</v>
      </c>
      <c r="F75" s="11" t="s">
        <v>98</v>
      </c>
      <c r="G75" s="5" t="s">
        <v>396</v>
      </c>
      <c r="H75" s="5" t="s">
        <v>22</v>
      </c>
      <c r="I75" s="5" t="s">
        <v>254</v>
      </c>
      <c r="J75" s="5" t="s">
        <v>422</v>
      </c>
      <c r="K75" s="5" t="s">
        <v>423</v>
      </c>
      <c r="L75" s="5" t="n">
        <v>1.8</v>
      </c>
      <c r="M75" s="5" t="s">
        <v>101</v>
      </c>
      <c r="N75" s="5" t="s">
        <v>324</v>
      </c>
    </row>
    <row r="76" customFormat="false" ht="32.25" hidden="false" customHeight="true" outlineLevel="0" collapsed="false">
      <c r="A76" s="8" t="s">
        <v>424</v>
      </c>
      <c r="B76" s="8" t="s">
        <v>122</v>
      </c>
      <c r="C76" s="8" t="s">
        <v>302</v>
      </c>
      <c r="D76" s="8" t="s">
        <v>141</v>
      </c>
      <c r="E76" s="8" t="s">
        <v>425</v>
      </c>
      <c r="F76" s="15" t="s">
        <v>98</v>
      </c>
      <c r="G76" s="8" t="s">
        <v>396</v>
      </c>
      <c r="H76" s="8" t="s">
        <v>22</v>
      </c>
      <c r="I76" s="8" t="s">
        <v>254</v>
      </c>
      <c r="J76" s="8" t="s">
        <v>426</v>
      </c>
      <c r="K76" s="8" t="s">
        <v>427</v>
      </c>
      <c r="L76" s="8" t="n">
        <v>2.4</v>
      </c>
      <c r="M76" s="8" t="s">
        <v>101</v>
      </c>
      <c r="N76" s="8" t="s">
        <v>332</v>
      </c>
    </row>
    <row r="77" customFormat="false" ht="32.25" hidden="false" customHeight="true" outlineLevel="0" collapsed="false">
      <c r="A77" s="5" t="s">
        <v>428</v>
      </c>
      <c r="B77" s="5" t="s">
        <v>122</v>
      </c>
      <c r="C77" s="5" t="s">
        <v>302</v>
      </c>
      <c r="D77" s="5" t="s">
        <v>141</v>
      </c>
      <c r="E77" s="5" t="s">
        <v>429</v>
      </c>
      <c r="F77" s="11" t="s">
        <v>98</v>
      </c>
      <c r="G77" s="5" t="s">
        <v>396</v>
      </c>
      <c r="H77" s="5" t="s">
        <v>22</v>
      </c>
      <c r="I77" s="5" t="s">
        <v>254</v>
      </c>
      <c r="J77" s="5" t="s">
        <v>430</v>
      </c>
      <c r="K77" s="5" t="s">
        <v>431</v>
      </c>
      <c r="L77" s="5" t="n">
        <v>3</v>
      </c>
      <c r="M77" s="5" t="s">
        <v>101</v>
      </c>
      <c r="N77" s="5" t="s">
        <v>336</v>
      </c>
    </row>
    <row r="78" customFormat="false" ht="32.25" hidden="false" customHeight="true" outlineLevel="0" collapsed="false">
      <c r="A78" s="8" t="s">
        <v>432</v>
      </c>
      <c r="B78" s="8" t="s">
        <v>122</v>
      </c>
      <c r="C78" s="8" t="s">
        <v>302</v>
      </c>
      <c r="D78" s="8" t="s">
        <v>141</v>
      </c>
      <c r="E78" s="8" t="s">
        <v>433</v>
      </c>
      <c r="F78" s="15" t="s">
        <v>98</v>
      </c>
      <c r="G78" s="8" t="s">
        <v>396</v>
      </c>
      <c r="H78" s="8" t="s">
        <v>22</v>
      </c>
      <c r="I78" s="8" t="s">
        <v>254</v>
      </c>
      <c r="J78" s="8" t="s">
        <v>434</v>
      </c>
      <c r="K78" s="8" t="s">
        <v>435</v>
      </c>
      <c r="L78" s="8" t="n">
        <v>0.9</v>
      </c>
      <c r="M78" s="8" t="s">
        <v>101</v>
      </c>
      <c r="N78" s="8" t="s">
        <v>340</v>
      </c>
    </row>
    <row r="79" customFormat="false" ht="63.75" hidden="false" customHeight="true" outlineLevel="0" collapsed="false">
      <c r="A79" s="5" t="s">
        <v>436</v>
      </c>
      <c r="B79" s="5" t="s">
        <v>122</v>
      </c>
      <c r="C79" s="5" t="s">
        <v>302</v>
      </c>
      <c r="D79" s="5" t="s">
        <v>141</v>
      </c>
      <c r="E79" s="5" t="s">
        <v>437</v>
      </c>
      <c r="F79" s="11" t="s">
        <v>98</v>
      </c>
      <c r="G79" s="5" t="s">
        <v>21</v>
      </c>
      <c r="H79" s="5" t="s">
        <v>22</v>
      </c>
      <c r="I79" s="5" t="s">
        <v>304</v>
      </c>
      <c r="J79" s="5" t="s">
        <v>438</v>
      </c>
      <c r="K79" s="5" t="s">
        <v>439</v>
      </c>
      <c r="L79" s="5" t="n">
        <v>2</v>
      </c>
      <c r="M79" s="5" t="s">
        <v>101</v>
      </c>
      <c r="N79" s="5" t="s">
        <v>344</v>
      </c>
    </row>
    <row r="80" customFormat="false" ht="21.75" hidden="false" customHeight="true" outlineLevel="0" collapsed="false">
      <c r="A80" s="8" t="s">
        <v>440</v>
      </c>
      <c r="B80" s="8" t="s">
        <v>122</v>
      </c>
      <c r="C80" s="8" t="s">
        <v>302</v>
      </c>
      <c r="D80" s="8" t="s">
        <v>141</v>
      </c>
      <c r="E80" s="8" t="s">
        <v>441</v>
      </c>
      <c r="F80" s="16" t="s">
        <v>442</v>
      </c>
      <c r="G80" s="8" t="s">
        <v>396</v>
      </c>
      <c r="H80" s="8" t="s">
        <v>22</v>
      </c>
      <c r="I80" s="8" t="s">
        <v>254</v>
      </c>
      <c r="J80" s="8" t="s">
        <v>443</v>
      </c>
      <c r="K80" s="8" t="s">
        <v>444</v>
      </c>
      <c r="L80" s="8" t="n">
        <v>4</v>
      </c>
      <c r="M80" s="8" t="s">
        <v>101</v>
      </c>
      <c r="N80" s="8" t="s">
        <v>348</v>
      </c>
    </row>
    <row r="81" customFormat="false" ht="116.25" hidden="false" customHeight="true" outlineLevel="0" collapsed="false">
      <c r="A81" s="5" t="s">
        <v>445</v>
      </c>
      <c r="B81" s="5" t="s">
        <v>122</v>
      </c>
      <c r="C81" s="5" t="s">
        <v>390</v>
      </c>
      <c r="D81" s="5" t="s">
        <v>446</v>
      </c>
      <c r="E81" s="5" t="s">
        <v>447</v>
      </c>
      <c r="F81" s="6" t="s">
        <v>20</v>
      </c>
      <c r="G81" s="5" t="s">
        <v>65</v>
      </c>
      <c r="H81" s="5" t="s">
        <v>57</v>
      </c>
      <c r="I81" s="5" t="s">
        <v>148</v>
      </c>
      <c r="J81" s="5" t="s">
        <v>448</v>
      </c>
      <c r="K81" s="5" t="s">
        <v>449</v>
      </c>
      <c r="L81" s="5" t="n">
        <v>14</v>
      </c>
      <c r="M81" s="5" t="s">
        <v>101</v>
      </c>
      <c r="N81" s="5" t="s">
        <v>352</v>
      </c>
    </row>
    <row r="82" customFormat="false" ht="63.75" hidden="false" customHeight="true" outlineLevel="0" collapsed="false">
      <c r="A82" s="8" t="s">
        <v>450</v>
      </c>
      <c r="B82" s="8" t="s">
        <v>122</v>
      </c>
      <c r="C82" s="8" t="s">
        <v>390</v>
      </c>
      <c r="D82" s="8" t="s">
        <v>446</v>
      </c>
      <c r="E82" s="8" t="s">
        <v>451</v>
      </c>
      <c r="F82" s="10" t="s">
        <v>92</v>
      </c>
      <c r="G82" s="8" t="s">
        <v>328</v>
      </c>
      <c r="H82" s="8" t="s">
        <v>57</v>
      </c>
      <c r="I82" s="8" t="s">
        <v>148</v>
      </c>
      <c r="J82" s="8" t="s">
        <v>452</v>
      </c>
      <c r="K82" s="8" t="s">
        <v>453</v>
      </c>
      <c r="L82" s="8" t="n">
        <v>3.5</v>
      </c>
      <c r="M82" s="8" t="s">
        <v>101</v>
      </c>
      <c r="N82" s="8" t="s">
        <v>356</v>
      </c>
    </row>
    <row r="83" customFormat="false" ht="21.75" hidden="false" customHeight="true" outlineLevel="0" collapsed="false">
      <c r="A83" s="5" t="s">
        <v>454</v>
      </c>
      <c r="B83" s="5" t="s">
        <v>122</v>
      </c>
      <c r="C83" s="5" t="s">
        <v>390</v>
      </c>
      <c r="D83" s="5" t="s">
        <v>446</v>
      </c>
      <c r="E83" s="5" t="s">
        <v>455</v>
      </c>
      <c r="F83" s="11" t="s">
        <v>98</v>
      </c>
      <c r="G83" s="5" t="s">
        <v>328</v>
      </c>
      <c r="H83" s="5" t="s">
        <v>57</v>
      </c>
      <c r="I83" s="5" t="s">
        <v>148</v>
      </c>
      <c r="J83" s="5" t="s">
        <v>456</v>
      </c>
      <c r="K83" s="5" t="s">
        <v>457</v>
      </c>
      <c r="L83" s="5" t="n">
        <v>6</v>
      </c>
      <c r="M83" s="5" t="s">
        <v>101</v>
      </c>
      <c r="N83" s="5" t="s">
        <v>360</v>
      </c>
    </row>
    <row r="84" customFormat="false" ht="42.75" hidden="false" customHeight="true" outlineLevel="0" collapsed="false">
      <c r="A84" s="8" t="s">
        <v>458</v>
      </c>
      <c r="B84" s="8" t="s">
        <v>122</v>
      </c>
      <c r="C84" s="8" t="s">
        <v>325</v>
      </c>
      <c r="D84" s="8" t="s">
        <v>400</v>
      </c>
      <c r="E84" s="8" t="s">
        <v>459</v>
      </c>
      <c r="F84" s="9" t="s">
        <v>20</v>
      </c>
      <c r="G84" s="8" t="s">
        <v>105</v>
      </c>
      <c r="H84" s="8" t="s">
        <v>31</v>
      </c>
      <c r="I84" s="8" t="s">
        <v>106</v>
      </c>
      <c r="J84" s="8" t="s">
        <v>460</v>
      </c>
      <c r="K84" s="8" t="s">
        <v>461</v>
      </c>
      <c r="L84" s="8" t="n">
        <v>10</v>
      </c>
      <c r="M84" s="8" t="s">
        <v>101</v>
      </c>
      <c r="N84" s="8" t="s">
        <v>364</v>
      </c>
    </row>
    <row r="85" customFormat="false" ht="32.25" hidden="false" customHeight="true" outlineLevel="0" collapsed="false">
      <c r="A85" s="5" t="s">
        <v>462</v>
      </c>
      <c r="B85" s="5" t="s">
        <v>122</v>
      </c>
      <c r="C85" s="5" t="s">
        <v>146</v>
      </c>
      <c r="D85" s="5" t="s">
        <v>182</v>
      </c>
      <c r="E85" s="5" t="s">
        <v>463</v>
      </c>
      <c r="F85" s="14" t="s">
        <v>92</v>
      </c>
      <c r="G85" s="5" t="s">
        <v>105</v>
      </c>
      <c r="H85" s="5" t="s">
        <v>31</v>
      </c>
      <c r="I85" s="5" t="s">
        <v>106</v>
      </c>
      <c r="J85" s="5" t="s">
        <v>464</v>
      </c>
      <c r="K85" s="5" t="s">
        <v>465</v>
      </c>
      <c r="L85" s="5" t="n">
        <v>10</v>
      </c>
      <c r="M85" s="5" t="s">
        <v>101</v>
      </c>
      <c r="N85" s="5" t="s">
        <v>369</v>
      </c>
    </row>
    <row r="86" customFormat="false" ht="42.75" hidden="false" customHeight="true" outlineLevel="0" collapsed="false">
      <c r="A86" s="8" t="s">
        <v>466</v>
      </c>
      <c r="B86" s="8" t="s">
        <v>122</v>
      </c>
      <c r="C86" s="8" t="s">
        <v>284</v>
      </c>
      <c r="D86" s="8" t="s">
        <v>141</v>
      </c>
      <c r="E86" s="8" t="s">
        <v>467</v>
      </c>
      <c r="F86" s="10" t="s">
        <v>92</v>
      </c>
      <c r="G86" s="8" t="s">
        <v>105</v>
      </c>
      <c r="H86" s="8" t="s">
        <v>31</v>
      </c>
      <c r="I86" s="8" t="s">
        <v>106</v>
      </c>
      <c r="J86" s="8" t="s">
        <v>468</v>
      </c>
      <c r="K86" s="8" t="s">
        <v>469</v>
      </c>
      <c r="L86" s="8" t="n">
        <v>1.8</v>
      </c>
      <c r="M86" s="8" t="s">
        <v>101</v>
      </c>
      <c r="N86" s="8" t="s">
        <v>373</v>
      </c>
    </row>
    <row r="87" customFormat="false" ht="21.75" hidden="false" customHeight="true" outlineLevel="0" collapsed="false">
      <c r="A87" s="5" t="s">
        <v>470</v>
      </c>
      <c r="B87" s="5" t="s">
        <v>122</v>
      </c>
      <c r="C87" s="5" t="s">
        <v>284</v>
      </c>
      <c r="D87" s="5" t="s">
        <v>141</v>
      </c>
      <c r="E87" s="5" t="s">
        <v>471</v>
      </c>
      <c r="F87" s="14" t="s">
        <v>92</v>
      </c>
      <c r="G87" s="5" t="s">
        <v>328</v>
      </c>
      <c r="H87" s="5" t="s">
        <v>31</v>
      </c>
      <c r="I87" s="5" t="s">
        <v>106</v>
      </c>
      <c r="J87" s="5" t="s">
        <v>472</v>
      </c>
      <c r="K87" s="5" t="s">
        <v>473</v>
      </c>
      <c r="L87" s="5" t="n">
        <v>4.8</v>
      </c>
      <c r="M87" s="5" t="s">
        <v>101</v>
      </c>
      <c r="N87" s="5" t="s">
        <v>377</v>
      </c>
    </row>
    <row r="88" customFormat="false" ht="63.75" hidden="false" customHeight="true" outlineLevel="0" collapsed="false">
      <c r="A88" s="8" t="s">
        <v>474</v>
      </c>
      <c r="B88" s="8" t="s">
        <v>122</v>
      </c>
      <c r="C88" s="8" t="s">
        <v>365</v>
      </c>
      <c r="D88" s="8" t="s">
        <v>141</v>
      </c>
      <c r="E88" s="8" t="s">
        <v>475</v>
      </c>
      <c r="F88" s="10" t="s">
        <v>92</v>
      </c>
      <c r="G88" s="8" t="s">
        <v>105</v>
      </c>
      <c r="H88" s="8" t="s">
        <v>31</v>
      </c>
      <c r="I88" s="8" t="s">
        <v>106</v>
      </c>
      <c r="J88" s="8" t="s">
        <v>476</v>
      </c>
      <c r="K88" s="8" t="s">
        <v>477</v>
      </c>
      <c r="L88" s="8" t="n">
        <v>4</v>
      </c>
      <c r="M88" s="8" t="s">
        <v>101</v>
      </c>
      <c r="N88" s="8" t="s">
        <v>381</v>
      </c>
    </row>
    <row r="89" customFormat="false" ht="21.75" hidden="false" customHeight="true" outlineLevel="0" collapsed="false">
      <c r="A89" s="5" t="s">
        <v>478</v>
      </c>
      <c r="B89" s="5" t="s">
        <v>122</v>
      </c>
      <c r="C89" s="5" t="s">
        <v>365</v>
      </c>
      <c r="D89" s="5" t="s">
        <v>141</v>
      </c>
      <c r="E89" s="5" t="s">
        <v>479</v>
      </c>
      <c r="F89" s="11" t="s">
        <v>98</v>
      </c>
      <c r="G89" s="5" t="s">
        <v>328</v>
      </c>
      <c r="H89" s="5" t="s">
        <v>31</v>
      </c>
      <c r="I89" s="5" t="s">
        <v>106</v>
      </c>
      <c r="J89" s="5" t="s">
        <v>480</v>
      </c>
      <c r="K89" s="5" t="s">
        <v>481</v>
      </c>
      <c r="L89" s="5" t="n">
        <v>4.2</v>
      </c>
      <c r="M89" s="5" t="s">
        <v>101</v>
      </c>
      <c r="N89" s="5" t="s">
        <v>385</v>
      </c>
    </row>
    <row r="90" customFormat="false" ht="53.25" hidden="false" customHeight="true" outlineLevel="0" collapsed="false">
      <c r="A90" s="8" t="s">
        <v>482</v>
      </c>
      <c r="B90" s="8" t="s">
        <v>122</v>
      </c>
      <c r="C90" s="8" t="s">
        <v>302</v>
      </c>
      <c r="D90" s="8" t="s">
        <v>129</v>
      </c>
      <c r="E90" s="8" t="s">
        <v>483</v>
      </c>
      <c r="F90" s="15" t="s">
        <v>98</v>
      </c>
      <c r="G90" s="8" t="s">
        <v>114</v>
      </c>
      <c r="H90" s="8" t="s">
        <v>115</v>
      </c>
      <c r="I90" s="8" t="s">
        <v>484</v>
      </c>
      <c r="J90" s="8" t="s">
        <v>485</v>
      </c>
      <c r="K90" s="8" t="s">
        <v>486</v>
      </c>
      <c r="L90" s="8" t="n">
        <v>1</v>
      </c>
      <c r="M90" s="8" t="s">
        <v>101</v>
      </c>
      <c r="N90" s="8" t="s">
        <v>389</v>
      </c>
    </row>
    <row r="91" customFormat="false" ht="21.75" hidden="false" customHeight="true" outlineLevel="0" collapsed="false">
      <c r="A91" s="5" t="s">
        <v>487</v>
      </c>
      <c r="B91" s="5" t="s">
        <v>122</v>
      </c>
      <c r="C91" s="5" t="s">
        <v>146</v>
      </c>
      <c r="D91" s="5" t="s">
        <v>488</v>
      </c>
      <c r="E91" s="5" t="s">
        <v>489</v>
      </c>
      <c r="F91" s="6" t="s">
        <v>20</v>
      </c>
      <c r="G91" s="5" t="s">
        <v>40</v>
      </c>
      <c r="H91" s="5" t="s">
        <v>490</v>
      </c>
      <c r="I91" s="5" t="s">
        <v>491</v>
      </c>
      <c r="J91" s="5" t="s">
        <v>492</v>
      </c>
      <c r="K91" s="5" t="s">
        <v>493</v>
      </c>
      <c r="L91" s="5" t="n">
        <v>8</v>
      </c>
      <c r="M91" s="5" t="s">
        <v>101</v>
      </c>
      <c r="N91" s="5" t="s">
        <v>394</v>
      </c>
    </row>
    <row r="92" customFormat="false" ht="42.75" hidden="false" customHeight="true" outlineLevel="0" collapsed="false">
      <c r="A92" s="8" t="s">
        <v>494</v>
      </c>
      <c r="B92" s="8" t="s">
        <v>122</v>
      </c>
      <c r="C92" s="8" t="s">
        <v>390</v>
      </c>
      <c r="D92" s="8" t="s">
        <v>326</v>
      </c>
      <c r="E92" s="8" t="s">
        <v>495</v>
      </c>
      <c r="F92" s="9" t="s">
        <v>20</v>
      </c>
      <c r="G92" s="8" t="s">
        <v>65</v>
      </c>
      <c r="H92" s="8" t="s">
        <v>490</v>
      </c>
      <c r="I92" s="8" t="s">
        <v>491</v>
      </c>
      <c r="J92" s="8" t="s">
        <v>496</v>
      </c>
      <c r="K92" s="8" t="s">
        <v>497</v>
      </c>
      <c r="L92" s="8" t="n">
        <v>16</v>
      </c>
      <c r="M92" s="8" t="s">
        <v>101</v>
      </c>
      <c r="N92" s="8" t="s">
        <v>399</v>
      </c>
    </row>
    <row r="93" customFormat="false" ht="42.75" hidden="false" customHeight="true" outlineLevel="0" collapsed="false">
      <c r="A93" s="5" t="s">
        <v>498</v>
      </c>
      <c r="B93" s="5" t="s">
        <v>122</v>
      </c>
      <c r="C93" s="5" t="s">
        <v>325</v>
      </c>
      <c r="D93" s="5" t="s">
        <v>129</v>
      </c>
      <c r="E93" s="5" t="s">
        <v>499</v>
      </c>
      <c r="F93" s="6" t="s">
        <v>20</v>
      </c>
      <c r="G93" s="5" t="s">
        <v>21</v>
      </c>
      <c r="H93" s="5" t="s">
        <v>490</v>
      </c>
      <c r="I93" s="5" t="s">
        <v>491</v>
      </c>
      <c r="J93" s="5" t="s">
        <v>500</v>
      </c>
      <c r="K93" s="5" t="s">
        <v>501</v>
      </c>
      <c r="L93" s="5" t="n">
        <v>2.8</v>
      </c>
      <c r="M93" s="5" t="s">
        <v>101</v>
      </c>
      <c r="N93" s="5" t="s">
        <v>404</v>
      </c>
    </row>
    <row r="94" customFormat="false" ht="42.75" hidden="false" customHeight="true" outlineLevel="0" collapsed="false">
      <c r="A94" s="8" t="s">
        <v>502</v>
      </c>
      <c r="B94" s="8" t="s">
        <v>122</v>
      </c>
      <c r="C94" s="8" t="s">
        <v>262</v>
      </c>
      <c r="D94" s="8" t="s">
        <v>141</v>
      </c>
      <c r="E94" s="8" t="s">
        <v>503</v>
      </c>
      <c r="F94" s="9" t="s">
        <v>20</v>
      </c>
      <c r="G94" s="8" t="s">
        <v>268</v>
      </c>
      <c r="H94" s="8" t="s">
        <v>490</v>
      </c>
      <c r="I94" s="8" t="s">
        <v>491</v>
      </c>
      <c r="J94" s="8" t="s">
        <v>504</v>
      </c>
      <c r="K94" s="8" t="s">
        <v>505</v>
      </c>
      <c r="L94" s="8" t="n">
        <v>3</v>
      </c>
      <c r="M94" s="8" t="s">
        <v>101</v>
      </c>
      <c r="N94" s="8" t="s">
        <v>408</v>
      </c>
    </row>
    <row r="95" customFormat="false" ht="21.75" hidden="false" customHeight="true" outlineLevel="0" collapsed="false">
      <c r="A95" s="5" t="s">
        <v>506</v>
      </c>
      <c r="B95" s="5" t="s">
        <v>122</v>
      </c>
      <c r="C95" s="5" t="s">
        <v>262</v>
      </c>
      <c r="D95" s="5" t="s">
        <v>141</v>
      </c>
      <c r="E95" s="5" t="s">
        <v>507</v>
      </c>
      <c r="F95" s="6" t="s">
        <v>20</v>
      </c>
      <c r="G95" s="5" t="s">
        <v>268</v>
      </c>
      <c r="H95" s="5" t="s">
        <v>490</v>
      </c>
      <c r="I95" s="5" t="s">
        <v>491</v>
      </c>
      <c r="J95" s="5" t="s">
        <v>508</v>
      </c>
      <c r="K95" s="5" t="s">
        <v>509</v>
      </c>
      <c r="L95" s="5" t="n">
        <v>2.2</v>
      </c>
      <c r="M95" s="5" t="s">
        <v>101</v>
      </c>
      <c r="N95" s="5" t="s">
        <v>412</v>
      </c>
    </row>
    <row r="96" customFormat="false" ht="42.75" hidden="false" customHeight="true" outlineLevel="0" collapsed="false">
      <c r="A96" s="8" t="s">
        <v>510</v>
      </c>
      <c r="B96" s="8" t="s">
        <v>122</v>
      </c>
      <c r="C96" s="8" t="s">
        <v>325</v>
      </c>
      <c r="D96" s="8" t="s">
        <v>400</v>
      </c>
      <c r="E96" s="8" t="s">
        <v>511</v>
      </c>
      <c r="F96" s="10" t="s">
        <v>92</v>
      </c>
      <c r="G96" s="8" t="s">
        <v>268</v>
      </c>
      <c r="H96" s="8" t="s">
        <v>490</v>
      </c>
      <c r="I96" s="8" t="s">
        <v>491</v>
      </c>
      <c r="J96" s="8" t="s">
        <v>512</v>
      </c>
      <c r="K96" s="8" t="s">
        <v>513</v>
      </c>
      <c r="L96" s="8" t="n">
        <v>6</v>
      </c>
      <c r="M96" s="8" t="s">
        <v>101</v>
      </c>
      <c r="N96" s="8" t="s">
        <v>416</v>
      </c>
    </row>
    <row r="97" customFormat="false" ht="21.75" hidden="false" customHeight="true" outlineLevel="0" collapsed="false">
      <c r="A97" s="5" t="s">
        <v>514</v>
      </c>
      <c r="B97" s="5" t="s">
        <v>122</v>
      </c>
      <c r="C97" s="5" t="s">
        <v>365</v>
      </c>
      <c r="D97" s="5" t="s">
        <v>141</v>
      </c>
      <c r="E97" s="5" t="s">
        <v>515</v>
      </c>
      <c r="F97" s="11" t="s">
        <v>98</v>
      </c>
      <c r="G97" s="5" t="s">
        <v>396</v>
      </c>
      <c r="H97" s="5" t="s">
        <v>516</v>
      </c>
      <c r="I97" s="5" t="s">
        <v>517</v>
      </c>
      <c r="J97" s="5" t="s">
        <v>518</v>
      </c>
      <c r="K97" s="5" t="s">
        <v>519</v>
      </c>
      <c r="L97" s="5" t="n">
        <v>3</v>
      </c>
      <c r="M97" s="5" t="s">
        <v>101</v>
      </c>
      <c r="N97" s="5" t="s">
        <v>420</v>
      </c>
    </row>
    <row r="98" customFormat="false" ht="42.75" hidden="false" customHeight="true" outlineLevel="0" collapsed="false">
      <c r="A98" s="8" t="s">
        <v>520</v>
      </c>
      <c r="B98" s="8" t="s">
        <v>521</v>
      </c>
      <c r="C98" s="8" t="s">
        <v>522</v>
      </c>
      <c r="D98" s="8" t="s">
        <v>523</v>
      </c>
      <c r="E98" s="8" t="s">
        <v>524</v>
      </c>
      <c r="F98" s="9" t="s">
        <v>20</v>
      </c>
      <c r="G98" s="8" t="s">
        <v>65</v>
      </c>
      <c r="H98" s="8" t="s">
        <v>22</v>
      </c>
      <c r="I98" s="8" t="s">
        <v>254</v>
      </c>
      <c r="J98" s="8" t="s">
        <v>525</v>
      </c>
      <c r="K98" s="8" t="s">
        <v>526</v>
      </c>
      <c r="L98" s="8" t="n">
        <v>20</v>
      </c>
      <c r="M98" s="8" t="s">
        <v>101</v>
      </c>
      <c r="N98" s="8" t="s">
        <v>520</v>
      </c>
    </row>
    <row r="99" customFormat="false" ht="21.75" hidden="false" customHeight="true" outlineLevel="0" collapsed="false">
      <c r="A99" s="5" t="s">
        <v>527</v>
      </c>
      <c r="B99" s="5" t="s">
        <v>521</v>
      </c>
      <c r="C99" s="5" t="s">
        <v>528</v>
      </c>
      <c r="D99" s="5" t="s">
        <v>529</v>
      </c>
      <c r="E99" s="5" t="s">
        <v>530</v>
      </c>
      <c r="F99" s="6" t="s">
        <v>20</v>
      </c>
      <c r="G99" s="5" t="s">
        <v>40</v>
      </c>
      <c r="H99" s="5" t="s">
        <v>22</v>
      </c>
      <c r="I99" s="5" t="s">
        <v>254</v>
      </c>
      <c r="J99" s="5" t="s">
        <v>531</v>
      </c>
      <c r="K99" s="5" t="s">
        <v>532</v>
      </c>
      <c r="L99" s="5" t="n">
        <v>16</v>
      </c>
      <c r="M99" s="5" t="s">
        <v>101</v>
      </c>
      <c r="N99" s="5" t="s">
        <v>527</v>
      </c>
    </row>
    <row r="100" customFormat="false" ht="21.75" hidden="false" customHeight="true" outlineLevel="0" collapsed="false">
      <c r="A100" s="8" t="s">
        <v>533</v>
      </c>
      <c r="B100" s="8" t="s">
        <v>521</v>
      </c>
      <c r="C100" s="8" t="s">
        <v>528</v>
      </c>
      <c r="D100" s="8" t="s">
        <v>534</v>
      </c>
      <c r="E100" s="8" t="s">
        <v>535</v>
      </c>
      <c r="F100" s="9" t="s">
        <v>20</v>
      </c>
      <c r="G100" s="8" t="s">
        <v>65</v>
      </c>
      <c r="H100" s="8" t="s">
        <v>22</v>
      </c>
      <c r="I100" s="8" t="s">
        <v>329</v>
      </c>
      <c r="J100" s="8" t="s">
        <v>536</v>
      </c>
      <c r="K100" s="8" t="s">
        <v>537</v>
      </c>
      <c r="L100" s="8" t="n">
        <v>12</v>
      </c>
      <c r="M100" s="8" t="s">
        <v>101</v>
      </c>
      <c r="N100" s="8" t="s">
        <v>533</v>
      </c>
    </row>
    <row r="101" customFormat="false" ht="21.75" hidden="false" customHeight="true" outlineLevel="0" collapsed="false">
      <c r="A101" s="5" t="s">
        <v>538</v>
      </c>
      <c r="B101" s="5" t="s">
        <v>521</v>
      </c>
      <c r="C101" s="5" t="s">
        <v>522</v>
      </c>
      <c r="D101" s="5" t="s">
        <v>523</v>
      </c>
      <c r="E101" s="5" t="s">
        <v>539</v>
      </c>
      <c r="F101" s="14" t="s">
        <v>92</v>
      </c>
      <c r="G101" s="5" t="s">
        <v>328</v>
      </c>
      <c r="H101" s="5" t="s">
        <v>22</v>
      </c>
      <c r="I101" s="5" t="s">
        <v>254</v>
      </c>
      <c r="J101" s="5" t="s">
        <v>540</v>
      </c>
      <c r="K101" s="5" t="s">
        <v>541</v>
      </c>
      <c r="L101" s="5" t="n">
        <v>14</v>
      </c>
      <c r="M101" s="5" t="s">
        <v>101</v>
      </c>
      <c r="N101" s="5" t="s">
        <v>538</v>
      </c>
    </row>
    <row r="102" customFormat="false" ht="21.75" hidden="false" customHeight="true" outlineLevel="0" collapsed="false">
      <c r="A102" s="8" t="s">
        <v>542</v>
      </c>
      <c r="B102" s="8" t="s">
        <v>521</v>
      </c>
      <c r="C102" s="8" t="s">
        <v>522</v>
      </c>
      <c r="D102" s="8" t="s">
        <v>523</v>
      </c>
      <c r="E102" s="8" t="s">
        <v>543</v>
      </c>
      <c r="F102" s="10" t="s">
        <v>92</v>
      </c>
      <c r="G102" s="8" t="s">
        <v>328</v>
      </c>
      <c r="H102" s="8" t="s">
        <v>22</v>
      </c>
      <c r="I102" s="8" t="s">
        <v>254</v>
      </c>
      <c r="J102" s="8" t="s">
        <v>544</v>
      </c>
      <c r="K102" s="8" t="s">
        <v>545</v>
      </c>
      <c r="L102" s="8" t="n">
        <v>12</v>
      </c>
      <c r="M102" s="8" t="s">
        <v>101</v>
      </c>
      <c r="N102" s="8" t="s">
        <v>542</v>
      </c>
    </row>
    <row r="103" customFormat="false" ht="21.75" hidden="false" customHeight="true" outlineLevel="0" collapsed="false">
      <c r="A103" s="5" t="s">
        <v>546</v>
      </c>
      <c r="B103" s="5" t="s">
        <v>521</v>
      </c>
      <c r="C103" s="5" t="s">
        <v>522</v>
      </c>
      <c r="D103" s="5" t="s">
        <v>523</v>
      </c>
      <c r="E103" s="5" t="s">
        <v>547</v>
      </c>
      <c r="F103" s="14" t="s">
        <v>92</v>
      </c>
      <c r="G103" s="5" t="s">
        <v>328</v>
      </c>
      <c r="H103" s="5" t="s">
        <v>22</v>
      </c>
      <c r="I103" s="5" t="s">
        <v>254</v>
      </c>
      <c r="J103" s="5" t="s">
        <v>548</v>
      </c>
      <c r="K103" s="5" t="s">
        <v>549</v>
      </c>
      <c r="L103" s="5" t="n">
        <v>8</v>
      </c>
      <c r="M103" s="5" t="s">
        <v>101</v>
      </c>
      <c r="N103" s="5" t="s">
        <v>546</v>
      </c>
    </row>
    <row r="104" customFormat="false" ht="32.25" hidden="false" customHeight="true" outlineLevel="0" collapsed="false">
      <c r="A104" s="8" t="s">
        <v>550</v>
      </c>
      <c r="B104" s="8" t="s">
        <v>521</v>
      </c>
      <c r="C104" s="8" t="s">
        <v>528</v>
      </c>
      <c r="D104" s="8" t="s">
        <v>534</v>
      </c>
      <c r="E104" s="8" t="s">
        <v>551</v>
      </c>
      <c r="F104" s="10" t="s">
        <v>92</v>
      </c>
      <c r="G104" s="8" t="s">
        <v>328</v>
      </c>
      <c r="H104" s="8" t="s">
        <v>22</v>
      </c>
      <c r="I104" s="8" t="s">
        <v>254</v>
      </c>
      <c r="J104" s="8" t="s">
        <v>552</v>
      </c>
      <c r="K104" s="8" t="s">
        <v>553</v>
      </c>
      <c r="L104" s="8" t="n">
        <v>6</v>
      </c>
      <c r="M104" s="8" t="s">
        <v>101</v>
      </c>
      <c r="N104" s="8" t="s">
        <v>550</v>
      </c>
    </row>
    <row r="105" customFormat="false" ht="21.75" hidden="false" customHeight="true" outlineLevel="0" collapsed="false">
      <c r="A105" s="5" t="s">
        <v>554</v>
      </c>
      <c r="B105" s="5" t="s">
        <v>521</v>
      </c>
      <c r="C105" s="5" t="s">
        <v>528</v>
      </c>
      <c r="D105" s="5" t="s">
        <v>534</v>
      </c>
      <c r="E105" s="5" t="s">
        <v>555</v>
      </c>
      <c r="F105" s="14" t="s">
        <v>92</v>
      </c>
      <c r="G105" s="5" t="s">
        <v>328</v>
      </c>
      <c r="H105" s="5" t="s">
        <v>22</v>
      </c>
      <c r="I105" s="5" t="s">
        <v>254</v>
      </c>
      <c r="J105" s="5" t="s">
        <v>556</v>
      </c>
      <c r="K105" s="5" t="s">
        <v>557</v>
      </c>
      <c r="L105" s="5" t="n">
        <v>3.5</v>
      </c>
      <c r="M105" s="5" t="s">
        <v>101</v>
      </c>
      <c r="N105" s="5" t="s">
        <v>554</v>
      </c>
    </row>
    <row r="106" customFormat="false" ht="21.75" hidden="false" customHeight="true" outlineLevel="0" collapsed="false">
      <c r="A106" s="8" t="s">
        <v>558</v>
      </c>
      <c r="B106" s="8" t="s">
        <v>521</v>
      </c>
      <c r="C106" s="8" t="s">
        <v>559</v>
      </c>
      <c r="D106" s="8" t="s">
        <v>534</v>
      </c>
      <c r="E106" s="8" t="s">
        <v>560</v>
      </c>
      <c r="F106" s="10" t="s">
        <v>92</v>
      </c>
      <c r="G106" s="8" t="s">
        <v>328</v>
      </c>
      <c r="H106" s="8" t="s">
        <v>22</v>
      </c>
      <c r="I106" s="8" t="s">
        <v>254</v>
      </c>
      <c r="J106" s="8" t="s">
        <v>561</v>
      </c>
      <c r="K106" s="8" t="s">
        <v>562</v>
      </c>
      <c r="L106" s="8" t="n">
        <v>4.2</v>
      </c>
      <c r="M106" s="8" t="s">
        <v>101</v>
      </c>
      <c r="N106" s="8" t="s">
        <v>558</v>
      </c>
    </row>
    <row r="107" customFormat="false" ht="21.75" hidden="false" customHeight="true" outlineLevel="0" collapsed="false">
      <c r="A107" s="5" t="s">
        <v>563</v>
      </c>
      <c r="B107" s="5" t="s">
        <v>521</v>
      </c>
      <c r="C107" s="5" t="s">
        <v>559</v>
      </c>
      <c r="D107" s="5" t="s">
        <v>534</v>
      </c>
      <c r="E107" s="5" t="s">
        <v>564</v>
      </c>
      <c r="F107" s="14" t="s">
        <v>92</v>
      </c>
      <c r="G107" s="5" t="s">
        <v>328</v>
      </c>
      <c r="H107" s="5" t="s">
        <v>22</v>
      </c>
      <c r="I107" s="5" t="s">
        <v>66</v>
      </c>
      <c r="J107" s="5" t="s">
        <v>565</v>
      </c>
      <c r="K107" s="5" t="s">
        <v>566</v>
      </c>
      <c r="L107" s="5" t="n">
        <v>12</v>
      </c>
      <c r="M107" s="5" t="s">
        <v>101</v>
      </c>
      <c r="N107" s="5" t="s">
        <v>563</v>
      </c>
    </row>
    <row r="108" customFormat="false" ht="21.75" hidden="false" customHeight="true" outlineLevel="0" collapsed="false">
      <c r="A108" s="8" t="s">
        <v>567</v>
      </c>
      <c r="B108" s="8" t="s">
        <v>521</v>
      </c>
      <c r="C108" s="8" t="s">
        <v>559</v>
      </c>
      <c r="D108" s="8" t="s">
        <v>534</v>
      </c>
      <c r="E108" s="8" t="s">
        <v>568</v>
      </c>
      <c r="F108" s="10" t="s">
        <v>92</v>
      </c>
      <c r="G108" s="8" t="s">
        <v>328</v>
      </c>
      <c r="H108" s="8" t="s">
        <v>22</v>
      </c>
      <c r="I108" s="8" t="s">
        <v>254</v>
      </c>
      <c r="J108" s="8" t="s">
        <v>569</v>
      </c>
      <c r="K108" s="8" t="s">
        <v>570</v>
      </c>
      <c r="L108" s="8" t="n">
        <v>12</v>
      </c>
      <c r="M108" s="8" t="s">
        <v>101</v>
      </c>
      <c r="N108" s="8" t="s">
        <v>567</v>
      </c>
    </row>
    <row r="109" customFormat="false" ht="42.75" hidden="false" customHeight="true" outlineLevel="0" collapsed="false">
      <c r="A109" s="5" t="s">
        <v>571</v>
      </c>
      <c r="B109" s="5" t="s">
        <v>521</v>
      </c>
      <c r="C109" s="5" t="s">
        <v>559</v>
      </c>
      <c r="D109" s="5" t="s">
        <v>534</v>
      </c>
      <c r="E109" s="5" t="s">
        <v>572</v>
      </c>
      <c r="F109" s="14" t="s">
        <v>92</v>
      </c>
      <c r="G109" s="5" t="s">
        <v>268</v>
      </c>
      <c r="H109" s="5" t="s">
        <v>22</v>
      </c>
      <c r="I109" s="5" t="s">
        <v>66</v>
      </c>
      <c r="J109" s="5" t="s">
        <v>573</v>
      </c>
      <c r="K109" s="5" t="s">
        <v>574</v>
      </c>
      <c r="L109" s="5" t="n">
        <v>16</v>
      </c>
      <c r="M109" s="5" t="s">
        <v>101</v>
      </c>
      <c r="N109" s="5" t="s">
        <v>571</v>
      </c>
    </row>
    <row r="110" customFormat="false" ht="15" hidden="false" customHeight="true" outlineLevel="0" collapsed="false">
      <c r="A110" s="8" t="s">
        <v>575</v>
      </c>
      <c r="B110" s="8" t="s">
        <v>521</v>
      </c>
      <c r="C110" s="8" t="s">
        <v>528</v>
      </c>
      <c r="D110" s="8" t="s">
        <v>523</v>
      </c>
      <c r="E110" s="8" t="s">
        <v>576</v>
      </c>
      <c r="F110" s="15" t="s">
        <v>98</v>
      </c>
      <c r="G110" s="8" t="s">
        <v>328</v>
      </c>
      <c r="H110" s="8" t="s">
        <v>22</v>
      </c>
      <c r="I110" s="8" t="s">
        <v>254</v>
      </c>
      <c r="J110" s="8" t="s">
        <v>577</v>
      </c>
      <c r="K110" s="8" t="s">
        <v>578</v>
      </c>
      <c r="L110" s="8" t="n">
        <v>2.4</v>
      </c>
      <c r="M110" s="8" t="s">
        <v>101</v>
      </c>
      <c r="N110" s="8" t="s">
        <v>575</v>
      </c>
    </row>
    <row r="111" customFormat="false" ht="21.75" hidden="false" customHeight="true" outlineLevel="0" collapsed="false">
      <c r="A111" s="5" t="s">
        <v>579</v>
      </c>
      <c r="B111" s="5" t="s">
        <v>521</v>
      </c>
      <c r="C111" s="5" t="s">
        <v>559</v>
      </c>
      <c r="D111" s="5" t="s">
        <v>534</v>
      </c>
      <c r="E111" s="5" t="s">
        <v>580</v>
      </c>
      <c r="F111" s="11" t="s">
        <v>98</v>
      </c>
      <c r="G111" s="5" t="s">
        <v>268</v>
      </c>
      <c r="H111" s="5" t="s">
        <v>22</v>
      </c>
      <c r="I111" s="5" t="s">
        <v>66</v>
      </c>
      <c r="J111" s="5" t="s">
        <v>581</v>
      </c>
      <c r="K111" s="5" t="s">
        <v>582</v>
      </c>
      <c r="L111" s="5" t="n">
        <v>6</v>
      </c>
      <c r="M111" s="5" t="s">
        <v>101</v>
      </c>
      <c r="N111" s="5" t="s">
        <v>579</v>
      </c>
    </row>
    <row r="112" customFormat="false" ht="21.75" hidden="false" customHeight="true" outlineLevel="0" collapsed="false">
      <c r="A112" s="8" t="s">
        <v>583</v>
      </c>
      <c r="B112" s="8" t="s">
        <v>521</v>
      </c>
      <c r="C112" s="8" t="s">
        <v>584</v>
      </c>
      <c r="D112" s="8" t="s">
        <v>534</v>
      </c>
      <c r="E112" s="8" t="s">
        <v>585</v>
      </c>
      <c r="F112" s="15" t="s">
        <v>98</v>
      </c>
      <c r="G112" s="8" t="s">
        <v>328</v>
      </c>
      <c r="H112" s="8" t="s">
        <v>22</v>
      </c>
      <c r="I112" s="8" t="s">
        <v>254</v>
      </c>
      <c r="J112" s="8" t="s">
        <v>586</v>
      </c>
      <c r="K112" s="8" t="s">
        <v>587</v>
      </c>
      <c r="L112" s="8" t="n">
        <v>10</v>
      </c>
      <c r="M112" s="8" t="s">
        <v>101</v>
      </c>
      <c r="N112" s="8" t="s">
        <v>583</v>
      </c>
    </row>
    <row r="113" customFormat="false" ht="21.75" hidden="false" customHeight="true" outlineLevel="0" collapsed="false">
      <c r="A113" s="5" t="s">
        <v>588</v>
      </c>
      <c r="B113" s="5" t="s">
        <v>521</v>
      </c>
      <c r="C113" s="5" t="s">
        <v>584</v>
      </c>
      <c r="D113" s="5" t="s">
        <v>534</v>
      </c>
      <c r="E113" s="5" t="s">
        <v>589</v>
      </c>
      <c r="F113" s="11" t="s">
        <v>98</v>
      </c>
      <c r="G113" s="5" t="s">
        <v>328</v>
      </c>
      <c r="H113" s="5" t="s">
        <v>22</v>
      </c>
      <c r="I113" s="5" t="s">
        <v>254</v>
      </c>
      <c r="J113" s="5" t="s">
        <v>590</v>
      </c>
      <c r="K113" s="5" t="s">
        <v>591</v>
      </c>
      <c r="L113" s="5" t="n">
        <v>8</v>
      </c>
      <c r="M113" s="5" t="s">
        <v>101</v>
      </c>
      <c r="N113" s="5" t="s">
        <v>588</v>
      </c>
    </row>
    <row r="114" customFormat="false" ht="42.75" hidden="false" customHeight="true" outlineLevel="0" collapsed="false">
      <c r="A114" s="8" t="s">
        <v>592</v>
      </c>
      <c r="B114" s="8" t="s">
        <v>521</v>
      </c>
      <c r="C114" s="8" t="s">
        <v>584</v>
      </c>
      <c r="D114" s="8" t="s">
        <v>534</v>
      </c>
      <c r="E114" s="8" t="s">
        <v>593</v>
      </c>
      <c r="F114" s="15" t="s">
        <v>98</v>
      </c>
      <c r="G114" s="8" t="s">
        <v>131</v>
      </c>
      <c r="H114" s="8" t="s">
        <v>22</v>
      </c>
      <c r="I114" s="8" t="s">
        <v>254</v>
      </c>
      <c r="J114" s="8" t="s">
        <v>594</v>
      </c>
      <c r="K114" s="8" t="s">
        <v>595</v>
      </c>
      <c r="L114" s="8" t="n">
        <v>5</v>
      </c>
      <c r="M114" s="8" t="s">
        <v>101</v>
      </c>
      <c r="N114" s="8" t="s">
        <v>592</v>
      </c>
    </row>
    <row r="115" customFormat="false" ht="15" hidden="false" customHeight="true" outlineLevel="0" collapsed="false">
      <c r="A115" s="5" t="s">
        <v>596</v>
      </c>
      <c r="B115" s="5" t="s">
        <v>521</v>
      </c>
      <c r="C115" s="5" t="s">
        <v>584</v>
      </c>
      <c r="D115" s="5" t="s">
        <v>534</v>
      </c>
      <c r="E115" s="5" t="s">
        <v>597</v>
      </c>
      <c r="F115" s="11" t="s">
        <v>98</v>
      </c>
      <c r="G115" s="5" t="s">
        <v>328</v>
      </c>
      <c r="H115" s="5" t="s">
        <v>22</v>
      </c>
      <c r="I115" s="5" t="s">
        <v>254</v>
      </c>
      <c r="J115" s="5" t="s">
        <v>598</v>
      </c>
      <c r="K115" s="5" t="s">
        <v>599</v>
      </c>
      <c r="L115" s="5" t="n">
        <v>8</v>
      </c>
      <c r="M115" s="5" t="s">
        <v>101</v>
      </c>
      <c r="N115" s="5" t="s">
        <v>596</v>
      </c>
    </row>
    <row r="116" customFormat="false" ht="32.25" hidden="false" customHeight="true" outlineLevel="0" collapsed="false">
      <c r="A116" s="8" t="s">
        <v>600</v>
      </c>
      <c r="B116" s="8" t="s">
        <v>521</v>
      </c>
      <c r="C116" s="8" t="s">
        <v>584</v>
      </c>
      <c r="D116" s="8" t="s">
        <v>534</v>
      </c>
      <c r="E116" s="8" t="s">
        <v>601</v>
      </c>
      <c r="F116" s="15" t="s">
        <v>98</v>
      </c>
      <c r="G116" s="8" t="s">
        <v>268</v>
      </c>
      <c r="H116" s="8" t="s">
        <v>22</v>
      </c>
      <c r="I116" s="8" t="s">
        <v>254</v>
      </c>
      <c r="J116" s="8" t="s">
        <v>602</v>
      </c>
      <c r="K116" s="8" t="s">
        <v>603</v>
      </c>
      <c r="L116" s="8" t="n">
        <v>6</v>
      </c>
      <c r="M116" s="8" t="s">
        <v>101</v>
      </c>
      <c r="N116" s="8" t="s">
        <v>600</v>
      </c>
    </row>
    <row r="117" customFormat="false" ht="42.75" hidden="false" customHeight="true" outlineLevel="0" collapsed="false">
      <c r="A117" s="5" t="s">
        <v>604</v>
      </c>
      <c r="B117" s="5" t="s">
        <v>521</v>
      </c>
      <c r="C117" s="5" t="s">
        <v>584</v>
      </c>
      <c r="D117" s="5" t="s">
        <v>534</v>
      </c>
      <c r="E117" s="5" t="s">
        <v>605</v>
      </c>
      <c r="F117" s="11" t="s">
        <v>98</v>
      </c>
      <c r="G117" s="5" t="s">
        <v>268</v>
      </c>
      <c r="H117" s="5" t="s">
        <v>22</v>
      </c>
      <c r="I117" s="5" t="s">
        <v>254</v>
      </c>
      <c r="J117" s="5" t="s">
        <v>606</v>
      </c>
      <c r="K117" s="5" t="s">
        <v>607</v>
      </c>
      <c r="L117" s="5" t="n">
        <v>8</v>
      </c>
      <c r="M117" s="5" t="s">
        <v>101</v>
      </c>
      <c r="N117" s="5" t="s">
        <v>604</v>
      </c>
    </row>
    <row r="118" customFormat="false" ht="32.25" hidden="false" customHeight="true" outlineLevel="0" collapsed="false">
      <c r="A118" s="8" t="s">
        <v>608</v>
      </c>
      <c r="B118" s="8" t="s">
        <v>521</v>
      </c>
      <c r="C118" s="8" t="s">
        <v>584</v>
      </c>
      <c r="D118" s="8" t="s">
        <v>534</v>
      </c>
      <c r="E118" s="8" t="s">
        <v>609</v>
      </c>
      <c r="F118" s="16" t="s">
        <v>442</v>
      </c>
      <c r="G118" s="8" t="s">
        <v>268</v>
      </c>
      <c r="H118" s="8" t="s">
        <v>22</v>
      </c>
      <c r="I118" s="8" t="s">
        <v>254</v>
      </c>
      <c r="J118" s="8" t="s">
        <v>610</v>
      </c>
      <c r="K118" s="8" t="s">
        <v>611</v>
      </c>
      <c r="L118" s="8" t="n">
        <v>4</v>
      </c>
      <c r="M118" s="8" t="s">
        <v>101</v>
      </c>
      <c r="N118" s="8" t="s">
        <v>608</v>
      </c>
    </row>
    <row r="119" customFormat="false" ht="21.75" hidden="false" customHeight="true" outlineLevel="0" collapsed="false">
      <c r="A119" s="5" t="s">
        <v>612</v>
      </c>
      <c r="B119" s="5" t="s">
        <v>521</v>
      </c>
      <c r="C119" s="5" t="s">
        <v>613</v>
      </c>
      <c r="D119" s="5" t="s">
        <v>534</v>
      </c>
      <c r="E119" s="5" t="s">
        <v>614</v>
      </c>
      <c r="F119" s="17" t="s">
        <v>442</v>
      </c>
      <c r="G119" s="5" t="s">
        <v>131</v>
      </c>
      <c r="H119" s="5" t="s">
        <v>22</v>
      </c>
      <c r="I119" s="5" t="s">
        <v>254</v>
      </c>
      <c r="J119" s="5" t="s">
        <v>615</v>
      </c>
      <c r="K119" s="5" t="s">
        <v>616</v>
      </c>
      <c r="L119" s="5" t="n">
        <v>4</v>
      </c>
      <c r="M119" s="5" t="s">
        <v>101</v>
      </c>
      <c r="N119" s="5" t="s">
        <v>612</v>
      </c>
    </row>
    <row r="120" customFormat="false" ht="42.75" hidden="false" customHeight="true" outlineLevel="0" collapsed="false">
      <c r="A120" s="8" t="s">
        <v>617</v>
      </c>
      <c r="B120" s="8" t="s">
        <v>521</v>
      </c>
      <c r="C120" s="8" t="s">
        <v>613</v>
      </c>
      <c r="D120" s="8" t="s">
        <v>534</v>
      </c>
      <c r="E120" s="8" t="s">
        <v>618</v>
      </c>
      <c r="F120" s="16" t="s">
        <v>442</v>
      </c>
      <c r="G120" s="8" t="s">
        <v>268</v>
      </c>
      <c r="H120" s="8" t="s">
        <v>22</v>
      </c>
      <c r="I120" s="8" t="s">
        <v>321</v>
      </c>
      <c r="J120" s="8" t="s">
        <v>619</v>
      </c>
      <c r="K120" s="8" t="s">
        <v>620</v>
      </c>
      <c r="L120" s="8" t="n">
        <v>4</v>
      </c>
      <c r="M120" s="8" t="s">
        <v>101</v>
      </c>
      <c r="N120" s="8" t="s">
        <v>617</v>
      </c>
    </row>
    <row r="121" customFormat="false" ht="15" hidden="false" customHeight="true" outlineLevel="0" collapsed="false">
      <c r="A121" s="5" t="s">
        <v>621</v>
      </c>
      <c r="B121" s="5" t="s">
        <v>521</v>
      </c>
      <c r="C121" s="5" t="s">
        <v>613</v>
      </c>
      <c r="D121" s="5" t="s">
        <v>534</v>
      </c>
      <c r="E121" s="5" t="s">
        <v>622</v>
      </c>
      <c r="F121" s="5" t="s">
        <v>623</v>
      </c>
      <c r="G121" s="5" t="s">
        <v>396</v>
      </c>
      <c r="H121" s="5" t="s">
        <v>22</v>
      </c>
      <c r="I121" s="5" t="s">
        <v>254</v>
      </c>
      <c r="J121" s="5" t="s">
        <v>624</v>
      </c>
      <c r="K121" s="5" t="s">
        <v>625</v>
      </c>
      <c r="L121" s="5" t="n">
        <v>7</v>
      </c>
      <c r="M121" s="5" t="s">
        <v>101</v>
      </c>
      <c r="N121" s="5" t="s">
        <v>621</v>
      </c>
    </row>
    <row r="122" customFormat="false" ht="15" hidden="false" customHeight="true" outlineLevel="0" collapsed="false">
      <c r="A122" s="8" t="s">
        <v>626</v>
      </c>
      <c r="B122" s="8" t="s">
        <v>521</v>
      </c>
      <c r="C122" s="8" t="s">
        <v>613</v>
      </c>
      <c r="D122" s="8" t="s">
        <v>534</v>
      </c>
      <c r="E122" s="8" t="s">
        <v>627</v>
      </c>
      <c r="F122" s="8" t="s">
        <v>623</v>
      </c>
      <c r="G122" s="8" t="s">
        <v>396</v>
      </c>
      <c r="H122" s="8" t="s">
        <v>22</v>
      </c>
      <c r="I122" s="8" t="s">
        <v>254</v>
      </c>
      <c r="J122" s="8" t="s">
        <v>628</v>
      </c>
      <c r="K122" s="8" t="s">
        <v>629</v>
      </c>
      <c r="L122" s="8" t="n">
        <v>7</v>
      </c>
      <c r="M122" s="8" t="s">
        <v>101</v>
      </c>
      <c r="N122" s="8" t="s">
        <v>626</v>
      </c>
    </row>
    <row r="123" customFormat="false" ht="21.75" hidden="false" customHeight="true" outlineLevel="0" collapsed="false">
      <c r="A123" s="5" t="s">
        <v>630</v>
      </c>
      <c r="B123" s="5" t="s">
        <v>521</v>
      </c>
      <c r="C123" s="5" t="s">
        <v>528</v>
      </c>
      <c r="D123" s="5" t="s">
        <v>631</v>
      </c>
      <c r="E123" s="5" t="s">
        <v>632</v>
      </c>
      <c r="F123" s="14" t="s">
        <v>92</v>
      </c>
      <c r="G123" s="5" t="s">
        <v>56</v>
      </c>
      <c r="H123" s="5" t="s">
        <v>57</v>
      </c>
      <c r="I123" s="5" t="s">
        <v>148</v>
      </c>
      <c r="J123" s="5" t="s">
        <v>633</v>
      </c>
      <c r="K123" s="5" t="s">
        <v>634</v>
      </c>
      <c r="L123" s="5" t="n">
        <v>14</v>
      </c>
      <c r="M123" s="5" t="s">
        <v>101</v>
      </c>
      <c r="N123" s="5" t="s">
        <v>630</v>
      </c>
    </row>
    <row r="124" customFormat="false" ht="15" hidden="false" customHeight="true" outlineLevel="0" collapsed="false">
      <c r="A124" s="8" t="s">
        <v>635</v>
      </c>
      <c r="B124" s="8" t="s">
        <v>521</v>
      </c>
      <c r="C124" s="8" t="s">
        <v>613</v>
      </c>
      <c r="D124" s="8" t="s">
        <v>534</v>
      </c>
      <c r="E124" s="8" t="s">
        <v>636</v>
      </c>
      <c r="F124" s="16" t="s">
        <v>442</v>
      </c>
      <c r="G124" s="8" t="s">
        <v>328</v>
      </c>
      <c r="H124" s="8" t="s">
        <v>31</v>
      </c>
      <c r="I124" s="8" t="s">
        <v>106</v>
      </c>
      <c r="J124" s="8" t="s">
        <v>637</v>
      </c>
      <c r="K124" s="8" t="s">
        <v>638</v>
      </c>
      <c r="L124" s="8" t="n">
        <v>5</v>
      </c>
      <c r="M124" s="8" t="s">
        <v>101</v>
      </c>
      <c r="N124" s="8" t="s">
        <v>635</v>
      </c>
    </row>
    <row r="125" customFormat="false" ht="15" hidden="false" customHeight="true" outlineLevel="0" collapsed="false">
      <c r="A125" s="5" t="s">
        <v>639</v>
      </c>
      <c r="B125" s="5" t="s">
        <v>640</v>
      </c>
      <c r="C125" s="5" t="s">
        <v>641</v>
      </c>
      <c r="D125" s="5" t="s">
        <v>642</v>
      </c>
      <c r="E125" s="5" t="s">
        <v>643</v>
      </c>
      <c r="F125" s="6" t="s">
        <v>20</v>
      </c>
      <c r="G125" s="5" t="s">
        <v>396</v>
      </c>
      <c r="H125" s="5" t="s">
        <v>22</v>
      </c>
      <c r="I125" s="5" t="s">
        <v>254</v>
      </c>
      <c r="J125" s="5" t="s">
        <v>644</v>
      </c>
      <c r="K125" s="5" t="s">
        <v>645</v>
      </c>
      <c r="L125" s="5" t="n">
        <v>12</v>
      </c>
      <c r="M125" s="5" t="s">
        <v>101</v>
      </c>
      <c r="N125" s="5" t="s">
        <v>639</v>
      </c>
    </row>
    <row r="126" customFormat="false" ht="21.75" hidden="false" customHeight="true" outlineLevel="0" collapsed="false">
      <c r="A126" s="8" t="s">
        <v>646</v>
      </c>
      <c r="B126" s="8" t="s">
        <v>640</v>
      </c>
      <c r="C126" s="8" t="s">
        <v>641</v>
      </c>
      <c r="D126" s="8" t="s">
        <v>642</v>
      </c>
      <c r="E126" s="8" t="s">
        <v>647</v>
      </c>
      <c r="F126" s="9" t="s">
        <v>20</v>
      </c>
      <c r="G126" s="8" t="s">
        <v>328</v>
      </c>
      <c r="H126" s="8" t="s">
        <v>22</v>
      </c>
      <c r="I126" s="8" t="s">
        <v>254</v>
      </c>
      <c r="J126" s="8" t="s">
        <v>648</v>
      </c>
      <c r="K126" s="8" t="s">
        <v>649</v>
      </c>
      <c r="L126" s="8" t="n">
        <v>8</v>
      </c>
      <c r="M126" s="8" t="s">
        <v>101</v>
      </c>
      <c r="N126" s="8" t="s">
        <v>646</v>
      </c>
    </row>
    <row r="127" customFormat="false" ht="15" hidden="false" customHeight="true" outlineLevel="0" collapsed="false">
      <c r="A127" s="5" t="s">
        <v>650</v>
      </c>
      <c r="B127" s="5" t="s">
        <v>640</v>
      </c>
      <c r="C127" s="5" t="s">
        <v>641</v>
      </c>
      <c r="D127" s="5" t="s">
        <v>642</v>
      </c>
      <c r="E127" s="5" t="s">
        <v>651</v>
      </c>
      <c r="F127" s="6" t="s">
        <v>20</v>
      </c>
      <c r="G127" s="5" t="s">
        <v>328</v>
      </c>
      <c r="H127" s="5" t="s">
        <v>22</v>
      </c>
      <c r="I127" s="5" t="s">
        <v>254</v>
      </c>
      <c r="J127" s="5" t="s">
        <v>652</v>
      </c>
      <c r="K127" s="5" t="s">
        <v>653</v>
      </c>
      <c r="L127" s="5" t="n">
        <v>20</v>
      </c>
      <c r="M127" s="5" t="s">
        <v>101</v>
      </c>
      <c r="N127" s="5" t="s">
        <v>650</v>
      </c>
    </row>
    <row r="128" customFormat="false" ht="15" hidden="false" customHeight="true" outlineLevel="0" collapsed="false">
      <c r="A128" s="8" t="s">
        <v>654</v>
      </c>
      <c r="B128" s="8" t="s">
        <v>640</v>
      </c>
      <c r="C128" s="8" t="s">
        <v>641</v>
      </c>
      <c r="D128" s="8" t="s">
        <v>642</v>
      </c>
      <c r="E128" s="8" t="s">
        <v>655</v>
      </c>
      <c r="F128" s="9" t="s">
        <v>20</v>
      </c>
      <c r="G128" s="8" t="s">
        <v>396</v>
      </c>
      <c r="H128" s="8" t="s">
        <v>22</v>
      </c>
      <c r="I128" s="8" t="s">
        <v>254</v>
      </c>
      <c r="J128" s="8" t="s">
        <v>656</v>
      </c>
      <c r="K128" s="8" t="s">
        <v>657</v>
      </c>
      <c r="L128" s="8" t="n">
        <v>12</v>
      </c>
      <c r="M128" s="8" t="s">
        <v>101</v>
      </c>
      <c r="N128" s="8" t="s">
        <v>654</v>
      </c>
    </row>
    <row r="129" customFormat="false" ht="21.75" hidden="false" customHeight="true" outlineLevel="0" collapsed="false">
      <c r="A129" s="5" t="s">
        <v>658</v>
      </c>
      <c r="B129" s="5" t="s">
        <v>640</v>
      </c>
      <c r="C129" s="5" t="s">
        <v>659</v>
      </c>
      <c r="D129" s="5" t="s">
        <v>642</v>
      </c>
      <c r="E129" s="5" t="s">
        <v>660</v>
      </c>
      <c r="F129" s="14" t="s">
        <v>92</v>
      </c>
      <c r="G129" s="5" t="s">
        <v>328</v>
      </c>
      <c r="H129" s="5" t="s">
        <v>22</v>
      </c>
      <c r="I129" s="5" t="s">
        <v>254</v>
      </c>
      <c r="J129" s="5" t="s">
        <v>661</v>
      </c>
      <c r="K129" s="5" t="s">
        <v>662</v>
      </c>
      <c r="L129" s="5" t="n">
        <v>8</v>
      </c>
      <c r="M129" s="5" t="s">
        <v>101</v>
      </c>
      <c r="N129" s="5" t="s">
        <v>658</v>
      </c>
    </row>
    <row r="130" customFormat="false" ht="21.75" hidden="false" customHeight="true" outlineLevel="0" collapsed="false">
      <c r="A130" s="8" t="s">
        <v>663</v>
      </c>
      <c r="B130" s="8" t="s">
        <v>640</v>
      </c>
      <c r="C130" s="8" t="s">
        <v>659</v>
      </c>
      <c r="D130" s="8" t="s">
        <v>642</v>
      </c>
      <c r="E130" s="8" t="s">
        <v>664</v>
      </c>
      <c r="F130" s="10" t="s">
        <v>92</v>
      </c>
      <c r="G130" s="8" t="s">
        <v>328</v>
      </c>
      <c r="H130" s="8" t="s">
        <v>22</v>
      </c>
      <c r="I130" s="8" t="s">
        <v>254</v>
      </c>
      <c r="J130" s="8" t="s">
        <v>665</v>
      </c>
      <c r="K130" s="8" t="s">
        <v>666</v>
      </c>
      <c r="L130" s="8" t="n">
        <v>12</v>
      </c>
      <c r="M130" s="8" t="s">
        <v>101</v>
      </c>
      <c r="N130" s="8" t="s">
        <v>663</v>
      </c>
    </row>
    <row r="131" customFormat="false" ht="21.75" hidden="false" customHeight="true" outlineLevel="0" collapsed="false">
      <c r="A131" s="5" t="s">
        <v>667</v>
      </c>
      <c r="B131" s="5" t="s">
        <v>640</v>
      </c>
      <c r="C131" s="5" t="s">
        <v>659</v>
      </c>
      <c r="D131" s="5" t="s">
        <v>642</v>
      </c>
      <c r="E131" s="5" t="s">
        <v>668</v>
      </c>
      <c r="F131" s="14" t="s">
        <v>92</v>
      </c>
      <c r="G131" s="5" t="s">
        <v>328</v>
      </c>
      <c r="H131" s="5" t="s">
        <v>22</v>
      </c>
      <c r="I131" s="5" t="s">
        <v>254</v>
      </c>
      <c r="J131" s="5" t="s">
        <v>669</v>
      </c>
      <c r="K131" s="5" t="s">
        <v>670</v>
      </c>
      <c r="L131" s="5" t="n">
        <v>12</v>
      </c>
      <c r="M131" s="5" t="s">
        <v>101</v>
      </c>
      <c r="N131" s="5" t="s">
        <v>667</v>
      </c>
    </row>
    <row r="132" customFormat="false" ht="21.75" hidden="false" customHeight="true" outlineLevel="0" collapsed="false">
      <c r="A132" s="8" t="s">
        <v>671</v>
      </c>
      <c r="B132" s="8" t="s">
        <v>640</v>
      </c>
      <c r="C132" s="8" t="s">
        <v>659</v>
      </c>
      <c r="D132" s="8" t="s">
        <v>642</v>
      </c>
      <c r="E132" s="8" t="s">
        <v>672</v>
      </c>
      <c r="F132" s="10" t="s">
        <v>92</v>
      </c>
      <c r="G132" s="8" t="s">
        <v>328</v>
      </c>
      <c r="H132" s="8" t="s">
        <v>22</v>
      </c>
      <c r="I132" s="8" t="s">
        <v>254</v>
      </c>
      <c r="J132" s="8" t="s">
        <v>673</v>
      </c>
      <c r="K132" s="8" t="s">
        <v>674</v>
      </c>
      <c r="L132" s="8" t="n">
        <v>10</v>
      </c>
      <c r="M132" s="8" t="s">
        <v>101</v>
      </c>
      <c r="N132" s="8" t="s">
        <v>671</v>
      </c>
    </row>
    <row r="133" customFormat="false" ht="21.75" hidden="false" customHeight="true" outlineLevel="0" collapsed="false">
      <c r="A133" s="5" t="s">
        <v>675</v>
      </c>
      <c r="B133" s="5" t="s">
        <v>640</v>
      </c>
      <c r="C133" s="5" t="s">
        <v>659</v>
      </c>
      <c r="D133" s="5" t="s">
        <v>642</v>
      </c>
      <c r="E133" s="5" t="s">
        <v>676</v>
      </c>
      <c r="F133" s="14" t="s">
        <v>92</v>
      </c>
      <c r="G133" s="5" t="s">
        <v>328</v>
      </c>
      <c r="H133" s="5" t="s">
        <v>22</v>
      </c>
      <c r="I133" s="5" t="s">
        <v>254</v>
      </c>
      <c r="J133" s="5" t="s">
        <v>677</v>
      </c>
      <c r="K133" s="5" t="s">
        <v>678</v>
      </c>
      <c r="L133" s="5" t="n">
        <v>8</v>
      </c>
      <c r="M133" s="5" t="s">
        <v>101</v>
      </c>
      <c r="N133" s="5" t="s">
        <v>675</v>
      </c>
    </row>
    <row r="134" customFormat="false" ht="21.75" hidden="false" customHeight="true" outlineLevel="0" collapsed="false">
      <c r="A134" s="8" t="s">
        <v>679</v>
      </c>
      <c r="B134" s="8" t="s">
        <v>640</v>
      </c>
      <c r="C134" s="8" t="s">
        <v>680</v>
      </c>
      <c r="D134" s="8" t="s">
        <v>642</v>
      </c>
      <c r="E134" s="8" t="s">
        <v>681</v>
      </c>
      <c r="F134" s="10" t="s">
        <v>92</v>
      </c>
      <c r="G134" s="8" t="s">
        <v>396</v>
      </c>
      <c r="H134" s="8" t="s">
        <v>22</v>
      </c>
      <c r="I134" s="8" t="s">
        <v>254</v>
      </c>
      <c r="J134" s="8" t="s">
        <v>682</v>
      </c>
      <c r="K134" s="8" t="s">
        <v>683</v>
      </c>
      <c r="L134" s="8" t="n">
        <v>10</v>
      </c>
      <c r="M134" s="8" t="s">
        <v>101</v>
      </c>
      <c r="N134" s="8" t="s">
        <v>679</v>
      </c>
    </row>
    <row r="135" customFormat="false" ht="21.75" hidden="false" customHeight="true" outlineLevel="0" collapsed="false">
      <c r="A135" s="5" t="s">
        <v>684</v>
      </c>
      <c r="B135" s="5" t="s">
        <v>640</v>
      </c>
      <c r="C135" s="5" t="s">
        <v>680</v>
      </c>
      <c r="D135" s="5" t="s">
        <v>642</v>
      </c>
      <c r="E135" s="5" t="s">
        <v>685</v>
      </c>
      <c r="F135" s="14" t="s">
        <v>92</v>
      </c>
      <c r="G135" s="5" t="s">
        <v>396</v>
      </c>
      <c r="H135" s="5" t="s">
        <v>22</v>
      </c>
      <c r="I135" s="5" t="s">
        <v>254</v>
      </c>
      <c r="J135" s="5" t="s">
        <v>686</v>
      </c>
      <c r="K135" s="5" t="s">
        <v>687</v>
      </c>
      <c r="L135" s="5" t="n">
        <v>8</v>
      </c>
      <c r="M135" s="5" t="s">
        <v>101</v>
      </c>
      <c r="N135" s="5" t="s">
        <v>684</v>
      </c>
    </row>
    <row r="136" customFormat="false" ht="21.75" hidden="false" customHeight="true" outlineLevel="0" collapsed="false">
      <c r="A136" s="8" t="s">
        <v>688</v>
      </c>
      <c r="B136" s="8" t="s">
        <v>640</v>
      </c>
      <c r="C136" s="8" t="s">
        <v>680</v>
      </c>
      <c r="D136" s="8" t="s">
        <v>642</v>
      </c>
      <c r="E136" s="8" t="s">
        <v>689</v>
      </c>
      <c r="F136" s="10" t="s">
        <v>92</v>
      </c>
      <c r="G136" s="8" t="s">
        <v>396</v>
      </c>
      <c r="H136" s="8" t="s">
        <v>22</v>
      </c>
      <c r="I136" s="8" t="s">
        <v>254</v>
      </c>
      <c r="J136" s="8" t="s">
        <v>690</v>
      </c>
      <c r="K136" s="8" t="s">
        <v>691</v>
      </c>
      <c r="L136" s="8" t="n">
        <v>8</v>
      </c>
      <c r="M136" s="8" t="s">
        <v>101</v>
      </c>
      <c r="N136" s="8" t="s">
        <v>688</v>
      </c>
    </row>
    <row r="137" customFormat="false" ht="21.75" hidden="false" customHeight="true" outlineLevel="0" collapsed="false">
      <c r="A137" s="5" t="s">
        <v>692</v>
      </c>
      <c r="B137" s="5" t="s">
        <v>640</v>
      </c>
      <c r="C137" s="5" t="s">
        <v>680</v>
      </c>
      <c r="D137" s="5" t="s">
        <v>642</v>
      </c>
      <c r="E137" s="5" t="s">
        <v>693</v>
      </c>
      <c r="F137" s="14" t="s">
        <v>92</v>
      </c>
      <c r="G137" s="5" t="s">
        <v>396</v>
      </c>
      <c r="H137" s="5" t="s">
        <v>22</v>
      </c>
      <c r="I137" s="5" t="s">
        <v>254</v>
      </c>
      <c r="J137" s="5" t="s">
        <v>694</v>
      </c>
      <c r="K137" s="5" t="s">
        <v>695</v>
      </c>
      <c r="L137" s="5" t="n">
        <v>10</v>
      </c>
      <c r="M137" s="5" t="s">
        <v>101</v>
      </c>
      <c r="N137" s="5" t="s">
        <v>692</v>
      </c>
    </row>
    <row r="138" customFormat="false" ht="21.75" hidden="false" customHeight="true" outlineLevel="0" collapsed="false">
      <c r="A138" s="8" t="s">
        <v>696</v>
      </c>
      <c r="B138" s="8" t="s">
        <v>640</v>
      </c>
      <c r="C138" s="8" t="s">
        <v>680</v>
      </c>
      <c r="D138" s="8" t="s">
        <v>642</v>
      </c>
      <c r="E138" s="8" t="s">
        <v>697</v>
      </c>
      <c r="F138" s="10" t="s">
        <v>92</v>
      </c>
      <c r="G138" s="8" t="s">
        <v>396</v>
      </c>
      <c r="H138" s="8" t="s">
        <v>22</v>
      </c>
      <c r="I138" s="8" t="s">
        <v>254</v>
      </c>
      <c r="J138" s="8" t="s">
        <v>698</v>
      </c>
      <c r="K138" s="8" t="s">
        <v>699</v>
      </c>
      <c r="L138" s="8" t="n">
        <v>6</v>
      </c>
      <c r="M138" s="8" t="s">
        <v>101</v>
      </c>
      <c r="N138" s="8" t="s">
        <v>696</v>
      </c>
    </row>
    <row r="139" customFormat="false" ht="21.75" hidden="false" customHeight="true" outlineLevel="0" collapsed="false">
      <c r="A139" s="5" t="s">
        <v>700</v>
      </c>
      <c r="B139" s="5" t="s">
        <v>640</v>
      </c>
      <c r="C139" s="5" t="s">
        <v>701</v>
      </c>
      <c r="D139" s="5" t="s">
        <v>642</v>
      </c>
      <c r="E139" s="5" t="s">
        <v>702</v>
      </c>
      <c r="F139" s="14" t="s">
        <v>92</v>
      </c>
      <c r="G139" s="5" t="s">
        <v>396</v>
      </c>
      <c r="H139" s="5" t="s">
        <v>22</v>
      </c>
      <c r="I139" s="5" t="s">
        <v>254</v>
      </c>
      <c r="J139" s="5" t="s">
        <v>703</v>
      </c>
      <c r="K139" s="5" t="s">
        <v>704</v>
      </c>
      <c r="L139" s="5" t="n">
        <v>12</v>
      </c>
      <c r="M139" s="5" t="s">
        <v>101</v>
      </c>
      <c r="N139" s="5" t="s">
        <v>700</v>
      </c>
    </row>
    <row r="140" customFormat="false" ht="21.75" hidden="false" customHeight="true" outlineLevel="0" collapsed="false">
      <c r="A140" s="8" t="s">
        <v>705</v>
      </c>
      <c r="B140" s="8" t="s">
        <v>640</v>
      </c>
      <c r="C140" s="8" t="s">
        <v>701</v>
      </c>
      <c r="D140" s="8" t="s">
        <v>642</v>
      </c>
      <c r="E140" s="8" t="s">
        <v>706</v>
      </c>
      <c r="F140" s="15" t="s">
        <v>98</v>
      </c>
      <c r="G140" s="8" t="s">
        <v>21</v>
      </c>
      <c r="H140" s="8" t="s">
        <v>22</v>
      </c>
      <c r="I140" s="8" t="s">
        <v>254</v>
      </c>
      <c r="J140" s="8" t="s">
        <v>707</v>
      </c>
      <c r="K140" s="8" t="s">
        <v>708</v>
      </c>
      <c r="L140" s="8" t="n">
        <v>3.5</v>
      </c>
      <c r="M140" s="8" t="s">
        <v>101</v>
      </c>
      <c r="N140" s="8" t="s">
        <v>705</v>
      </c>
    </row>
    <row r="141" customFormat="false" ht="15" hidden="false" customHeight="true" outlineLevel="0" collapsed="false">
      <c r="A141" s="5" t="s">
        <v>709</v>
      </c>
      <c r="B141" s="5" t="s">
        <v>640</v>
      </c>
      <c r="C141" s="5" t="s">
        <v>701</v>
      </c>
      <c r="D141" s="5" t="s">
        <v>642</v>
      </c>
      <c r="E141" s="5" t="s">
        <v>710</v>
      </c>
      <c r="F141" s="11" t="s">
        <v>98</v>
      </c>
      <c r="G141" s="5" t="s">
        <v>328</v>
      </c>
      <c r="H141" s="5" t="s">
        <v>22</v>
      </c>
      <c r="I141" s="5" t="s">
        <v>254</v>
      </c>
      <c r="J141" s="5" t="s">
        <v>711</v>
      </c>
      <c r="K141" s="5" t="s">
        <v>712</v>
      </c>
      <c r="L141" s="5" t="n">
        <v>6</v>
      </c>
      <c r="M141" s="5" t="s">
        <v>101</v>
      </c>
      <c r="N141" s="5" t="s">
        <v>709</v>
      </c>
    </row>
    <row r="142" customFormat="false" ht="15" hidden="false" customHeight="true" outlineLevel="0" collapsed="false">
      <c r="A142" s="8" t="s">
        <v>713</v>
      </c>
      <c r="B142" s="8" t="s">
        <v>640</v>
      </c>
      <c r="C142" s="8" t="s">
        <v>701</v>
      </c>
      <c r="D142" s="8" t="s">
        <v>642</v>
      </c>
      <c r="E142" s="8" t="s">
        <v>714</v>
      </c>
      <c r="F142" s="15" t="s">
        <v>98</v>
      </c>
      <c r="G142" s="8" t="s">
        <v>396</v>
      </c>
      <c r="H142" s="8" t="s">
        <v>22</v>
      </c>
      <c r="I142" s="8" t="s">
        <v>321</v>
      </c>
      <c r="J142" s="8" t="s">
        <v>715</v>
      </c>
      <c r="K142" s="8" t="s">
        <v>716</v>
      </c>
      <c r="L142" s="8" t="n">
        <v>8</v>
      </c>
      <c r="M142" s="8" t="s">
        <v>101</v>
      </c>
      <c r="N142" s="8" t="s">
        <v>713</v>
      </c>
    </row>
    <row r="143" customFormat="false" ht="15" hidden="false" customHeight="true" outlineLevel="0" collapsed="false">
      <c r="A143" s="5" t="s">
        <v>717</v>
      </c>
      <c r="B143" s="5" t="s">
        <v>640</v>
      </c>
      <c r="C143" s="5" t="s">
        <v>701</v>
      </c>
      <c r="D143" s="5" t="s">
        <v>642</v>
      </c>
      <c r="E143" s="5" t="s">
        <v>718</v>
      </c>
      <c r="F143" s="11" t="s">
        <v>98</v>
      </c>
      <c r="G143" s="5" t="s">
        <v>328</v>
      </c>
      <c r="H143" s="5" t="s">
        <v>22</v>
      </c>
      <c r="I143" s="5" t="s">
        <v>254</v>
      </c>
      <c r="J143" s="5" t="s">
        <v>719</v>
      </c>
      <c r="K143" s="5" t="s">
        <v>720</v>
      </c>
      <c r="L143" s="5" t="n">
        <v>10</v>
      </c>
      <c r="M143" s="5" t="s">
        <v>101</v>
      </c>
      <c r="N143" s="5" t="s">
        <v>717</v>
      </c>
    </row>
    <row r="144" customFormat="false" ht="21.75" hidden="false" customHeight="true" outlineLevel="0" collapsed="false">
      <c r="A144" s="8" t="s">
        <v>721</v>
      </c>
      <c r="B144" s="8" t="s">
        <v>640</v>
      </c>
      <c r="C144" s="8" t="s">
        <v>701</v>
      </c>
      <c r="D144" s="8" t="s">
        <v>642</v>
      </c>
      <c r="E144" s="8" t="s">
        <v>722</v>
      </c>
      <c r="F144" s="15" t="s">
        <v>98</v>
      </c>
      <c r="G144" s="8" t="s">
        <v>396</v>
      </c>
      <c r="H144" s="8" t="s">
        <v>22</v>
      </c>
      <c r="I144" s="8" t="s">
        <v>254</v>
      </c>
      <c r="J144" s="8" t="s">
        <v>723</v>
      </c>
      <c r="K144" s="8" t="s">
        <v>724</v>
      </c>
      <c r="L144" s="8" t="n">
        <v>5.6</v>
      </c>
      <c r="M144" s="8" t="s">
        <v>101</v>
      </c>
      <c r="N144" s="8" t="s">
        <v>721</v>
      </c>
    </row>
    <row r="145" customFormat="false" ht="15" hidden="false" customHeight="true" outlineLevel="0" collapsed="false">
      <c r="A145" s="5" t="s">
        <v>725</v>
      </c>
      <c r="B145" s="5" t="s">
        <v>640</v>
      </c>
      <c r="C145" s="5" t="s">
        <v>701</v>
      </c>
      <c r="D145" s="5" t="s">
        <v>642</v>
      </c>
      <c r="E145" s="5" t="s">
        <v>726</v>
      </c>
      <c r="F145" s="11" t="s">
        <v>98</v>
      </c>
      <c r="G145" s="5" t="s">
        <v>396</v>
      </c>
      <c r="H145" s="5" t="s">
        <v>22</v>
      </c>
      <c r="I145" s="5" t="s">
        <v>254</v>
      </c>
      <c r="J145" s="5" t="s">
        <v>727</v>
      </c>
      <c r="K145" s="5" t="s">
        <v>728</v>
      </c>
      <c r="L145" s="5" t="n">
        <v>5</v>
      </c>
      <c r="M145" s="5" t="s">
        <v>101</v>
      </c>
      <c r="N145" s="5" t="s">
        <v>725</v>
      </c>
    </row>
    <row r="146" customFormat="false" ht="15" hidden="false" customHeight="true" outlineLevel="0" collapsed="false">
      <c r="A146" s="8" t="s">
        <v>729</v>
      </c>
      <c r="B146" s="8" t="s">
        <v>640</v>
      </c>
      <c r="C146" s="8" t="s">
        <v>730</v>
      </c>
      <c r="D146" s="8" t="s">
        <v>642</v>
      </c>
      <c r="E146" s="8" t="s">
        <v>731</v>
      </c>
      <c r="F146" s="16" t="s">
        <v>442</v>
      </c>
      <c r="G146" s="8" t="s">
        <v>396</v>
      </c>
      <c r="H146" s="8" t="s">
        <v>22</v>
      </c>
      <c r="I146" s="8" t="s">
        <v>254</v>
      </c>
      <c r="J146" s="8" t="s">
        <v>732</v>
      </c>
      <c r="K146" s="8" t="s">
        <v>733</v>
      </c>
      <c r="L146" s="8" t="n">
        <v>4</v>
      </c>
      <c r="M146" s="8" t="s">
        <v>101</v>
      </c>
      <c r="N146" s="8" t="s">
        <v>729</v>
      </c>
    </row>
    <row r="147" customFormat="false" ht="15" hidden="false" customHeight="true" outlineLevel="0" collapsed="false">
      <c r="A147" s="5" t="s">
        <v>734</v>
      </c>
      <c r="B147" s="5" t="s">
        <v>640</v>
      </c>
      <c r="C147" s="5" t="s">
        <v>730</v>
      </c>
      <c r="D147" s="5" t="s">
        <v>642</v>
      </c>
      <c r="E147" s="5" t="s">
        <v>735</v>
      </c>
      <c r="F147" s="17" t="s">
        <v>442</v>
      </c>
      <c r="G147" s="5" t="s">
        <v>396</v>
      </c>
      <c r="H147" s="5" t="s">
        <v>22</v>
      </c>
      <c r="I147" s="5" t="s">
        <v>254</v>
      </c>
      <c r="J147" s="5" t="s">
        <v>736</v>
      </c>
      <c r="K147" s="5" t="s">
        <v>737</v>
      </c>
      <c r="L147" s="5" t="n">
        <v>4</v>
      </c>
      <c r="M147" s="5" t="s">
        <v>101</v>
      </c>
      <c r="N147" s="5" t="s">
        <v>734</v>
      </c>
    </row>
    <row r="148" customFormat="false" ht="15" hidden="false" customHeight="true" outlineLevel="0" collapsed="false">
      <c r="A148" s="8" t="s">
        <v>738</v>
      </c>
      <c r="B148" s="8" t="s">
        <v>640</v>
      </c>
      <c r="C148" s="8" t="s">
        <v>730</v>
      </c>
      <c r="D148" s="8" t="s">
        <v>642</v>
      </c>
      <c r="E148" s="8" t="s">
        <v>739</v>
      </c>
      <c r="F148" s="8" t="s">
        <v>623</v>
      </c>
      <c r="G148" s="8" t="s">
        <v>396</v>
      </c>
      <c r="H148" s="8" t="s">
        <v>22</v>
      </c>
      <c r="I148" s="8" t="s">
        <v>254</v>
      </c>
      <c r="J148" s="8" t="s">
        <v>740</v>
      </c>
      <c r="K148" s="8" t="s">
        <v>741</v>
      </c>
      <c r="L148" s="8" t="n">
        <v>12</v>
      </c>
      <c r="M148" s="8" t="s">
        <v>101</v>
      </c>
      <c r="N148" s="8" t="s">
        <v>738</v>
      </c>
    </row>
    <row r="149" customFormat="false" ht="21.75" hidden="false" customHeight="true" outlineLevel="0" collapsed="false">
      <c r="A149" s="5" t="s">
        <v>742</v>
      </c>
      <c r="B149" s="5" t="s">
        <v>640</v>
      </c>
      <c r="C149" s="5" t="s">
        <v>680</v>
      </c>
      <c r="D149" s="5" t="s">
        <v>642</v>
      </c>
      <c r="E149" s="5" t="s">
        <v>743</v>
      </c>
      <c r="F149" s="14" t="s">
        <v>92</v>
      </c>
      <c r="G149" s="5" t="s">
        <v>396</v>
      </c>
      <c r="H149" s="5" t="s">
        <v>516</v>
      </c>
      <c r="I149" s="5" t="s">
        <v>517</v>
      </c>
      <c r="J149" s="5" t="s">
        <v>744</v>
      </c>
      <c r="K149" s="5" t="s">
        <v>745</v>
      </c>
      <c r="L149" s="5" t="n">
        <v>4</v>
      </c>
      <c r="M149" s="5" t="s">
        <v>101</v>
      </c>
      <c r="N149" s="5" t="s">
        <v>742</v>
      </c>
    </row>
    <row r="150" customFormat="false" ht="178.5" hidden="false" customHeight="true" outlineLevel="0" collapsed="false">
      <c r="A150" s="4" t="s">
        <v>222</v>
      </c>
      <c r="B150" s="5" t="s">
        <v>16</v>
      </c>
      <c r="C150" s="5" t="s">
        <v>53</v>
      </c>
      <c r="D150" s="5" t="s">
        <v>29</v>
      </c>
      <c r="E150" s="5" t="s">
        <v>746</v>
      </c>
      <c r="F150" s="6" t="s">
        <v>20</v>
      </c>
      <c r="G150" s="5" t="s">
        <v>21</v>
      </c>
      <c r="H150" s="5" t="s">
        <v>57</v>
      </c>
      <c r="I150" s="5" t="s">
        <v>747</v>
      </c>
      <c r="J150" s="5" t="s">
        <v>748</v>
      </c>
      <c r="K150" s="5" t="s">
        <v>749</v>
      </c>
      <c r="L150" s="5" t="n">
        <v>3</v>
      </c>
      <c r="M150" s="5" t="s">
        <v>750</v>
      </c>
      <c r="N150" s="5" t="s">
        <v>27</v>
      </c>
    </row>
  </sheetData>
  <mergeCells count="1">
    <mergeCell ref="A1:N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34"/>
    <col collapsed="false" customWidth="true" hidden="false" outlineLevel="0" max="3" min="3" style="1" width="95"/>
    <col collapsed="false" customWidth="true" hidden="false" outlineLevel="0" max="4" min="4" style="1" width="30"/>
  </cols>
  <sheetData>
    <row r="1" customFormat="false" ht="69.75" hidden="false" customHeight="true" outlineLevel="0" collapsed="false">
      <c r="A1" s="18" t="s">
        <v>751</v>
      </c>
      <c r="B1" s="18"/>
      <c r="C1" s="18"/>
      <c r="D1" s="18"/>
    </row>
    <row r="2" customFormat="false" ht="15" hidden="false" customHeight="true" outlineLevel="0" collapsed="false">
      <c r="A2" s="19" t="s">
        <v>14</v>
      </c>
      <c r="B2" s="19" t="s">
        <v>752</v>
      </c>
      <c r="C2" s="19" t="s">
        <v>753</v>
      </c>
      <c r="D2" s="19" t="s">
        <v>754</v>
      </c>
    </row>
    <row r="3" customFormat="false" ht="21.75" hidden="false" customHeight="true" outlineLevel="0" collapsed="false">
      <c r="A3" s="5" t="s">
        <v>15</v>
      </c>
      <c r="B3" s="5" t="s">
        <v>755</v>
      </c>
      <c r="C3" s="5" t="s">
        <v>756</v>
      </c>
      <c r="D3" s="5" t="s">
        <v>757</v>
      </c>
    </row>
    <row r="4" customFormat="false" ht="15" hidden="false" customHeight="true" outlineLevel="0" collapsed="false">
      <c r="A4" s="8" t="s">
        <v>28</v>
      </c>
      <c r="B4" s="8" t="s">
        <v>758</v>
      </c>
      <c r="C4" s="8" t="s">
        <v>759</v>
      </c>
      <c r="D4" s="8" t="s">
        <v>70</v>
      </c>
    </row>
    <row r="5" customFormat="false" ht="21.75" hidden="false" customHeight="true" outlineLevel="0" collapsed="false">
      <c r="A5" s="5" t="s">
        <v>37</v>
      </c>
      <c r="B5" s="5" t="s">
        <v>61</v>
      </c>
      <c r="C5" s="5" t="s">
        <v>760</v>
      </c>
      <c r="D5" s="5" t="s">
        <v>45</v>
      </c>
    </row>
    <row r="6" customFormat="false" ht="21.75" hidden="false" customHeight="true" outlineLevel="0" collapsed="false">
      <c r="A6" s="8" t="s">
        <v>46</v>
      </c>
      <c r="B6" s="8" t="s">
        <v>761</v>
      </c>
      <c r="C6" s="8" t="s">
        <v>762</v>
      </c>
      <c r="D6" s="8" t="s">
        <v>140</v>
      </c>
    </row>
    <row r="7" customFormat="false" ht="15" hidden="false" customHeight="true" outlineLevel="0" collapsed="false">
      <c r="A7" s="5" t="s">
        <v>52</v>
      </c>
      <c r="B7" s="5" t="s">
        <v>763</v>
      </c>
      <c r="C7" s="5" t="s">
        <v>764</v>
      </c>
      <c r="D7" s="5" t="s">
        <v>76</v>
      </c>
    </row>
    <row r="8" customFormat="false" ht="21.75" hidden="false" customHeight="true" outlineLevel="0" collapsed="false">
      <c r="A8" s="8" t="s">
        <v>45</v>
      </c>
      <c r="B8" s="8" t="s">
        <v>765</v>
      </c>
      <c r="C8" s="8" t="s">
        <v>766</v>
      </c>
      <c r="D8" s="8" t="s">
        <v>37</v>
      </c>
    </row>
    <row r="9" customFormat="false" ht="15" hidden="false" customHeight="true" outlineLevel="0" collapsed="false">
      <c r="A9" s="5" t="s">
        <v>767</v>
      </c>
      <c r="B9" s="5" t="s">
        <v>768</v>
      </c>
      <c r="C9" s="5" t="s">
        <v>769</v>
      </c>
      <c r="D9" s="5" t="s">
        <v>770</v>
      </c>
    </row>
    <row r="10" customFormat="false" ht="15" hidden="false" customHeight="true" outlineLevel="0" collapsed="false">
      <c r="A10" s="8" t="s">
        <v>83</v>
      </c>
      <c r="B10" s="8" t="s">
        <v>761</v>
      </c>
      <c r="C10" s="8" t="s">
        <v>771</v>
      </c>
      <c r="D10" s="8" t="s">
        <v>145</v>
      </c>
    </row>
    <row r="11" customFormat="false" ht="21.75" hidden="false" customHeight="true" outlineLevel="0" collapsed="false">
      <c r="A11" s="5" t="s">
        <v>36</v>
      </c>
      <c r="B11" s="5" t="s">
        <v>772</v>
      </c>
      <c r="C11" s="5" t="s">
        <v>773</v>
      </c>
      <c r="D11" s="5" t="s">
        <v>28</v>
      </c>
    </row>
    <row r="12" customFormat="false" ht="15" hidden="false" customHeight="true" outlineLevel="0" collapsed="false">
      <c r="A12" s="8" t="s">
        <v>774</v>
      </c>
      <c r="B12" s="8" t="s">
        <v>775</v>
      </c>
      <c r="C12" s="8" t="s">
        <v>776</v>
      </c>
      <c r="D12" s="8" t="s">
        <v>62</v>
      </c>
    </row>
    <row r="13" customFormat="false" ht="32.25" hidden="false" customHeight="true" outlineLevel="0" collapsed="false">
      <c r="A13" s="5" t="s">
        <v>777</v>
      </c>
      <c r="B13" s="5" t="s">
        <v>761</v>
      </c>
      <c r="C13" s="5" t="s">
        <v>778</v>
      </c>
      <c r="D13" s="5" t="s">
        <v>779</v>
      </c>
    </row>
    <row r="14" customFormat="false" ht="21.75" hidden="false" customHeight="true" outlineLevel="0" collapsed="false">
      <c r="A14" s="8" t="s">
        <v>27</v>
      </c>
      <c r="B14" s="8" t="s">
        <v>780</v>
      </c>
      <c r="C14" s="8" t="s">
        <v>781</v>
      </c>
      <c r="D14" s="8" t="s">
        <v>121</v>
      </c>
    </row>
    <row r="15" customFormat="false" ht="32.25" hidden="false" customHeight="true" outlineLevel="0" collapsed="false">
      <c r="A15" s="5" t="s">
        <v>27</v>
      </c>
      <c r="B15" s="5" t="s">
        <v>782</v>
      </c>
      <c r="C15" s="5" t="s">
        <v>783</v>
      </c>
      <c r="D15" s="5" t="s">
        <v>784</v>
      </c>
    </row>
    <row r="16" customFormat="false" ht="15" hidden="false" customHeight="true" outlineLevel="0" collapsed="false">
      <c r="A16" s="8" t="s">
        <v>27</v>
      </c>
      <c r="B16" s="8" t="s">
        <v>785</v>
      </c>
      <c r="C16" s="8" t="s">
        <v>786</v>
      </c>
      <c r="D16" s="8" t="s">
        <v>89</v>
      </c>
    </row>
    <row r="17" customFormat="false" ht="42.75" hidden="false" customHeight="true" outlineLevel="0" collapsed="false">
      <c r="A17" s="5" t="s">
        <v>27</v>
      </c>
      <c r="B17" s="5" t="s">
        <v>787</v>
      </c>
      <c r="C17" s="5" t="s">
        <v>788</v>
      </c>
      <c r="D17" s="5" t="s">
        <v>789</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10"/>
    <col collapsed="false" customWidth="true" hidden="false" outlineLevel="0" max="3" min="3" style="1" width="8"/>
    <col collapsed="false" customWidth="true" hidden="false" outlineLevel="0" max="5" min="4" style="1" width="9"/>
    <col collapsed="false" customWidth="true" hidden="false" outlineLevel="0" max="6" min="6" style="1" width="100"/>
  </cols>
  <sheetData>
    <row r="1" customFormat="false" ht="39.75" hidden="false" customHeight="true" outlineLevel="0" collapsed="false">
      <c r="A1" s="18" t="s">
        <v>790</v>
      </c>
      <c r="B1" s="18"/>
      <c r="C1" s="18"/>
      <c r="D1" s="18"/>
      <c r="E1" s="18"/>
      <c r="F1" s="18"/>
    </row>
    <row r="2" customFormat="false" ht="15" hidden="false" customHeight="true" outlineLevel="0" collapsed="false">
      <c r="A2" s="19" t="s">
        <v>3</v>
      </c>
      <c r="B2" s="19" t="s">
        <v>2</v>
      </c>
      <c r="C2" s="19" t="s">
        <v>791</v>
      </c>
      <c r="D2" s="19" t="s">
        <v>792</v>
      </c>
      <c r="E2" s="19" t="s">
        <v>20</v>
      </c>
      <c r="F2" s="19" t="s">
        <v>793</v>
      </c>
    </row>
    <row r="3" customFormat="false" ht="15" hidden="false" customHeight="true" outlineLevel="0" collapsed="false">
      <c r="A3" s="20" t="s">
        <v>17</v>
      </c>
      <c r="B3" s="5" t="s">
        <v>16</v>
      </c>
      <c r="C3" s="5" t="n">
        <f aca="false">COUNTIFS(Backlog!$C$3:$C$150,$A3)</f>
        <v>5</v>
      </c>
      <c r="D3" s="5" t="n">
        <f aca="false">SUMIFS(Backlog!$L$3:$L$150,Backlog!$C$3:$C$150,$A3)</f>
        <v>5</v>
      </c>
      <c r="E3" s="5" t="n">
        <f aca="false">COUNTIFS(Backlog!$C$3:$C$150,$A3,Backlog!$F$3:$F$150,"Critical")</f>
        <v>4</v>
      </c>
      <c r="F3" s="5" t="s">
        <v>794</v>
      </c>
    </row>
    <row r="4" customFormat="false" ht="15" hidden="false" customHeight="true" outlineLevel="0" collapsed="false">
      <c r="A4" s="19" t="s">
        <v>53</v>
      </c>
      <c r="B4" s="8" t="s">
        <v>16</v>
      </c>
      <c r="C4" s="8" t="n">
        <f aca="false">COUNTIFS(Backlog!$C$3:$C$150,$A4)</f>
        <v>7</v>
      </c>
      <c r="D4" s="8" t="n">
        <f aca="false">SUMIFS(Backlog!$L$3:$L$150,Backlog!$C$3:$C$150,$A4)</f>
        <v>44</v>
      </c>
      <c r="E4" s="8" t="n">
        <f aca="false">COUNTIFS(Backlog!$C$3:$C$150,$A4,Backlog!$F$3:$F$150,"Critical")</f>
        <v>6</v>
      </c>
      <c r="F4" s="8" t="s">
        <v>795</v>
      </c>
    </row>
    <row r="5" customFormat="false" ht="15" hidden="false" customHeight="true" outlineLevel="0" collapsed="false">
      <c r="A5" s="20" t="s">
        <v>102</v>
      </c>
      <c r="B5" s="5" t="s">
        <v>16</v>
      </c>
      <c r="C5" s="5" t="n">
        <f aca="false">COUNTIFS(Backlog!$C$3:$C$150,$A5)</f>
        <v>2</v>
      </c>
      <c r="D5" s="5" t="n">
        <f aca="false">SUMIFS(Backlog!$L$3:$L$150,Backlog!$C$3:$C$150,$A5)</f>
        <v>7</v>
      </c>
      <c r="E5" s="5" t="n">
        <f aca="false">COUNTIFS(Backlog!$C$3:$C$150,$A5,Backlog!$F$3:$F$150,"Critical")</f>
        <v>1</v>
      </c>
      <c r="F5" s="5" t="s">
        <v>796</v>
      </c>
    </row>
    <row r="6" customFormat="false" ht="15" hidden="false" customHeight="true" outlineLevel="0" collapsed="false">
      <c r="A6" s="19" t="s">
        <v>123</v>
      </c>
      <c r="B6" s="8" t="s">
        <v>122</v>
      </c>
      <c r="C6" s="8" t="n">
        <f aca="false">COUNTIFS(Backlog!$C$3:$C$150,$A6)</f>
        <v>4</v>
      </c>
      <c r="D6" s="8" t="n">
        <f aca="false">SUMIFS(Backlog!$L$3:$L$150,Backlog!$C$3:$C$150,$A6)</f>
        <v>51</v>
      </c>
      <c r="E6" s="8" t="n">
        <f aca="false">COUNTIFS(Backlog!$C$3:$C$150,$A6,Backlog!$F$3:$F$150,"Critical")</f>
        <v>4</v>
      </c>
      <c r="F6" s="8" t="s">
        <v>797</v>
      </c>
    </row>
    <row r="7" customFormat="false" ht="15" hidden="false" customHeight="true" outlineLevel="0" collapsed="false">
      <c r="A7" s="20" t="s">
        <v>146</v>
      </c>
      <c r="B7" s="5" t="s">
        <v>122</v>
      </c>
      <c r="C7" s="5" t="n">
        <f aca="false">COUNTIFS(Backlog!$C$3:$C$150,$A7)</f>
        <v>11</v>
      </c>
      <c r="D7" s="5" t="n">
        <f aca="false">SUMIFS(Backlog!$L$3:$L$150,Backlog!$C$3:$C$150,$A7)</f>
        <v>55.5</v>
      </c>
      <c r="E7" s="5" t="n">
        <f aca="false">COUNTIFS(Backlog!$C$3:$C$150,$A7,Backlog!$F$3:$F$150,"Critical")</f>
        <v>7</v>
      </c>
      <c r="F7" s="5"/>
    </row>
    <row r="8" customFormat="false" ht="15" hidden="false" customHeight="true" outlineLevel="0" collapsed="false">
      <c r="A8" s="19" t="s">
        <v>168</v>
      </c>
      <c r="B8" s="8" t="s">
        <v>122</v>
      </c>
      <c r="C8" s="8" t="n">
        <f aca="false">COUNTIFS(Backlog!$C$3:$C$150,$A8)</f>
        <v>13</v>
      </c>
      <c r="D8" s="8" t="n">
        <f aca="false">SUMIFS(Backlog!$L$3:$L$150,Backlog!$C$3:$C$150,$A8)</f>
        <v>54.5</v>
      </c>
      <c r="E8" s="8" t="n">
        <f aca="false">COUNTIFS(Backlog!$C$3:$C$150,$A8,Backlog!$F$3:$F$150,"Critical")</f>
        <v>5</v>
      </c>
      <c r="F8" s="8" t="s">
        <v>798</v>
      </c>
    </row>
    <row r="9" customFormat="false" ht="15" hidden="false" customHeight="true" outlineLevel="0" collapsed="false">
      <c r="A9" s="20" t="s">
        <v>262</v>
      </c>
      <c r="B9" s="5" t="s">
        <v>122</v>
      </c>
      <c r="C9" s="5" t="n">
        <f aca="false">COUNTIFS(Backlog!$C$3:$C$150,$A9)</f>
        <v>14</v>
      </c>
      <c r="D9" s="5" t="n">
        <f aca="false">SUMIFS(Backlog!$L$3:$L$150,Backlog!$C$3:$C$150,$A9)</f>
        <v>57.1</v>
      </c>
      <c r="E9" s="5" t="n">
        <f aca="false">COUNTIFS(Backlog!$C$3:$C$150,$A9,Backlog!$F$3:$F$150,"Critical")</f>
        <v>9</v>
      </c>
      <c r="F9" s="5"/>
    </row>
    <row r="10" customFormat="false" ht="15" hidden="false" customHeight="true" outlineLevel="0" collapsed="false">
      <c r="A10" s="19" t="s">
        <v>284</v>
      </c>
      <c r="B10" s="8" t="s">
        <v>122</v>
      </c>
      <c r="C10" s="8" t="n">
        <f aca="false">COUNTIFS(Backlog!$C$3:$C$150,$A10)</f>
        <v>9</v>
      </c>
      <c r="D10" s="8" t="n">
        <f aca="false">SUMIFS(Backlog!$L$3:$L$150,Backlog!$C$3:$C$150,$A10)</f>
        <v>53.1</v>
      </c>
      <c r="E10" s="8" t="n">
        <f aca="false">COUNTIFS(Backlog!$C$3:$C$150,$A10,Backlog!$F$3:$F$150,"Critical")</f>
        <v>2</v>
      </c>
      <c r="F10" s="8"/>
    </row>
    <row r="11" customFormat="false" ht="15" hidden="false" customHeight="true" outlineLevel="0" collapsed="false">
      <c r="A11" s="20" t="s">
        <v>302</v>
      </c>
      <c r="B11" s="5" t="s">
        <v>122</v>
      </c>
      <c r="C11" s="5" t="n">
        <f aca="false">COUNTIFS(Backlog!$C$3:$C$150,$A11)</f>
        <v>8</v>
      </c>
      <c r="D11" s="5" t="n">
        <f aca="false">SUMIFS(Backlog!$L$3:$L$150,Backlog!$C$3:$C$150,$A11)</f>
        <v>18.3</v>
      </c>
      <c r="E11" s="5" t="n">
        <f aca="false">COUNTIFS(Backlog!$C$3:$C$150,$A11,Backlog!$F$3:$F$150,"Critical")</f>
        <v>1</v>
      </c>
      <c r="F11" s="5"/>
    </row>
    <row r="12" customFormat="false" ht="15" hidden="false" customHeight="true" outlineLevel="0" collapsed="false">
      <c r="A12" s="19" t="s">
        <v>325</v>
      </c>
      <c r="B12" s="8" t="s">
        <v>122</v>
      </c>
      <c r="C12" s="8" t="n">
        <f aca="false">COUNTIFS(Backlog!$C$3:$C$150,$A12)</f>
        <v>8</v>
      </c>
      <c r="D12" s="8" t="n">
        <f aca="false">SUMIFS(Backlog!$L$3:$L$150,Backlog!$C$3:$C$150,$A12)</f>
        <v>51.9</v>
      </c>
      <c r="E12" s="8" t="n">
        <f aca="false">COUNTIFS(Backlog!$C$3:$C$150,$A12,Backlog!$F$3:$F$150,"Critical")</f>
        <v>2</v>
      </c>
      <c r="F12" s="8"/>
    </row>
    <row r="13" customFormat="false" ht="15" hidden="false" customHeight="true" outlineLevel="0" collapsed="false">
      <c r="A13" s="20" t="s">
        <v>365</v>
      </c>
      <c r="B13" s="5" t="s">
        <v>122</v>
      </c>
      <c r="C13" s="5" t="n">
        <f aca="false">COUNTIFS(Backlog!$C$3:$C$150,$A13)</f>
        <v>10</v>
      </c>
      <c r="D13" s="5" t="n">
        <f aca="false">SUMIFS(Backlog!$L$3:$L$150,Backlog!$C$3:$C$150,$A13)</f>
        <v>54.6</v>
      </c>
      <c r="E13" s="5" t="n">
        <f aca="false">COUNTIFS(Backlog!$C$3:$C$150,$A13,Backlog!$F$3:$F$150,"Critical")</f>
        <v>0</v>
      </c>
      <c r="F13" s="5"/>
    </row>
    <row r="14" customFormat="false" ht="15" hidden="false" customHeight="true" outlineLevel="0" collapsed="false">
      <c r="A14" s="19" t="s">
        <v>390</v>
      </c>
      <c r="B14" s="8" t="s">
        <v>122</v>
      </c>
      <c r="C14" s="8" t="n">
        <f aca="false">COUNTIFS(Backlog!$C$3:$C$150,$A14)</f>
        <v>5</v>
      </c>
      <c r="D14" s="8" t="n">
        <f aca="false">SUMIFS(Backlog!$L$3:$L$150,Backlog!$C$3:$C$150,$A14)</f>
        <v>45.5</v>
      </c>
      <c r="E14" s="8" t="n">
        <f aca="false">COUNTIFS(Backlog!$C$3:$C$150,$A14,Backlog!$F$3:$F$150,"Critical")</f>
        <v>2</v>
      </c>
      <c r="F14" s="8"/>
    </row>
    <row r="15" customFormat="false" ht="15" hidden="false" customHeight="true" outlineLevel="0" collapsed="false">
      <c r="A15" s="20" t="s">
        <v>522</v>
      </c>
      <c r="B15" s="5" t="s">
        <v>521</v>
      </c>
      <c r="C15" s="5" t="n">
        <f aca="false">COUNTIFS(Backlog!$C$3:$C$150,$A15)</f>
        <v>4</v>
      </c>
      <c r="D15" s="5" t="n">
        <f aca="false">SUMIFS(Backlog!$L$3:$L$150,Backlog!$C$3:$C$150,$A15)</f>
        <v>54</v>
      </c>
      <c r="E15" s="5" t="n">
        <f aca="false">COUNTIFS(Backlog!$C$3:$C$150,$A15,Backlog!$F$3:$F$150,"Critical")</f>
        <v>1</v>
      </c>
      <c r="F15" s="5"/>
    </row>
    <row r="16" customFormat="false" ht="15" hidden="false" customHeight="true" outlineLevel="0" collapsed="false">
      <c r="A16" s="19" t="s">
        <v>528</v>
      </c>
      <c r="B16" s="8" t="s">
        <v>521</v>
      </c>
      <c r="C16" s="8" t="n">
        <f aca="false">COUNTIFS(Backlog!$C$3:$C$150,$A16)</f>
        <v>6</v>
      </c>
      <c r="D16" s="8" t="n">
        <f aca="false">SUMIFS(Backlog!$L$3:$L$150,Backlog!$C$3:$C$150,$A16)</f>
        <v>53.9</v>
      </c>
      <c r="E16" s="8" t="n">
        <f aca="false">COUNTIFS(Backlog!$C$3:$C$150,$A16,Backlog!$F$3:$F$150,"Critical")</f>
        <v>2</v>
      </c>
      <c r="F16" s="8"/>
    </row>
    <row r="17" customFormat="false" ht="15" hidden="false" customHeight="true" outlineLevel="0" collapsed="false">
      <c r="A17" s="20" t="s">
        <v>559</v>
      </c>
      <c r="B17" s="5" t="s">
        <v>521</v>
      </c>
      <c r="C17" s="5" t="n">
        <f aca="false">COUNTIFS(Backlog!$C$3:$C$150,$A17)</f>
        <v>5</v>
      </c>
      <c r="D17" s="5" t="n">
        <f aca="false">SUMIFS(Backlog!$L$3:$L$150,Backlog!$C$3:$C$150,$A17)</f>
        <v>50.2</v>
      </c>
      <c r="E17" s="5" t="n">
        <f aca="false">COUNTIFS(Backlog!$C$3:$C$150,$A17,Backlog!$F$3:$F$150,"Critical")</f>
        <v>0</v>
      </c>
      <c r="F17" s="5"/>
    </row>
    <row r="18" customFormat="false" ht="15" hidden="false" customHeight="true" outlineLevel="0" collapsed="false">
      <c r="A18" s="19" t="s">
        <v>584</v>
      </c>
      <c r="B18" s="8" t="s">
        <v>521</v>
      </c>
      <c r="C18" s="8" t="n">
        <f aca="false">COUNTIFS(Backlog!$C$3:$C$150,$A18)</f>
        <v>7</v>
      </c>
      <c r="D18" s="8" t="n">
        <f aca="false">SUMIFS(Backlog!$L$3:$L$150,Backlog!$C$3:$C$150,$A18)</f>
        <v>49</v>
      </c>
      <c r="E18" s="8" t="n">
        <f aca="false">COUNTIFS(Backlog!$C$3:$C$150,$A18,Backlog!$F$3:$F$150,"Critical")</f>
        <v>0</v>
      </c>
      <c r="F18" s="8"/>
    </row>
    <row r="19" customFormat="false" ht="15" hidden="false" customHeight="true" outlineLevel="0" collapsed="false">
      <c r="A19" s="20" t="s">
        <v>613</v>
      </c>
      <c r="B19" s="5" t="s">
        <v>521</v>
      </c>
      <c r="C19" s="5" t="n">
        <f aca="false">COUNTIFS(Backlog!$C$3:$C$150,$A19)</f>
        <v>5</v>
      </c>
      <c r="D19" s="5" t="n">
        <f aca="false">SUMIFS(Backlog!$L$3:$L$150,Backlog!$C$3:$C$150,$A19)</f>
        <v>27</v>
      </c>
      <c r="E19" s="5" t="n">
        <f aca="false">COUNTIFS(Backlog!$C$3:$C$150,$A19,Backlog!$F$3:$F$150,"Critical")</f>
        <v>0</v>
      </c>
      <c r="F19" s="5"/>
    </row>
    <row r="20" customFormat="false" ht="15" hidden="false" customHeight="true" outlineLevel="0" collapsed="false">
      <c r="A20" s="19" t="s">
        <v>641</v>
      </c>
      <c r="B20" s="8" t="s">
        <v>640</v>
      </c>
      <c r="C20" s="8" t="n">
        <f aca="false">COUNTIFS(Backlog!$C$3:$C$150,$A20)</f>
        <v>4</v>
      </c>
      <c r="D20" s="8" t="n">
        <f aca="false">SUMIFS(Backlog!$L$3:$L$150,Backlog!$C$3:$C$150,$A20)</f>
        <v>52</v>
      </c>
      <c r="E20" s="8" t="n">
        <f aca="false">COUNTIFS(Backlog!$C$3:$C$150,$A20,Backlog!$F$3:$F$150,"Critical")</f>
        <v>4</v>
      </c>
      <c r="F20" s="8"/>
    </row>
    <row r="21" customFormat="false" ht="15" hidden="false" customHeight="true" outlineLevel="0" collapsed="false">
      <c r="A21" s="20" t="s">
        <v>659</v>
      </c>
      <c r="B21" s="5" t="s">
        <v>640</v>
      </c>
      <c r="C21" s="5" t="n">
        <f aca="false">COUNTIFS(Backlog!$C$3:$C$150,$A21)</f>
        <v>5</v>
      </c>
      <c r="D21" s="5" t="n">
        <f aca="false">SUMIFS(Backlog!$L$3:$L$150,Backlog!$C$3:$C$150,$A21)</f>
        <v>50</v>
      </c>
      <c r="E21" s="5" t="n">
        <f aca="false">COUNTIFS(Backlog!$C$3:$C$150,$A21,Backlog!$F$3:$F$150,"Critical")</f>
        <v>0</v>
      </c>
      <c r="F21" s="5"/>
    </row>
    <row r="22" customFormat="false" ht="15" hidden="false" customHeight="true" outlineLevel="0" collapsed="false">
      <c r="A22" s="19" t="s">
        <v>680</v>
      </c>
      <c r="B22" s="8" t="s">
        <v>640</v>
      </c>
      <c r="C22" s="8" t="n">
        <f aca="false">COUNTIFS(Backlog!$C$3:$C$150,$A22)</f>
        <v>6</v>
      </c>
      <c r="D22" s="8" t="n">
        <f aca="false">SUMIFS(Backlog!$L$3:$L$150,Backlog!$C$3:$C$150,$A22)</f>
        <v>46</v>
      </c>
      <c r="E22" s="8" t="n">
        <f aca="false">COUNTIFS(Backlog!$C$3:$C$150,$A22,Backlog!$F$3:$F$150,"Critical")</f>
        <v>0</v>
      </c>
      <c r="F22" s="8"/>
    </row>
    <row r="23" customFormat="false" ht="15" hidden="false" customHeight="true" outlineLevel="0" collapsed="false">
      <c r="A23" s="20" t="s">
        <v>701</v>
      </c>
      <c r="B23" s="5" t="s">
        <v>640</v>
      </c>
      <c r="C23" s="5" t="n">
        <f aca="false">COUNTIFS(Backlog!$C$3:$C$150,$A23)</f>
        <v>7</v>
      </c>
      <c r="D23" s="5" t="n">
        <f aca="false">SUMIFS(Backlog!$L$3:$L$150,Backlog!$C$3:$C$150,$A23)</f>
        <v>50.1</v>
      </c>
      <c r="E23" s="5" t="n">
        <f aca="false">COUNTIFS(Backlog!$C$3:$C$150,$A23,Backlog!$F$3:$F$150,"Critical")</f>
        <v>0</v>
      </c>
      <c r="F23" s="5"/>
    </row>
    <row r="24" customFormat="false" ht="15" hidden="false" customHeight="true" outlineLevel="0" collapsed="false">
      <c r="A24" s="19" t="s">
        <v>730</v>
      </c>
      <c r="B24" s="8" t="s">
        <v>640</v>
      </c>
      <c r="C24" s="8" t="n">
        <f aca="false">COUNTIFS(Backlog!$C$3:$C$150,$A24)</f>
        <v>3</v>
      </c>
      <c r="D24" s="8" t="n">
        <f aca="false">SUMIFS(Backlog!$L$3:$L$150,Backlog!$C$3:$C$150,$A24)</f>
        <v>20</v>
      </c>
      <c r="E24" s="8" t="n">
        <f aca="false">COUNTIFS(Backlog!$C$3:$C$150,$A24,Backlog!$F$3:$F$150,"Critical")</f>
        <v>0</v>
      </c>
      <c r="F24" s="8"/>
    </row>
    <row r="25" customFormat="false" ht="15" hidden="false" customHeight="true" outlineLevel="0" collapsed="false">
      <c r="A25" s="20"/>
      <c r="B25" s="5"/>
      <c r="C25" s="5"/>
      <c r="D25" s="5"/>
      <c r="E25" s="5"/>
      <c r="F25" s="5"/>
    </row>
    <row r="26" customFormat="false" ht="15" hidden="false" customHeight="true" outlineLevel="0" collapsed="false">
      <c r="A26" s="19" t="s">
        <v>799</v>
      </c>
      <c r="B26" s="8"/>
      <c r="C26" s="8"/>
      <c r="D26" s="8"/>
      <c r="E26" s="8"/>
      <c r="F26" s="8"/>
    </row>
    <row r="27" customFormat="false" ht="15" hidden="false" customHeight="true" outlineLevel="0" collapsed="false">
      <c r="A27" s="20" t="s">
        <v>2</v>
      </c>
      <c r="B27" s="5" t="s">
        <v>791</v>
      </c>
      <c r="C27" s="5" t="s">
        <v>792</v>
      </c>
      <c r="D27" s="5" t="s">
        <v>20</v>
      </c>
      <c r="E27" s="5"/>
      <c r="F27" s="5"/>
    </row>
    <row r="28" customFormat="false" ht="15" hidden="false" customHeight="true" outlineLevel="0" collapsed="false">
      <c r="A28" s="19" t="s">
        <v>16</v>
      </c>
      <c r="B28" s="8" t="n">
        <f aca="false">COUNTIFS(Backlog!$B$3:$B$150,$A28)</f>
        <v>14</v>
      </c>
      <c r="C28" s="8" t="n">
        <f aca="false">SUMIFS(Backlog!$L$3:$L$150,Backlog!$B$3:$B$150,$A28)</f>
        <v>56</v>
      </c>
      <c r="D28" s="8" t="n">
        <f aca="false">COUNTIFS(Backlog!$B$3:$B$150,$A28,Backlog!$F$3:$F$150,"Critical")</f>
        <v>11</v>
      </c>
      <c r="E28" s="8"/>
      <c r="F28" s="8"/>
    </row>
    <row r="29" customFormat="false" ht="15" hidden="false" customHeight="true" outlineLevel="0" collapsed="false">
      <c r="A29" s="20" t="s">
        <v>122</v>
      </c>
      <c r="B29" s="5" t="n">
        <f aca="false">COUNTIFS(Backlog!$B$3:$B$150,$A29)</f>
        <v>82</v>
      </c>
      <c r="C29" s="5" t="n">
        <f aca="false">SUMIFS(Backlog!$L$3:$L$150,Backlog!$B$3:$B$150,$A29)</f>
        <v>441.5</v>
      </c>
      <c r="D29" s="5" t="n">
        <f aca="false">COUNTIFS(Backlog!$B$3:$B$150,$A29,Backlog!$F$3:$F$150,"Critical")</f>
        <v>32</v>
      </c>
      <c r="E29" s="5"/>
      <c r="F29" s="5"/>
    </row>
    <row r="30" customFormat="false" ht="15" hidden="false" customHeight="true" outlineLevel="0" collapsed="false">
      <c r="A30" s="19" t="s">
        <v>521</v>
      </c>
      <c r="B30" s="8" t="n">
        <f aca="false">COUNTIFS(Backlog!$B$3:$B$150,$A30)</f>
        <v>27</v>
      </c>
      <c r="C30" s="8" t="n">
        <f aca="false">SUMIFS(Backlog!$L$3:$L$150,Backlog!$B$3:$B$150,$A30)</f>
        <v>234.1</v>
      </c>
      <c r="D30" s="8" t="n">
        <f aca="false">COUNTIFS(Backlog!$B$3:$B$150,$A30,Backlog!$F$3:$F$150,"Critical")</f>
        <v>3</v>
      </c>
      <c r="E30" s="8"/>
      <c r="F30" s="8"/>
    </row>
    <row r="31" customFormat="false" ht="15" hidden="false" customHeight="true" outlineLevel="0" collapsed="false">
      <c r="A31" s="20" t="s">
        <v>640</v>
      </c>
      <c r="B31" s="5" t="n">
        <f aca="false">COUNTIFS(Backlog!$B$3:$B$150,$A31)</f>
        <v>25</v>
      </c>
      <c r="C31" s="5" t="n">
        <f aca="false">SUMIFS(Backlog!$L$3:$L$150,Backlog!$B$3:$B$150,$A31)</f>
        <v>218.1</v>
      </c>
      <c r="D31" s="5" t="n">
        <f aca="false">COUNTIFS(Backlog!$B$3:$B$150,$A31,Backlog!$F$3:$F$150,"Critical")</f>
        <v>4</v>
      </c>
      <c r="E31" s="5"/>
      <c r="F31" s="5"/>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2026-07-10T11:42:01Z</dcterms:created>
  <dc:creator>openpyxl</dc:creator>
  <dc:description/>
  <dc:language>en-US</dc:language>
  <cp:lastModifiedBy/>
  <dcterms:modified xsi:type="dcterms:W3CDTF">2026-07-12T17:42:13Z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