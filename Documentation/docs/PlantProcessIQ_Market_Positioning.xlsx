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pability Matrix" sheetId="1" state="visible" r:id="rId3"/>
    <sheet name="Market Value (EUR)" sheetId="2" state="visible" r:id="rId4"/>
    <sheet name="Positioning &amp; Metho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<sst xmlns="http://schemas.openxmlformats.org/spreadsheetml/2006/main" count="368" uniqueCount="320">
  <si>
    <t xml:space="preserve">Dimension</t>
  </si>
  <si>
    <t xml:space="preserve">Now</t>
  </si>
  <si>
    <t xml:space="preserve">After Phase 5</t>
  </si>
  <si>
    <t xml:space="preserve">After Phase 10</t>
  </si>
  <si>
    <t xml:space="preserve">After Phase 14</t>
  </si>
  <si>
    <t xml:space="preserve">After Full Program (P21)</t>
  </si>
  <si>
    <t xml:space="preserve">Primetals Technologies
(TPQC / TPO)</t>
  </si>
  <si>
    <t xml:space="preserve">PSI Metals
(PSImetals Quality)</t>
  </si>
  <si>
    <t xml:space="preserve">Smart Steel Technologies
(SST)</t>
  </si>
  <si>
    <t xml:space="preserve">Fero Labs</t>
  </si>
  <si>
    <t xml:space="preserve">Score /100</t>
  </si>
  <si>
    <t xml:space="preserve">Description of score</t>
  </si>
  <si>
    <t xml:space="preserve">Workflows</t>
  </si>
  <si>
    <t xml:space="preserve">Built + e2e; full demo-rebuild-through-HMI &amp; gate cert pending.</t>
  </si>
  <si>
    <t xml:space="preserve">Demo rebuilt live through the HMI + Mapping-Health + certified golden-path.</t>
  </si>
  <si>
    <t xml:space="preserve">Historian + edge workflows added.</t>
  </si>
  <si>
    <t xml:space="preserve">Cohesive, guided, no-dead-button, certified — best-in-class for the read-only scope.</t>
  </si>
  <si>
    <t xml:space="preserve">Advisory write-back + fleet workflows; recommendation-approval in the loop — fully end-to-end.</t>
  </si>
  <si>
    <t xml:space="preserve">Through-process workflows proven at plants; heavier, consultant-led.</t>
  </si>
  <si>
    <t xml:space="preserve">Full MES/quality/genealogy/logistics; broad but enterprise-heavy.</t>
  </si>
  <si>
    <t xml:space="preserve">Use-case AI workflows; less a single guided suite.</t>
  </si>
  <si>
    <t xml:space="preserve">Model→diagnose→predict→optimize; not steel-specific end-to-end.</t>
  </si>
  <si>
    <t xml:space="preserve">Features</t>
  </si>
  <si>
    <t xml:space="preserve">Read-only intelligence core GA; historian &amp; edge pending.</t>
  </si>
  <si>
    <t xml:space="preserve">+ Mapping-Health &amp; schema-drift; coverage.</t>
  </si>
  <si>
    <t xml:space="preserve">+ Historian GA, OPC beta, OT-safe edge — breadth nearing incumbents.</t>
  </si>
  <si>
    <t xml:space="preserve">Complete &amp; modern for the niche; narrower than a full MES.</t>
  </si>
  <si>
    <t xml:space="preserve">Prescriptive-advisory, certification/PCF/reporting, broad integration, fleet &amp; marketplace, write-back — broad AND deep within the read-only/advisory frame.</t>
  </si>
  <si>
    <t xml:space="preserve">Vast: SPC, rules, KPIs, defect prevention, digital twin, energy, asset health.</t>
  </si>
  <si>
    <t xml:space="preserve">Broad suite — planning, scheduling, MES, quality, genealogy, PCF, logistics.</t>
  </si>
  <si>
    <t xml:space="preserve">Focused AI family incl. surface inspection, planning, yard.</t>
  </si>
  <si>
    <t xml:space="preserve">Explainable-ML platform; cross-industry, not steel-specialised.</t>
  </si>
  <si>
    <t xml:space="preserve">Functionality</t>
  </si>
  <si>
    <t xml:space="preserve">Excellent typed-error/abstain/read-only discipline; uncertified, thin demo.</t>
  </si>
  <si>
    <t xml:space="preserve">Gate-exit tests green; drift loop + coverage.</t>
  </si>
  <si>
    <t xml:space="preserve">Edge ingestion complete.</t>
  </si>
  <si>
    <t xml:space="preserve">Correct, complete, safe within scope — among the cleanest in class.</t>
  </si>
  <si>
    <t xml:space="preserve">Recommendation, value-realization &amp; write-back paths added with the same discipline.</t>
  </si>
  <si>
    <t xml:space="preserve">Mature, robust, defect-prevention proven.</t>
  </si>
  <si>
    <t xml:space="preserve">Mature MES; nonconformity workflows proven.</t>
  </si>
  <si>
    <t xml:space="preserve">Runs 24/7; focused, reliable AI functions.</t>
  </si>
  <si>
    <t xml:space="preserve">Reliable explainable-ML SaaS; live retraining.</t>
  </si>
  <si>
    <t xml:space="preserve">Security</t>
  </si>
  <si>
    <t xml:space="preserve">RLS + audit + Argon2id + SafeSql strong; confirm DB-port/dev-seed; no SAST yet.</t>
  </si>
  <si>
    <t xml:space="preserve">DB-port/dev-seed/secret-scan closed; cross-tenant certified.</t>
  </si>
  <si>
    <t xml:space="preserve">Edge no-egress certified; read-only/no-OT is itself an advantage.</t>
  </si>
  <si>
    <t xml:space="preserve">SAST/dep/secret scanning, encryption depth, bootstrap removal, audit immutability.</t>
  </si>
  <si>
    <t xml:space="preserve">External SOC 2 Type II / ISO 27001 / IEC 62443 readiness on the hardened base.</t>
  </si>
  <si>
    <t xml:space="preserve">Enterprise/OT-grade; large attack surface.</t>
  </si>
  <si>
    <t xml:space="preserve">Enterprise MES security; mature.</t>
  </si>
  <si>
    <t xml:space="preserve">Modern; integrates into the control loop (OT exposure).</t>
  </si>
  <si>
    <t xml:space="preserve">Enterprise SaaS, cloud security mature.</t>
  </si>
  <si>
    <t xml:space="preserve">Auth</t>
  </si>
  <si>
    <t xml:space="preserve">Argon2id, HttpOnly tokens, MFA/SSO/SCIM present; runtime cert pending.</t>
  </si>
  <si>
    <t xml:space="preserve">RBAC + cross-tenant certified.</t>
  </si>
  <si>
    <t xml:space="preserve">Stable; full SSO/SCIM/MFA cert in P11.</t>
  </si>
  <si>
    <t xml:space="preserve">Bootstrap removed; MFA-by-role + SSO/SCIM runtime-certified.</t>
  </si>
  <si>
    <t xml:space="preserve">Enterprise IAM complete + fleet/org roles certified.</t>
  </si>
  <si>
    <t xml:space="preserve">Enterprise IAM/SSO, mature.</t>
  </si>
  <si>
    <t xml:space="preserve">Enterprise MES auth/SSO.</t>
  </si>
  <si>
    <t xml:space="preserve">Modern auth; enterprise SSO typical.</t>
  </si>
  <si>
    <t xml:space="preserve">Enterprise SaaS SSO/SCIM, mature.</t>
  </si>
  <si>
    <t xml:space="preserve">Deployment</t>
  </si>
  <si>
    <t xml:space="preserve">Jenkins auto-deploy + Docker/Caddy on a single VPS; no HA; one manual primer.</t>
  </si>
  <si>
    <t xml:space="preserve">CI certification stage; cleaner pipeline.</t>
  </si>
  <si>
    <t xml:space="preserve">Edge agent packaging added.</t>
  </si>
  <si>
    <t xml:space="preserve">Backup/restore + monitoring; still single-node.</t>
  </si>
  <si>
    <t xml:space="preserve">Multi-node HA, zero-downtime deploys, multi-region DR — robust and still lightweight.</t>
  </si>
  <si>
    <t xml:space="preserve">Robust but heavy — integrated with L2/L3 + equipment.</t>
  </si>
  <si>
    <t xml:space="preserve">On-prem/cloud MES rollout; heavy.</t>
  </si>
  <si>
    <t xml:space="preserve">Integration projects; control-loop integration heavier.</t>
  </si>
  <si>
    <t xml:space="preserve">SaaS, non-disruptive; pilot-led, relatively fast.</t>
  </si>
  <si>
    <t xml:space="preserve">AI + ML</t>
  </si>
  <si>
    <t xml:space="preserve">Doctrine-grade rigour (Spearman/Lasso/MI + BH-FDR + bootstrap + grounded assistant); no prediction by design.</t>
  </si>
  <si>
    <t xml:space="preserve">FDR, grounding, value &amp; model-gateway certified.</t>
  </si>
  <si>
    <t xml:space="preserve">Historian features enrich analysis.</t>
  </si>
  <si>
    <t xml:space="preserve">Rigour-leading; scope narrower than predictive/prescriptive pure-plays.</t>
  </si>
  <si>
    <t xml:space="preserve">Prescriptive-advisory + benchmarking added while staying evidence-grade (recommend, never control).</t>
  </si>
  <si>
    <t xml:space="preserve">Knowledge-based + SPC + ML + strong metallurgical models.</t>
  </si>
  <si>
    <t xml:space="preserve">Deep Qualicision ML + intelligent agents growing.</t>
  </si>
  <si>
    <t xml:space="preserve">AI-first ML + optimisation, prescriptive control, tier-1 production.</t>
  </si>
  <si>
    <t xml:space="preserve">Explainable/white-box ML, live prediction &amp; optimisation.</t>
  </si>
  <si>
    <t xml:space="preserve">Engine</t>
  </si>
  <si>
    <t xml:space="preserve">Deterministic KPI/correlation/value/widget-script/import/scheduler — provenance-threaded.</t>
  </si>
  <si>
    <t xml:space="preserve">Engine certs + perf-at-scale validated.</t>
  </si>
  <si>
    <t xml:space="preserve">Backend refactor done.</t>
  </si>
  <si>
    <t xml:space="preserve">Time-series store + latency-budgeted; not metallurgical-model depth.</t>
  </si>
  <si>
    <t xml:space="preserve">HA/horizontally-scaled + advisory + value-realization engines — production-grade at fleet scale.</t>
  </si>
  <si>
    <t xml:space="preserve">Decades of metallurgical/process engine depth.</t>
  </si>
  <si>
    <t xml:space="preserve">Mature factory-model/genealogy engine.</t>
  </si>
  <si>
    <t xml:space="preserve">Modern in-memory/time-series/solver stack.</t>
  </si>
  <si>
    <t xml:space="preserve">Solid ML-platform engine; not domain metallurgy.</t>
  </si>
  <si>
    <t xml:space="preserve">Analysis</t>
  </si>
  <si>
    <t xml:space="preserve">Association discovery + ranged €-value + suggestions; limited by thin demo.</t>
  </si>
  <si>
    <t xml:space="preserve">Demonstrable on realism data; FDR-clean, effect-ranked, stability-flagged.</t>
  </si>
  <si>
    <t xml:space="preserve">Broader inputs deepen it.</t>
  </si>
  <si>
    <t xml:space="preserve">Transparent, evidence-grade with population/coverage on every result.</t>
  </si>
  <si>
    <t xml:space="preserve">Benchmarking + realized-value attribution + recommendations on top.</t>
  </si>
  <si>
    <t xml:space="preserve">Deep analytics + SPC + pattern detection.</t>
  </si>
  <si>
    <t xml:space="preserve">Embedded BI, QIs, KPIs; less advanced-stats.</t>
  </si>
  <si>
    <t xml:space="preserve">Strong predictive/optimisation analytics.</t>
  </si>
  <si>
    <t xml:space="preserve">Root-cause diagnostics + prediction + confidence bands.</t>
  </si>
  <si>
    <t xml:space="preserve">UI / UX</t>
  </si>
  <si>
    <t xml:space="preserve">Brand-consistent dark HMI, edge states, no-dead-button; no light theme/i18n.</t>
  </si>
  <si>
    <t xml:space="preserve">Refactored, tokens centralised.</t>
  </si>
  <si>
    <t xml:space="preserve">WCAG 2.1 AA + light theme + i18n + Arabic RTL + mobile.</t>
  </si>
  <si>
    <t xml:space="preserve">Polished + perf budgets — best-in-class modern UX.</t>
  </si>
  <si>
    <t xml:space="preserve">Fleet dashboards, certificate/report builder, CFO value dashboard — complete.</t>
  </si>
  <si>
    <t xml:space="preserve">Functional, enterprise/operator-grade.</t>
  </si>
  <si>
    <t xml:space="preserve">Enterprise MES UI; capable but heavy.</t>
  </si>
  <si>
    <t xml:space="preserve">Modern, AI/process-engineer oriented.</t>
  </si>
  <si>
    <t xml:space="preserve">Modern, explainable, operator-friendly.</t>
  </si>
  <si>
    <t xml:space="preserve">System Stable</t>
  </si>
  <si>
    <t xml:space="preserve">Clean error handling + health endpoints; uncertified, single VPS, no proven uptime.</t>
  </si>
  <si>
    <t xml:space="preserve">Full suite green + regression + perf-at-scale; much derisked.</t>
  </si>
  <si>
    <t xml:space="preserve">More surface, well-tested.</t>
  </si>
  <si>
    <t xml:space="preserve">Test+perf+ops+backup/restore+monitoring; long-run at-scale unproven.</t>
  </si>
  <si>
    <t xml:space="preserve">HA + chaos + 30-day soak + SLO/error-budgets + DR; only field-proven multi-year uptime separates it from 100.</t>
  </si>
  <si>
    <t xml:space="preserve">Battle-tested at scale worldwide.</t>
  </si>
  <si>
    <t xml:space="preserve">Decades of global production references.</t>
  </si>
  <si>
    <t xml:space="preserve">24/7 in large mills; younger track record.</t>
  </si>
  <si>
    <t xml:space="preserve">Multi-industry SaaS maturity.</t>
  </si>
  <si>
    <t xml:space="preserve">System easy to use</t>
  </si>
  <si>
    <t xml:space="preserve">Modern HMI but onboarding complex; no localisation/light theme.</t>
  </si>
  <si>
    <t xml:space="preserve">Cleaner UI + a live demo to learn from.</t>
  </si>
  <si>
    <t xml:space="preserve">Accessible, themeable, localised incl. Arabic.</t>
  </si>
  <si>
    <t xml:space="preserve">Docs + onboarding + API reference.</t>
  </si>
  <si>
    <t xml:space="preserve">Industry templates + rapid onboarding + in-app help + training/certification.</t>
  </si>
  <si>
    <t xml:space="preserve">Powerful but training-intensive.</t>
  </si>
  <si>
    <t xml:space="preserve">Enterprise MES complexity.</t>
  </si>
  <si>
    <t xml:space="preserve">Modern; aimed at process/AI engineers.</t>
  </si>
  <si>
    <t xml:space="preserve">Designed for engineers w/ little data-science background.</t>
  </si>
  <si>
    <t xml:space="preserve">Add value to customer</t>
  </si>
  <si>
    <t xml:space="preserve">Real value potential, but unproven, uncertified, no references.</t>
  </si>
  <si>
    <t xml:space="preserve">Live, certified, evidence-grade €-value story derisks adoption — pilot-ready.</t>
  </si>
  <si>
    <t xml:space="preserve">Broader connectivity + accessibility widen adoption &amp; captured value.</t>
  </si>
  <si>
    <t xml:space="preserve">High value, low risk/cost, fast TTV; capped by no install base &amp; advisory scope.</t>
  </si>
  <si>
    <t xml:space="preserve">Quantified, tracked realized-€ value + prescriptive-advisory + benchmarking + fast TTV + write-back stickiness; residual to 100 is install-base proof.</t>
  </si>
  <si>
    <t xml:space="preserve">Proven value worldwide; tied to large, slow, costly programmes.</t>
  </si>
  <si>
    <t xml:space="preserve">Proven broad value; big-bang MES, expensive/slow.</t>
  </si>
  <si>
    <t xml:space="preserve">Hard ROI via prescriptive control; higher integration &amp; risk.</t>
  </si>
  <si>
    <t xml:space="preserve">Documented ROI (~10% profit, $/ton); pilot-to-scale.</t>
  </si>
  <si>
    <t xml:space="preserve">Scalability &amp; Performance</t>
  </si>
  <si>
    <t xml:space="preserve">Single VPS; realism scale validated only in parts.</t>
  </si>
  <si>
    <t xml:space="preserve">Perf validation at realism scale begun.</t>
  </si>
  <si>
    <t xml:space="preserve">Broader load tested.</t>
  </si>
  <si>
    <t xml:space="preserve">Perf budgets + load tests enforce latency at realism scale.</t>
  </si>
  <si>
    <t xml:space="preserve">HA + horizontal scale + autoscaling + 30-day soak — scales to fleet/large-plant volumes.</t>
  </si>
  <si>
    <t xml:space="preserve">Scales to large integrated plants.</t>
  </si>
  <si>
    <t xml:space="preserve">Enterprise MES scale.</t>
  </si>
  <si>
    <t xml:space="preserve">Handles large mills 24/7.</t>
  </si>
  <si>
    <t xml:space="preserve">Cloud-scale SaaS.</t>
  </si>
  <si>
    <t xml:space="preserve">Reliability &amp; Availability (SLA/HA)</t>
  </si>
  <si>
    <t xml:space="preserve">Single point of failure; no HA/SLA.</t>
  </si>
  <si>
    <t xml:space="preserve">Cert + regression cut failure risk.</t>
  </si>
  <si>
    <t xml:space="preserve">More tested surface.</t>
  </si>
  <si>
    <t xml:space="preserve">Multi-node HA + failover + multi-region DR + 99.95% SLO.</t>
  </si>
  <si>
    <t xml:space="preserve">Proven high availability at plants.</t>
  </si>
  <si>
    <t xml:space="preserve">Enterprise availability.</t>
  </si>
  <si>
    <t xml:space="preserve">24/7 production reliability.</t>
  </si>
  <si>
    <t xml:space="preserve">Enterprise SaaS uptime.</t>
  </si>
  <si>
    <t xml:space="preserve">Integration &amp; Interoperability</t>
  </si>
  <si>
    <t xml:space="preserve">5 relational + file connectors, SafeSql, internal APIs.</t>
  </si>
  <si>
    <t xml:space="preserve">Stable connector base.</t>
  </si>
  <si>
    <t xml:space="preserve">+ Historian GA, OPC beta, edge.</t>
  </si>
  <si>
    <t xml:space="preserve">Edge ingestion + connector certs.</t>
  </si>
  <si>
    <t xml:space="preserve">OPC-UA GA + more historians + ERP/LIMS/MES read + advisory write-back + public API + ISA-95.</t>
  </si>
  <si>
    <t xml:space="preserve">Deep equipment/L2/L3 integration.</t>
  </si>
  <si>
    <t xml:space="preserve">Broad MES/ERP integration.</t>
  </si>
  <si>
    <t xml:space="preserve">Integrates into control loop + sources.</t>
  </si>
  <si>
    <t xml:space="preserve">Connects plant sources; cross-industry.</t>
  </si>
  <si>
    <t xml:space="preserve">Explainability &amp; Trust</t>
  </si>
  <si>
    <t xml:space="preserve">Provenance, grounded citations, abstain, no fabricated numbers — a signature strength.</t>
  </si>
  <si>
    <t xml:space="preserve">Grounding/abstain certified.</t>
  </si>
  <si>
    <t xml:space="preserve">Maintained.</t>
  </si>
  <si>
    <t xml:space="preserve">Population/coverage on every result.</t>
  </si>
  <si>
    <t xml:space="preserve">Recommendation + realized-value explainability.</t>
  </si>
  <si>
    <t xml:space="preserve">Knowledge-based explainable rules; less ML transparency.</t>
  </si>
  <si>
    <t xml:space="preserve">Rule/QI explainability; ML growing.</t>
  </si>
  <si>
    <t xml:space="preserve">AI with some explainability.</t>
  </si>
  <si>
    <t xml:space="preserve">Explicitly explainable/white-box ML — its core pitch.</t>
  </si>
  <si>
    <t xml:space="preserve">Time-to-Value / Onboarding</t>
  </si>
  <si>
    <t xml:space="preserve">Read-only connect fast, but onboarding complex, no templates.</t>
  </si>
  <si>
    <t xml:space="preserve">Live demo + cert speed evaluation.</t>
  </si>
  <si>
    <t xml:space="preserve">Smoother.</t>
  </si>
  <si>
    <t xml:space="preserve">Stable, documented.</t>
  </si>
  <si>
    <t xml:space="preserve">Industry templates + rapid onboarding + self-serve = value in days.</t>
  </si>
  <si>
    <t xml:space="preserve">Long multi-year programmes.</t>
  </si>
  <si>
    <t xml:space="preserve">Big MES rollout.</t>
  </si>
  <si>
    <t xml:space="preserve">Integration projects.</t>
  </si>
  <si>
    <t xml:space="preserve">Pilot-led, non-disruptive, relatively fast.</t>
  </si>
  <si>
    <t xml:space="preserve">Compliance &amp; Certifications</t>
  </si>
  <si>
    <t xml:space="preserve">Controls present, no formal certs.</t>
  </si>
  <si>
    <t xml:space="preserve">Security gating.</t>
  </si>
  <si>
    <t xml:space="preserve">Modest.</t>
  </si>
  <si>
    <t xml:space="preserve">SOC2/ISO mapping + audit immutability (not externally audited).</t>
  </si>
  <si>
    <t xml:space="preserve">External SOC 2 Type II + ISO 27001 + IEC 62443 + automotive readiness.</t>
  </si>
  <si>
    <t xml:space="preserve">Established certifications/standards.</t>
  </si>
  <si>
    <t xml:space="preserve">Enterprise compliance.</t>
  </si>
  <si>
    <t xml:space="preserve">Production-grade compliance.</t>
  </si>
  <si>
    <t xml:space="preserve">Enterprise SaaS compliance (SOC2-class).</t>
  </si>
  <si>
    <t xml:space="preserve">Support &amp; Customer Success</t>
  </si>
  <si>
    <t xml:space="preserve">Solo founder; no formal support.</t>
  </si>
  <si>
    <t xml:space="preserve">Improving docs; informal.</t>
  </si>
  <si>
    <t xml:space="preserve">Better docs.</t>
  </si>
  <si>
    <t xml:space="preserve">Onboarding docs; still informal.</t>
  </si>
  <si>
    <t xml:space="preserve">SLA-backed tiers + ticketing + training/cert + community (scales with headcount).</t>
  </si>
  <si>
    <t xml:space="preserve">Global support organisation.</t>
  </si>
  <si>
    <t xml:space="preserve">Global support + services.</t>
  </si>
  <si>
    <t xml:space="preserve">Dedicated support.</t>
  </si>
  <si>
    <t xml:space="preserve">SaaS support + customer success.</t>
  </si>
  <si>
    <t xml:space="preserve">Vendor Viability &amp; Lock-in Risk</t>
  </si>
  <si>
    <t xml:space="preserve">Solo founder, no references, bus-factor risk, unproven continuity.</t>
  </si>
  <si>
    <t xml:space="preserve">Maturing product reduces, not removes, the risk.</t>
  </si>
  <si>
    <t xml:space="preserve">More credible.</t>
  </si>
  <si>
    <t xml:space="preserve">Certified product; still a one-person vendor.</t>
  </si>
  <si>
    <t xml:space="preserve">Escrow + BCP + roadmap + partner program + open standards reduce lock-in — but it stays a small, young vendor; the one dimension engineering alone cannot fully close.</t>
  </si>
  <si>
    <t xml:space="preserve">Mitsubishi-Heavy-Industries-backed JV; very low risk.</t>
  </si>
  <si>
    <t xml:space="preserve">Public company, decades of continuity.</t>
  </si>
  <si>
    <t xml:space="preserve">Heraeus-backed, growing.</t>
  </si>
  <si>
    <t xml:space="preserve">VC-backed Series-A startup; moderate viability.</t>
  </si>
  <si>
    <t xml:space="preserve">Extensibility &amp; Ecosystem</t>
  </si>
  <si>
    <t xml:space="preserve">Config-driven page/widget builder; no public API/marketplace.</t>
  </si>
  <si>
    <t xml:space="preserve">Internal extensibility.</t>
  </si>
  <si>
    <t xml:space="preserve">Config-driven only.</t>
  </si>
  <si>
    <t xml:space="preserve">Public API + webhooks + plugin SDK + marketplace + templates + white-label.</t>
  </si>
  <si>
    <t xml:space="preserve">Configurable + partner ecosystem.</t>
  </si>
  <si>
    <t xml:space="preserve">Highly configurable platform.</t>
  </si>
  <si>
    <t xml:space="preserve">Configurable AI products.</t>
  </si>
  <si>
    <t xml:space="preserve">Configurable ML platform.</t>
  </si>
  <si>
    <t xml:space="preserve">Sustainability / ESG (PCF/CO2)</t>
  </si>
  <si>
    <t xml:space="preserve">Not built.</t>
  </si>
  <si>
    <t xml:space="preserve">Not addressed.</t>
  </si>
  <si>
    <t xml:space="preserve">PCF / CO2 tracking along genealogy + green-steel reporting.</t>
  </si>
  <si>
    <t xml:space="preserve">Decarbonisation portfolio.</t>
  </si>
  <si>
    <t xml:space="preserve">Strong PCF / green-steel emphasis.</t>
  </si>
  <si>
    <t xml:space="preserve">CO2 / energy optimisation focus.</t>
  </si>
  <si>
    <t xml:space="preserve">Emissions-reduction outcomes.</t>
  </si>
  <si>
    <t xml:space="preserve">Total Cost of Ownership / value-for-money</t>
  </si>
  <si>
    <t xml:space="preserve">Cheap and light, but unproven.</t>
  </si>
  <si>
    <t xml:space="preserve">Certified value at low cost.</t>
  </si>
  <si>
    <t xml:space="preserve">Localized, broad, still light.</t>
  </si>
  <si>
    <t xml:space="preserve">Enterprise-grade yet lightweight; transparent pricing.</t>
  </si>
  <si>
    <t xml:space="preserve">No rip-replace, fast TTV, read-only ops = excellent TCO even as features grow.</t>
  </si>
  <si>
    <t xml:space="preserve">Very high cost, heavy programmes.</t>
  </si>
  <si>
    <t xml:space="preserve">Expensive MES.</t>
  </si>
  <si>
    <t xml:space="preserve">ROI-positive but integration cost.</t>
  </si>
  <si>
    <t xml:space="preserve">SaaS, ROI-positive.</t>
  </si>
  <si>
    <t xml:space="preserve">COMPOSITE (all dims, avg)</t>
  </si>
  <si>
    <t xml:space="preserve">Per-customer value</t>
  </si>
  <si>
    <t xml:space="preserve">PPIQ market value (EUR)
per-plant deal / ACV</t>
  </si>
  <si>
    <t xml:space="preserve">€5k–€40k</t>
  </si>
  <si>
    <t xml:space="preserve">One-off Data Diagnostic / short pilot. Uncertified, no references — paid only to evaluate.</t>
  </si>
  <si>
    <t xml:space="preserve">€40k–€120k / yr</t>
  </si>
  <si>
    <t xml:space="preserve">Certification + live realism demo → credible paid pilot / early production.</t>
  </si>
  <si>
    <t xml:space="preserve">€120k–€300k / yr</t>
  </si>
  <si>
    <t xml:space="preserve">Full-featured, MENA-localised intelligence SaaS — mid-market per-plant subscription.</t>
  </si>
  <si>
    <t xml:space="preserve">€200k–€500k / yr</t>
  </si>
  <si>
    <t xml:space="preserve">Enterprise-grade, certified, compliant + diagnostic/consulting upsell.</t>
  </si>
  <si>
    <t xml:space="preserve">€300k–€700k / yr  +  fleet €500k–€1.5M+</t>
  </si>
  <si>
    <t xml:space="preserve">ROI/outcome-priced, mission-critical, multi-plant. Overlaps the incumbents' entry band; still below €3M mega-programmes and gated at the very top by references &amp; vendor scale.</t>
  </si>
  <si>
    <t xml:space="preserve">€500k–€3M+ / site</t>
  </si>
  <si>
    <t xml:space="preserve">Multi-year Through-Process programme (often several lines) + annual maintenance.</t>
  </si>
  <si>
    <t xml:space="preserve">€500k–€2M+ programme</t>
  </si>
  <si>
    <t xml:space="preserve">Full MES rollout; Quality module a major six-/seven-figure piece + maintenance.</t>
  </si>
  <si>
    <t xml:space="preserve">€150k–€600k / yr</t>
  </si>
  <si>
    <t xml:space="preserve">AI use-case packages priced on ROI, scaling with lines/plants.</t>
  </si>
  <si>
    <t xml:space="preserve">€100k–€400k / yr</t>
  </si>
  <si>
    <t xml:space="preserve">Explainable-ML SaaS per plant/use-case; six-figure ACV from $/ton savings.</t>
  </si>
  <si>
    <t xml:space="preserve">Value levers (P15–P21)</t>
  </si>
  <si>
    <t xml:space="preserve">Prescriptive-advisory + tracked ROI (P15)</t>
  </si>
  <si>
    <t xml:space="preserve">Moves from 'here is a correlation' to 'here is the recommended action and its expected &amp; measured €' — the lever SST/Fero monetise, kept human-approved &amp; read-only. Raises Add value, Analysis, and price (ROI/outcome-based).</t>
  </si>
  <si>
    <t xml:space="preserve">Certification / SPC / PCF / reporting (P16)</t>
  </si>
  <si>
    <t xml:space="preserve">Quality certificates, Cpk/Ppk and carbon-footprint make it mission-critical and green-steel-relevant — raises Features, Sustainability, willingness-to-pay &amp; stickiness.</t>
  </si>
  <si>
    <t xml:space="preserve">Enterprise integration + advisory write-back (P17)</t>
  </si>
  <si>
    <t xml:space="preserve">OPC-UA GA, more historians, ERP/LIMS/MES read and human-approved write-back to QA/MES — raises Features, Integration; embeds value in the customer's workflow.</t>
  </si>
  <si>
    <t xml:space="preserve">HA / scale / resilience (P18–P19)</t>
  </si>
  <si>
    <t xml:space="preserve">Multi-node HA, DR, chaos+soak, 99.95% SLO — unlocks enterprise procurement budgets; raises Stability, Reliability, Scalability, Deployment.</t>
  </si>
  <si>
    <t xml:space="preserve">Fleet + marketplace + templates (P20)</t>
  </si>
  <si>
    <t xml:space="preserve">Multi-plant rollout, plugin SDK/marketplace and rapid-onboarding templates — raises Features, Extensibility, Time-to-Value and enables fleet/enterprise deal sizes.</t>
  </si>
  <si>
    <t xml:space="preserve">External certs + support + viability (P21)</t>
  </si>
  <si>
    <t xml:space="preserve">SOC 2 Type II / ISO 27001 / IEC 62443, SLA support, escrow/BCP/partners — raises Compliance, Support, lowers vendor risk; required to charge enterprise prices.</t>
  </si>
  <si>
    <t xml:space="preserve">Basis &amp; caveat</t>
  </si>
  <si>
    <t xml:space="preserve">Estimated per-customer willingness-to-pay / typical deal size from a CUSTOMER point of view — NOT vendor price quotes (none published) and NOT enterprise valuations. PPIQ figures derive from the code audit + staged GTM + the P15–P21 levers; competitor figures from public positioning, deployment scale and ROI claims. Directional, for relative positioning. The very top of PPIQ's range stays gated by references and vendor scale until real customers accrue.</t>
  </si>
  <si>
    <t xml:space="preserve">What changed in this iteration (v2)</t>
  </si>
  <si>
    <t xml:space="preserve">New end-state column</t>
  </si>
  <si>
    <t xml:space="preserve">'After Full Program (P21)' was added — the 7 new roadmap phases (P15–P21) push Features, System Stable and Add value above 95 with real engineering, not relabelling.</t>
  </si>
  <si>
    <t xml:space="preserve">11 new dimensions added</t>
  </si>
  <si>
    <t xml:space="preserve">Scalability, Reliability/SLA, Integration &amp; Interoperability, Explainability &amp; Trust, Time-to-Value, Compliance &amp; Certifications, Support &amp; Customer Success, Vendor Viability &amp; Lock-in, Extensibility &amp; Ecosystem, Sustainability/ESG, and Total Cost of Ownership — the dimensions a customer/auditor actually scores.</t>
  </si>
  <si>
    <t xml:space="preserve">Market value raised</t>
  </si>
  <si>
    <t xml:space="preserve">Per-plant ACV rises to €300k–€700k/yr and fleet/enterprise deals to €500k–€1.5M+ (was ≤€500k), justified by the value levers — now overlapping the incumbents' entry band.</t>
  </si>
  <si>
    <t xml:space="preserve">Honest caps I did NOT lift</t>
  </si>
  <si>
    <t xml:space="preserve">Vendor Viability (≈78)</t>
  </si>
  <si>
    <t xml:space="preserve">A solo/young vendor's continuity and lock-in risk cannot be engineered away. Escrow, BCP, a roadmap and partners lower it; only revenue, team growth, references and time close it. Inflating this would be dishonest.</t>
  </si>
  <si>
    <t xml:space="preserve">Support &amp; Customer Success (≈90)</t>
  </si>
  <si>
    <t xml:space="preserve">P21 builds the support machinery (SLA tiers, ticketing, training), but real 24/7 global support scales with headcount — hence below the incumbents' global organisations.</t>
  </si>
  <si>
    <t xml:space="preserve">System Stable to 96, not 100</t>
  </si>
  <si>
    <t xml:space="preserve">HA + chaos + soak + DR earn 96; the last points are field-proven multi-year uptime at customer scale, which only accrues in production.</t>
  </si>
  <si>
    <t xml:space="preserve">Add value to 96, not 100</t>
  </si>
  <si>
    <t xml:space="preserve">Quantified/tracked ROI + advisory recommendations + fast TTV earn 96; the residual is install-base proof — a customer fully trusts realized value once peers have realized it.</t>
  </si>
  <si>
    <t xml:space="preserve">The strategic distinction (why it caps some scores up AND down)</t>
  </si>
  <si>
    <t xml:space="preserve">PPIQ = read-only, evidence-grade</t>
  </si>
  <si>
    <t xml:space="preserve">Correlation-not-causation, abstains, no OT control — even with P17 write-back, that write targets the BUSINESS quality workflow (human-approved), never process control. Lower risk/cost/faster, but advisory.</t>
  </si>
  <si>
    <t xml:space="preserve">SST &amp; Fero = predictive/prescriptive</t>
  </si>
  <si>
    <t xml:space="preserve">They change settings live (Fero ~10% profit, $1–6/ton; SST 5–10%/stage). Higher hard-ROI, heavier integration, more risk.</t>
  </si>
  <si>
    <t xml:space="preserve">Primetals &amp; PSI = heavy integrated suites</t>
  </si>
  <si>
    <t xml:space="preserve">Broadest, proven, equipment/MES-integrated — highest Features/Engine/Stability and proven value; large, slow, costly.</t>
  </si>
  <si>
    <t xml:space="preserve">Where PPIQ wins by P21</t>
  </si>
  <si>
    <t xml:space="preserve">Explainability/Trust, Time-to-Value, TCO, UI/UX, ease-of-use, deployment lightness and security posture — a modern intelligence layer ON TOP of existing systems.</t>
  </si>
  <si>
    <t xml:space="preserve">Competitor profiles (grounded)</t>
  </si>
  <si>
    <t xml:space="preserve">Primetals — TPQC/TPO</t>
  </si>
  <si>
    <t xml:space="preserve">Knowledge-based steel IT: rules, KPIs, SPC and analytics for through-process quality; deployed e.g. at voestalpine Donawitz; broad steelmaking automation portfolio; subscription emerging. Source: primetals.com.</t>
  </si>
  <si>
    <t xml:space="preserve">PSI Metals — PSImetals</t>
  </si>
  <si>
    <t xml:space="preserve">PSI Software SE (public, ~2,300 staff). MES+APS+SCM with Quality, Material Genealogy, Quality Indicators, Deep Qualicision ML, Factory-Model digital twin; decades of references; strong PCF/green-steel. Source: psi.de.</t>
  </si>
  <si>
    <t xml:space="preserve">Smart Steel Technologies</t>
  </si>
  <si>
    <t xml:space="preserve">Berlin; Heraeus largest shareholder. AI-based process control for steel (quality/yield/energy/temperature/surface/planning); customers incl. ArcelorMittal, Vallourec; prescriptive, 24/7. Source: smart-steel-technologies.com.</t>
  </si>
  <si>
    <t xml:space="preserve">New York, founded 2016, $9M Series A. Explainable/white-box ML for process optimisation + diagnostics; customers Henkel, Volvo Trucks, Gerdau, Covestro; ~10% profit uplift, $/ton savings; pilot-to-scale. Source: ferolabs.com.</t>
  </si>
  <si>
    <t xml:space="preserve">Method &amp; limit</t>
  </si>
  <si>
    <t xml:space="preserve">Scoring</t>
  </si>
  <si>
    <t xml:space="preserve">/100 evidence-based maturity from an expert-customer POV. PPIQ from the deep code audit (not test-executed) + the roadmap; competitors from public positioning + judgement. Not certified benchmarks.</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</si>
</sst>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0"/>
      <color rgb="FF00D4FF"/>
      <name val="Arial"/>
      <family val="0"/>
      <charset val="1"/>
    </font>
    <font>
      <b val="true"/>
      <sz val="10"/>
      <color rgb="FF0B3D66"/>
      <name val="Arial"/>
      <family val="0"/>
      <charset val="1"/>
    </font>
    <font>
      <b val="true"/>
      <sz val="11"/>
      <color rgb="FFFFFFFF"/>
      <name val="Arial"/>
      <family val="0"/>
      <charset val="1"/>
    </font>
    <font>
      <sz val="9"/>
      <name val="Arial"/>
      <family val="0"/>
      <charset val="1"/>
    </font>
    <font>
      <b val="true"/>
      <sz val="10"/>
      <name val="Arial"/>
      <family val="0"/>
      <charset val="1"/>
    </font>
    <font>
      <b val="true"/>
      <sz val="11"/>
      <name val="Arial"/>
      <family val="0"/>
      <charset val="1"/>
    </font>
    <font>
      <b val="true"/>
      <sz val="11"/>
      <color rgb="FF00D4FF"/>
      <name val="Arial"/>
      <family val="0"/>
      <charset val="1"/>
    </font>
    <font>
      <b val="true"/>
      <sz val="10"/>
      <color rgb="FF8A3324"/>
      <name val="Arial"/>
      <family val="0"/>
      <charset val="1"/>
    </font>
    <font>
      <i val="true"/>
      <sz val="9"/>
      <name val="Arial"/>
      <family val="0"/>
      <charset val="1"/>
    </font>
    <font>
      <sz val="10"/>
      <name val="Arial"/>
      <family val="0"/>
      <charset val="1"/>
    </font>
  </fonts>
  <fills count="9">
    <fill>
      <patternFill patternType="none"/>
    </fill>
    <fill>
      <patternFill patternType="gray125"/>
    </fill>
    <fill>
      <patternFill patternType="solid">
        <fgColor rgb="FF050B18"/>
        <bgColor rgb="FF000000"/>
      </patternFill>
    </fill>
    <fill>
      <patternFill patternType="solid">
        <fgColor rgb="FF7A5C00"/>
        <bgColor rgb="FF8A3324"/>
      </patternFill>
    </fill>
    <fill>
      <patternFill patternType="solid">
        <fgColor rgb="FF1E6B2F"/>
        <bgColor rgb="FF2F6B57"/>
      </patternFill>
    </fill>
    <fill>
      <patternFill patternType="solid">
        <fgColor rgb="FF2F6B57"/>
        <bgColor rgb="FF1E6B2F"/>
      </patternFill>
    </fill>
    <fill>
      <patternFill patternType="solid">
        <fgColor rgb="FF8A3324"/>
        <bgColor rgb="FF993366"/>
      </patternFill>
    </fill>
    <fill>
      <patternFill patternType="solid">
        <fgColor rgb="FFD6ECFB"/>
        <bgColor rgb="FFEAF6FF"/>
      </patternFill>
    </fill>
    <fill>
      <patternFill patternType="solid">
        <fgColor rgb="FFEAF6FF"/>
        <bgColor rgb="FFFFFFFF"/>
      </patternFill>
    </fill>
  </fills>
  <borders count="3">
    <border diagonalUp="false" diagonalDown="false">
      <left/>
      <right/>
      <top/>
      <bottom/>
      <diagonal/>
    </border>
    <border diagonalUp="false" diagonalDown="false">
      <left style="thin">
        <color rgb="FF22364A"/>
      </left>
      <right style="thin">
        <color rgb="FF22364A"/>
      </right>
      <top style="thin">
        <color rgb="FF22364A"/>
      </top>
      <bottom style="thin">
        <color rgb="FF22364A"/>
      </bottom>
      <diagonal/>
    </border>
    <border diagonalUp="false" diagonalDown="false">
      <left style="thin">
        <color rgb="FF22364A"/>
      </left>
      <right/>
      <top style="thin">
        <color rgb="FF22364A"/>
      </top>
      <bottom style="thin">
        <color rgb="FF2236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5" fontId="9" fillId="7" borderId="1" xfId="0" applyFont="true" applyBorder="true" applyAlignment="true" applyProtection="false">
      <alignment horizontal="center"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6B2F"/>
      <rgbColor rgb="FF000080"/>
      <rgbColor rgb="FF7A5C00"/>
      <rgbColor rgb="FF800080"/>
      <rgbColor rgb="FF2F6B57"/>
      <rgbColor rgb="FFC0C0C0"/>
      <rgbColor rgb="FF808080"/>
      <rgbColor rgb="FF9999FF"/>
      <rgbColor rgb="FF993366"/>
      <rgbColor rgb="FFFFFFCC"/>
      <rgbColor rgb="FFD6ECFB"/>
      <rgbColor rgb="FF660066"/>
      <rgbColor rgb="FFFF8080"/>
      <rgbColor rgb="FF0066CC"/>
      <rgbColor rgb="FFCCCCFF"/>
      <rgbColor rgb="FF000080"/>
      <rgbColor rgb="FFFF00FF"/>
      <rgbColor rgb="FFFFFF00"/>
      <rgbColor rgb="FF00FFFF"/>
      <rgbColor rgb="FF800080"/>
      <rgbColor rgb="FF800000"/>
      <rgbColor rgb="FF008080"/>
      <rgbColor rgb="FF0000FF"/>
      <rgbColor rgb="FF00D4FF"/>
      <rgbColor rgb="FFEAF6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3D66"/>
      <rgbColor rgb="FF339966"/>
      <rgbColor rgb="FF050B18"/>
      <rgbColor rgb="FF333300"/>
      <rgbColor rgb="FF8A3324"/>
      <rgbColor rgb="FF993366"/>
      <rgbColor rgb="FF333399"/>
      <rgbColor rgb="FF2236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5"/>
    <col collapsed="false" customWidth="true" hidden="false" outlineLevel="0" max="3" min="3" style="0" width="40"/>
    <col collapsed="false" customWidth="true" hidden="false" outlineLevel="0" max="4" min="4" style="0" width="8.5"/>
    <col collapsed="false" customWidth="true" hidden="false" outlineLevel="0" max="5" min="5" style="0" width="40"/>
    <col collapsed="false" customWidth="true" hidden="false" outlineLevel="0" max="6" min="6" style="0" width="8.5"/>
    <col collapsed="false" customWidth="true" hidden="false" outlineLevel="0" max="7" min="7" style="0" width="40"/>
    <col collapsed="false" customWidth="true" hidden="false" outlineLevel="0" max="8" min="8" style="0" width="8.5"/>
    <col collapsed="false" customWidth="true" hidden="false" outlineLevel="0" max="9" min="9" style="0" width="40"/>
    <col collapsed="false" customWidth="true" hidden="false" outlineLevel="0" max="10" min="10" style="0" width="8.5"/>
    <col collapsed="false" customWidth="true" hidden="false" outlineLevel="0" max="11" min="11" style="0" width="40"/>
    <col collapsed="false" customWidth="true" hidden="false" outlineLevel="0" max="12" min="12" style="0" width="8.5"/>
    <col collapsed="false" customWidth="true" hidden="false" outlineLevel="0" max="13" min="13" style="0" width="40"/>
    <col collapsed="false" customWidth="true" hidden="false" outlineLevel="0" max="14" min="14" style="0" width="8.5"/>
    <col collapsed="false" customWidth="true" hidden="false" outlineLevel="0" max="15" min="15" style="0" width="40"/>
    <col collapsed="false" customWidth="true" hidden="false" outlineLevel="0" max="16" min="16" style="0" width="8.5"/>
    <col collapsed="false" customWidth="true" hidden="false" outlineLevel="0" max="17" min="17" style="0" width="40"/>
    <col collapsed="false" customWidth="true" hidden="false" outlineLevel="0" max="18" min="18" style="0" width="8.5"/>
    <col collapsed="false" customWidth="true" hidden="false" outlineLevel="0" max="19" min="19" style="0" width="40"/>
  </cols>
  <sheetData>
    <row r="1" customFormat="false" ht="45.75" hidden="false" customHeight="true" outlineLevel="0" collapsed="false">
      <c r="A1" s="1" t="s">
        <v>0</v>
      </c>
      <c r="B1" s="1" t="s">
        <v>1</v>
      </c>
      <c r="C1" s="1"/>
      <c r="D1" s="1" t="s">
        <v>2</v>
      </c>
      <c r="E1" s="1"/>
      <c r="F1" s="1" t="s">
        <v>3</v>
      </c>
      <c r="G1" s="1"/>
      <c r="H1" s="1" t="s">
        <v>4</v>
      </c>
      <c r="I1" s="1"/>
      <c r="J1" s="1" t="s">
        <v>5</v>
      </c>
      <c r="K1" s="1"/>
      <c r="L1" s="1" t="s">
        <v>6</v>
      </c>
      <c r="M1" s="1"/>
      <c r="N1" s="1" t="s">
        <v>7</v>
      </c>
      <c r="O1" s="1"/>
      <c r="P1" s="1" t="s">
        <v>8</v>
      </c>
      <c r="Q1" s="1"/>
      <c r="R1" s="1" t="s">
        <v>9</v>
      </c>
      <c r="S1" s="1"/>
    </row>
    <row r="2" customFormat="false" ht="18" hidden="false" customHeight="true" outlineLevel="0" collapsed="false">
      <c r="A2" s="1"/>
      <c r="B2" s="1" t="s">
        <v>10</v>
      </c>
      <c r="C2" s="1" t="s">
        <v>11</v>
      </c>
      <c r="D2" s="1" t="s">
        <v>10</v>
      </c>
      <c r="E2" s="1" t="s">
        <v>11</v>
      </c>
      <c r="F2" s="1" t="s">
        <v>10</v>
      </c>
      <c r="G2" s="1" t="s">
        <v>11</v>
      </c>
      <c r="H2" s="1" t="s">
        <v>10</v>
      </c>
      <c r="I2" s="1" t="s">
        <v>11</v>
      </c>
      <c r="J2" s="1" t="s">
        <v>10</v>
      </c>
      <c r="K2" s="1" t="s">
        <v>11</v>
      </c>
      <c r="L2" s="1" t="s">
        <v>10</v>
      </c>
      <c r="M2" s="1" t="s">
        <v>11</v>
      </c>
      <c r="N2" s="1" t="s">
        <v>10</v>
      </c>
      <c r="O2" s="1" t="s">
        <v>11</v>
      </c>
      <c r="P2" s="1" t="s">
        <v>10</v>
      </c>
      <c r="Q2" s="1" t="s">
        <v>11</v>
      </c>
      <c r="R2" s="1" t="s">
        <v>10</v>
      </c>
      <c r="S2" s="1" t="s">
        <v>11</v>
      </c>
    </row>
    <row r="3" customFormat="false" ht="56.25" hidden="false" customHeight="true" outlineLevel="0" collapsed="false">
      <c r="A3" s="2" t="s">
        <v>12</v>
      </c>
      <c r="B3" s="3" t="n">
        <v>78</v>
      </c>
      <c r="C3" s="4" t="s">
        <v>13</v>
      </c>
      <c r="D3" s="5" t="n">
        <v>90</v>
      </c>
      <c r="E3" s="4" t="s">
        <v>14</v>
      </c>
      <c r="F3" s="5" t="n">
        <v>93</v>
      </c>
      <c r="G3" s="4" t="s">
        <v>15</v>
      </c>
      <c r="H3" s="5" t="n">
        <v>94</v>
      </c>
      <c r="I3" s="4" t="s">
        <v>16</v>
      </c>
      <c r="J3" s="5" t="n">
        <v>96</v>
      </c>
      <c r="K3" s="4" t="s">
        <v>17</v>
      </c>
      <c r="L3" s="5" t="n">
        <v>92</v>
      </c>
      <c r="M3" s="4" t="s">
        <v>18</v>
      </c>
      <c r="N3" s="5" t="n">
        <v>90</v>
      </c>
      <c r="O3" s="4" t="s">
        <v>19</v>
      </c>
      <c r="P3" s="3" t="n">
        <v>80</v>
      </c>
      <c r="Q3" s="4" t="s">
        <v>20</v>
      </c>
      <c r="R3" s="3" t="n">
        <v>78</v>
      </c>
      <c r="S3" s="4" t="s">
        <v>21</v>
      </c>
    </row>
    <row r="4" customFormat="false" ht="90" hidden="false" customHeight="true" outlineLevel="0" collapsed="false">
      <c r="A4" s="2" t="s">
        <v>22</v>
      </c>
      <c r="B4" s="3" t="n">
        <v>80</v>
      </c>
      <c r="C4" s="4" t="s">
        <v>23</v>
      </c>
      <c r="D4" s="6" t="n">
        <v>84</v>
      </c>
      <c r="E4" s="4" t="s">
        <v>24</v>
      </c>
      <c r="F4" s="6" t="n">
        <v>88</v>
      </c>
      <c r="G4" s="4" t="s">
        <v>25</v>
      </c>
      <c r="H4" s="6" t="n">
        <v>88</v>
      </c>
      <c r="I4" s="4" t="s">
        <v>26</v>
      </c>
      <c r="J4" s="5" t="n">
        <v>96</v>
      </c>
      <c r="K4" s="4" t="s">
        <v>27</v>
      </c>
      <c r="L4" s="5" t="n">
        <v>96</v>
      </c>
      <c r="M4" s="4" t="s">
        <v>28</v>
      </c>
      <c r="N4" s="5" t="n">
        <v>95</v>
      </c>
      <c r="O4" s="4" t="s">
        <v>29</v>
      </c>
      <c r="P4" s="6" t="n">
        <v>82</v>
      </c>
      <c r="Q4" s="4" t="s">
        <v>30</v>
      </c>
      <c r="R4" s="3" t="n">
        <v>80</v>
      </c>
      <c r="S4" s="4" t="s">
        <v>31</v>
      </c>
    </row>
    <row r="5" customFormat="false" ht="51" hidden="false" customHeight="true" outlineLevel="0" collapsed="false">
      <c r="A5" s="2" t="s">
        <v>32</v>
      </c>
      <c r="B5" s="3" t="n">
        <v>80</v>
      </c>
      <c r="C5" s="4" t="s">
        <v>33</v>
      </c>
      <c r="D5" s="5" t="n">
        <v>90</v>
      </c>
      <c r="E5" s="4" t="s">
        <v>34</v>
      </c>
      <c r="F5" s="5" t="n">
        <v>93</v>
      </c>
      <c r="G5" s="4" t="s">
        <v>35</v>
      </c>
      <c r="H5" s="5" t="n">
        <v>95</v>
      </c>
      <c r="I5" s="4" t="s">
        <v>36</v>
      </c>
      <c r="J5" s="5" t="n">
        <v>97</v>
      </c>
      <c r="K5" s="4" t="s">
        <v>37</v>
      </c>
      <c r="L5" s="5" t="n">
        <v>94</v>
      </c>
      <c r="M5" s="4" t="s">
        <v>38</v>
      </c>
      <c r="N5" s="5" t="n">
        <v>92</v>
      </c>
      <c r="O5" s="4" t="s">
        <v>39</v>
      </c>
      <c r="P5" s="6" t="n">
        <v>84</v>
      </c>
      <c r="Q5" s="4" t="s">
        <v>40</v>
      </c>
      <c r="R5" s="6" t="n">
        <v>84</v>
      </c>
      <c r="S5" s="4" t="s">
        <v>41</v>
      </c>
    </row>
    <row r="6" customFormat="false" ht="50.25" hidden="false" customHeight="true" outlineLevel="0" collapsed="false">
      <c r="A6" s="2" t="s">
        <v>42</v>
      </c>
      <c r="B6" s="6" t="n">
        <v>82</v>
      </c>
      <c r="C6" s="4" t="s">
        <v>43</v>
      </c>
      <c r="D6" s="6" t="n">
        <v>86</v>
      </c>
      <c r="E6" s="4" t="s">
        <v>44</v>
      </c>
      <c r="F6" s="6" t="n">
        <v>88</v>
      </c>
      <c r="G6" s="4" t="s">
        <v>45</v>
      </c>
      <c r="H6" s="5" t="n">
        <v>95</v>
      </c>
      <c r="I6" s="4" t="s">
        <v>46</v>
      </c>
      <c r="J6" s="5" t="n">
        <v>97</v>
      </c>
      <c r="K6" s="4" t="s">
        <v>47</v>
      </c>
      <c r="L6" s="6" t="n">
        <v>88</v>
      </c>
      <c r="M6" s="4" t="s">
        <v>48</v>
      </c>
      <c r="N6" s="6" t="n">
        <v>86</v>
      </c>
      <c r="O6" s="4" t="s">
        <v>49</v>
      </c>
      <c r="P6" s="6" t="n">
        <v>84</v>
      </c>
      <c r="Q6" s="4" t="s">
        <v>50</v>
      </c>
      <c r="R6" s="6" t="n">
        <v>86</v>
      </c>
      <c r="S6" s="4" t="s">
        <v>51</v>
      </c>
    </row>
    <row r="7" customFormat="false" ht="45" hidden="false" customHeight="true" outlineLevel="0" collapsed="false">
      <c r="A7" s="2" t="s">
        <v>52</v>
      </c>
      <c r="B7" s="6" t="n">
        <v>85</v>
      </c>
      <c r="C7" s="4" t="s">
        <v>53</v>
      </c>
      <c r="D7" s="6" t="n">
        <v>86</v>
      </c>
      <c r="E7" s="4" t="s">
        <v>54</v>
      </c>
      <c r="F7" s="6" t="n">
        <v>87</v>
      </c>
      <c r="G7" s="4" t="s">
        <v>55</v>
      </c>
      <c r="H7" s="5" t="n">
        <v>95</v>
      </c>
      <c r="I7" s="4" t="s">
        <v>56</v>
      </c>
      <c r="J7" s="5" t="n">
        <v>96</v>
      </c>
      <c r="K7" s="4" t="s">
        <v>57</v>
      </c>
      <c r="L7" s="6" t="n">
        <v>88</v>
      </c>
      <c r="M7" s="4" t="s">
        <v>58</v>
      </c>
      <c r="N7" s="6" t="n">
        <v>86</v>
      </c>
      <c r="O7" s="4" t="s">
        <v>59</v>
      </c>
      <c r="P7" s="6" t="n">
        <v>82</v>
      </c>
      <c r="Q7" s="4" t="s">
        <v>60</v>
      </c>
      <c r="R7" s="6" t="n">
        <v>86</v>
      </c>
      <c r="S7" s="4" t="s">
        <v>61</v>
      </c>
    </row>
    <row r="8" customFormat="false" ht="51.75" hidden="false" customHeight="true" outlineLevel="0" collapsed="false">
      <c r="A8" s="2" t="s">
        <v>62</v>
      </c>
      <c r="B8" s="3" t="n">
        <v>72</v>
      </c>
      <c r="C8" s="4" t="s">
        <v>63</v>
      </c>
      <c r="D8" s="3" t="n">
        <v>76</v>
      </c>
      <c r="E8" s="4" t="s">
        <v>64</v>
      </c>
      <c r="F8" s="3" t="n">
        <v>80</v>
      </c>
      <c r="G8" s="4" t="s">
        <v>65</v>
      </c>
      <c r="H8" s="5" t="n">
        <v>92</v>
      </c>
      <c r="I8" s="4" t="s">
        <v>66</v>
      </c>
      <c r="J8" s="5" t="n">
        <v>96</v>
      </c>
      <c r="K8" s="4" t="s">
        <v>67</v>
      </c>
      <c r="L8" s="6" t="n">
        <v>88</v>
      </c>
      <c r="M8" s="4" t="s">
        <v>68</v>
      </c>
      <c r="N8" s="6" t="n">
        <v>84</v>
      </c>
      <c r="O8" s="4" t="s">
        <v>69</v>
      </c>
      <c r="P8" s="3" t="n">
        <v>80</v>
      </c>
      <c r="Q8" s="4" t="s">
        <v>70</v>
      </c>
      <c r="R8" s="6" t="n">
        <v>82</v>
      </c>
      <c r="S8" s="4" t="s">
        <v>71</v>
      </c>
    </row>
    <row r="9" customFormat="false" ht="64.5" hidden="false" customHeight="true" outlineLevel="0" collapsed="false">
      <c r="A9" s="2" t="s">
        <v>72</v>
      </c>
      <c r="B9" s="6" t="n">
        <v>86</v>
      </c>
      <c r="C9" s="4" t="s">
        <v>73</v>
      </c>
      <c r="D9" s="5" t="n">
        <v>91</v>
      </c>
      <c r="E9" s="4" t="s">
        <v>74</v>
      </c>
      <c r="F9" s="5" t="n">
        <v>92</v>
      </c>
      <c r="G9" s="4" t="s">
        <v>75</v>
      </c>
      <c r="H9" s="5" t="n">
        <v>93</v>
      </c>
      <c r="I9" s="4" t="s">
        <v>76</v>
      </c>
      <c r="J9" s="5" t="n">
        <v>95</v>
      </c>
      <c r="K9" s="4" t="s">
        <v>77</v>
      </c>
      <c r="L9" s="6" t="n">
        <v>84</v>
      </c>
      <c r="M9" s="4" t="s">
        <v>78</v>
      </c>
      <c r="N9" s="3" t="n">
        <v>78</v>
      </c>
      <c r="O9" s="4" t="s">
        <v>79</v>
      </c>
      <c r="P9" s="5" t="n">
        <v>92</v>
      </c>
      <c r="Q9" s="4" t="s">
        <v>80</v>
      </c>
      <c r="R9" s="5" t="n">
        <v>92</v>
      </c>
      <c r="S9" s="4" t="s">
        <v>81</v>
      </c>
    </row>
    <row r="10" customFormat="false" ht="57.75" hidden="false" customHeight="true" outlineLevel="0" collapsed="false">
      <c r="A10" s="2" t="s">
        <v>82</v>
      </c>
      <c r="B10" s="6" t="n">
        <v>85</v>
      </c>
      <c r="C10" s="4" t="s">
        <v>83</v>
      </c>
      <c r="D10" s="6" t="n">
        <v>88</v>
      </c>
      <c r="E10" s="4" t="s">
        <v>84</v>
      </c>
      <c r="F10" s="5" t="n">
        <v>91</v>
      </c>
      <c r="G10" s="4" t="s">
        <v>85</v>
      </c>
      <c r="H10" s="5" t="n">
        <v>92</v>
      </c>
      <c r="I10" s="4" t="s">
        <v>86</v>
      </c>
      <c r="J10" s="5" t="n">
        <v>96</v>
      </c>
      <c r="K10" s="4" t="s">
        <v>87</v>
      </c>
      <c r="L10" s="5" t="n">
        <v>95</v>
      </c>
      <c r="M10" s="4" t="s">
        <v>88</v>
      </c>
      <c r="N10" s="5" t="n">
        <v>92</v>
      </c>
      <c r="O10" s="4" t="s">
        <v>89</v>
      </c>
      <c r="P10" s="6" t="n">
        <v>84</v>
      </c>
      <c r="Q10" s="4" t="s">
        <v>90</v>
      </c>
      <c r="R10" s="6" t="n">
        <v>84</v>
      </c>
      <c r="S10" s="4" t="s">
        <v>91</v>
      </c>
    </row>
    <row r="11" customFormat="false" ht="46.5" hidden="false" customHeight="true" outlineLevel="0" collapsed="false">
      <c r="A11" s="2" t="s">
        <v>92</v>
      </c>
      <c r="B11" s="6" t="n">
        <v>84</v>
      </c>
      <c r="C11" s="4" t="s">
        <v>93</v>
      </c>
      <c r="D11" s="5" t="n">
        <v>90</v>
      </c>
      <c r="E11" s="4" t="s">
        <v>94</v>
      </c>
      <c r="F11" s="5" t="n">
        <v>92</v>
      </c>
      <c r="G11" s="4" t="s">
        <v>95</v>
      </c>
      <c r="H11" s="5" t="n">
        <v>94</v>
      </c>
      <c r="I11" s="4" t="s">
        <v>96</v>
      </c>
      <c r="J11" s="5" t="n">
        <v>96</v>
      </c>
      <c r="K11" s="4" t="s">
        <v>97</v>
      </c>
      <c r="L11" s="5" t="n">
        <v>92</v>
      </c>
      <c r="M11" s="4" t="s">
        <v>98</v>
      </c>
      <c r="N11" s="6" t="n">
        <v>86</v>
      </c>
      <c r="O11" s="4" t="s">
        <v>99</v>
      </c>
      <c r="P11" s="5" t="n">
        <v>90</v>
      </c>
      <c r="Q11" s="4" t="s">
        <v>100</v>
      </c>
      <c r="R11" s="5" t="n">
        <v>92</v>
      </c>
      <c r="S11" s="4" t="s">
        <v>101</v>
      </c>
    </row>
    <row r="12" customFormat="false" ht="47.25" hidden="false" customHeight="true" outlineLevel="0" collapsed="false">
      <c r="A12" s="2" t="s">
        <v>102</v>
      </c>
      <c r="B12" s="7" t="n">
        <v>70</v>
      </c>
      <c r="C12" s="4" t="s">
        <v>103</v>
      </c>
      <c r="D12" s="3" t="n">
        <v>76</v>
      </c>
      <c r="E12" s="4" t="s">
        <v>104</v>
      </c>
      <c r="F12" s="5" t="n">
        <v>90</v>
      </c>
      <c r="G12" s="4" t="s">
        <v>105</v>
      </c>
      <c r="H12" s="5" t="n">
        <v>94</v>
      </c>
      <c r="I12" s="4" t="s">
        <v>106</v>
      </c>
      <c r="J12" s="5" t="n">
        <v>96</v>
      </c>
      <c r="K12" s="4" t="s">
        <v>107</v>
      </c>
      <c r="L12" s="3" t="n">
        <v>74</v>
      </c>
      <c r="M12" s="4" t="s">
        <v>108</v>
      </c>
      <c r="N12" s="3" t="n">
        <v>74</v>
      </c>
      <c r="O12" s="4" t="s">
        <v>109</v>
      </c>
      <c r="P12" s="6" t="n">
        <v>82</v>
      </c>
      <c r="Q12" s="4" t="s">
        <v>110</v>
      </c>
      <c r="R12" s="6" t="n">
        <v>86</v>
      </c>
      <c r="S12" s="4" t="s">
        <v>111</v>
      </c>
    </row>
    <row r="13" customFormat="false" ht="64.5" hidden="false" customHeight="true" outlineLevel="0" collapsed="false">
      <c r="A13" s="2" t="s">
        <v>112</v>
      </c>
      <c r="B13" s="7" t="n">
        <v>68</v>
      </c>
      <c r="C13" s="4" t="s">
        <v>113</v>
      </c>
      <c r="D13" s="6" t="n">
        <v>82</v>
      </c>
      <c r="E13" s="4" t="s">
        <v>114</v>
      </c>
      <c r="F13" s="6" t="n">
        <v>86</v>
      </c>
      <c r="G13" s="4" t="s">
        <v>115</v>
      </c>
      <c r="H13" s="5" t="n">
        <v>90</v>
      </c>
      <c r="I13" s="4" t="s">
        <v>116</v>
      </c>
      <c r="J13" s="5" t="n">
        <v>96</v>
      </c>
      <c r="K13" s="4" t="s">
        <v>117</v>
      </c>
      <c r="L13" s="5" t="n">
        <v>94</v>
      </c>
      <c r="M13" s="4" t="s">
        <v>118</v>
      </c>
      <c r="N13" s="5" t="n">
        <v>92</v>
      </c>
      <c r="O13" s="4" t="s">
        <v>119</v>
      </c>
      <c r="P13" s="6" t="n">
        <v>84</v>
      </c>
      <c r="Q13" s="4" t="s">
        <v>120</v>
      </c>
      <c r="R13" s="6" t="n">
        <v>86</v>
      </c>
      <c r="S13" s="4" t="s">
        <v>121</v>
      </c>
    </row>
    <row r="14" customFormat="false" ht="47.25" hidden="false" customHeight="true" outlineLevel="0" collapsed="false">
      <c r="A14" s="2" t="s">
        <v>122</v>
      </c>
      <c r="B14" s="3" t="n">
        <v>72</v>
      </c>
      <c r="C14" s="4" t="s">
        <v>123</v>
      </c>
      <c r="D14" s="3" t="n">
        <v>78</v>
      </c>
      <c r="E14" s="4" t="s">
        <v>124</v>
      </c>
      <c r="F14" s="5" t="n">
        <v>90</v>
      </c>
      <c r="G14" s="4" t="s">
        <v>125</v>
      </c>
      <c r="H14" s="5" t="n">
        <v>93</v>
      </c>
      <c r="I14" s="4" t="s">
        <v>126</v>
      </c>
      <c r="J14" s="5" t="n">
        <v>95</v>
      </c>
      <c r="K14" s="4" t="s">
        <v>127</v>
      </c>
      <c r="L14" s="7" t="n">
        <v>70</v>
      </c>
      <c r="M14" s="4" t="s">
        <v>128</v>
      </c>
      <c r="N14" s="7" t="n">
        <v>68</v>
      </c>
      <c r="O14" s="4" t="s">
        <v>129</v>
      </c>
      <c r="P14" s="3" t="n">
        <v>80</v>
      </c>
      <c r="Q14" s="4" t="s">
        <v>130</v>
      </c>
      <c r="R14" s="6" t="n">
        <v>86</v>
      </c>
      <c r="S14" s="4" t="s">
        <v>131</v>
      </c>
    </row>
    <row r="15" customFormat="false" ht="87" hidden="false" customHeight="true" outlineLevel="0" collapsed="false">
      <c r="A15" s="2" t="s">
        <v>132</v>
      </c>
      <c r="B15" s="7" t="n">
        <v>70</v>
      </c>
      <c r="C15" s="4" t="s">
        <v>133</v>
      </c>
      <c r="D15" s="3" t="n">
        <v>80</v>
      </c>
      <c r="E15" s="4" t="s">
        <v>134</v>
      </c>
      <c r="F15" s="6" t="n">
        <v>86</v>
      </c>
      <c r="G15" s="4" t="s">
        <v>135</v>
      </c>
      <c r="H15" s="5" t="n">
        <v>90</v>
      </c>
      <c r="I15" s="4" t="s">
        <v>136</v>
      </c>
      <c r="J15" s="5" t="n">
        <v>96</v>
      </c>
      <c r="K15" s="4" t="s">
        <v>137</v>
      </c>
      <c r="L15" s="5" t="n">
        <v>92</v>
      </c>
      <c r="M15" s="4" t="s">
        <v>138</v>
      </c>
      <c r="N15" s="5" t="n">
        <v>90</v>
      </c>
      <c r="O15" s="4" t="s">
        <v>139</v>
      </c>
      <c r="P15" s="6" t="n">
        <v>88</v>
      </c>
      <c r="Q15" s="4" t="s">
        <v>140</v>
      </c>
      <c r="R15" s="6" t="n">
        <v>88</v>
      </c>
      <c r="S15" s="4" t="s">
        <v>141</v>
      </c>
    </row>
    <row r="16" customFormat="false" ht="53.25" hidden="false" customHeight="true" outlineLevel="0" collapsed="false">
      <c r="A16" s="2" t="s">
        <v>142</v>
      </c>
      <c r="B16" s="7" t="n">
        <v>65</v>
      </c>
      <c r="C16" s="4" t="s">
        <v>143</v>
      </c>
      <c r="D16" s="3" t="n">
        <v>76</v>
      </c>
      <c r="E16" s="4" t="s">
        <v>144</v>
      </c>
      <c r="F16" s="3" t="n">
        <v>80</v>
      </c>
      <c r="G16" s="4" t="s">
        <v>145</v>
      </c>
      <c r="H16" s="6" t="n">
        <v>85</v>
      </c>
      <c r="I16" s="4" t="s">
        <v>146</v>
      </c>
      <c r="J16" s="5" t="n">
        <v>96</v>
      </c>
      <c r="K16" s="4" t="s">
        <v>147</v>
      </c>
      <c r="L16" s="5" t="n">
        <v>92</v>
      </c>
      <c r="M16" s="4" t="s">
        <v>148</v>
      </c>
      <c r="N16" s="5" t="n">
        <v>90</v>
      </c>
      <c r="O16" s="4" t="s">
        <v>149</v>
      </c>
      <c r="P16" s="6" t="n">
        <v>86</v>
      </c>
      <c r="Q16" s="4" t="s">
        <v>150</v>
      </c>
      <c r="R16" s="6" t="n">
        <v>86</v>
      </c>
      <c r="S16" s="4" t="s">
        <v>151</v>
      </c>
    </row>
    <row r="17" customFormat="false" ht="45" hidden="false" customHeight="true" outlineLevel="0" collapsed="false">
      <c r="A17" s="2" t="s">
        <v>152</v>
      </c>
      <c r="B17" s="7" t="n">
        <v>60</v>
      </c>
      <c r="C17" s="4" t="s">
        <v>153</v>
      </c>
      <c r="D17" s="3" t="n">
        <v>72</v>
      </c>
      <c r="E17" s="4" t="s">
        <v>154</v>
      </c>
      <c r="F17" s="3" t="n">
        <v>76</v>
      </c>
      <c r="G17" s="4" t="s">
        <v>155</v>
      </c>
      <c r="H17" s="6" t="n">
        <v>86</v>
      </c>
      <c r="I17" s="4" t="s">
        <v>66</v>
      </c>
      <c r="J17" s="5" t="n">
        <v>96</v>
      </c>
      <c r="K17" s="4" t="s">
        <v>156</v>
      </c>
      <c r="L17" s="5" t="n">
        <v>93</v>
      </c>
      <c r="M17" s="4" t="s">
        <v>157</v>
      </c>
      <c r="N17" s="5" t="n">
        <v>92</v>
      </c>
      <c r="O17" s="4" t="s">
        <v>158</v>
      </c>
      <c r="P17" s="6" t="n">
        <v>85</v>
      </c>
      <c r="Q17" s="4" t="s">
        <v>159</v>
      </c>
      <c r="R17" s="6" t="n">
        <v>87</v>
      </c>
      <c r="S17" s="4" t="s">
        <v>160</v>
      </c>
    </row>
    <row r="18" customFormat="false" ht="55.5" hidden="false" customHeight="true" outlineLevel="0" collapsed="false">
      <c r="A18" s="2" t="s">
        <v>161</v>
      </c>
      <c r="B18" s="3" t="n">
        <v>72</v>
      </c>
      <c r="C18" s="4" t="s">
        <v>162</v>
      </c>
      <c r="D18" s="3" t="n">
        <v>74</v>
      </c>
      <c r="E18" s="4" t="s">
        <v>163</v>
      </c>
      <c r="F18" s="6" t="n">
        <v>84</v>
      </c>
      <c r="G18" s="4" t="s">
        <v>164</v>
      </c>
      <c r="H18" s="6" t="n">
        <v>86</v>
      </c>
      <c r="I18" s="4" t="s">
        <v>165</v>
      </c>
      <c r="J18" s="5" t="n">
        <v>96</v>
      </c>
      <c r="K18" s="4" t="s">
        <v>166</v>
      </c>
      <c r="L18" s="5" t="n">
        <v>92</v>
      </c>
      <c r="M18" s="4" t="s">
        <v>167</v>
      </c>
      <c r="N18" s="5" t="n">
        <v>92</v>
      </c>
      <c r="O18" s="4" t="s">
        <v>168</v>
      </c>
      <c r="P18" s="6" t="n">
        <v>86</v>
      </c>
      <c r="Q18" s="4" t="s">
        <v>169</v>
      </c>
      <c r="R18" s="6" t="n">
        <v>84</v>
      </c>
      <c r="S18" s="4" t="s">
        <v>170</v>
      </c>
    </row>
    <row r="19" customFormat="false" ht="52.5" hidden="false" customHeight="true" outlineLevel="0" collapsed="false">
      <c r="A19" s="2" t="s">
        <v>171</v>
      </c>
      <c r="B19" s="5" t="n">
        <v>90</v>
      </c>
      <c r="C19" s="4" t="s">
        <v>172</v>
      </c>
      <c r="D19" s="5" t="n">
        <v>93</v>
      </c>
      <c r="E19" s="4" t="s">
        <v>173</v>
      </c>
      <c r="F19" s="5" t="n">
        <v>93</v>
      </c>
      <c r="G19" s="4" t="s">
        <v>174</v>
      </c>
      <c r="H19" s="5" t="n">
        <v>94</v>
      </c>
      <c r="I19" s="4" t="s">
        <v>175</v>
      </c>
      <c r="J19" s="5" t="n">
        <v>96</v>
      </c>
      <c r="K19" s="4" t="s">
        <v>176</v>
      </c>
      <c r="L19" s="3" t="n">
        <v>80</v>
      </c>
      <c r="M19" s="4" t="s">
        <v>177</v>
      </c>
      <c r="N19" s="3" t="n">
        <v>78</v>
      </c>
      <c r="O19" s="4" t="s">
        <v>178</v>
      </c>
      <c r="P19" s="3" t="n">
        <v>80</v>
      </c>
      <c r="Q19" s="4" t="s">
        <v>179</v>
      </c>
      <c r="R19" s="5" t="n">
        <v>90</v>
      </c>
      <c r="S19" s="4" t="s">
        <v>180</v>
      </c>
    </row>
    <row r="20" customFormat="false" ht="45" hidden="false" customHeight="true" outlineLevel="0" collapsed="false">
      <c r="A20" s="2" t="s">
        <v>181</v>
      </c>
      <c r="B20" s="3" t="n">
        <v>75</v>
      </c>
      <c r="C20" s="4" t="s">
        <v>182</v>
      </c>
      <c r="D20" s="6" t="n">
        <v>82</v>
      </c>
      <c r="E20" s="4" t="s">
        <v>183</v>
      </c>
      <c r="F20" s="6" t="n">
        <v>85</v>
      </c>
      <c r="G20" s="4" t="s">
        <v>184</v>
      </c>
      <c r="H20" s="6" t="n">
        <v>86</v>
      </c>
      <c r="I20" s="4" t="s">
        <v>185</v>
      </c>
      <c r="J20" s="5" t="n">
        <v>95</v>
      </c>
      <c r="K20" s="4" t="s">
        <v>186</v>
      </c>
      <c r="L20" s="7" t="n">
        <v>60</v>
      </c>
      <c r="M20" s="4" t="s">
        <v>187</v>
      </c>
      <c r="N20" s="7" t="n">
        <v>58</v>
      </c>
      <c r="O20" s="4" t="s">
        <v>188</v>
      </c>
      <c r="P20" s="3" t="n">
        <v>72</v>
      </c>
      <c r="Q20" s="4" t="s">
        <v>189</v>
      </c>
      <c r="R20" s="6" t="n">
        <v>84</v>
      </c>
      <c r="S20" s="4" t="s">
        <v>190</v>
      </c>
    </row>
    <row r="21" customFormat="false" ht="45" hidden="false" customHeight="true" outlineLevel="0" collapsed="false">
      <c r="A21" s="2" t="s">
        <v>191</v>
      </c>
      <c r="B21" s="7" t="n">
        <v>55</v>
      </c>
      <c r="C21" s="4" t="s">
        <v>192</v>
      </c>
      <c r="D21" s="7" t="n">
        <v>58</v>
      </c>
      <c r="E21" s="4" t="s">
        <v>193</v>
      </c>
      <c r="F21" s="7" t="n">
        <v>60</v>
      </c>
      <c r="G21" s="4" t="s">
        <v>194</v>
      </c>
      <c r="H21" s="3" t="n">
        <v>80</v>
      </c>
      <c r="I21" s="4" t="s">
        <v>195</v>
      </c>
      <c r="J21" s="5" t="n">
        <v>95</v>
      </c>
      <c r="K21" s="4" t="s">
        <v>196</v>
      </c>
      <c r="L21" s="6" t="n">
        <v>88</v>
      </c>
      <c r="M21" s="4" t="s">
        <v>197</v>
      </c>
      <c r="N21" s="6" t="n">
        <v>88</v>
      </c>
      <c r="O21" s="4" t="s">
        <v>198</v>
      </c>
      <c r="P21" s="6" t="n">
        <v>84</v>
      </c>
      <c r="Q21" s="4" t="s">
        <v>199</v>
      </c>
      <c r="R21" s="6" t="n">
        <v>86</v>
      </c>
      <c r="S21" s="4" t="s">
        <v>200</v>
      </c>
    </row>
    <row r="22" customFormat="false" ht="49.5" hidden="false" customHeight="true" outlineLevel="0" collapsed="false">
      <c r="A22" s="2" t="s">
        <v>201</v>
      </c>
      <c r="B22" s="7" t="n">
        <v>50</v>
      </c>
      <c r="C22" s="4" t="s">
        <v>202</v>
      </c>
      <c r="D22" s="7" t="n">
        <v>55</v>
      </c>
      <c r="E22" s="4" t="s">
        <v>203</v>
      </c>
      <c r="F22" s="7" t="n">
        <v>60</v>
      </c>
      <c r="G22" s="4" t="s">
        <v>204</v>
      </c>
      <c r="H22" s="7" t="n">
        <v>65</v>
      </c>
      <c r="I22" s="4" t="s">
        <v>205</v>
      </c>
      <c r="J22" s="5" t="n">
        <v>90</v>
      </c>
      <c r="K22" s="4" t="s">
        <v>206</v>
      </c>
      <c r="L22" s="5" t="n">
        <v>90</v>
      </c>
      <c r="M22" s="4" t="s">
        <v>207</v>
      </c>
      <c r="N22" s="5" t="n">
        <v>90</v>
      </c>
      <c r="O22" s="4" t="s">
        <v>208</v>
      </c>
      <c r="P22" s="3" t="n">
        <v>80</v>
      </c>
      <c r="Q22" s="4" t="s">
        <v>209</v>
      </c>
      <c r="R22" s="6" t="n">
        <v>82</v>
      </c>
      <c r="S22" s="4" t="s">
        <v>210</v>
      </c>
    </row>
    <row r="23" customFormat="false" ht="95.25" hidden="false" customHeight="true" outlineLevel="0" collapsed="false">
      <c r="A23" s="2" t="s">
        <v>211</v>
      </c>
      <c r="B23" s="7" t="n">
        <v>45</v>
      </c>
      <c r="C23" s="4" t="s">
        <v>212</v>
      </c>
      <c r="D23" s="7" t="n">
        <v>50</v>
      </c>
      <c r="E23" s="4" t="s">
        <v>213</v>
      </c>
      <c r="F23" s="7" t="n">
        <v>55</v>
      </c>
      <c r="G23" s="4" t="s">
        <v>214</v>
      </c>
      <c r="H23" s="7" t="n">
        <v>60</v>
      </c>
      <c r="I23" s="4" t="s">
        <v>215</v>
      </c>
      <c r="J23" s="3" t="n">
        <v>78</v>
      </c>
      <c r="K23" s="4" t="s">
        <v>216</v>
      </c>
      <c r="L23" s="5" t="n">
        <v>95</v>
      </c>
      <c r="M23" s="4" t="s">
        <v>217</v>
      </c>
      <c r="N23" s="5" t="n">
        <v>92</v>
      </c>
      <c r="O23" s="4" t="s">
        <v>218</v>
      </c>
      <c r="P23" s="6" t="n">
        <v>84</v>
      </c>
      <c r="Q23" s="4" t="s">
        <v>219</v>
      </c>
      <c r="R23" s="3" t="n">
        <v>80</v>
      </c>
      <c r="S23" s="4" t="s">
        <v>220</v>
      </c>
    </row>
    <row r="24" customFormat="false" ht="46.5" hidden="false" customHeight="true" outlineLevel="0" collapsed="false">
      <c r="A24" s="2" t="s">
        <v>221</v>
      </c>
      <c r="B24" s="7" t="n">
        <v>60</v>
      </c>
      <c r="C24" s="4" t="s">
        <v>222</v>
      </c>
      <c r="D24" s="7" t="n">
        <v>62</v>
      </c>
      <c r="E24" s="4" t="s">
        <v>223</v>
      </c>
      <c r="F24" s="7" t="n">
        <v>65</v>
      </c>
      <c r="G24" s="4" t="s">
        <v>223</v>
      </c>
      <c r="H24" s="7" t="n">
        <v>68</v>
      </c>
      <c r="I24" s="4" t="s">
        <v>224</v>
      </c>
      <c r="J24" s="5" t="n">
        <v>94</v>
      </c>
      <c r="K24" s="4" t="s">
        <v>225</v>
      </c>
      <c r="L24" s="6" t="n">
        <v>82</v>
      </c>
      <c r="M24" s="4" t="s">
        <v>226</v>
      </c>
      <c r="N24" s="6" t="n">
        <v>84</v>
      </c>
      <c r="O24" s="4" t="s">
        <v>227</v>
      </c>
      <c r="P24" s="3" t="n">
        <v>75</v>
      </c>
      <c r="Q24" s="4" t="s">
        <v>228</v>
      </c>
      <c r="R24" s="3" t="n">
        <v>78</v>
      </c>
      <c r="S24" s="4" t="s">
        <v>229</v>
      </c>
    </row>
    <row r="25" customFormat="false" ht="45" hidden="false" customHeight="true" outlineLevel="0" collapsed="false">
      <c r="A25" s="2" t="s">
        <v>230</v>
      </c>
      <c r="B25" s="7" t="n">
        <v>40</v>
      </c>
      <c r="C25" s="4" t="s">
        <v>231</v>
      </c>
      <c r="D25" s="7" t="n">
        <v>42</v>
      </c>
      <c r="E25" s="4" t="s">
        <v>232</v>
      </c>
      <c r="F25" s="7" t="n">
        <v>45</v>
      </c>
      <c r="G25" s="4" t="s">
        <v>232</v>
      </c>
      <c r="H25" s="7" t="n">
        <v>50</v>
      </c>
      <c r="I25" s="4" t="s">
        <v>232</v>
      </c>
      <c r="J25" s="5" t="n">
        <v>94</v>
      </c>
      <c r="K25" s="4" t="s">
        <v>233</v>
      </c>
      <c r="L25" s="6" t="n">
        <v>85</v>
      </c>
      <c r="M25" s="4" t="s">
        <v>234</v>
      </c>
      <c r="N25" s="5" t="n">
        <v>90</v>
      </c>
      <c r="O25" s="4" t="s">
        <v>235</v>
      </c>
      <c r="P25" s="6" t="n">
        <v>82</v>
      </c>
      <c r="Q25" s="4" t="s">
        <v>236</v>
      </c>
      <c r="R25" s="3" t="n">
        <v>80</v>
      </c>
      <c r="S25" s="4" t="s">
        <v>237</v>
      </c>
    </row>
    <row r="26" customFormat="false" ht="48" hidden="false" customHeight="true" outlineLevel="0" collapsed="false">
      <c r="A26" s="2" t="s">
        <v>238</v>
      </c>
      <c r="B26" s="3" t="n">
        <v>78</v>
      </c>
      <c r="C26" s="4" t="s">
        <v>239</v>
      </c>
      <c r="D26" s="6" t="n">
        <v>84</v>
      </c>
      <c r="E26" s="4" t="s">
        <v>240</v>
      </c>
      <c r="F26" s="6" t="n">
        <v>86</v>
      </c>
      <c r="G26" s="4" t="s">
        <v>241</v>
      </c>
      <c r="H26" s="6" t="n">
        <v>88</v>
      </c>
      <c r="I26" s="4" t="s">
        <v>242</v>
      </c>
      <c r="J26" s="5" t="n">
        <v>94</v>
      </c>
      <c r="K26" s="4" t="s">
        <v>243</v>
      </c>
      <c r="L26" s="7" t="n">
        <v>55</v>
      </c>
      <c r="M26" s="4" t="s">
        <v>244</v>
      </c>
      <c r="N26" s="7" t="n">
        <v>58</v>
      </c>
      <c r="O26" s="4" t="s">
        <v>245</v>
      </c>
      <c r="P26" s="7" t="n">
        <v>70</v>
      </c>
      <c r="Q26" s="4" t="s">
        <v>246</v>
      </c>
      <c r="R26" s="3" t="n">
        <v>78</v>
      </c>
      <c r="S26" s="4" t="s">
        <v>247</v>
      </c>
    </row>
    <row r="27" customFormat="false" ht="15" hidden="false" customHeight="false" outlineLevel="0" collapsed="false">
      <c r="A27" s="8" t="s">
        <v>248</v>
      </c>
      <c r="B27" s="9" t="n">
        <f aca="false">ROUND(AVERAGE(B3:B26),0)</f>
        <v>71</v>
      </c>
      <c r="C27" s="10"/>
      <c r="D27" s="9" t="n">
        <f aca="false">ROUND(AVERAGE(D3:D26),0)</f>
        <v>77</v>
      </c>
      <c r="E27" s="10"/>
      <c r="F27" s="9" t="n">
        <f aca="false">ROUND(AVERAGE(F3:F26),0)</f>
        <v>81</v>
      </c>
      <c r="G27" s="10"/>
      <c r="H27" s="9" t="n">
        <f aca="false">ROUND(AVERAGE(H3:H26),0)</f>
        <v>86</v>
      </c>
      <c r="I27" s="10"/>
      <c r="J27" s="9" t="n">
        <f aca="false">ROUND(AVERAGE(J3:J26),0)</f>
        <v>95</v>
      </c>
      <c r="K27" s="10"/>
      <c r="L27" s="9" t="n">
        <f aca="false">ROUND(AVERAGE(L3:L26),0)</f>
        <v>86</v>
      </c>
      <c r="M27" s="10"/>
      <c r="N27" s="9" t="n">
        <f aca="false">ROUND(AVERAGE(N3:N26),0)</f>
        <v>84</v>
      </c>
      <c r="O27" s="10"/>
      <c r="P27" s="9" t="n">
        <f aca="false">ROUND(AVERAGE(P3:P26),0)</f>
        <v>82</v>
      </c>
      <c r="Q27" s="10"/>
      <c r="R27" s="9" t="n">
        <f aca="false">ROUND(AVERAGE(R3:R26),0)</f>
        <v>84</v>
      </c>
      <c r="S27" s="10"/>
    </row>
  </sheetData>
  <mergeCells count="10">
    <mergeCell ref="A1:A2"/>
    <mergeCell ref="B1:C1"/>
    <mergeCell ref="D1:E1"/>
    <mergeCell ref="F1:G1"/>
    <mergeCell ref="H1:I1"/>
    <mergeCell ref="J1:K1"/>
    <mergeCell ref="L1:M1"/>
    <mergeCell ref="N1:O1"/>
    <mergeCell ref="P1:Q1"/>
    <mergeCell ref="R1:S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40"/>
    <col collapsed="false" customWidth="true" hidden="false" outlineLevel="0" max="4" min="4" style="0" width="15"/>
    <col collapsed="false" customWidth="true" hidden="false" outlineLevel="0" max="5" min="5" style="0" width="40"/>
    <col collapsed="false" customWidth="true" hidden="false" outlineLevel="0" max="6" min="6" style="0" width="15"/>
    <col collapsed="false" customWidth="true" hidden="false" outlineLevel="0" max="7" min="7" style="0" width="40"/>
    <col collapsed="false" customWidth="true" hidden="false" outlineLevel="0" max="8" min="8" style="0" width="15"/>
    <col collapsed="false" customWidth="true" hidden="false" outlineLevel="0" max="9" min="9" style="0" width="40"/>
    <col collapsed="false" customWidth="true" hidden="false" outlineLevel="0" max="10" min="10" style="0" width="15"/>
    <col collapsed="false" customWidth="true" hidden="false" outlineLevel="0" max="11" min="11" style="0" width="40"/>
    <col collapsed="false" customWidth="true" hidden="false" outlineLevel="0" max="12" min="12" style="0" width="15"/>
    <col collapsed="false" customWidth="true" hidden="false" outlineLevel="0" max="13" min="13" style="0" width="40"/>
    <col collapsed="false" customWidth="true" hidden="false" outlineLevel="0" max="14" min="14" style="0" width="15"/>
    <col collapsed="false" customWidth="true" hidden="false" outlineLevel="0" max="15" min="15" style="0" width="40"/>
    <col collapsed="false" customWidth="true" hidden="false" outlineLevel="0" max="16" min="16" style="0" width="15"/>
    <col collapsed="false" customWidth="true" hidden="false" outlineLevel="0" max="17" min="17" style="0" width="40"/>
    <col collapsed="false" customWidth="true" hidden="false" outlineLevel="0" max="18" min="18" style="0" width="15"/>
    <col collapsed="false" customWidth="true" hidden="false" outlineLevel="0" max="19" min="19" style="0" width="40"/>
  </cols>
  <sheetData>
    <row r="1" customFormat="false" ht="45.75" hidden="false" customHeight="true" outlineLevel="0" collapsed="false">
      <c r="A1" s="1" t="s">
        <v>249</v>
      </c>
      <c r="B1" s="1" t="s">
        <v>1</v>
      </c>
      <c r="C1" s="1"/>
      <c r="D1" s="1" t="s">
        <v>2</v>
      </c>
      <c r="E1" s="1"/>
      <c r="F1" s="1" t="s">
        <v>3</v>
      </c>
      <c r="G1" s="1"/>
      <c r="H1" s="1" t="s">
        <v>4</v>
      </c>
      <c r="I1" s="1"/>
      <c r="J1" s="1" t="s">
        <v>5</v>
      </c>
      <c r="K1" s="1"/>
      <c r="L1" s="1" t="s">
        <v>6</v>
      </c>
      <c r="M1" s="1"/>
      <c r="N1" s="1" t="s">
        <v>7</v>
      </c>
      <c r="O1" s="1"/>
      <c r="P1" s="1" t="s">
        <v>8</v>
      </c>
      <c r="Q1" s="1"/>
      <c r="R1" s="1" t="s">
        <v>9</v>
      </c>
      <c r="S1" s="1"/>
    </row>
    <row r="2" customFormat="false" ht="18" hidden="false" customHeight="true" outlineLevel="0" collapsed="false">
      <c r="A2" s="1"/>
      <c r="B2" s="1" t="s">
        <v>10</v>
      </c>
      <c r="C2" s="1" t="s">
        <v>11</v>
      </c>
      <c r="D2" s="1" t="s">
        <v>10</v>
      </c>
      <c r="E2" s="1" t="s">
        <v>11</v>
      </c>
      <c r="F2" s="1" t="s">
        <v>10</v>
      </c>
      <c r="G2" s="1" t="s">
        <v>11</v>
      </c>
      <c r="H2" s="1" t="s">
        <v>10</v>
      </c>
      <c r="I2" s="1" t="s">
        <v>11</v>
      </c>
      <c r="J2" s="1" t="s">
        <v>10</v>
      </c>
      <c r="K2" s="1" t="s">
        <v>11</v>
      </c>
      <c r="L2" s="1" t="s">
        <v>10</v>
      </c>
      <c r="M2" s="1" t="s">
        <v>11</v>
      </c>
      <c r="N2" s="1" t="s">
        <v>10</v>
      </c>
      <c r="O2" s="1" t="s">
        <v>11</v>
      </c>
      <c r="P2" s="1" t="s">
        <v>10</v>
      </c>
      <c r="Q2" s="1" t="s">
        <v>11</v>
      </c>
      <c r="R2" s="1" t="s">
        <v>10</v>
      </c>
      <c r="S2" s="1" t="s">
        <v>11</v>
      </c>
    </row>
    <row r="3" customFormat="false" ht="150" hidden="false" customHeight="true" outlineLevel="0" collapsed="false">
      <c r="A3" s="2" t="s">
        <v>250</v>
      </c>
      <c r="B3" s="11" t="s">
        <v>251</v>
      </c>
      <c r="C3" s="4" t="s">
        <v>252</v>
      </c>
      <c r="D3" s="11" t="s">
        <v>253</v>
      </c>
      <c r="E3" s="4" t="s">
        <v>254</v>
      </c>
      <c r="F3" s="11" t="s">
        <v>255</v>
      </c>
      <c r="G3" s="4" t="s">
        <v>256</v>
      </c>
      <c r="H3" s="11" t="s">
        <v>257</v>
      </c>
      <c r="I3" s="4" t="s">
        <v>258</v>
      </c>
      <c r="J3" s="11" t="s">
        <v>259</v>
      </c>
      <c r="K3" s="4" t="s">
        <v>260</v>
      </c>
      <c r="L3" s="11" t="s">
        <v>261</v>
      </c>
      <c r="M3" s="4" t="s">
        <v>262</v>
      </c>
      <c r="N3" s="11" t="s">
        <v>263</v>
      </c>
      <c r="O3" s="4" t="s">
        <v>264</v>
      </c>
      <c r="P3" s="11" t="s">
        <v>265</v>
      </c>
      <c r="Q3" s="4" t="s">
        <v>266</v>
      </c>
      <c r="R3" s="11" t="s">
        <v>267</v>
      </c>
      <c r="S3" s="4" t="s">
        <v>268</v>
      </c>
    </row>
    <row r="6" customFormat="false" ht="15" hidden="false" customHeight="false" outlineLevel="0" collapsed="false">
      <c r="A6" s="12" t="s">
        <v>269</v>
      </c>
      <c r="B6" s="13"/>
      <c r="C6" s="13"/>
      <c r="D6" s="13"/>
      <c r="E6" s="13"/>
      <c r="F6" s="13"/>
      <c r="G6" s="13"/>
      <c r="H6" s="13"/>
      <c r="I6" s="13"/>
      <c r="J6" s="13"/>
      <c r="K6" s="13"/>
      <c r="L6" s="13"/>
      <c r="M6" s="13"/>
      <c r="N6" s="13"/>
      <c r="O6" s="13"/>
      <c r="P6" s="13"/>
      <c r="Q6" s="13"/>
      <c r="R6" s="13"/>
      <c r="S6" s="13"/>
    </row>
    <row r="7" customFormat="false" ht="45.75" hidden="false" customHeight="true" outlineLevel="0" collapsed="false">
      <c r="A7" s="14" t="s">
        <v>270</v>
      </c>
      <c r="B7" s="15" t="s">
        <v>271</v>
      </c>
      <c r="C7" s="15"/>
      <c r="D7" s="15"/>
      <c r="E7" s="15"/>
      <c r="F7" s="15"/>
      <c r="G7" s="15"/>
      <c r="H7" s="15"/>
      <c r="I7" s="15"/>
      <c r="J7" s="15"/>
      <c r="K7" s="15"/>
      <c r="L7" s="15"/>
      <c r="M7" s="15"/>
      <c r="N7" s="15"/>
      <c r="O7" s="15"/>
      <c r="P7" s="15"/>
      <c r="Q7" s="15"/>
      <c r="R7" s="15"/>
      <c r="S7" s="15"/>
    </row>
    <row r="8" customFormat="false" ht="45.75" hidden="false" customHeight="true" outlineLevel="0" collapsed="false">
      <c r="A8" s="14" t="s">
        <v>272</v>
      </c>
      <c r="B8" s="15" t="s">
        <v>273</v>
      </c>
      <c r="C8" s="15"/>
      <c r="D8" s="15"/>
      <c r="E8" s="15"/>
      <c r="F8" s="15"/>
      <c r="G8" s="15"/>
      <c r="H8" s="15"/>
      <c r="I8" s="15"/>
      <c r="J8" s="15"/>
      <c r="K8" s="15"/>
      <c r="L8" s="15"/>
      <c r="M8" s="15"/>
      <c r="N8" s="15"/>
      <c r="O8" s="15"/>
      <c r="P8" s="15"/>
      <c r="Q8" s="15"/>
      <c r="R8" s="15"/>
      <c r="S8" s="15"/>
    </row>
    <row r="9" customFormat="false" ht="45.75" hidden="false" customHeight="true" outlineLevel="0" collapsed="false">
      <c r="A9" s="14" t="s">
        <v>274</v>
      </c>
      <c r="B9" s="15" t="s">
        <v>275</v>
      </c>
      <c r="C9" s="15"/>
      <c r="D9" s="15"/>
      <c r="E9" s="15"/>
      <c r="F9" s="15"/>
      <c r="G9" s="15"/>
      <c r="H9" s="15"/>
      <c r="I9" s="15"/>
      <c r="J9" s="15"/>
      <c r="K9" s="15"/>
      <c r="L9" s="15"/>
      <c r="M9" s="15"/>
      <c r="N9" s="15"/>
      <c r="O9" s="15"/>
      <c r="P9" s="15"/>
      <c r="Q9" s="15"/>
      <c r="R9" s="15"/>
      <c r="S9" s="15"/>
    </row>
    <row r="10" customFormat="false" ht="45.75" hidden="false" customHeight="true" outlineLevel="0" collapsed="false">
      <c r="A10" s="14" t="s">
        <v>276</v>
      </c>
      <c r="B10" s="15" t="s">
        <v>277</v>
      </c>
      <c r="C10" s="15"/>
      <c r="D10" s="15"/>
      <c r="E10" s="15"/>
      <c r="F10" s="15"/>
      <c r="G10" s="15"/>
      <c r="H10" s="15"/>
      <c r="I10" s="15"/>
      <c r="J10" s="15"/>
      <c r="K10" s="15"/>
      <c r="L10" s="15"/>
      <c r="M10" s="15"/>
      <c r="N10" s="15"/>
      <c r="O10" s="15"/>
      <c r="P10" s="15"/>
      <c r="Q10" s="15"/>
      <c r="R10" s="15"/>
      <c r="S10" s="15"/>
    </row>
    <row r="11" customFormat="false" ht="45.75" hidden="false" customHeight="true" outlineLevel="0" collapsed="false">
      <c r="A11" s="14" t="s">
        <v>278</v>
      </c>
      <c r="B11" s="15" t="s">
        <v>279</v>
      </c>
      <c r="C11" s="15"/>
      <c r="D11" s="15"/>
      <c r="E11" s="15"/>
      <c r="F11" s="15"/>
      <c r="G11" s="15"/>
      <c r="H11" s="15"/>
      <c r="I11" s="15"/>
      <c r="J11" s="15"/>
      <c r="K11" s="15"/>
      <c r="L11" s="15"/>
      <c r="M11" s="15"/>
      <c r="N11" s="15"/>
      <c r="O11" s="15"/>
      <c r="P11" s="15"/>
      <c r="Q11" s="15"/>
      <c r="R11" s="15"/>
      <c r="S11" s="15"/>
    </row>
    <row r="12" customFormat="false" ht="45.75" hidden="false" customHeight="true" outlineLevel="0" collapsed="false">
      <c r="A12" s="14" t="s">
        <v>280</v>
      </c>
      <c r="B12" s="15" t="s">
        <v>281</v>
      </c>
      <c r="C12" s="15"/>
      <c r="D12" s="15"/>
      <c r="E12" s="15"/>
      <c r="F12" s="15"/>
      <c r="G12" s="15"/>
      <c r="H12" s="15"/>
      <c r="I12" s="15"/>
      <c r="J12" s="15"/>
      <c r="K12" s="15"/>
      <c r="L12" s="15"/>
      <c r="M12" s="15"/>
      <c r="N12" s="15"/>
      <c r="O12" s="15"/>
      <c r="P12" s="15"/>
      <c r="Q12" s="15"/>
      <c r="R12" s="15"/>
      <c r="S12" s="15"/>
    </row>
    <row r="13" customFormat="false" ht="69.75" hidden="false" customHeight="true" outlineLevel="0" collapsed="false">
      <c r="A13" s="16" t="s">
        <v>282</v>
      </c>
      <c r="B13" s="17" t="s">
        <v>283</v>
      </c>
      <c r="C13" s="17"/>
      <c r="D13" s="17"/>
      <c r="E13" s="17"/>
      <c r="F13" s="17"/>
      <c r="G13" s="17"/>
      <c r="H13" s="17"/>
      <c r="I13" s="17"/>
      <c r="J13" s="17"/>
      <c r="K13" s="17"/>
      <c r="L13" s="17"/>
      <c r="M13" s="17"/>
      <c r="N13" s="17"/>
      <c r="O13" s="17"/>
      <c r="P13" s="17"/>
      <c r="Q13" s="17"/>
      <c r="R13" s="17"/>
      <c r="S13" s="17"/>
    </row>
  </sheetData>
  <mergeCells count="17">
    <mergeCell ref="A1:A2"/>
    <mergeCell ref="B1:C1"/>
    <mergeCell ref="D1:E1"/>
    <mergeCell ref="F1:G1"/>
    <mergeCell ref="H1:I1"/>
    <mergeCell ref="J1:K1"/>
    <mergeCell ref="L1:M1"/>
    <mergeCell ref="N1:O1"/>
    <mergeCell ref="P1:Q1"/>
    <mergeCell ref="R1:S1"/>
    <mergeCell ref="B7:S7"/>
    <mergeCell ref="B8:S8"/>
    <mergeCell ref="B9:S9"/>
    <mergeCell ref="B10:S10"/>
    <mergeCell ref="B11:S11"/>
    <mergeCell ref="B12:S12"/>
    <mergeCell ref="B13:S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5" hidden="false" customHeight="false" outlineLevel="0" collapsed="false">
      <c r="A1" s="12" t="s">
        <v>284</v>
      </c>
      <c r="B1" s="13"/>
    </row>
    <row r="2" customFormat="false" ht="27" hidden="false" customHeight="true" outlineLevel="0" collapsed="false">
      <c r="A2" s="18" t="s">
        <v>285</v>
      </c>
      <c r="B2" s="19" t="s">
        <v>286</v>
      </c>
    </row>
    <row r="3" customFormat="false" ht="45.75" hidden="false" customHeight="true" outlineLevel="0" collapsed="false">
      <c r="A3" s="18" t="s">
        <v>287</v>
      </c>
      <c r="B3" s="19" t="s">
        <v>288</v>
      </c>
    </row>
    <row r="4" customFormat="false" ht="27" hidden="false" customHeight="true" outlineLevel="0" collapsed="false">
      <c r="A4" s="18" t="s">
        <v>289</v>
      </c>
      <c r="B4" s="19" t="s">
        <v>290</v>
      </c>
    </row>
    <row r="5" customFormat="false" ht="15" hidden="false" customHeight="false" outlineLevel="0" collapsed="false">
      <c r="A5" s="12" t="s">
        <v>291</v>
      </c>
      <c r="B5" s="13"/>
    </row>
    <row r="6" customFormat="false" ht="33" hidden="false" customHeight="true" outlineLevel="0" collapsed="false">
      <c r="A6" s="18" t="s">
        <v>292</v>
      </c>
      <c r="B6" s="19" t="s">
        <v>293</v>
      </c>
    </row>
    <row r="7" customFormat="false" ht="27" hidden="false" customHeight="true" outlineLevel="0" collapsed="false">
      <c r="A7" s="18" t="s">
        <v>294</v>
      </c>
      <c r="B7" s="19" t="s">
        <v>295</v>
      </c>
    </row>
    <row r="8" customFormat="false" ht="22.5" hidden="false" customHeight="true" outlineLevel="0" collapsed="false">
      <c r="A8" s="18" t="s">
        <v>296</v>
      </c>
      <c r="B8" s="19" t="s">
        <v>297</v>
      </c>
    </row>
    <row r="9" customFormat="false" ht="27.75" hidden="false" customHeight="true" outlineLevel="0" collapsed="false">
      <c r="A9" s="18" t="s">
        <v>298</v>
      </c>
      <c r="B9" s="19" t="s">
        <v>299</v>
      </c>
    </row>
    <row r="10" customFormat="false" ht="15" hidden="false" customHeight="false" outlineLevel="0" collapsed="false">
      <c r="A10" s="12" t="s">
        <v>300</v>
      </c>
      <c r="B10" s="13"/>
    </row>
    <row r="11" customFormat="false" ht="31.5" hidden="false" customHeight="true" outlineLevel="0" collapsed="false">
      <c r="A11" s="18" t="s">
        <v>301</v>
      </c>
      <c r="B11" s="19" t="s">
        <v>302</v>
      </c>
    </row>
    <row r="12" customFormat="false" ht="21" hidden="false" customHeight="true" outlineLevel="0" collapsed="false">
      <c r="A12" s="18" t="s">
        <v>303</v>
      </c>
      <c r="B12" s="19" t="s">
        <v>304</v>
      </c>
    </row>
    <row r="13" customFormat="false" ht="20.25" hidden="false" customHeight="true" outlineLevel="0" collapsed="false">
      <c r="A13" s="18" t="s">
        <v>305</v>
      </c>
      <c r="B13" s="19" t="s">
        <v>306</v>
      </c>
    </row>
    <row r="14" customFormat="false" ht="26.25" hidden="false" customHeight="true" outlineLevel="0" collapsed="false">
      <c r="A14" s="18" t="s">
        <v>307</v>
      </c>
      <c r="B14" s="19" t="s">
        <v>308</v>
      </c>
    </row>
    <row r="15" customFormat="false" ht="15" hidden="false" customHeight="false" outlineLevel="0" collapsed="false">
      <c r="A15" s="12" t="s">
        <v>309</v>
      </c>
      <c r="B15" s="13"/>
    </row>
    <row r="16" customFormat="false" ht="32.25" hidden="false" customHeight="true" outlineLevel="0" collapsed="false">
      <c r="A16" s="18" t="s">
        <v>310</v>
      </c>
      <c r="B16" s="19" t="s">
        <v>311</v>
      </c>
    </row>
    <row r="17" customFormat="false" ht="33" hidden="false" customHeight="true" outlineLevel="0" collapsed="false">
      <c r="A17" s="18" t="s">
        <v>312</v>
      </c>
      <c r="B17" s="19" t="s">
        <v>313</v>
      </c>
    </row>
    <row r="18" customFormat="false" ht="34.5" hidden="false" customHeight="true" outlineLevel="0" collapsed="false">
      <c r="A18" s="18" t="s">
        <v>314</v>
      </c>
      <c r="B18" s="19" t="s">
        <v>315</v>
      </c>
    </row>
    <row r="19" customFormat="false" ht="34.5" hidden="false" customHeight="true" outlineLevel="0" collapsed="false">
      <c r="A19" s="18" t="s">
        <v>9</v>
      </c>
      <c r="B19" s="19" t="s">
        <v>316</v>
      </c>
    </row>
    <row r="20" customFormat="false" ht="15" hidden="false" customHeight="false" outlineLevel="0" collapsed="false">
      <c r="A20" s="12" t="s">
        <v>317</v>
      </c>
      <c r="B20" s="13"/>
    </row>
    <row r="21" customFormat="false" ht="30.75" hidden="false" customHeight="true" outlineLevel="0" collapsed="false">
      <c r="A21" s="18" t="s">
        <v>318</v>
      </c>
      <c r="B21" s="19"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2026-06-05T21:31:02Z</dcterms:created>
  <dc:creator>openpyxl</dc:creator>
  <dc:description/>
  <dc:language>en-US</dc:language>
  <cp:lastModifiedBy/>
  <dcterms:modified xsi:type="dcterms:W3CDTF">2026-06-05T21:31:02Z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