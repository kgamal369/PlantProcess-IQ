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 Board Laws" sheetId="1" state="visible" r:id="rId3"/>
    <sheet name="M1 Board" sheetId="2" state="visible" r:id="rId4"/>
    <sheet name="M2 Board" sheetId="3" state="visible" r:id="rId5"/>
    <sheet name="M3 Board"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<sst xmlns="http://schemas.openxmlformats.org/spreadsheetml/2006/main" count="544" uniqueCount="336">
  <si>
    <t xml:space="preserve">PPIQ PRODUCT BACKLOG v28 - REBUILT 25-JUL-2026</t>
  </si>
  <si>
    <t xml:space="preserve">WHAT CHANGED FROM v27</t>
  </si>
  <si>
    <t xml:space="preserve">Rebuilt from scratch after the 25-Jul evidence session and the Presentation Readiness Scoreboard. IDs restart at 01. Done work is deleted. Partial work is rewritten as its remainder only. Every gap named in the scoreboard now has a task.</t>
  </si>
  <si>
    <t xml:space="preserve">LAW 1 - ONLY OPEN WORK EXISTS</t>
  </si>
  <si>
    <t xml:space="preserve">Done tasks are deleted, never archived on the board. History lives in git and in the retired v27 file.</t>
  </si>
  <si>
    <t xml:space="preserve">LAW 2 - NO PARTIAL STATUS</t>
  </si>
  <si>
    <t xml:space="preserve">A partially finished task is rewritten as its remaining part only, with the estimate recalculated for that remainder. Description and validation always read as 0%-done work.</t>
  </si>
  <si>
    <t xml:space="preserve">LAW 3 - IDS RESTART, SEQUENTIAL, PRIORITY-ORDERED</t>
  </si>
  <si>
    <t xml:space="preserve">IDs count from M1-01 with no gaps. Within a phase a lower number means higher priority. v27 IDs are retired; lineage is noted in the Origin column.</t>
  </si>
  <si>
    <t xml:space="preserve">LAW 4 - PHASES ARE P1..Pn</t>
  </si>
  <si>
    <t xml:space="preserve">No phase exists without a sequence number.</t>
  </si>
  <si>
    <t xml:space="preserve">LAW 5 - PHASE SIZE 40-65 HOURS, CRITICAL FIRST</t>
  </si>
  <si>
    <t xml:space="preserve">Each phase is a 40-65h block. More critical phases come earlier.</t>
  </si>
  <si>
    <t xml:space="preserve">LAW 6 - EVERY PHASE ENDS PUSHABLE</t>
  </si>
  <si>
    <t xml:space="preserve">A phase ends with the trunk non-broken: tsc -b, the architecture suite and dotnet build all green, and no half-wired feature reachable from the UI.</t>
  </si>
  <si>
    <t xml:space="preserve">LAW 7 - JUNIOR-READY TEXT</t>
  </si>
  <si>
    <t xml:space="preserve">Every description and validation is executable by a developer with zero project background: file paths, commands, endpoints, exact acceptance.</t>
  </si>
  <si>
    <t xml:space="preserve">M1 / M2 SPLIT RULE (set 25-Jul)</t>
  </si>
  <si>
    <t xml:space="preserve">M1 = everything required for the customer presentation. M2 = everything NOT required for it: users, roles, licensing, deployment and infrastructure, schema correction, retiring the old engine, hardening and enhancement.</t>
  </si>
  <si>
    <t xml:space="preserve">PHASE MAP</t>
  </si>
  <si>
    <t xml:space="preserve">M1-P1 Verification &amp; Demo Lock (48h) -&gt; M1-P2 Impress Beats (46h) -&gt; PRESENTATION. M2-P1 Engine Truth &amp; Data Correctness (52h). M2-P2 Users, Licensing &amp; Value (54h). M2-P3 Infrastructure &amp; Deployment (56h). M2-P4 Surfaces, Catalogue &amp; Canvas (58h). M2-P5 Hygiene, Debt &amp; Documentation (48h). M3-P1 Market Proof (48h).</t>
  </si>
  <si>
    <t xml:space="preserve">OWNER KEY</t>
  </si>
  <si>
    <t xml:space="preserve">Claude = delivered as a PowerShell apply pack you run. Karim = only you can do it (browser, rehearsal, server). Both = pack plus your verification.</t>
  </si>
  <si>
    <t xml:space="preserve">STANDING GATES</t>
  </si>
  <si>
    <t xml:space="preserve">Frontend: node node_modules/typescript/bin/tsc -b AND the architecture suite (PPIQ-T11 + UI ratchet, StandardP2* primitives only, no inline style objects). Backend: dotnet build with the API STOPPED.</t>
  </si>
  <si>
    <t xml:space="preserve">PACK CONTRACT</t>
  </si>
  <si>
    <t xml:space="preserve">preflight -&gt; report (hash, timestamp, non-ASCII count, line-ending convention) -&gt; anchor verify with diagnosis -&gt; backup -&gt; apply -&gt; on-disk self-check -&gt; gate -&gt; auto-revert. Plus -ReportOnly and -Revert.</t>
  </si>
  <si>
    <t xml:space="preserve">ORIGIN COLUMN</t>
  </si>
  <si>
    <t xml:space="preserve">Says where a task came from: a retired v27 ID, or the 25-Jul scoreboard/diagnostic that produced it. Green ID = new in v28. Amber ID = rewritten remainder of a v27 task.</t>
  </si>
  <si>
    <t xml:space="preserve">DELETED FROM v27 AND WHY</t>
  </si>
  <si>
    <t xml:space="preserve">M1-01 wire-ups: DONE 25-Jul (canvas routes, MapVisualMapperEndpoints, website sections all landed and committed). Nothing else in v27 reached the done bar.</t>
  </si>
  <si>
    <t xml:space="preserve">ID</t>
  </si>
  <si>
    <t xml:space="preserve">Phase</t>
  </si>
  <si>
    <t xml:space="preserve">Task</t>
  </si>
  <si>
    <t xml:space="preserve">Priority</t>
  </si>
  <si>
    <t xml:space="preserve">Type</t>
  </si>
  <si>
    <t xml:space="preserve">Owner</t>
  </si>
  <si>
    <t xml:space="preserve">Est h</t>
  </si>
  <si>
    <t xml:space="preserve">Origin</t>
  </si>
  <si>
    <t xml:space="preserve">Description (junior-ready)</t>
  </si>
  <si>
    <t xml:space="preserve">Validation / acceptance (junior-ready)</t>
  </si>
  <si>
    <t xml:space="preserve">M1-P1</t>
  </si>
  <si>
    <t xml:space="preserve">VERIFICATION &amp; DEMO LOCK - 48h. Ends with: every scene walked in a browser, every cut written down, trunk pushed.</t>
  </si>
  <si>
    <t xml:space="preserve">M1-01</t>
  </si>
  <si>
    <t xml:space="preserve">Push the trunk to origin</t>
  </si>
  <si>
    <t xml:space="preserve">Critical</t>
  </si>
  <si>
    <t xml:space="preserve">execution</t>
  </si>
  <si>
    <t xml:space="preserve">Karim</t>
  </si>
  <si>
    <t xml:space="preserve">Scoreboard: infra risk</t>
  </si>
  <si>
    <t xml:space="preserve">Ten commits sit on the laptop only, including every fix made on 25-Jul. The demo runs locally so the server is not needed, but an unpushed laptop is a single point of failure for a day of work. Run: git push origin main. If the push is rejected because the server pipeline would deploy older code paths, push to a dated branch instead: git push origin main:backup/25jul-demo.</t>
  </si>
  <si>
    <t xml:space="preserve">git status reports the branch is up to date with origin, or the backup branch exists on GitHub and is visible in the web UI.</t>
  </si>
  <si>
    <t xml:space="preserve">M1-02</t>
  </si>
  <si>
    <t xml:space="preserve">Diagnose the zero-row widgets, then fix or remove each one</t>
  </si>
  <si>
    <t xml:space="preserve">defect fix</t>
  </si>
  <si>
    <t xml:space="preserve">Both</t>
  </si>
  <si>
    <t xml:space="preserve">Scoreboard gap 1</t>
  </si>
  <si>
    <t xml:space="preserve">Roughly half of widget queries on the demo workspaces return zero rows and this has never been diagnosed. This is the single highest-cost defect in the presentation: a page of eight widgets where four are empty reads as a broken product. For every widget on PRODUCTION_OVERVIEW and the other two demo workspaces, capture the widget query request and its row count. For each empty one decide and record: (a) the dimension or measure has no data for the current filter, so widen or change it; (b) the definition is invalid against the server registry, so repoint it; (c) it is genuinely empty and should be removed from the demo page. Claude supplies a PowerShell diagnostic that lists every saved widget definition with its dimension, measure and a live row count from the same endpoint the UI calls.</t>
  </si>
  <si>
    <t xml:space="preserve">A table exists listing every widget on the three demo pages with its live row count. Zero widgets on the demo path return zero rows, either because they were fixed or because they were removed from the page. A curated page where every widget carries data is the acceptance, not a full page half empty.</t>
  </si>
  <si>
    <t xml:space="preserve">M1-03</t>
  </si>
  <si>
    <t xml:space="preserve">Browser-verify the three scene packs applied on 25-Jul</t>
  </si>
  <si>
    <t xml:space="preserve">validation</t>
  </si>
  <si>
    <t xml:space="preserve">Packs A/B/C, 25-Jul</t>
  </si>
  <si>
    <t xml:space="preserve">Three packs were applied and gated on 25-Jul and NONE of their output has been seen in a browser. Scene 10 supervisor: report text wraps instead of overflowing, the disclosure chevron rotates on open, the date reads as a date. Scene 11 assistant: type a question and press Enter (it must send), ask 'Which source systems are registered?' and confirm a cited answer, then stop the API and ask again and confirm a RED 'Request failed' and NOT an amber 'Insufficient evidence'. Scene 12 website: run npm run dev in Website\PlantProcess.Website and walk matrix rows 12.2 to 12.5 - both SVGs draw as you scroll and hold, the ecosystem renders six even groups, all three ROI sliders update the annual figure live, and the ROI call to action scrolls to the demo form.</t>
  </si>
  <si>
    <t xml:space="preserve">All three scenes walked with screenshots. Any scene that looks wrong is reverted with its pack's -Revert switch and written into the cut register (M1-05) rather than shown. The stop-the-API honesty check is performed once and its result recorded.</t>
  </si>
  <si>
    <t xml:space="preserve">M1-04</t>
  </si>
  <si>
    <t xml:space="preserve">Run the consolidated test pass end to end</t>
  </si>
  <si>
    <t xml:space="preserve">v27 M1-02</t>
  </si>
  <si>
    <t xml:space="preserve">Execute PPIQ_Consolidated_Test_Pass.md in one sitting. It covers the demo path, workspace interactions (switcher, cross-filter, clone, remove, drilldown), the associative panel with its psql truth-check, both canvases, the chart types, the findings page and the website. PRECONDITION THAT IS NOT OPTIONAL: the API must be started with -Profile presentation. The default -Profile local points at ppiq_app where every result row is tenant-NULL and invisible, which reproduces an empty findings page regardless of any code fix. Grade every line P, B or X. Finish with the frontend build and the architecture suite, recording NEW failures only.</t>
  </si>
  <si>
    <t xml:space="preserve">The checklist is fully graded and saved with screenshots. Every X carries a one-line defect note which becomes M1-06 scope. The psql truth-checks are filled with matching numbers or the mismatch is noted. Build zero errors, architecture suite green.</t>
  </si>
  <si>
    <t xml:space="preserve">M1-05</t>
  </si>
  <si>
    <t xml:space="preserve">Write the cut register: every scene and claim removed from the walk</t>
  </si>
  <si>
    <t xml:space="preserve">content</t>
  </si>
  <si>
    <t xml:space="preserve">Scoreboard gaps 2 and 4</t>
  </si>
  <si>
    <t xml:space="preserve">A cut that is written down is a decision; a cut that is not is an omission that surfaces as hesitation in the room. Create one page listing every removed item, why, and the single sentence that covers it if asked. Known entries today: (1) Scene 1 login, no login screen is shown. (2) Licence tier switching, Rule 5.2 requires showing features appear and disappear as tiers change and it is not built; there is no tier-to-feature matrix for it to be built from. (3) A completed engine run: this dataset has never cleared the readiness gate, so no finished correlation with a q-value can be shown. (4) Citations expand a provenance handle and do not navigate to a source row, because no evidence-row route exists. (5) The assistant does not reliably refuse a predictive question, so no refusal beat is promised. Add anything M1-03 or M1-04 removes.</t>
  </si>
  <si>
    <t xml:space="preserve">The register exists with one line per cut and one spoken sentence per cut. Every sentence is rehearsed at least once in M1-11. No cut item is mentioned in the room unless the customer raises it first.</t>
  </si>
  <si>
    <t xml:space="preserve">M1-06</t>
  </si>
  <si>
    <t xml:space="preserve">Defect buffer: fix everything the pass surfaced</t>
  </si>
  <si>
    <t xml:space="preserve">v27 M1-03</t>
  </si>
  <si>
    <t xml:space="preserve">Reserved capacity. Every X and mismatch from M1-03 and M1-04 becomes a targeted apply pack. Known candidates from the 25-Jul review that were not fixed: the add-widget entry has no click path (see M1-07), associative fields showing n/a need their dimensionCode renamed to the registry name in src\state\associativeFields.ts, a widget dimension may be missing from src\state\widgetSelectionMap.ts, and the Material Mix donut returned a 14x14 surface after resize and was never re-measured.</t>
  </si>
  <si>
    <t xml:space="preserve">Re-run only the failed checklist lines, not the whole pass. Every previously-X line grades P or is removed from the demo path. Gates green. One commit per fix naming the checklist line.</t>
  </si>
  <si>
    <t xml:space="preserve">M1-07</t>
  </si>
  <si>
    <t xml:space="preserve">Add-widget entry: mount the wizard or write the cut</t>
  </si>
  <si>
    <t xml:space="preserve">High</t>
  </si>
  <si>
    <t xml:space="preserve">feature</t>
  </si>
  <si>
    <t xml:space="preserve">Scoreboard gap 3</t>
  </si>
  <si>
    <t xml:space="preserve">Doctrine surface two is the no-code dashboard builder, and it currently has no creation act: the workspace header carries only Save layout and Refresh widgets. WidgetBuilderWizard exists in the codebase and is rendered by nothing except its own content view. Decide and execute one of two paths. PATH A, mount it: read the wizard's data contract end to end first, add an Add widget control to the workspace header opening it in a modal, and confirm a widget created through it persists as a definition row and survives reload. PATH B, cut it: write the sentence into M1-05 and do not open a workspace expecting an Add button. Path A is only acceptable if M1-04 is already green, because a wizard mounted two days before a demo and never walked is a worse risk than a missing button.</t>
  </si>
  <si>
    <t xml:space="preserve">Path A: a widget is created through the interface with no code, appears on the grid, and is present after reload. Path B: the cut register carries the entry and the rehearsal never reaches for the button.</t>
  </si>
  <si>
    <t xml:space="preserve">M1-08</t>
  </si>
  <si>
    <t xml:space="preserve">Confirm the type-3 AI and ML page exists and carries data</t>
  </si>
  <si>
    <t xml:space="preserve">Scoreboard point 1.3</t>
  </si>
  <si>
    <t xml:space="preserve">The presentation shows one premade page per analysis type. Type 1 raw data is PRODUCTION_OVERVIEW and type 2 statistics is CORRELATION_EXPLORER, both present in the database scripts. The type-3 page, expected as MODEL_INSIGHTS, was NOT found in the database scripts or the seed during the 25-Jul review. Establish whether it exists as a dashboard definition, and if it does, whether its widgets return rows. If it does not exist, either create it through the widget builder from existing machinery or reduce the presentation to two page types and record that in the cut register.</t>
  </si>
  <si>
    <t xml:space="preserve">Either the type-3 page opens with widgets that carry data, or the cut register states that two page types are shown and the third is pilot scope. No page is shown that renders empty.</t>
  </si>
  <si>
    <t xml:space="preserve">M1-09</t>
  </si>
  <si>
    <t xml:space="preserve">Review the alerting surface, the fifth no-code page</t>
  </si>
  <si>
    <t xml:space="preserve">Scoreboard point 2, S5</t>
  </si>
  <si>
    <t xml:space="preserve">The presentation demonstrates five no-code surfaces. The fifth, plant data log and alerting, is routed at /alerting and has NEVER been reviewed at any depth. Apply the three-lens review used on scenes 10 to 12: does the function work; is the styling on the token set and professional; and is the wiring real, meaning are dropdowns dynamically populated from live data rather than hardcoded, and does a saved rule actually evaluate. Claude reviews the source and reports; Karim walks the page.</t>
  </si>
  <si>
    <t xml:space="preserve">A written finding list exists for /alerting with each item classed as demo-blocking or not. Demo-blocking items become packs inside M1-06. If the page cannot be made presentable in the time available, it enters the cut register and the presentation demonstrates four surfaces.</t>
  </si>
  <si>
    <t xml:space="preserve">M1-10</t>
  </si>
  <si>
    <t xml:space="preserve">Deck upgrade: replace design badges with live screenshots</t>
  </si>
  <si>
    <t xml:space="preserve">v27 M1-10</t>
  </si>
  <si>
    <t xml:space="preserve">The deck carried three vision slides badged Pilot Milestone - Design for canvas, associative and catalogue. All three are now real. Rebuild those slides with screenshots from the certified pass: the join canvas with a wired cross-source join and a preview table, the associative panel mid-selection with the three states visible, and a pareto plus heatmap pair on a workspace. Keep the badge only on anything still design-stage. Add one slide for the readiness gate using the M1-12 panel. Re-run the honesty lint: every claim slide names a run id, a batch id or a screenshot, and no metric appears without its evidence beside it.</t>
  </si>
  <si>
    <t xml:space="preserve">The deck walk matches the rehearsal order exactly. The three former vision slides carry real product screenshots dated from the certified pass. Honesty lint green: zero claims without an evidence artifact.</t>
  </si>
  <si>
    <t xml:space="preserve">M1-11</t>
  </si>
  <si>
    <t xml:space="preserve">Dress rehearsal twice with the contingency card</t>
  </si>
  <si>
    <t xml:space="preserve">v27 M1-11</t>
  </si>
  <si>
    <t xml:space="preserve">Run the full meeting script twice, timed, on the presentation database. Order: opening frame, disclosure sentence, connections, live registration, genealogy walk, workspaces with drag and cross-filter and associative selection and a chart-type switch, the join canvas, the analysis toolbox with the readiness gate and the honest-abstain sentence, findings, the assistant with a cited answer, then the website close. Target under 40 minutes. The contingency card carries one line per step for source-down, API-down and widget-dead. No code changes after run two.</t>
  </si>
  <si>
    <t xml:space="preserve">Two timed runs logged under 40 minutes each. Run two shows zero red banners. The contingency card exists with a line per step. Every sentence from the cut register has been spoken aloud at least once.</t>
  </si>
  <si>
    <t xml:space="preserve">M1-P1 subtotal</t>
  </si>
  <si>
    <t xml:space="preserve">M1-P2</t>
  </si>
  <si>
    <t xml:space="preserve">IMPRESS BEATS - 46h. Ends with: four new beats live, deck rebuilt on live screenshots. Do NOT start until M1-P1 is green.</t>
  </si>
  <si>
    <t xml:space="preserve">M1-12</t>
  </si>
  <si>
    <t xml:space="preserve">Live readiness-gate panel: make the honest engine visible</t>
  </si>
  <si>
    <t xml:space="preserve">Claude</t>
  </si>
  <si>
    <t xml:space="preserve">v27 M1-04, rescoped 25-Jul</t>
  </si>
  <si>
    <t xml:space="preserve">RESCOPED AND PROMOTED. This was a nice-to-have in v27. It is now the single most valuable impress item, because the engine has never completed a run and the abstention IS the beat. The backend already exposes everything needed: GET /api/analytics/advanced/readiness/gates?outcomeKey=&amp;grain=&amp;windowDays= returns state, canRun, readyCount, partialCount, blockedCount, and a gates array where each entry carries gateCode, title, state, reason and an evidence string. Build src\components\analysis\GateReadinessPanel.tsx: one row per dimension with a bucketed CSS-class bar (NO inline style objects, the UI ratchet forbids them), a status chip READY green #2ce6a2 / PARTIAL amber #ffb020 / BLOCKED red #ff4d6d, the measured value against its threshold, and the verdict sentence with the run id. Mount it on the analysis toolbox page above the run button, refetching when outcome, grain or window change. Known live values to expect on defect.rate_per_m2: four green and one red at 46.5 percent completeness against an 85 percent bar, with 2,441 independent heats and 91,417 outcome events.</t>
  </si>
  <si>
    <t xml:space="preserve">Open the analysis toolbox: the panel renders one bar per dimension with live numbers. Change the outcome and it refetches. On defect.rate_per_m2 it shows four green and one red naming field completeness. The demo sentence 'watch it refuse, and watch it tell you exactly why' now has a picture. Gates green, architecture suite green, no inline styles.</t>
  </si>
  <si>
    <t xml:space="preserve">M1-13</t>
  </si>
  <si>
    <t xml:space="preserve">Finding to genealogy thread jump</t>
  </si>
  <si>
    <t xml:space="preserve">v27 M1-05</t>
  </si>
  <si>
    <t xml:space="preserve">Close the story loop: a correlation finding about a material jumps straight into the genealogy walk. On the findings page make each row clickable, navigating to the existing genealogy search route with the query prefilled. Inspect the genealogy page for its URL pattern and reuse exactly what exists; do not invent a route. If the finding carries a feature key, show it as a subtitle on the genealogy header via location state so the presenter can say 'this defect, this coil, this upstream cause'. Row must be keyboard accessible. NOTE THE DEPENDENCY: the findings page is empty on this dataset until an analysis completes, so this beat can only be rehearsed against existing rows or is deferred with M2-01.</t>
  </si>
  <si>
    <t xml:space="preserve">Click any finding row: the genealogy page opens with the search prefilled and results shown; the back button returns to findings with scroll position intact. One rehearsed sentence exists: finding, click, lineage on screen in under five seconds.</t>
  </si>
  <si>
    <t xml:space="preserve">M1-14</t>
  </si>
  <si>
    <t xml:space="preserve">True XY scatter: parameter against outcome point cloud</t>
  </si>
  <si>
    <t xml:space="preserve">v27 M1-06</t>
  </si>
  <si>
    <t xml:space="preserve">The current scatter is category-versus-measure. Build the real thing for the statistics page: pick parameter X and outcome Y and see the point cloud at coil grain. Backend: new endpoint GET /api/analytics/advanced/scatter?xKey=&amp;yKey=&amp;grain=&amp;windowDays=&amp;limit= in a new file under Backend\PlantProcess.Api\Endpoints\Analytics\, following AdvancedResultsEndpoints.cs for the auth and tenant pattern, reading the ml feature store by joining feature values for xKey and yKey per material unit, default LIMIT 2000, both keys validated against the feature catalogue with a 400 listing valid keys on an unknown key, never free-text SQL. Register the route prefix in PlantAccessControl.cs. Frontend: src\components\analysis\XyScatter.tsx using a recharts ScatterChart with numeric axes, density-friendly dot size, a client-side least-squares trend line, and axis pickers fed from the feature catalogue.</t>
  </si>
  <si>
    <t xml:space="preserve">Pick a process parameter as X and an outcome as Y: a genuine point cloud renders with a trend line, swapping keys refetches, and an unknown key returns the 400 listing valid keys which demonstrates the safety story. A psql spot-check confirms the point count equals the limit or the join row count. dotnet build, tsc -b and the architecture suite all green.</t>
  </si>
  <si>
    <t xml:space="preserve">M1-15</t>
  </si>
  <si>
    <t xml:space="preserve">Canvas layer two: Filter and Derive nodes</t>
  </si>
  <si>
    <t xml:space="preserve">v27 M1-07</t>
  </si>
  <si>
    <t xml:space="preserve">Extend the visual join canvas beyond the happy path so the live authoring act shows real transformation. Frontend: add two node kinds to the palette of VisualJoinCanvasPage. FILTER carries a column picker fed from the connected dataset node, an operator select limited to a whitelist, and a value input. DERIVE carries a new column name and an expression built from a numeric column picker, an arithmetic operator, and a second column or constant. No free-text SQL anywhere. The graph payload gains filters and derived arrays. Backend, in VisualMapperEndpoints.cs BuildSafeSelect: apply filters as parameterised WHERE predicates with values ALWAYS as Npgsql parameters and never concatenated, operators from a whitelist, columns validated against the dataset catalogue; derived columns become safe SELECT expressions from the same whitelist. Anything outside the whitelist is rejected with a recorded rejected_by_safe_sql dry-run row, which is the same honest refusal the product shows everywhere.</t>
  </si>
  <si>
    <t xml:space="preserve">On /prep/canvas wire two tables, add a FILTER and confirm the preview row count drops in line with a psql count using the same predicate. Add a DERIVE and confirm the preview shows the new column with correct values. A hand-crafted bad payload sent to the API returns the safe-sql rejection and writes the dry-run row. Publish still produces a version row containing filters and derived. All gates green.</t>
  </si>
  <si>
    <t xml:space="preserve">M1-16</t>
  </si>
  <si>
    <t xml:space="preserve">Associative tri-state inside the real filter dropdowns</t>
  </si>
  <si>
    <t xml:space="preserve">Medium</t>
  </si>
  <si>
    <t xml:space="preserve">v27 M1-08</t>
  </si>
  <si>
    <t xml:space="preserve">The associative panel proves the engine; this puts the same three states inside the filter bar users already touch. For each dropdown whose field exists in src\state\associativeFields.ts, read value states from AssociativeContext through a useAssociativeStates(fieldKey) helper returning the map or null when the provider is absent, and style options: selected green, possible normal, excluded greyed and struck. Excluded values stay selectable because pivoting to them is correct associative behaviour. Native option styling is limited, so an acceptable first version is a text prefix for excluded options plus colour where the browser honours it. Do NOT replace the select with a custom widget in this task.</t>
  </si>
  <si>
    <t xml:space="preserve">With one material selected, open the defect dropdown: impossible defects are visibly de-emphasised and possible ones are normal. Picking an excluded value pivots the selection exactly as the panel chips do. Toggling the associative view off restores plain dropdowns. The architecture suite stays green because no raw controls were added.</t>
  </si>
  <si>
    <t xml:space="preserve">M1-17</t>
  </si>
  <si>
    <t xml:space="preserve">Risk heat map beat on the risk workspace</t>
  </si>
  <si>
    <t xml:space="preserve">v27 M1-09</t>
  </si>
  <si>
    <t xml:space="preserve">Give the prediction story a visual anchor using shipped machinery only. On the risk workspace add one saved widget with chartType heatmap, a risk-class dimension and a risk-score measure, titled Risk intensity by class. Create it through the existing widget builder so it persists as a definition row; the heatmap renderer and the selection map do the rest, so clicking a hot cell filters the workspace. Claude supplies the exact field values; Karim clicks them in. DEPENDENCY: this requires either M1-07 path A, or creation through an existing builder route.</t>
  </si>
  <si>
    <t xml:space="preserve">The risk workspace shows the heat grid with visible intensity differences. Clicking the hottest cell filters every widget on the page and the associative panel re-shades. The widget survives reload. One demo sentence written.</t>
  </si>
  <si>
    <t xml:space="preserve">M1-18</t>
  </si>
  <si>
    <t xml:space="preserve">Phase push and demo freeze</t>
  </si>
  <si>
    <t xml:space="preserve">v27 M1-11 remainder</t>
  </si>
  <si>
    <t xml:space="preserve">Close M1: all gates green, commit with the message M1 demo lock, push. Then freeze. No code change after this point except a defect that stops the rehearsed path, and any such change is re-walked before the room.</t>
  </si>
  <si>
    <t xml:space="preserve">Trunk pushed. A fresh clone builds green: npm ci, tsc -b, the architecture suite and dotnet build. The demo path is walked once more after the freeze.</t>
  </si>
  <si>
    <t xml:space="preserve">M1-P2 subtotal</t>
  </si>
  <si>
    <t xml:space="preserve">M2-P1</t>
  </si>
  <si>
    <t xml:space="preserve">ENGINE TRUTH &amp; DATA CORRECTNESS - 52h. Ends with: the engine completes a governed run, and the registry, the grain and the outcome columns all agree.</t>
  </si>
  <si>
    <t xml:space="preserve">M2-01</t>
  </si>
  <si>
    <t xml:space="preserve">Grain assignment in the ML refresh routine</t>
  </si>
  <si>
    <t xml:space="preserve">engine</t>
  </si>
  <si>
    <t xml:space="preserve">25-Jul gate-gap diagnostic</t>
  </si>
  <si>
    <t xml:space="preserve">MEASURED ROOT CAUSE. defect.rate_per_m2 blocks on required-field completeness at 46.5 percent against an 85 percent bar. The gap is two clean cohorts, 99.9 percent of the miss: 18,074 slab-native sample keys and 2,441 heat-native sample keys sit in the coil-grain outcome set with ZERO matching feature rows, while 17,823 coil-native keys have 17,820 and the 8,643 null-native keys have 100 percent. Features were only ever generated for coil-native samples. Completeness is computed in NpgsqlFeatureVectorLoader as the share of outcome effective_sample_key values that also appear in ml_feature_values at the same grain, so this is join coverage and not data quality. The fix is NOT a manual UPDATE: ml_outcome_values is DELETEd and re-INSERTed by a refresh routine with source_system PPIQ-ML-Refresh whose INSERT assigns grain itself and would silently overwrite any hand correction. Correct the grain assignment inside that routine so a row is attributed to a canonical grain only when features exist at that grain for that sample.</t>
  </si>
  <si>
    <t xml:space="preserve">Re-run the refresh, then GET /api/analytics/advanced/readiness/gates?outcomeKey=defect.rate_per_m2&amp;grain=coil&amp;windowDays=3650. Required-field completeness reads 95 percent or above and the overall verdict is Ready. Re-running the refresh a second time does not change the result, which proves the fix is in the routine and not in the rows.</t>
  </si>
  <si>
    <t xml:space="preserve">M2-02</t>
  </si>
  <si>
    <t xml:space="preserve">Typed outcome reading: the ordinal column is never read</t>
  </si>
  <si>
    <t xml:space="preserve">MEASURED ENGINE DEFECT, not a data problem. defect.severity blocks on minority-class balance at 0.0 percent, yet severity_value carries a healthy distribution: Minor 28,578, Major 14,278, Critical 6,422, plus lowercase duplicates and singletons. The loader SQL in NpgsqlFeatureVectorLoader selects only effective_sample_key, numeric_value, category_value and heat_id. It NEVER reads severity_value. MapOutcome sends ordinal to Categorical, MinorityFraction groups on Category, every row has Category null, one group is formed, and the function returns 0.0. Fix the loader to read the column matching the outcome's declared statistical type. Include vocabulary normalisation as part of import rather than analysis: two scales are mixed in one column and casing duplicates exist, and a singleton value would still drag the minority to 0.002 percent even after the loader is corrected. Report surviving singletons to the user as a data-quality issue rather than silently dropping them.</t>
  </si>
  <si>
    <t xml:space="preserve">GET the readiness gates for defect.severity: minority-class balance reads at or above 10 percent computed from the real distribution, and the reason string names the actual minority class. A unit test covers each declared outcome type reading its correct column. No gate threshold is changed.</t>
  </si>
  <si>
    <t xml:space="preserve">M2-03</t>
  </si>
  <si>
    <t xml:space="preserve">Registry authority: no result under an undeclared key</t>
  </si>
  <si>
    <t xml:space="preserve">25-Jul registry diagnostic</t>
  </si>
  <si>
    <t xml:space="preserve">MEASURED DIVERGENCE. ml_outcome_definitions declares eight active outcomes under defect.*, downtime.cascade_minutes and kpi.*. The results table holds 320 rows of which 260, being 81 percent, sit under five keys the registry does not declare: quality.defect_hold_binary 112, quality.defect_rate_per_m2 70, downtime.equipment_stoppage_min 30, downtime.production_stoppage_min 30, downtime.cascade_amplified_flag 18. The rename pattern is visible: registry defect.rate_per_m2 against results quality.defect_rate_per_m2. The kpi group overlaps only because it was never renamed. Make the registry the sole authority: an engine may not write a result under a key the registry does not declare, and a rename is a migration that moves the registry entry, the stored results and every reference together. Decide the disposition of the 260 orphan rows explicitly: migrate them under the declared keys, or delete them as retired history. Do not leave them.</t>
  </si>
  <si>
    <t xml:space="preserve">A repository or runtime gate asserts that the set of distinct outcome_key values in ml_correlation_results_v2 is a subset of the active registry keys, and it returns zero orphans. The gate is falsified once, meaning seen red, before it is trusted.</t>
  </si>
  <si>
    <t xml:space="preserve">M2-04</t>
  </si>
  <si>
    <t xml:space="preserve">Retire the superseded correlation engines</t>
  </si>
  <si>
    <t xml:space="preserve">cleanup</t>
  </si>
  <si>
    <t xml:space="preserve">25-Jul engine investigation</t>
  </si>
  <si>
    <t xml:space="preserve">THREE implementations of one capability are registered: DotNetAdvancedCorrelationEngine (dotnet-analytics-core-v1, gated, the default), PostgresCorrelationComputeEngine (postgres-v6-type-aware, the previous generation, selected only when Analytics:AdvancedEngine:Enabled is false, and that flag is not overridden anywhere), and ManagedStatisticalComputeEngine (managed-stat-v1, a keyed service selectable per request). A fourth key, ppiql-deterministic-core-v1, appears in the stored evidence of the 320 rows and in a query filter but has no C# class: it is the Postgres SQL function's own key, so those rows were written by running the function directly. The Postgres path does not call the readiness gate and anchors its window to now(). It is not reachable as configured, so this is cleanup and not an emergency, but it violates the rule that one capability has one implementation. Delete the retired engine and its SQL function, decide whether managed-stat-v1 stays or goes, and remove the selection flag.</t>
  </si>
  <si>
    <t xml:space="preserve">Exactly one implementation of ICorrelationComputeEngine is registered. The retired class and its SQL function are deleted. An architecture test asserts the count and is falsified once before being trusted. dotnet build green, and the readiness and run endpoints behave identically to before.</t>
  </si>
  <si>
    <t xml:space="preserve">M2-05</t>
  </si>
  <si>
    <t xml:space="preserve">Window anchoring: dataset maximum, never wall clock</t>
  </si>
  <si>
    <t xml:space="preserve">A12 persona, 25-Jul</t>
  </si>
  <si>
    <t xml:space="preserve">A window anchored to the current time returns nothing on a historical dataset and does so with no error, which makes it one of the most expensive possible defects because it looks like an absence of signal rather than an absence of data. NpgsqlFeatureVectorLoader comments that its window is relative to the maximum observed timestamp, which suggests this is already correct in that loader, but the retired Postgres function anchors to now() and other paths have not been checked. Audit every place a window is applied. Where a wall-clock anchor is genuinely wanted it becomes an explicit named user-visible option, never a default.</t>
  </si>
  <si>
    <t xml:space="preserve">Every window application is anchored to the dataset maximum or carries an explicit opt-in flag. A test plants data entirely in the past and confirms a run still finds it.</t>
  </si>
  <si>
    <t xml:space="preserve">M2-06</t>
  </si>
  <si>
    <t xml:space="preserve">Engine ceiling: reach a completed run with a citable metric</t>
  </si>
  <si>
    <t xml:space="preserve">v27 M2-02, rewritten 25-Jul</t>
  </si>
  <si>
    <t xml:space="preserve">REWRITTEN. The v27 text said the engine blocks even at 100 percent completeness and asked for a diagnostic session to find the internal wall. That diagnosis is now DONE and the premise was wrong: there is no hidden wall. Roughly 45 runs are on record and every one is blocked for a named, correct reason, and the three data-bearing outcomes block on exactly the causes addressed by M2-01 and M2-02. This task is therefore the closing step: after M2-01 and M2-02 land, run a governed analysis on defect.rate_per_m2 and on defect.severity, confirm each completes, and surface the full reason list in the result payload rather than the message-only field that NpgsqlAdvancedResultWriter currently keeps. With completed runs, compute the citable headline metric fresh and store the run id beside it. The deck may use the number only with that run id printed.</t>
  </si>
  <si>
    <t xml:space="preserve">A governed run reaches status Completed on the presentation database and findings gain new rows. The readiness panel shows every dimension green for that run. The citable metric exists as a number plus its run id. The blocked path still works, proved by shrinking the window until it refuses.</t>
  </si>
  <si>
    <t xml:space="preserve">M2-07</t>
  </si>
  <si>
    <t xml:space="preserve">Rename the canonical grain away from steel vocabulary</t>
  </si>
  <si>
    <t xml:space="preserve">Rule 1, 25-Jul</t>
  </si>
  <si>
    <t xml:space="preserve">The canonical grain is named coil, and it currently carries native grains for slab, heat, cast, packaged lot, raw material, aluminium roll, aluminium cast, aluminium billet, compound batch, tyre unit, customer roll, batch and lot. That absorption is genuine proof of Rule 1 and is a strength. The name is a Rule 1 violation: one industry's product form labelling another industry's unit. Rename the canonical grain to an industry-neutral identifier across the registry, the outcome and feature stores, the API defaults and the interface, preserving native_grain untouched as the evidence of origin.</t>
  </si>
  <si>
    <t xml:space="preserve">No industry-specific grain name appears as a canonical grain identifier anywhere. native_grain values are unchanged. Readiness and run results are identical before and after, proving the rename is a rename.</t>
  </si>
  <si>
    <t xml:space="preserve">M2-P1 subtotal</t>
  </si>
  <si>
    <t xml:space="preserve">M2-P2</t>
  </si>
  <si>
    <t xml:space="preserve">USERS, LICENSING &amp; VALUE - 54h. Ends with: tier switching visibly changes the product, and a finding converts to a defensible euro range.</t>
  </si>
  <si>
    <t xml:space="preserve">M2-08</t>
  </si>
  <si>
    <t xml:space="preserve">Tier-to-feature matrix: the missing specification</t>
  </si>
  <si>
    <t xml:space="preserve">spec</t>
  </si>
  <si>
    <t xml:space="preserve">Scoreboard, CEO persona</t>
  </si>
  <si>
    <t xml:space="preserve">BLOCKS M2-10 AND CANNOT BE SKIPPED. rules.txt Rule 5.2 requires demonstrating that switching licence tier makes features visibly appear and disappear. That feature cannot be built because no tier-to-feature matrix exists: the four tiers are defined with their limits and prices, but nothing states which capability belongs to which tier. Author the matrix as a first-class artifact: every gateable capability as a row, the four tiers as columns, and a yes or no in each cell, plus the numeric caps for users, sources, jobs and dashboards. Derive it from the constitution's five layers of assistance and the connector tier gating already implemented. This is a paper task with no code, and it is the specification the entitlement work is built from.</t>
  </si>
  <si>
    <t xml:space="preserve">The matrix exists as a committed document with every capability assigned. No capability is unassigned. The connector gating already in the product matches its row, or the difference is recorded as a deliberate change.</t>
  </si>
  <si>
    <t xml:space="preserve">M2-09</t>
  </si>
  <si>
    <t xml:space="preserve">Users, roles and licensing administration</t>
  </si>
  <si>
    <t xml:space="preserve">v27 M2-01</t>
  </si>
  <si>
    <t xml:space="preserve">The product runs on one bootstrap admin. Build the admin surface for real installs. Backend: the auth model already carries users and permissions and PlantAccessControl consumes permission strings; add endpoints under /api/admin/users for list, create, deactivate, reset password and role assignment from a fixed catalogue of Admin, Engineer and Viewer mapping to existing permission strings; add a licences table with seats, expiry and plan, and a middleware check returning honest messaging when exceeded. Frontend: an Admin Users page using StandardP2 primitives, and a licence card showing seats used against total plus expiry. Deny by default: every new route enters the access matrix behind an admin.users permission.</t>
  </si>
  <si>
    <t xml:space="preserve">Create a Viewer through the interface and log in as them: the analysis run control is absent or disabled, the compute endpoint returns 403, and the admin page is invisible. The licence card shows correct counts. Setting seats below the current user count shows the honest limit message without breaking login.</t>
  </si>
  <si>
    <t xml:space="preserve">M2-10</t>
  </si>
  <si>
    <t xml:space="preserve">Live tier switching, the Rule 5.2 demonstration</t>
  </si>
  <si>
    <t xml:space="preserve">Scoreboard gap 4; needs M2-08</t>
  </si>
  <si>
    <t xml:space="preserve">Implement the matrix from M2-08 as runtime entitlement so that switching tier visibly adds and removes capability in the running product, which is what Rule 5.2 requires and what was cut from this presentation. Enforcement is at the endpoint layer from the signed token, and the interface hides or disables rather than only erroring on invocation. An entitlement check that accepts a client-supplied tier override must continue to ignore it, which is already the tamper-proof behaviour.</t>
  </si>
  <si>
    <t xml:space="preserve">Switch from Enterprise to Pro in a demonstration: features disappear from the interface, not merely fail when clicked. Switch back and they return. The change is driven by a signed token and not by an editable row. A test asserts every matrix row is enforced.</t>
  </si>
  <si>
    <t xml:space="preserve">M2-11</t>
  </si>
  <si>
    <t xml:space="preserve">The value engine: a finding becomes a defensible euro range</t>
  </si>
  <si>
    <t xml:space="preserve">NAMED IN YOUR OWN DOCTRINE AS THE LARGEST DOCTRINE-TO-BUILD GAP. Every finding, prediction and suggestion must convert to a quantified economic consequence. Requirements from the constitution: a per-tenant cost table supplies every economic input and nothing is hardcoded; the result is a bounded range and never a point estimate; every input is drillable to the data that produced it; the engine abstains rather than inventing a number when inputs are insufficient, governed exactly as an analytical abstention is; and downtime is modelled as two distinct quantities, equipment-stopped minutes and production-impact minutes, with the correct one used per calculation. PREREQUISITE: the formula referenced in rules.txt as section 7.5 was not present in any shared document and must be supplied or authored before this task starts.</t>
  </si>
  <si>
    <t xml:space="preserve">A finding on the reference dataset reproduces a bounded euro range that is stable across runs, with every input drillable to its source rows. Removing a cost-table input causes an abstention with a named reason rather than a silent default. The two downtime quantities are distinguishable in the output.</t>
  </si>
  <si>
    <t xml:space="preserve">M2-12</t>
  </si>
  <si>
    <t xml:space="preserve">Role-scoped view and edit, verified by walking each role</t>
  </si>
  <si>
    <t xml:space="preserve">Roles exist but the difference between what each role sees and what each role may edit has never been verified on this build. Walk the product as each role in the catalogue and record, per page, whether it is visible and whether it is editable. Fix every case where a role reaches a page or a control outside its scope. Deny by default means a new page is invisible until explicitly granted, so the audit also confirms that recently added routes carry their matrix entries.</t>
  </si>
  <si>
    <t xml:space="preserve">A matrix exists of role against page against view or edit, filled by walking. No role reaches a page or control outside its scope. Every route added since the last audit has a matrix entry.</t>
  </si>
  <si>
    <t xml:space="preserve">M2-13</t>
  </si>
  <si>
    <t xml:space="preserve">Phase push and regression pass</t>
  </si>
  <si>
    <t xml:space="preserve">v27 M2-06</t>
  </si>
  <si>
    <t xml:space="preserve">Close the phase: run the consolidated checklist sections covering users, entitlement, engine-completed runs and value, fix or note, then commit and push. Verify a clean clone builds.</t>
  </si>
  <si>
    <t xml:space="preserve">Checklist delta graded with zero blocking items. Push complete. A fresh clone passes npm ci, tsc -b, the architecture suite and dotnet build.</t>
  </si>
  <si>
    <t xml:space="preserve">M2-P2 subtotal</t>
  </si>
  <si>
    <t xml:space="preserve">M2-P3</t>
  </si>
  <si>
    <t xml:space="preserve">INFRASTRUCTURE &amp; DEPLOYMENT - 56h. Ends with: a reproducible deploy from CI, and every sizing claim traced to a measured run.</t>
  </si>
  <si>
    <t xml:space="preserve">M2-14</t>
  </si>
  <si>
    <t xml:space="preserve">CI truth gates: tests execute, never enumerate</t>
  </si>
  <si>
    <t xml:space="preserve">infra</t>
  </si>
  <si>
    <t xml:space="preserve">v27 M2-07, extended 25-Jul</t>
  </si>
  <si>
    <t xml:space="preserve">EXTENDED WITH A 25-JUL FINDING. The known item is package.json phase9:matrix invoking playwright with --list, which enumerates rather than executes. The finding the audit itself missed: tools/ci/validate-real-ui-gates.cjs, the guard that FORBIDS --list, is invoked by nothing, and it would fail if it were, because it requires the Jenkinsfile to contain three npm test commands and the Jenkinsfile contains none of them. Stage five runs a shell script that ends at npm run e2e. So the visual-regression and accessibility suites exist and execute in no pipeline at all. Replace every discovery-only invocation with real execution, wire the guard into the pipeline so it runs, and extend the truth-gate test to scan the pipeline files themselves.</t>
  </si>
  <si>
    <t xml:space="preserve">A pipeline run shows real execution counts for the unit, architecture and smoke stages. Deliberately breaking one architecture rule in a branch fails the pipeline. A repository search for discovery-only invocations returns only the guard's own forbidden-string list.</t>
  </si>
  <si>
    <t xml:space="preserve">M2-15</t>
  </si>
  <si>
    <t xml:space="preserve">Unskip the backend suite</t>
  </si>
  <si>
    <t xml:space="preserve">Scoreboard, developer persona</t>
  </si>
  <si>
    <t xml:space="preserve">The backend suite reports PASS with 66 passed, 91 skipped and 157 total, meaning 58 percent is skipped, including the entire connector truth-contract family. A suite that skips the majority of its cases is a green light with no information in it. Establish why each family is skipped, which is expected to be a missing live database or missing containers, provide those in the test environment, and register any genuinely environment-bound skip in a ledger with a justification. Skipping is allowed; unregistered skipping is not.</t>
  </si>
  <si>
    <t xml:space="preserve">The skipped count falls to the registered ledger entries only. The connector truth contracts execute. The ledger exists and every entry names why and what would let it run.</t>
  </si>
  <si>
    <t xml:space="preserve">M2-16</t>
  </si>
  <si>
    <t xml:space="preserve">Read and disposition the static contract audit</t>
  </si>
  <si>
    <t xml:space="preserve">25-Jul handover, never done</t>
  </si>
  <si>
    <t xml:space="preserve">The static contract audit reports PASS while carrying five CRITICAL and four HIGH findings, because the script exits zero regardless of what it finds. Its output file has never been opened. Read it, disposition every finding as fix, accept with a written justification, or reject as a false positive, and then make the script's exit code reflect its own findings so it can never again report pass while carrying criticals.</t>
  </si>
  <si>
    <t xml:space="preserve">Every critical and high finding carries a disposition. The script exits non-zero when a critical is present, proved by leaving one in place and observing the failure.</t>
  </si>
  <si>
    <t xml:space="preserve">M2-17</t>
  </si>
  <si>
    <t xml:space="preserve">Fix the sweep's stderr trap</t>
  </si>
  <si>
    <t xml:space="preserve">25-Jul handover</t>
  </si>
  <si>
    <t xml:space="preserve">The pre-certification sweep wraps every command under an error preference of Stop, so any tool that writes to stderr is recorded as a failure regardless of its real exit code. This produced three false failures in one run, including a frontend build that had actually succeeded and failed only on a chunk-size warning. Change the runner to Continue and judge purely by exit code.</t>
  </si>
  <si>
    <t xml:space="preserve">Re-run the sweep: the three previously false failures pass. A genuinely failing command still fails. The change is a single-line diff in the runner.</t>
  </si>
  <si>
    <t xml:space="preserve">M2-18</t>
  </si>
  <si>
    <t xml:space="preserve">Config hygiene: no hardcoded host, no bootstrap admin in shipped profiles</t>
  </si>
  <si>
    <t xml:space="preserve">v27 M2-08</t>
  </si>
  <si>
    <t xml:space="preserve">Fifteen hardcoded references to the staging address appear across deploy scripts and documentation, and the bootstrap admin flag is true in both the local and presentation profiles. Parameterise everything through one public-host variable consumed by the smoke, runtime-env, exposure-verification and acceptance scripts, with documentation keeping one clearly marked example. The bootstrap admin is allowed only in the local profile; presentation and any customer profile set it false with a first-run admin-creation path using a one-time setup token printed to the server log. Also remove the duplicated connection-string declaration present twice in both profile files.</t>
  </si>
  <si>
    <t xml:space="preserve">A search for the address returns only the single documented example. Starting with the presentation profile has no bootstrap admin and the first-run flow creates the initial admin. The acceptance script runs against a host passed as a parameter. Each profile declares its connection string once.</t>
  </si>
  <si>
    <t xml:space="preserve">M2-19</t>
  </si>
  <si>
    <t xml:space="preserve">Docker, Jenkins and the cloud deployment path</t>
  </si>
  <si>
    <t xml:space="preserve">v27 M2-09</t>
  </si>
  <si>
    <t xml:space="preserve">Make the deploy reproducible: compose for api, frontend and postgres with named volumes and health checks; the database initialised by the rebuild script chain on first boot; pipeline stages of build, test, image build, push, deploy and post-deploy smoke against the parameterised host. Secrets by environment and never in the repository. Karim provides server access and runs the first supervised deploy. Carry forward the two known infrastructure debts: the reverse-proxy configuration references stale container targets and its host source file was deleted, so it must not be recreated until a persistent corrected configuration exists; and the vector extension is unavailable in the running instance, which limits assistant retrieval to the extractive baseline.</t>
  </si>
  <si>
    <t xml:space="preserve">From a clean server one pipeline run produces a reachable application over https, the smoke passes, and the journey rail shows honest fresh-install pending states. A second run is idempotent. A runbook covers rollback to the previous image tag.</t>
  </si>
  <si>
    <t xml:space="preserve">M2-20</t>
  </si>
  <si>
    <t xml:space="preserve">Measure what the sizing doctrine claims</t>
  </si>
  <si>
    <t xml:space="preserve">Scoreboard, infrastructure persona 45</t>
  </si>
  <si>
    <t xml:space="preserve">THIS PERSONA SCORES 45 BECAUSE NOTHING IN IT HAS BEEN MEASURED. Every figure in the sizing doctrine is an estimate, the hundred-job concurrency claim has never been tested, and backup and restore have never been drilled. Estimates presented as measurements are an automatic failure for this reviewer. Build a load rig: define one hundred jobs across the import, analysis and machine-learning pools, run them concurrently against the bounded-parallelism executor, and record throughput, queue depth, statement timeouts and peak memory. Run one restore drill from backup and time it. Replace every sizing figure with a measured number or mark it explicitly as an estimate.</t>
  </si>
  <si>
    <t xml:space="preserve">A measurement report exists with real numbers for concurrency, throughput and resource use at the reference dataset size. A restore drill is completed and timed, giving a real recovery objective. Every sizing table figure traces to a run or is labelled an estimate.</t>
  </si>
  <si>
    <t xml:space="preserve">M2-P3 subtotal</t>
  </si>
  <si>
    <t xml:space="preserve">M2-P4</t>
  </si>
  <si>
    <t xml:space="preserve">SURFACES, CATALOGUE &amp; CANVAS - 58h. Ends with: five real no-code surfaces, the full chart catalogue, the canvas at spec.</t>
  </si>
  <si>
    <t xml:space="preserve">M2-21</t>
  </si>
  <si>
    <t xml:space="preserve">The machine-learning authoring surface</t>
  </si>
  <si>
    <t xml:space="preserve">Scoreboard point 2, S4 scored 40</t>
  </si>
  <si>
    <t xml:space="preserve">THE LOWEST-SCORING SURFACE. The product claims five no-code surfaces. The fourth, machine-learning authoring, does not exist as a distinct experience: there is a readiness route and the shared analysis route, and nothing else. Build it on the same authoring shell as the analysis toolbox so a user who learned one has learned both, differing only in the tool palette: model blocks rather than statistical method blocks, feature selection from the registry, and the same governed job binding, schedule and monitor. It stays licence-gated to the higher tiers per the matrix from M2-08.</t>
  </si>
  <si>
    <t xml:space="preserve">A user composes a model-based analysis with no code, binds it to a job, and sees it scheduled and monitored beside every other job. The surface reads as the same product as the analysis toolbox. Licence gating is enforced from the signed token.</t>
  </si>
  <si>
    <t xml:space="preserve">M2-22</t>
  </si>
  <si>
    <t xml:space="preserve">Harden the alerting surface to product grade</t>
  </si>
  <si>
    <t xml:space="preserve">v27 M2-05, plus M1-09 findings</t>
  </si>
  <si>
    <t xml:space="preserve">Rule authoring exists on the alerting page. Add scheduled evaluation as a hosted background service running rules every N minutes and writing plant-data-log rows, with per-rule enable and disable and a last-run status in the interface. Fold in whatever the M1-09 review found, since that page had never been reviewed at any depth before the presentation. Delivery grows from the in-app log toward email and webhook with an acknowledgement workflow.</t>
  </si>
  <si>
    <t xml:space="preserve">Create two rules and wait one scheduler cycle: the log gains rows and the list renders them with timestamps. Disabling a rule stops it. Every finding from M1-09 is fixed or explicitly accepted.</t>
  </si>
  <si>
    <t xml:space="preserve">M2-23</t>
  </si>
  <si>
    <t xml:space="preserve">Supervisor v1: the weekly loop with its guardrails</t>
  </si>
  <si>
    <t xml:space="preserve">v27 M2-05 split out</t>
  </si>
  <si>
    <t xml:space="preserve">The supervisor is currently read-only v0 with an honest empty state, and its page already states its own guardrail in the interface. Build v1: a weekly job that reads the latest findings and writes one knowledge-base row summarising them with the top finding, its effect and its run id. Then the constitutional guardrails, which are not optional: it may adjust job configurations, feature windows and thresholds within configured bounds; it may NEVER weaken a readiness gate, refusal logic or an evidence requirement; every adjustment is a provenance row carrying job, parameter, before, after, justification and evidence handle; a dry-run mode exists and is the default for any new adjustment class; and a known-answer drift test, where drift is injected and the supervisor is required to correct it, gates its release.</t>
  </si>
  <si>
    <t xml:space="preserve">The supervisor page shows a real generated report citing an actual run id, and the honest none-yet report on an empty finding set. Every adjustment writes a provenance row. A test proves the supervisor cannot lower a readiness threshold. The drift test passes.</t>
  </si>
  <si>
    <t xml:space="preserve">M2-24</t>
  </si>
  <si>
    <t xml:space="preserve">Full chart catalogue: box plot, gauge, waterfall, combo</t>
  </si>
  <si>
    <t xml:space="preserve">v27 M2-13</t>
  </si>
  <si>
    <t xml:space="preserve">Complete the workspace catalogue on the existing chart foundation. Box plot needs quartiles, so add a statistics mode to the widget query or a dedicated endpoint computing minimum, lower quartile, median, upper quartile and maximum per dimension server-side. Gauge is a single value against target bands using SVG arcs with CSS classes. Waterfall renders signed contributions from a dimension query. Combo is a bar plus line dual measure and requires the query to accept a secondary measure, which extends the DTO, the validation service and the registry compatibility rules. Each type needs a registry entry, a switcher availability rule, a selection contract, and no inline styles.</t>
  </si>
  <si>
    <t xml:space="preserve">Each type renders from a saved definition, responds to clicks per its dimension, respects the safety registry so incompatible measures are absent from the switcher, and persists after reload. Box-plot numbers match a psql percentile spot-check.</t>
  </si>
  <si>
    <t xml:space="preserve">M2-25</t>
  </si>
  <si>
    <t xml:space="preserve">Canvas at spec: SQL mode, templates, mockup parity</t>
  </si>
  <si>
    <t xml:space="preserve">v27 M2-14</t>
  </si>
  <si>
    <t xml:space="preserve">Finish the prep builder against its specification: an SQL tab showing the exact server-built select for the current graph, read-only first, with any editable mode submitting only through the safe-SQL validator and recording rejections honestly; the templates gallery to list, instantiate and delete; keyboard and touch polish for edge deletion, node duplication and fit-to-view; and a side-by-side review of the shipped canvas against the mockups with every divergence either fixed or accepted in writing. The dual-mode contract is binding: visual to SQL is deterministic and always available, switching a visual definition to SQL mode forks it and the graph becomes read-only history, and SQL back to visual is best-effort for a named subset only and never pretends to be a full round trip.</t>
  </si>
  <si>
    <t xml:space="preserve">The SQL tab shows the same query the dry run executed, confirmed by comparison against the recorded dry-run SQL. An intentionally dangerous edited statement is rejected and recorded. Templates round-trip. The parity list exists with every divergence dispositioned.</t>
  </si>
  <si>
    <t xml:space="preserve">M2-P4 subtotal</t>
  </si>
  <si>
    <t xml:space="preserve">M2-P5</t>
  </si>
  <si>
    <t xml:space="preserve">HYGIENE, DEBT &amp; DOCUMENTATION - 44h. Ends with: the schema at its ruled topology, one document set, and the accumulated debt closed.</t>
  </si>
  <si>
    <t xml:space="preserve">M2-26</t>
  </si>
  <si>
    <t xml:space="preserve">Schema topology: three application schemas</t>
  </si>
  <si>
    <t xml:space="preserve">backend</t>
  </si>
  <si>
    <t xml:space="preserve">Amendment 6, ratified in Constitution v2</t>
  </si>
  <si>
    <t xml:space="preserve">RATIFIED, NO LONGER A DRAFT. The product persists in exactly three application schemas per database plus the platform schema restricted to platform infrastructure: metadata for anything shipping identical to every customer, plant for anything existing because of this customer's data including every engine output, and staging for data in transit. The classification test is binding. Work: every persistence entity declares an explicit schema with no framework defaults; every create statement in the script directory names its schema; one audited migration moves existing tables, preserving data and updating every schema-qualified reference; and a generated inventory lists every application table with its origin script, class, target schema and a ruling. Eradication is in scope: every emulated-source table inside an application database is deleted, and any legacy database is dropped after archive verification.</t>
  </si>
  <si>
    <t xml:space="preserve">Four gates, each falsified once before being trusted. Every entity declares a ruled schema. Any unqualified create fails the lint. The platform schema owns zero application tables on a fresh install. The plant schema returns zero rows on day one, which is the literal Rule 2 proof.</t>
  </si>
  <si>
    <t xml:space="preserve">M2-27</t>
  </si>
  <si>
    <t xml:space="preserve">Consolidate the document set against Constitution v2</t>
  </si>
  <si>
    <t xml:space="preserve">Constitution v2, 25-Jul</t>
  </si>
  <si>
    <t xml:space="preserve">Twenty-two documents are drifted and partially stale, and several describe a less advanced concept than the built system. Constitution v2 now supersedes rules.txt, concept.md, Amendment 6, the identity and topology reference and the persona amendment, and carries a merge ledger recording what came from where and what was deleted. Retire every superseded file, keep only what the constitution does not absorb, and re-point every remaining document to cite it. Known gaps the constitution itself names and does not yet cover, each to be closed or explicitly deferred: a glossary, a data-model reference, non-functional numbers, business-continuity objectives, a customer upgrade policy, and a compliance control map.</t>
  </si>
  <si>
    <t xml:space="preserve">The document directory contains the constitution plus only documents it does not absorb. No retired file remains reachable. Every remaining document cites the constitution. The named gaps are each closed or listed as deferred with an owner.</t>
  </si>
  <si>
    <t xml:space="preserve">M2-28</t>
  </si>
  <si>
    <t xml:space="preserve">Security hardening pass</t>
  </si>
  <si>
    <t xml:space="preserve">security</t>
  </si>
  <si>
    <t xml:space="preserve">v27 M2-10</t>
  </si>
  <si>
    <t xml:space="preserve">Close the standing security items. Development-seed endpoints must be development-only, proved against a release build with a runtime assertion rather than a convention. Audit row-level security across every tenant table, confirming enabled, forced and policied, adding any missing as a migration. Review token lifetime and refresh. Rate-limit the authentication endpoints. Run dependency audits on both stacks with fixes or documented acceptances. Carry the two items deferred from the demonstration: the access token must move out of browser storage into memory with an HTTP-only refresh cookie, and administrator multi-factor must be enforced.</t>
  </si>
  <si>
    <t xml:space="preserve">A release build refuses to map the development-seed endpoints and a test proves it. A report shows every tenant table policied. Dependency audits show zero criticals or a signed exception list. Authentication endpoints return the rate-limit status on a burst. The token is no longer in browser storage.</t>
  </si>
  <si>
    <t xml:space="preserve">M2-29</t>
  </si>
  <si>
    <t xml:space="preserve">Associative engine optimisation: one-call state endpoint</t>
  </si>
  <si>
    <t xml:space="preserve">performance</t>
  </si>
  <si>
    <t xml:space="preserve">v27 M2-15</t>
  </si>
  <si>
    <t xml:space="preserve">The associative panel fires one widget query per field per change, which is eight calls, and its mount effect awaits them sequentially so columns appear one at a time. Build a single state endpoint accepting the current filters and returning every field's possible set and counts in one round trip, reusing the same registry-validated query internals with no new SQL surface, with a hash so an unchanged state returns not-modified. Swap the context to the single call keeping the per-field path behind a flag.</t>
  </si>
  <si>
    <t xml:space="preserve">The network panel shows one state call per selection change. A full re-shade completes under 300 milliseconds on the presentation dataset, with the measured number recorded. Repeating a selection returns not-modified. The fallback flag still works.</t>
  </si>
  <si>
    <t xml:space="preserve">M2-30</t>
  </si>
  <si>
    <t xml:space="preserve">Drilldown everywhere and saved investigation trails</t>
  </si>
  <si>
    <t xml:space="preserve">v27 M2-16</t>
  </si>
  <si>
    <t xml:space="preserve">Extend the drilldown drawer: from any drilldown, pin the payload to an investigation trail persisted per user, so a root-cause session can retrace its steps, rendered as a breadcrumb rail with jump-back. Add drilldown support to the chart types from M2-24. Also fix the two cosmetic items recorded during the scene review: the drawer has no slide transition and uses off-palette blues.</t>
  </si>
  <si>
    <t xml:space="preserve">Pin three drilldowns across different widgets, reload, reopen the trail: all three restore and jump back to their filter states. The new chart types open the drawer. The drawer animates and is on palette.</t>
  </si>
  <si>
    <t xml:space="preserve">M2-P5 subtotal</t>
  </si>
  <si>
    <t xml:space="preserve">M3-P1</t>
  </si>
  <si>
    <t xml:space="preserve">MARKET PROOF - 44h. Ends with: second-industry proof, a pilot kit and a case study.</t>
  </si>
  <si>
    <t xml:space="preserve">M3-01</t>
  </si>
  <si>
    <t xml:space="preserve">Second-industry proof on the generic core</t>
  </si>
  <si>
    <t xml:space="preserve">proof</t>
  </si>
  <si>
    <t xml:space="preserve">v27 M3-01</t>
  </si>
  <si>
    <t xml:space="preserve">Prove industry-agnostic beyond steel: a second emulated industry ingests through the identical journey with zero application changes. Note that the canonical layer already carries native grains for aluminium, tyre, batch and lot product types, which is partial evidence in the data today, but the claim is only proven when a second industry completes the whole journey from connect to finding without a code change.</t>
  </si>
  <si>
    <t xml:space="preserve">A second tenant and database shows the full journey green with no application change. The proof is recorded with screenshots and the specific commit it ran against.</t>
  </si>
  <si>
    <t xml:space="preserve">M3-02</t>
  </si>
  <si>
    <t xml:space="preserve">Pilot onboarding kit</t>
  </si>
  <si>
    <t xml:space="preserve">v27 M3-02</t>
  </si>
  <si>
    <t xml:space="preserve">Everything a customer needs between signature and first insight: the runbook, the connection prerequisites, the commissioning checklist including the manual customer-admin creation step, the data-readiness expectations expressed in the same five gate dimensions the product uses, and the escalation path.</t>
  </si>
  <si>
    <t xml:space="preserve">A person who did not build the product can take a new customer from signature to first imported batch using the kit alone.</t>
  </si>
  <si>
    <t xml:space="preserve">M3-03</t>
  </si>
  <si>
    <t xml:space="preserve">Case study and evidence-grade sales material</t>
  </si>
  <si>
    <t xml:space="preserve">v27 M3-03</t>
  </si>
  <si>
    <t xml:space="preserve">Convert the pilot into sales material under the honesty lint: every claim names a run id, a batch id or a screenshot, and no metric appears without its evidence. The readiness gate and the abstention behaviour are presented as differentiators rather than as caveats.</t>
  </si>
  <si>
    <t xml:space="preserve">The material passes the honesty lint with zero unevidenced claims. Every number carries its run id.</t>
  </si>
  <si>
    <t xml:space="preserve">M3-P1 subtotal</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</si>
</sst>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EAF6FF"/>
      <name val="Arial"/>
      <family val="0"/>
      <charset val="1"/>
    </font>
    <font>
      <b val="true"/>
      <sz val="10"/>
      <color rgb="FF00D4FF"/>
      <name val="Arial"/>
      <family val="0"/>
      <charset val="1"/>
    </font>
    <font>
      <b val="true"/>
      <sz val="10"/>
      <color rgb="FF1A1A1A"/>
      <name val="Arial"/>
      <family val="0"/>
      <charset val="1"/>
    </font>
    <font>
      <sz val="10"/>
      <color rgb="FF1A1A1A"/>
      <name val="Arial"/>
      <family val="0"/>
      <charset val="1"/>
    </font>
  </fonts>
  <fills count="10">
    <fill>
      <patternFill patternType="none"/>
    </fill>
    <fill>
      <patternFill patternType="gray125"/>
    </fill>
    <fill>
      <patternFill patternType="solid">
        <fgColor rgb="FF102A43"/>
        <bgColor rgb="FF0B1730"/>
      </patternFill>
    </fill>
    <fill>
      <patternFill patternType="solid">
        <fgColor rgb="FF0B1730"/>
        <bgColor rgb="FF1A1A1A"/>
      </patternFill>
    </fill>
    <fill>
      <patternFill patternType="solid">
        <fgColor rgb="FFCFF5E1"/>
        <bgColor rgb="FFDDF1FF"/>
      </patternFill>
    </fill>
    <fill>
      <patternFill patternType="solid">
        <fgColor rgb="FFFFD6DC"/>
        <bgColor rgb="FFFFE9C7"/>
      </patternFill>
    </fill>
    <fill>
      <patternFill patternType="solid">
        <fgColor rgb="FFFFE9C7"/>
        <bgColor rgb="FFFFF0C2"/>
      </patternFill>
    </fill>
    <fill>
      <patternFill patternType="solid">
        <fgColor rgb="FFE8EDF2"/>
        <bgColor rgb="FFDDF1FF"/>
      </patternFill>
    </fill>
    <fill>
      <patternFill patternType="solid">
        <fgColor rgb="FFFFF0C2"/>
        <bgColor rgb="FFFFE9C7"/>
      </patternFill>
    </fill>
    <fill>
      <patternFill patternType="solid">
        <fgColor rgb="FFDDF1FF"/>
        <bgColor rgb="FFE8EDF2"/>
      </patternFill>
    </fill>
  </fills>
  <borders count="2">
    <border diagonalUp="false" diagonalDown="false">
      <left/>
      <right/>
      <top/>
      <bottom/>
      <diagonal/>
    </border>
    <border diagonalUp="false" diagonalDown="false">
      <left style="thin">
        <color rgb="FFB9C6D4"/>
      </left>
      <right style="thin">
        <color rgb="FFB9C6D4"/>
      </right>
      <top style="thin">
        <color rgb="FFB9C6D4"/>
      </top>
      <bottom style="thin">
        <color rgb="FFB9C6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general" vertical="bottom" textRotation="0" wrapText="false" indent="0" shrinkToFit="false"/>
      <protection locked="true" hidden="false"/>
    </xf>
    <xf numFmtId="165" fontId="9"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AF6FF"/>
      <rgbColor rgb="FFFF0000"/>
      <rgbColor rgb="FF00FF00"/>
      <rgbColor rgb="FF0000FF"/>
      <rgbColor rgb="FFFFFF00"/>
      <rgbColor rgb="FFFF00FF"/>
      <rgbColor rgb="FF00FFFF"/>
      <rgbColor rgb="FF800000"/>
      <rgbColor rgb="FF008000"/>
      <rgbColor rgb="FF000080"/>
      <rgbColor rgb="FF808000"/>
      <rgbColor rgb="FF800080"/>
      <rgbColor rgb="FF008080"/>
      <rgbColor rgb="FFB9C6D4"/>
      <rgbColor rgb="FF808080"/>
      <rgbColor rgb="FF9999FF"/>
      <rgbColor rgb="FF993366"/>
      <rgbColor rgb="FFFFF0C2"/>
      <rgbColor rgb="FFDDF1FF"/>
      <rgbColor rgb="FF660066"/>
      <rgbColor rgb="FFFF8080"/>
      <rgbColor rgb="FF0066CC"/>
      <rgbColor rgb="FFCCCCFF"/>
      <rgbColor rgb="FF000080"/>
      <rgbColor rgb="FFFF00FF"/>
      <rgbColor rgb="FFFFFF00"/>
      <rgbColor rgb="FF00FFFF"/>
      <rgbColor rgb="FF800080"/>
      <rgbColor rgb="FF800000"/>
      <rgbColor rgb="FF008080"/>
      <rgbColor rgb="FF0000FF"/>
      <rgbColor rgb="FF00D4FF"/>
      <rgbColor rgb="FFE8EDF2"/>
      <rgbColor rgb="FFCFF5E1"/>
      <rgbColor rgb="FFFFE9C7"/>
      <rgbColor rgb="FF99CCFF"/>
      <rgbColor rgb="FFFF99CC"/>
      <rgbColor rgb="FFCC99FF"/>
      <rgbColor rgb="FFFFD6DC"/>
      <rgbColor rgb="FF3366FF"/>
      <rgbColor rgb="FF33CCCC"/>
      <rgbColor rgb="FF99CC00"/>
      <rgbColor rgb="FFFFCC00"/>
      <rgbColor rgb="FFFF9900"/>
      <rgbColor rgb="FFFF6600"/>
      <rgbColor rgb="FF666699"/>
      <rgbColor rgb="FF969696"/>
      <rgbColor rgb="FF102A43"/>
      <rgbColor rgb="FF339966"/>
      <rgbColor rgb="FF0B173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32"/>
  </cols>
  <sheetData>
    <row r="1" customFormat="false" ht="32.25" hidden="false" customHeight="true" outlineLevel="0" collapsed="false">
      <c r="A1" s="2" t="s">
        <v>0</v>
      </c>
      <c r="B1" s="3"/>
    </row>
    <row r="2" customFormat="false" ht="15" hidden="false" customHeight="true" outlineLevel="0" collapsed="false">
      <c r="A2" s="4"/>
      <c r="B2" s="3"/>
    </row>
    <row r="3" customFormat="false" ht="45" hidden="false" customHeight="true" outlineLevel="0" collapsed="false">
      <c r="A3" s="4" t="s">
        <v>1</v>
      </c>
      <c r="B3" s="3" t="s">
        <v>2</v>
      </c>
    </row>
    <row r="4" customFormat="false" ht="15" hidden="false" customHeight="true" outlineLevel="0" collapsed="false">
      <c r="A4" s="4"/>
      <c r="B4" s="3"/>
    </row>
    <row r="5" customFormat="false" ht="15" hidden="false" customHeight="true" outlineLevel="0" collapsed="false">
      <c r="A5" s="4" t="s">
        <v>3</v>
      </c>
      <c r="B5" s="3" t="s">
        <v>4</v>
      </c>
    </row>
    <row r="6" customFormat="false" ht="30" hidden="false" customHeight="true" outlineLevel="0" collapsed="false">
      <c r="A6" s="4" t="s">
        <v>5</v>
      </c>
      <c r="B6" s="3" t="s">
        <v>6</v>
      </c>
    </row>
    <row r="7" customFormat="false" ht="30" hidden="false" customHeight="true" outlineLevel="0" collapsed="false">
      <c r="A7" s="4" t="s">
        <v>7</v>
      </c>
      <c r="B7" s="3" t="s">
        <v>8</v>
      </c>
    </row>
    <row r="8" customFormat="false" ht="15" hidden="false" customHeight="true" outlineLevel="0" collapsed="false">
      <c r="A8" s="4" t="s">
        <v>9</v>
      </c>
      <c r="B8" s="3" t="s">
        <v>10</v>
      </c>
    </row>
    <row r="9" customFormat="false" ht="15" hidden="false" customHeight="true" outlineLevel="0" collapsed="false">
      <c r="A9" s="4" t="s">
        <v>11</v>
      </c>
      <c r="B9" s="3" t="s">
        <v>12</v>
      </c>
    </row>
    <row r="10" customFormat="false" ht="30" hidden="false" customHeight="true" outlineLevel="0" collapsed="false">
      <c r="A10" s="4" t="s">
        <v>13</v>
      </c>
      <c r="B10" s="3" t="s">
        <v>14</v>
      </c>
    </row>
    <row r="11" customFormat="false" ht="30" hidden="false" customHeight="true" outlineLevel="0" collapsed="false">
      <c r="A11" s="4" t="s">
        <v>15</v>
      </c>
      <c r="B11" s="3" t="s">
        <v>16</v>
      </c>
    </row>
    <row r="12" customFormat="false" ht="15" hidden="false" customHeight="true" outlineLevel="0" collapsed="false">
      <c r="A12" s="4"/>
      <c r="B12" s="3"/>
    </row>
    <row r="13" customFormat="false" ht="30" hidden="false" customHeight="true" outlineLevel="0" collapsed="false">
      <c r="A13" s="4" t="s">
        <v>17</v>
      </c>
      <c r="B13" s="3" t="s">
        <v>18</v>
      </c>
    </row>
    <row r="14" customFormat="false" ht="15" hidden="false" customHeight="true" outlineLevel="0" collapsed="false">
      <c r="A14" s="4"/>
      <c r="B14" s="3"/>
    </row>
    <row r="15" customFormat="false" ht="45" hidden="false" customHeight="true" outlineLevel="0" collapsed="false">
      <c r="A15" s="4" t="s">
        <v>19</v>
      </c>
      <c r="B15" s="3" t="s">
        <v>20</v>
      </c>
    </row>
    <row r="16" customFormat="false" ht="15" hidden="false" customHeight="true" outlineLevel="0" collapsed="false">
      <c r="A16" s="4"/>
      <c r="B16" s="3"/>
    </row>
    <row r="17" customFormat="false" ht="30" hidden="false" customHeight="true" outlineLevel="0" collapsed="false">
      <c r="A17" s="4" t="s">
        <v>21</v>
      </c>
      <c r="B17" s="3" t="s">
        <v>22</v>
      </c>
    </row>
    <row r="18" customFormat="false" ht="30" hidden="false" customHeight="true" outlineLevel="0" collapsed="false">
      <c r="A18" s="4" t="s">
        <v>23</v>
      </c>
      <c r="B18" s="3" t="s">
        <v>24</v>
      </c>
    </row>
    <row r="19" customFormat="false" ht="30" hidden="false" customHeight="true" outlineLevel="0" collapsed="false">
      <c r="A19" s="4" t="s">
        <v>25</v>
      </c>
      <c r="B19" s="3" t="s">
        <v>26</v>
      </c>
    </row>
    <row r="20" customFormat="false" ht="15" hidden="false" customHeight="true" outlineLevel="0" collapsed="false">
      <c r="A20" s="4"/>
      <c r="B20" s="3"/>
    </row>
    <row r="21" customFormat="false" ht="30" hidden="false" customHeight="true" outlineLevel="0" collapsed="false">
      <c r="A21" s="4" t="s">
        <v>27</v>
      </c>
      <c r="B21" s="3" t="s">
        <v>28</v>
      </c>
    </row>
    <row r="22" customFormat="false" ht="15" hidden="false" customHeight="true" outlineLevel="0" collapsed="false">
      <c r="A22" s="4"/>
      <c r="B22" s="3"/>
    </row>
    <row r="23" customFormat="false" ht="30" hidden="false" customHeight="true" outlineLevel="0" collapsed="false">
      <c r="A23" s="4" t="s">
        <v>29</v>
      </c>
      <c r="B23" s="3"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9"/>
    <col collapsed="false" customWidth="true" hidden="false" outlineLevel="0" max="3" min="3" style="1" width="42"/>
    <col collapsed="false" customWidth="true" hidden="false" outlineLevel="0" max="4" min="4" style="1" width="10"/>
    <col collapsed="false" customWidth="true" hidden="false" outlineLevel="0" max="5" min="5" style="1" width="13"/>
    <col collapsed="false" customWidth="true" hidden="false" outlineLevel="0" max="6" min="6" style="1" width="9"/>
    <col collapsed="false" customWidth="true" hidden="false" outlineLevel="0" max="7" min="7" style="1" width="7"/>
    <col collapsed="false" customWidth="true" hidden="false" outlineLevel="0" max="8" min="8" style="1" width="26"/>
    <col collapsed="false" customWidth="true" hidden="false" outlineLevel="0" max="9" min="9" style="1" width="86"/>
    <col collapsed="false" customWidth="true" hidden="false" outlineLevel="0" max="10" min="10" style="1" width="74"/>
  </cols>
  <sheetData>
    <row r="1" customFormat="false" ht="30" hidden="false" customHeight="true" outlineLevel="0" collapsed="false">
      <c r="A1" s="5" t="s">
        <v>31</v>
      </c>
      <c r="B1" s="5" t="s">
        <v>32</v>
      </c>
      <c r="C1" s="5" t="s">
        <v>33</v>
      </c>
      <c r="D1" s="5" t="s">
        <v>34</v>
      </c>
      <c r="E1" s="5" t="s">
        <v>35</v>
      </c>
      <c r="F1" s="5" t="s">
        <v>36</v>
      </c>
      <c r="G1" s="5" t="s">
        <v>37</v>
      </c>
      <c r="H1" s="5" t="s">
        <v>38</v>
      </c>
      <c r="I1" s="5" t="s">
        <v>39</v>
      </c>
      <c r="J1" s="5" t="s">
        <v>40</v>
      </c>
    </row>
    <row r="2" customFormat="false" ht="19.5" hidden="false" customHeight="true" outlineLevel="0" collapsed="false">
      <c r="A2" s="6" t="s">
        <v>41</v>
      </c>
      <c r="B2" s="6"/>
      <c r="C2" s="6" t="s">
        <v>42</v>
      </c>
      <c r="D2" s="6"/>
      <c r="E2" s="6"/>
      <c r="F2" s="6"/>
      <c r="G2" s="6"/>
      <c r="H2" s="6"/>
      <c r="I2" s="6"/>
      <c r="J2" s="6"/>
    </row>
    <row r="3" customFormat="false" ht="120" hidden="false" customHeight="true" outlineLevel="0" collapsed="false">
      <c r="A3" s="7" t="s">
        <v>43</v>
      </c>
      <c r="B3" s="8" t="s">
        <v>41</v>
      </c>
      <c r="C3" s="9" t="s">
        <v>44</v>
      </c>
      <c r="D3" s="10" t="s">
        <v>45</v>
      </c>
      <c r="E3" s="8" t="s">
        <v>46</v>
      </c>
      <c r="F3" s="8" t="s">
        <v>47</v>
      </c>
      <c r="G3" s="8" t="n">
        <v>1</v>
      </c>
      <c r="H3" s="9" t="s">
        <v>48</v>
      </c>
      <c r="I3" s="9" t="s">
        <v>49</v>
      </c>
      <c r="J3" s="9" t="s">
        <v>50</v>
      </c>
    </row>
    <row r="4" customFormat="false" ht="120" hidden="false" customHeight="true" outlineLevel="0" collapsed="false">
      <c r="A4" s="7" t="s">
        <v>51</v>
      </c>
      <c r="B4" s="8" t="s">
        <v>41</v>
      </c>
      <c r="C4" s="9" t="s">
        <v>52</v>
      </c>
      <c r="D4" s="10" t="s">
        <v>45</v>
      </c>
      <c r="E4" s="8" t="s">
        <v>53</v>
      </c>
      <c r="F4" s="8" t="s">
        <v>54</v>
      </c>
      <c r="G4" s="8" t="n">
        <v>8</v>
      </c>
      <c r="H4" s="9" t="s">
        <v>55</v>
      </c>
      <c r="I4" s="9" t="s">
        <v>56</v>
      </c>
      <c r="J4" s="9" t="s">
        <v>57</v>
      </c>
    </row>
    <row r="5" customFormat="false" ht="120" hidden="false" customHeight="true" outlineLevel="0" collapsed="false">
      <c r="A5" s="7" t="s">
        <v>58</v>
      </c>
      <c r="B5" s="8" t="s">
        <v>41</v>
      </c>
      <c r="C5" s="9" t="s">
        <v>59</v>
      </c>
      <c r="D5" s="10" t="s">
        <v>45</v>
      </c>
      <c r="E5" s="8" t="s">
        <v>60</v>
      </c>
      <c r="F5" s="8" t="s">
        <v>47</v>
      </c>
      <c r="G5" s="8" t="n">
        <v>3</v>
      </c>
      <c r="H5" s="9" t="s">
        <v>61</v>
      </c>
      <c r="I5" s="9" t="s">
        <v>62</v>
      </c>
      <c r="J5" s="9" t="s">
        <v>63</v>
      </c>
    </row>
    <row r="6" customFormat="false" ht="120" hidden="false" customHeight="true" outlineLevel="0" collapsed="false">
      <c r="A6" s="11" t="s">
        <v>64</v>
      </c>
      <c r="B6" s="8" t="s">
        <v>41</v>
      </c>
      <c r="C6" s="9" t="s">
        <v>65</v>
      </c>
      <c r="D6" s="10" t="s">
        <v>45</v>
      </c>
      <c r="E6" s="8" t="s">
        <v>60</v>
      </c>
      <c r="F6" s="8" t="s">
        <v>47</v>
      </c>
      <c r="G6" s="8" t="n">
        <v>4</v>
      </c>
      <c r="H6" s="9" t="s">
        <v>66</v>
      </c>
      <c r="I6" s="9" t="s">
        <v>67</v>
      </c>
      <c r="J6" s="9" t="s">
        <v>68</v>
      </c>
    </row>
    <row r="7" customFormat="false" ht="120" hidden="false" customHeight="true" outlineLevel="0" collapsed="false">
      <c r="A7" s="7" t="s">
        <v>69</v>
      </c>
      <c r="B7" s="8" t="s">
        <v>41</v>
      </c>
      <c r="C7" s="9" t="s">
        <v>70</v>
      </c>
      <c r="D7" s="10" t="s">
        <v>45</v>
      </c>
      <c r="E7" s="8" t="s">
        <v>71</v>
      </c>
      <c r="F7" s="8" t="s">
        <v>47</v>
      </c>
      <c r="G7" s="8" t="n">
        <v>2</v>
      </c>
      <c r="H7" s="9" t="s">
        <v>72</v>
      </c>
      <c r="I7" s="9" t="s">
        <v>73</v>
      </c>
      <c r="J7" s="9" t="s">
        <v>74</v>
      </c>
    </row>
    <row r="8" customFormat="false" ht="120" hidden="false" customHeight="true" outlineLevel="0" collapsed="false">
      <c r="A8" s="11" t="s">
        <v>75</v>
      </c>
      <c r="B8" s="8" t="s">
        <v>41</v>
      </c>
      <c r="C8" s="9" t="s">
        <v>76</v>
      </c>
      <c r="D8" s="10" t="s">
        <v>45</v>
      </c>
      <c r="E8" s="8" t="s">
        <v>53</v>
      </c>
      <c r="F8" s="8" t="s">
        <v>54</v>
      </c>
      <c r="G8" s="8" t="n">
        <v>8</v>
      </c>
      <c r="H8" s="9" t="s">
        <v>77</v>
      </c>
      <c r="I8" s="9" t="s">
        <v>78</v>
      </c>
      <c r="J8" s="9" t="s">
        <v>79</v>
      </c>
    </row>
    <row r="9" customFormat="false" ht="120" hidden="false" customHeight="true" outlineLevel="0" collapsed="false">
      <c r="A9" s="7" t="s">
        <v>80</v>
      </c>
      <c r="B9" s="8" t="s">
        <v>41</v>
      </c>
      <c r="C9" s="9" t="s">
        <v>81</v>
      </c>
      <c r="D9" s="12" t="s">
        <v>82</v>
      </c>
      <c r="E9" s="8" t="s">
        <v>83</v>
      </c>
      <c r="F9" s="8" t="s">
        <v>54</v>
      </c>
      <c r="G9" s="8" t="n">
        <v>6</v>
      </c>
      <c r="H9" s="9" t="s">
        <v>84</v>
      </c>
      <c r="I9" s="9" t="s">
        <v>85</v>
      </c>
      <c r="J9" s="9" t="s">
        <v>86</v>
      </c>
    </row>
    <row r="10" customFormat="false" ht="120" hidden="false" customHeight="true" outlineLevel="0" collapsed="false">
      <c r="A10" s="7" t="s">
        <v>87</v>
      </c>
      <c r="B10" s="8" t="s">
        <v>41</v>
      </c>
      <c r="C10" s="9" t="s">
        <v>88</v>
      </c>
      <c r="D10" s="12" t="s">
        <v>82</v>
      </c>
      <c r="E10" s="8" t="s">
        <v>60</v>
      </c>
      <c r="F10" s="8" t="s">
        <v>54</v>
      </c>
      <c r="G10" s="8" t="n">
        <v>4</v>
      </c>
      <c r="H10" s="9" t="s">
        <v>89</v>
      </c>
      <c r="I10" s="9" t="s">
        <v>90</v>
      </c>
      <c r="J10" s="9" t="s">
        <v>91</v>
      </c>
    </row>
    <row r="11" customFormat="false" ht="120" hidden="false" customHeight="true" outlineLevel="0" collapsed="false">
      <c r="A11" s="7" t="s">
        <v>92</v>
      </c>
      <c r="B11" s="8" t="s">
        <v>41</v>
      </c>
      <c r="C11" s="9" t="s">
        <v>93</v>
      </c>
      <c r="D11" s="12" t="s">
        <v>82</v>
      </c>
      <c r="E11" s="8" t="s">
        <v>60</v>
      </c>
      <c r="F11" s="8" t="s">
        <v>54</v>
      </c>
      <c r="G11" s="8" t="n">
        <v>4</v>
      </c>
      <c r="H11" s="9" t="s">
        <v>94</v>
      </c>
      <c r="I11" s="9" t="s">
        <v>95</v>
      </c>
      <c r="J11" s="9" t="s">
        <v>96</v>
      </c>
    </row>
    <row r="12" customFormat="false" ht="120" hidden="false" customHeight="true" outlineLevel="0" collapsed="false">
      <c r="A12" s="11" t="s">
        <v>97</v>
      </c>
      <c r="B12" s="8" t="s">
        <v>41</v>
      </c>
      <c r="C12" s="9" t="s">
        <v>98</v>
      </c>
      <c r="D12" s="12" t="s">
        <v>82</v>
      </c>
      <c r="E12" s="8" t="s">
        <v>71</v>
      </c>
      <c r="F12" s="8" t="s">
        <v>47</v>
      </c>
      <c r="G12" s="8" t="n">
        <v>4</v>
      </c>
      <c r="H12" s="9" t="s">
        <v>99</v>
      </c>
      <c r="I12" s="9" t="s">
        <v>100</v>
      </c>
      <c r="J12" s="9" t="s">
        <v>101</v>
      </c>
    </row>
    <row r="13" customFormat="false" ht="120" hidden="false" customHeight="true" outlineLevel="0" collapsed="false">
      <c r="A13" s="11" t="s">
        <v>102</v>
      </c>
      <c r="B13" s="8" t="s">
        <v>41</v>
      </c>
      <c r="C13" s="9" t="s">
        <v>103</v>
      </c>
      <c r="D13" s="10" t="s">
        <v>45</v>
      </c>
      <c r="E13" s="8" t="s">
        <v>46</v>
      </c>
      <c r="F13" s="8" t="s">
        <v>47</v>
      </c>
      <c r="G13" s="8" t="n">
        <v>4</v>
      </c>
      <c r="H13" s="9" t="s">
        <v>104</v>
      </c>
      <c r="I13" s="9" t="s">
        <v>105</v>
      </c>
      <c r="J13" s="9" t="s">
        <v>106</v>
      </c>
    </row>
    <row r="14" customFormat="false" ht="15" hidden="false" customHeight="true" outlineLevel="0" collapsed="false">
      <c r="A14" s="13"/>
      <c r="B14" s="13"/>
      <c r="C14" s="14" t="s">
        <v>107</v>
      </c>
      <c r="D14" s="13"/>
      <c r="E14" s="13"/>
      <c r="F14" s="13"/>
      <c r="G14" s="15" t="n">
        <f aca="false">SUM(G3:G13)</f>
        <v>48</v>
      </c>
      <c r="H14" s="13"/>
      <c r="I14" s="13"/>
      <c r="J14" s="13"/>
    </row>
    <row r="16" customFormat="false" ht="19.5" hidden="false" customHeight="true" outlineLevel="0" collapsed="false">
      <c r="A16" s="6" t="s">
        <v>108</v>
      </c>
      <c r="B16" s="6"/>
      <c r="C16" s="6" t="s">
        <v>109</v>
      </c>
      <c r="D16" s="6"/>
      <c r="E16" s="6"/>
      <c r="F16" s="6"/>
      <c r="G16" s="6"/>
      <c r="H16" s="6"/>
      <c r="I16" s="6"/>
      <c r="J16" s="6"/>
    </row>
    <row r="17" customFormat="false" ht="120" hidden="false" customHeight="true" outlineLevel="0" collapsed="false">
      <c r="A17" s="16" t="s">
        <v>110</v>
      </c>
      <c r="B17" s="8" t="s">
        <v>108</v>
      </c>
      <c r="C17" s="9" t="s">
        <v>111</v>
      </c>
      <c r="D17" s="10" t="s">
        <v>45</v>
      </c>
      <c r="E17" s="8" t="s">
        <v>83</v>
      </c>
      <c r="F17" s="8" t="s">
        <v>112</v>
      </c>
      <c r="G17" s="8" t="n">
        <v>8</v>
      </c>
      <c r="H17" s="9" t="s">
        <v>113</v>
      </c>
      <c r="I17" s="9" t="s">
        <v>114</v>
      </c>
      <c r="J17" s="9" t="s">
        <v>115</v>
      </c>
    </row>
    <row r="18" customFormat="false" ht="120" hidden="false" customHeight="true" outlineLevel="0" collapsed="false">
      <c r="A18" s="11" t="s">
        <v>116</v>
      </c>
      <c r="B18" s="8" t="s">
        <v>108</v>
      </c>
      <c r="C18" s="9" t="s">
        <v>117</v>
      </c>
      <c r="D18" s="12" t="s">
        <v>82</v>
      </c>
      <c r="E18" s="8" t="s">
        <v>83</v>
      </c>
      <c r="F18" s="8" t="s">
        <v>112</v>
      </c>
      <c r="G18" s="8" t="n">
        <v>6</v>
      </c>
      <c r="H18" s="9" t="s">
        <v>118</v>
      </c>
      <c r="I18" s="9" t="s">
        <v>119</v>
      </c>
      <c r="J18" s="9" t="s">
        <v>120</v>
      </c>
    </row>
    <row r="19" customFormat="false" ht="120" hidden="false" customHeight="true" outlineLevel="0" collapsed="false">
      <c r="A19" s="11" t="s">
        <v>121</v>
      </c>
      <c r="B19" s="8" t="s">
        <v>108</v>
      </c>
      <c r="C19" s="9" t="s">
        <v>122</v>
      </c>
      <c r="D19" s="12" t="s">
        <v>82</v>
      </c>
      <c r="E19" s="8" t="s">
        <v>83</v>
      </c>
      <c r="F19" s="8" t="s">
        <v>112</v>
      </c>
      <c r="G19" s="8" t="n">
        <v>10</v>
      </c>
      <c r="H19" s="9" t="s">
        <v>123</v>
      </c>
      <c r="I19" s="9" t="s">
        <v>124</v>
      </c>
      <c r="J19" s="9" t="s">
        <v>125</v>
      </c>
    </row>
    <row r="20" customFormat="false" ht="120" hidden="false" customHeight="true" outlineLevel="0" collapsed="false">
      <c r="A20" s="11" t="s">
        <v>126</v>
      </c>
      <c r="B20" s="8" t="s">
        <v>108</v>
      </c>
      <c r="C20" s="9" t="s">
        <v>127</v>
      </c>
      <c r="D20" s="12" t="s">
        <v>82</v>
      </c>
      <c r="E20" s="8" t="s">
        <v>83</v>
      </c>
      <c r="F20" s="8" t="s">
        <v>112</v>
      </c>
      <c r="G20" s="8" t="n">
        <v>10</v>
      </c>
      <c r="H20" s="9" t="s">
        <v>128</v>
      </c>
      <c r="I20" s="9" t="s">
        <v>129</v>
      </c>
      <c r="J20" s="9" t="s">
        <v>130</v>
      </c>
    </row>
    <row r="21" customFormat="false" ht="120" hidden="false" customHeight="true" outlineLevel="0" collapsed="false">
      <c r="A21" s="11" t="s">
        <v>131</v>
      </c>
      <c r="B21" s="8" t="s">
        <v>108</v>
      </c>
      <c r="C21" s="9" t="s">
        <v>132</v>
      </c>
      <c r="D21" s="17" t="s">
        <v>133</v>
      </c>
      <c r="E21" s="8" t="s">
        <v>83</v>
      </c>
      <c r="F21" s="8" t="s">
        <v>112</v>
      </c>
      <c r="G21" s="8" t="n">
        <v>6</v>
      </c>
      <c r="H21" s="9" t="s">
        <v>134</v>
      </c>
      <c r="I21" s="9" t="s">
        <v>135</v>
      </c>
      <c r="J21" s="9" t="s">
        <v>136</v>
      </c>
    </row>
    <row r="22" customFormat="false" ht="120" hidden="false" customHeight="true" outlineLevel="0" collapsed="false">
      <c r="A22" s="11" t="s">
        <v>137</v>
      </c>
      <c r="B22" s="8" t="s">
        <v>108</v>
      </c>
      <c r="C22" s="9" t="s">
        <v>138</v>
      </c>
      <c r="D22" s="17" t="s">
        <v>133</v>
      </c>
      <c r="E22" s="8" t="s">
        <v>83</v>
      </c>
      <c r="F22" s="8" t="s">
        <v>54</v>
      </c>
      <c r="G22" s="8" t="n">
        <v>4</v>
      </c>
      <c r="H22" s="9" t="s">
        <v>139</v>
      </c>
      <c r="I22" s="9" t="s">
        <v>140</v>
      </c>
      <c r="J22" s="9" t="s">
        <v>141</v>
      </c>
    </row>
    <row r="23" customFormat="false" ht="120" hidden="false" customHeight="true" outlineLevel="0" collapsed="false">
      <c r="A23" s="7" t="s">
        <v>142</v>
      </c>
      <c r="B23" s="8" t="s">
        <v>108</v>
      </c>
      <c r="C23" s="9" t="s">
        <v>143</v>
      </c>
      <c r="D23" s="10" t="s">
        <v>45</v>
      </c>
      <c r="E23" s="8" t="s">
        <v>46</v>
      </c>
      <c r="F23" s="8" t="s">
        <v>47</v>
      </c>
      <c r="G23" s="8" t="n">
        <v>2</v>
      </c>
      <c r="H23" s="9" t="s">
        <v>144</v>
      </c>
      <c r="I23" s="9" t="s">
        <v>145</v>
      </c>
      <c r="J23" s="9" t="s">
        <v>146</v>
      </c>
    </row>
    <row r="24" customFormat="false" ht="15" hidden="false" customHeight="true" outlineLevel="0" collapsed="false">
      <c r="A24" s="13"/>
      <c r="B24" s="13"/>
      <c r="C24" s="14" t="s">
        <v>147</v>
      </c>
      <c r="D24" s="13"/>
      <c r="E24" s="13"/>
      <c r="F24" s="13"/>
      <c r="G24" s="15" t="n">
        <f aca="false">SUM(G17:G23)</f>
        <v>46</v>
      </c>
      <c r="H24" s="13"/>
      <c r="I24" s="13"/>
      <c r="J24"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9"/>
    <col collapsed="false" customWidth="true" hidden="false" outlineLevel="0" max="3" min="3" style="1" width="42"/>
    <col collapsed="false" customWidth="true" hidden="false" outlineLevel="0" max="4" min="4" style="1" width="10"/>
    <col collapsed="false" customWidth="true" hidden="false" outlineLevel="0" max="5" min="5" style="1" width="13"/>
    <col collapsed="false" customWidth="true" hidden="false" outlineLevel="0" max="6" min="6" style="1" width="9"/>
    <col collapsed="false" customWidth="true" hidden="false" outlineLevel="0" max="7" min="7" style="1" width="7"/>
    <col collapsed="false" customWidth="true" hidden="false" outlineLevel="0" max="8" min="8" style="1" width="26"/>
    <col collapsed="false" customWidth="true" hidden="false" outlineLevel="0" max="9" min="9" style="1" width="86"/>
    <col collapsed="false" customWidth="true" hidden="false" outlineLevel="0" max="10" min="10" style="1" width="74"/>
  </cols>
  <sheetData>
    <row r="1" customFormat="false" ht="30" hidden="false" customHeight="true" outlineLevel="0" collapsed="false">
      <c r="A1" s="5" t="s">
        <v>31</v>
      </c>
      <c r="B1" s="5" t="s">
        <v>32</v>
      </c>
      <c r="C1" s="5" t="s">
        <v>33</v>
      </c>
      <c r="D1" s="5" t="s">
        <v>34</v>
      </c>
      <c r="E1" s="5" t="s">
        <v>35</v>
      </c>
      <c r="F1" s="5" t="s">
        <v>36</v>
      </c>
      <c r="G1" s="5" t="s">
        <v>37</v>
      </c>
      <c r="H1" s="5" t="s">
        <v>38</v>
      </c>
      <c r="I1" s="5" t="s">
        <v>39</v>
      </c>
      <c r="J1" s="5" t="s">
        <v>40</v>
      </c>
    </row>
    <row r="2" customFormat="false" ht="19.5" hidden="false" customHeight="true" outlineLevel="0" collapsed="false">
      <c r="A2" s="6" t="s">
        <v>148</v>
      </c>
      <c r="B2" s="6"/>
      <c r="C2" s="6" t="s">
        <v>149</v>
      </c>
      <c r="D2" s="6"/>
      <c r="E2" s="6"/>
      <c r="F2" s="6"/>
      <c r="G2" s="6"/>
      <c r="H2" s="6"/>
      <c r="I2" s="6"/>
      <c r="J2" s="6"/>
    </row>
    <row r="3" customFormat="false" ht="120" hidden="false" customHeight="true" outlineLevel="0" collapsed="false">
      <c r="A3" s="7" t="s">
        <v>150</v>
      </c>
      <c r="B3" s="8" t="s">
        <v>148</v>
      </c>
      <c r="C3" s="9" t="s">
        <v>151</v>
      </c>
      <c r="D3" s="10" t="s">
        <v>45</v>
      </c>
      <c r="E3" s="8" t="s">
        <v>152</v>
      </c>
      <c r="F3" s="8" t="s">
        <v>112</v>
      </c>
      <c r="G3" s="8" t="n">
        <v>10</v>
      </c>
      <c r="H3" s="9" t="s">
        <v>153</v>
      </c>
      <c r="I3" s="9" t="s">
        <v>154</v>
      </c>
      <c r="J3" s="9" t="s">
        <v>155</v>
      </c>
    </row>
    <row r="4" customFormat="false" ht="120" hidden="false" customHeight="true" outlineLevel="0" collapsed="false">
      <c r="A4" s="7" t="s">
        <v>156</v>
      </c>
      <c r="B4" s="8" t="s">
        <v>148</v>
      </c>
      <c r="C4" s="9" t="s">
        <v>157</v>
      </c>
      <c r="D4" s="10" t="s">
        <v>45</v>
      </c>
      <c r="E4" s="8" t="s">
        <v>152</v>
      </c>
      <c r="F4" s="8" t="s">
        <v>112</v>
      </c>
      <c r="G4" s="8" t="n">
        <v>8</v>
      </c>
      <c r="H4" s="9" t="s">
        <v>153</v>
      </c>
      <c r="I4" s="9" t="s">
        <v>158</v>
      </c>
      <c r="J4" s="9" t="s">
        <v>159</v>
      </c>
    </row>
    <row r="5" customFormat="false" ht="120" hidden="false" customHeight="true" outlineLevel="0" collapsed="false">
      <c r="A5" s="7" t="s">
        <v>160</v>
      </c>
      <c r="B5" s="8" t="s">
        <v>148</v>
      </c>
      <c r="C5" s="9" t="s">
        <v>161</v>
      </c>
      <c r="D5" s="10" t="s">
        <v>45</v>
      </c>
      <c r="E5" s="8" t="s">
        <v>152</v>
      </c>
      <c r="F5" s="8" t="s">
        <v>112</v>
      </c>
      <c r="G5" s="8" t="n">
        <v>8</v>
      </c>
      <c r="H5" s="9" t="s">
        <v>162</v>
      </c>
      <c r="I5" s="9" t="s">
        <v>163</v>
      </c>
      <c r="J5" s="9" t="s">
        <v>164</v>
      </c>
    </row>
    <row r="6" customFormat="false" ht="120" hidden="false" customHeight="true" outlineLevel="0" collapsed="false">
      <c r="A6" s="7" t="s">
        <v>165</v>
      </c>
      <c r="B6" s="8" t="s">
        <v>148</v>
      </c>
      <c r="C6" s="9" t="s">
        <v>166</v>
      </c>
      <c r="D6" s="12" t="s">
        <v>82</v>
      </c>
      <c r="E6" s="8" t="s">
        <v>167</v>
      </c>
      <c r="F6" s="8" t="s">
        <v>112</v>
      </c>
      <c r="G6" s="8" t="n">
        <v>8</v>
      </c>
      <c r="H6" s="9" t="s">
        <v>168</v>
      </c>
      <c r="I6" s="9" t="s">
        <v>169</v>
      </c>
      <c r="J6" s="9" t="s">
        <v>170</v>
      </c>
    </row>
    <row r="7" customFormat="false" ht="120" hidden="false" customHeight="true" outlineLevel="0" collapsed="false">
      <c r="A7" s="7" t="s">
        <v>171</v>
      </c>
      <c r="B7" s="8" t="s">
        <v>148</v>
      </c>
      <c r="C7" s="9" t="s">
        <v>172</v>
      </c>
      <c r="D7" s="12" t="s">
        <v>82</v>
      </c>
      <c r="E7" s="8" t="s">
        <v>152</v>
      </c>
      <c r="F7" s="8" t="s">
        <v>112</v>
      </c>
      <c r="G7" s="8" t="n">
        <v>4</v>
      </c>
      <c r="H7" s="9" t="s">
        <v>173</v>
      </c>
      <c r="I7" s="9" t="s">
        <v>174</v>
      </c>
      <c r="J7" s="9" t="s">
        <v>175</v>
      </c>
    </row>
    <row r="8" customFormat="false" ht="120" hidden="false" customHeight="true" outlineLevel="0" collapsed="false">
      <c r="A8" s="16" t="s">
        <v>176</v>
      </c>
      <c r="B8" s="8" t="s">
        <v>148</v>
      </c>
      <c r="C8" s="9" t="s">
        <v>177</v>
      </c>
      <c r="D8" s="10" t="s">
        <v>45</v>
      </c>
      <c r="E8" s="8" t="s">
        <v>152</v>
      </c>
      <c r="F8" s="8" t="s">
        <v>54</v>
      </c>
      <c r="G8" s="8" t="n">
        <v>10</v>
      </c>
      <c r="H8" s="9" t="s">
        <v>178</v>
      </c>
      <c r="I8" s="9" t="s">
        <v>179</v>
      </c>
      <c r="J8" s="9" t="s">
        <v>180</v>
      </c>
    </row>
    <row r="9" customFormat="false" ht="120" hidden="false" customHeight="true" outlineLevel="0" collapsed="false">
      <c r="A9" s="7" t="s">
        <v>181</v>
      </c>
      <c r="B9" s="8" t="s">
        <v>148</v>
      </c>
      <c r="C9" s="9" t="s">
        <v>182</v>
      </c>
      <c r="D9" s="17" t="s">
        <v>133</v>
      </c>
      <c r="E9" s="8" t="s">
        <v>167</v>
      </c>
      <c r="F9" s="8" t="s">
        <v>112</v>
      </c>
      <c r="G9" s="8" t="n">
        <v>4</v>
      </c>
      <c r="H9" s="9" t="s">
        <v>183</v>
      </c>
      <c r="I9" s="9" t="s">
        <v>184</v>
      </c>
      <c r="J9" s="9" t="s">
        <v>185</v>
      </c>
    </row>
    <row r="10" customFormat="false" ht="15" hidden="false" customHeight="true" outlineLevel="0" collapsed="false">
      <c r="A10" s="13"/>
      <c r="B10" s="13"/>
      <c r="C10" s="14" t="s">
        <v>186</v>
      </c>
      <c r="D10" s="13"/>
      <c r="E10" s="13"/>
      <c r="F10" s="13"/>
      <c r="G10" s="15" t="n">
        <f aca="false">SUM(G3:G9)</f>
        <v>52</v>
      </c>
      <c r="H10" s="13"/>
      <c r="I10" s="13"/>
      <c r="J10" s="13"/>
    </row>
    <row r="12" customFormat="false" ht="19.5" hidden="false" customHeight="true" outlineLevel="0" collapsed="false">
      <c r="A12" s="6" t="s">
        <v>187</v>
      </c>
      <c r="B12" s="6"/>
      <c r="C12" s="6" t="s">
        <v>188</v>
      </c>
      <c r="D12" s="6"/>
      <c r="E12" s="6"/>
      <c r="F12" s="6"/>
      <c r="G12" s="6"/>
      <c r="H12" s="6"/>
      <c r="I12" s="6"/>
      <c r="J12" s="6"/>
    </row>
    <row r="13" customFormat="false" ht="120" hidden="false" customHeight="true" outlineLevel="0" collapsed="false">
      <c r="A13" s="7" t="s">
        <v>189</v>
      </c>
      <c r="B13" s="8" t="s">
        <v>187</v>
      </c>
      <c r="C13" s="9" t="s">
        <v>190</v>
      </c>
      <c r="D13" s="10" t="s">
        <v>45</v>
      </c>
      <c r="E13" s="8" t="s">
        <v>191</v>
      </c>
      <c r="F13" s="8" t="s">
        <v>54</v>
      </c>
      <c r="G13" s="8" t="n">
        <v>6</v>
      </c>
      <c r="H13" s="9" t="s">
        <v>192</v>
      </c>
      <c r="I13" s="9" t="s">
        <v>193</v>
      </c>
      <c r="J13" s="9" t="s">
        <v>194</v>
      </c>
    </row>
    <row r="14" customFormat="false" ht="120" hidden="false" customHeight="true" outlineLevel="0" collapsed="false">
      <c r="A14" s="11" t="s">
        <v>195</v>
      </c>
      <c r="B14" s="8" t="s">
        <v>187</v>
      </c>
      <c r="C14" s="9" t="s">
        <v>196</v>
      </c>
      <c r="D14" s="10" t="s">
        <v>45</v>
      </c>
      <c r="E14" s="8" t="s">
        <v>83</v>
      </c>
      <c r="F14" s="8" t="s">
        <v>112</v>
      </c>
      <c r="G14" s="8" t="n">
        <v>14</v>
      </c>
      <c r="H14" s="9" t="s">
        <v>197</v>
      </c>
      <c r="I14" s="9" t="s">
        <v>198</v>
      </c>
      <c r="J14" s="9" t="s">
        <v>199</v>
      </c>
    </row>
    <row r="15" customFormat="false" ht="120" hidden="false" customHeight="true" outlineLevel="0" collapsed="false">
      <c r="A15" s="7" t="s">
        <v>200</v>
      </c>
      <c r="B15" s="8" t="s">
        <v>187</v>
      </c>
      <c r="C15" s="9" t="s">
        <v>201</v>
      </c>
      <c r="D15" s="10" t="s">
        <v>45</v>
      </c>
      <c r="E15" s="8" t="s">
        <v>83</v>
      </c>
      <c r="F15" s="8" t="s">
        <v>112</v>
      </c>
      <c r="G15" s="8" t="n">
        <v>10</v>
      </c>
      <c r="H15" s="9" t="s">
        <v>202</v>
      </c>
      <c r="I15" s="9" t="s">
        <v>203</v>
      </c>
      <c r="J15" s="9" t="s">
        <v>204</v>
      </c>
    </row>
    <row r="16" customFormat="false" ht="120" hidden="false" customHeight="true" outlineLevel="0" collapsed="false">
      <c r="A16" s="7" t="s">
        <v>205</v>
      </c>
      <c r="B16" s="8" t="s">
        <v>187</v>
      </c>
      <c r="C16" s="9" t="s">
        <v>206</v>
      </c>
      <c r="D16" s="10" t="s">
        <v>45</v>
      </c>
      <c r="E16" s="8" t="s">
        <v>83</v>
      </c>
      <c r="F16" s="8" t="s">
        <v>112</v>
      </c>
      <c r="G16" s="8" t="n">
        <v>16</v>
      </c>
      <c r="H16" s="9" t="s">
        <v>192</v>
      </c>
      <c r="I16" s="9" t="s">
        <v>207</v>
      </c>
      <c r="J16" s="9" t="s">
        <v>208</v>
      </c>
    </row>
    <row r="17" customFormat="false" ht="120" hidden="false" customHeight="true" outlineLevel="0" collapsed="false">
      <c r="A17" s="7" t="s">
        <v>209</v>
      </c>
      <c r="B17" s="8" t="s">
        <v>187</v>
      </c>
      <c r="C17" s="9" t="s">
        <v>210</v>
      </c>
      <c r="D17" s="12" t="s">
        <v>82</v>
      </c>
      <c r="E17" s="8" t="s">
        <v>60</v>
      </c>
      <c r="F17" s="8" t="s">
        <v>54</v>
      </c>
      <c r="G17" s="8" t="n">
        <v>6</v>
      </c>
      <c r="H17" s="9" t="s">
        <v>192</v>
      </c>
      <c r="I17" s="9" t="s">
        <v>211</v>
      </c>
      <c r="J17" s="9" t="s">
        <v>212</v>
      </c>
    </row>
    <row r="18" customFormat="false" ht="120" hidden="false" customHeight="true" outlineLevel="0" collapsed="false">
      <c r="A18" s="11" t="s">
        <v>213</v>
      </c>
      <c r="B18" s="8" t="s">
        <v>187</v>
      </c>
      <c r="C18" s="9" t="s">
        <v>214</v>
      </c>
      <c r="D18" s="10" t="s">
        <v>45</v>
      </c>
      <c r="E18" s="8" t="s">
        <v>46</v>
      </c>
      <c r="F18" s="8" t="s">
        <v>47</v>
      </c>
      <c r="G18" s="8" t="n">
        <v>2</v>
      </c>
      <c r="H18" s="9" t="s">
        <v>215</v>
      </c>
      <c r="I18" s="9" t="s">
        <v>216</v>
      </c>
      <c r="J18" s="9" t="s">
        <v>217</v>
      </c>
    </row>
    <row r="19" customFormat="false" ht="15" hidden="false" customHeight="true" outlineLevel="0" collapsed="false">
      <c r="A19" s="13"/>
      <c r="B19" s="13"/>
      <c r="C19" s="14" t="s">
        <v>218</v>
      </c>
      <c r="D19" s="13"/>
      <c r="E19" s="13"/>
      <c r="F19" s="13"/>
      <c r="G19" s="15" t="n">
        <f aca="false">SUM(G13:G18)</f>
        <v>54</v>
      </c>
      <c r="H19" s="13"/>
      <c r="I19" s="13"/>
      <c r="J19" s="13"/>
    </row>
    <row r="21" customFormat="false" ht="19.5" hidden="false" customHeight="true" outlineLevel="0" collapsed="false">
      <c r="A21" s="6" t="s">
        <v>219</v>
      </c>
      <c r="B21" s="6"/>
      <c r="C21" s="6" t="s">
        <v>220</v>
      </c>
      <c r="D21" s="6"/>
      <c r="E21" s="6"/>
      <c r="F21" s="6"/>
      <c r="G21" s="6"/>
      <c r="H21" s="6"/>
      <c r="I21" s="6"/>
      <c r="J21" s="6"/>
    </row>
    <row r="22" customFormat="false" ht="120" hidden="false" customHeight="true" outlineLevel="0" collapsed="false">
      <c r="A22" s="16" t="s">
        <v>221</v>
      </c>
      <c r="B22" s="8" t="s">
        <v>219</v>
      </c>
      <c r="C22" s="9" t="s">
        <v>222</v>
      </c>
      <c r="D22" s="10" t="s">
        <v>45</v>
      </c>
      <c r="E22" s="8" t="s">
        <v>223</v>
      </c>
      <c r="F22" s="8" t="s">
        <v>112</v>
      </c>
      <c r="G22" s="8" t="n">
        <v>8</v>
      </c>
      <c r="H22" s="9" t="s">
        <v>224</v>
      </c>
      <c r="I22" s="9" t="s">
        <v>225</v>
      </c>
      <c r="J22" s="9" t="s">
        <v>226</v>
      </c>
    </row>
    <row r="23" customFormat="false" ht="120" hidden="false" customHeight="true" outlineLevel="0" collapsed="false">
      <c r="A23" s="7" t="s">
        <v>227</v>
      </c>
      <c r="B23" s="8" t="s">
        <v>219</v>
      </c>
      <c r="C23" s="9" t="s">
        <v>228</v>
      </c>
      <c r="D23" s="10" t="s">
        <v>45</v>
      </c>
      <c r="E23" s="8" t="s">
        <v>223</v>
      </c>
      <c r="F23" s="8" t="s">
        <v>112</v>
      </c>
      <c r="G23" s="8" t="n">
        <v>8</v>
      </c>
      <c r="H23" s="9" t="s">
        <v>229</v>
      </c>
      <c r="I23" s="9" t="s">
        <v>230</v>
      </c>
      <c r="J23" s="9" t="s">
        <v>231</v>
      </c>
    </row>
    <row r="24" customFormat="false" ht="120" hidden="false" customHeight="true" outlineLevel="0" collapsed="false">
      <c r="A24" s="7" t="s">
        <v>232</v>
      </c>
      <c r="B24" s="8" t="s">
        <v>219</v>
      </c>
      <c r="C24" s="9" t="s">
        <v>233</v>
      </c>
      <c r="D24" s="12" t="s">
        <v>82</v>
      </c>
      <c r="E24" s="8" t="s">
        <v>223</v>
      </c>
      <c r="F24" s="8" t="s">
        <v>54</v>
      </c>
      <c r="G24" s="8" t="n">
        <v>4</v>
      </c>
      <c r="H24" s="9" t="s">
        <v>234</v>
      </c>
      <c r="I24" s="9" t="s">
        <v>235</v>
      </c>
      <c r="J24" s="9" t="s">
        <v>236</v>
      </c>
    </row>
    <row r="25" customFormat="false" ht="120" hidden="false" customHeight="true" outlineLevel="0" collapsed="false">
      <c r="A25" s="7" t="s">
        <v>237</v>
      </c>
      <c r="B25" s="8" t="s">
        <v>219</v>
      </c>
      <c r="C25" s="9" t="s">
        <v>238</v>
      </c>
      <c r="D25" s="12" t="s">
        <v>82</v>
      </c>
      <c r="E25" s="8" t="s">
        <v>223</v>
      </c>
      <c r="F25" s="8" t="s">
        <v>112</v>
      </c>
      <c r="G25" s="8" t="n">
        <v>2</v>
      </c>
      <c r="H25" s="9" t="s">
        <v>239</v>
      </c>
      <c r="I25" s="9" t="s">
        <v>240</v>
      </c>
      <c r="J25" s="9" t="s">
        <v>241</v>
      </c>
    </row>
    <row r="26" customFormat="false" ht="120" hidden="false" customHeight="true" outlineLevel="0" collapsed="false">
      <c r="A26" s="11" t="s">
        <v>242</v>
      </c>
      <c r="B26" s="8" t="s">
        <v>219</v>
      </c>
      <c r="C26" s="9" t="s">
        <v>243</v>
      </c>
      <c r="D26" s="10" t="s">
        <v>45</v>
      </c>
      <c r="E26" s="8" t="s">
        <v>223</v>
      </c>
      <c r="F26" s="8" t="s">
        <v>112</v>
      </c>
      <c r="G26" s="8" t="n">
        <v>8</v>
      </c>
      <c r="H26" s="9" t="s">
        <v>244</v>
      </c>
      <c r="I26" s="9" t="s">
        <v>245</v>
      </c>
      <c r="J26" s="9" t="s">
        <v>246</v>
      </c>
    </row>
    <row r="27" customFormat="false" ht="120" hidden="false" customHeight="true" outlineLevel="0" collapsed="false">
      <c r="A27" s="11" t="s">
        <v>247</v>
      </c>
      <c r="B27" s="8" t="s">
        <v>219</v>
      </c>
      <c r="C27" s="9" t="s">
        <v>248</v>
      </c>
      <c r="D27" s="10" t="s">
        <v>45</v>
      </c>
      <c r="E27" s="8" t="s">
        <v>223</v>
      </c>
      <c r="F27" s="8" t="s">
        <v>54</v>
      </c>
      <c r="G27" s="8" t="n">
        <v>18</v>
      </c>
      <c r="H27" s="9" t="s">
        <v>249</v>
      </c>
      <c r="I27" s="9" t="s">
        <v>250</v>
      </c>
      <c r="J27" s="9" t="s">
        <v>251</v>
      </c>
    </row>
    <row r="28" customFormat="false" ht="120" hidden="false" customHeight="true" outlineLevel="0" collapsed="false">
      <c r="A28" s="7" t="s">
        <v>252</v>
      </c>
      <c r="B28" s="8" t="s">
        <v>219</v>
      </c>
      <c r="C28" s="9" t="s">
        <v>253</v>
      </c>
      <c r="D28" s="12" t="s">
        <v>82</v>
      </c>
      <c r="E28" s="8" t="s">
        <v>223</v>
      </c>
      <c r="F28" s="8" t="s">
        <v>54</v>
      </c>
      <c r="G28" s="8" t="n">
        <v>8</v>
      </c>
      <c r="H28" s="9" t="s">
        <v>254</v>
      </c>
      <c r="I28" s="9" t="s">
        <v>255</v>
      </c>
      <c r="J28" s="9" t="s">
        <v>256</v>
      </c>
    </row>
    <row r="29" customFormat="false" ht="15" hidden="false" customHeight="true" outlineLevel="0" collapsed="false">
      <c r="A29" s="13"/>
      <c r="B29" s="13"/>
      <c r="C29" s="14" t="s">
        <v>257</v>
      </c>
      <c r="D29" s="13"/>
      <c r="E29" s="13"/>
      <c r="F29" s="13"/>
      <c r="G29" s="15" t="n">
        <f aca="false">SUM(G22:G28)</f>
        <v>56</v>
      </c>
      <c r="H29" s="13"/>
      <c r="I29" s="13"/>
      <c r="J29" s="13"/>
    </row>
    <row r="31" customFormat="false" ht="19.5" hidden="false" customHeight="true" outlineLevel="0" collapsed="false">
      <c r="A31" s="6" t="s">
        <v>258</v>
      </c>
      <c r="B31" s="6"/>
      <c r="C31" s="6" t="s">
        <v>259</v>
      </c>
      <c r="D31" s="6"/>
      <c r="E31" s="6"/>
      <c r="F31" s="6"/>
      <c r="G31" s="6"/>
      <c r="H31" s="6"/>
      <c r="I31" s="6"/>
      <c r="J31" s="6"/>
    </row>
    <row r="32" customFormat="false" ht="120" hidden="false" customHeight="true" outlineLevel="0" collapsed="false">
      <c r="A32" s="7" t="s">
        <v>260</v>
      </c>
      <c r="B32" s="8" t="s">
        <v>258</v>
      </c>
      <c r="C32" s="9" t="s">
        <v>261</v>
      </c>
      <c r="D32" s="10" t="s">
        <v>45</v>
      </c>
      <c r="E32" s="8" t="s">
        <v>83</v>
      </c>
      <c r="F32" s="8" t="s">
        <v>112</v>
      </c>
      <c r="G32" s="8" t="n">
        <v>14</v>
      </c>
      <c r="H32" s="9" t="s">
        <v>262</v>
      </c>
      <c r="I32" s="9" t="s">
        <v>263</v>
      </c>
      <c r="J32" s="9" t="s">
        <v>264</v>
      </c>
    </row>
    <row r="33" customFormat="false" ht="120" hidden="false" customHeight="true" outlineLevel="0" collapsed="false">
      <c r="A33" s="11" t="s">
        <v>265</v>
      </c>
      <c r="B33" s="8" t="s">
        <v>258</v>
      </c>
      <c r="C33" s="9" t="s">
        <v>266</v>
      </c>
      <c r="D33" s="12" t="s">
        <v>82</v>
      </c>
      <c r="E33" s="8" t="s">
        <v>83</v>
      </c>
      <c r="F33" s="8" t="s">
        <v>112</v>
      </c>
      <c r="G33" s="8" t="n">
        <v>10</v>
      </c>
      <c r="H33" s="9" t="s">
        <v>267</v>
      </c>
      <c r="I33" s="9" t="s">
        <v>268</v>
      </c>
      <c r="J33" s="9" t="s">
        <v>269</v>
      </c>
    </row>
    <row r="34" customFormat="false" ht="120" hidden="false" customHeight="true" outlineLevel="0" collapsed="false">
      <c r="A34" s="7" t="s">
        <v>270</v>
      </c>
      <c r="B34" s="8" t="s">
        <v>258</v>
      </c>
      <c r="C34" s="9" t="s">
        <v>271</v>
      </c>
      <c r="D34" s="12" t="s">
        <v>82</v>
      </c>
      <c r="E34" s="8" t="s">
        <v>83</v>
      </c>
      <c r="F34" s="8" t="s">
        <v>112</v>
      </c>
      <c r="G34" s="8" t="n">
        <v>10</v>
      </c>
      <c r="H34" s="9" t="s">
        <v>272</v>
      </c>
      <c r="I34" s="9" t="s">
        <v>273</v>
      </c>
      <c r="J34" s="9" t="s">
        <v>274</v>
      </c>
    </row>
    <row r="35" customFormat="false" ht="120" hidden="false" customHeight="true" outlineLevel="0" collapsed="false">
      <c r="A35" s="11" t="s">
        <v>275</v>
      </c>
      <c r="B35" s="8" t="s">
        <v>258</v>
      </c>
      <c r="C35" s="9" t="s">
        <v>276</v>
      </c>
      <c r="D35" s="12" t="s">
        <v>82</v>
      </c>
      <c r="E35" s="8" t="s">
        <v>83</v>
      </c>
      <c r="F35" s="8" t="s">
        <v>112</v>
      </c>
      <c r="G35" s="8" t="n">
        <v>14</v>
      </c>
      <c r="H35" s="9" t="s">
        <v>277</v>
      </c>
      <c r="I35" s="9" t="s">
        <v>278</v>
      </c>
      <c r="J35" s="9" t="s">
        <v>279</v>
      </c>
    </row>
    <row r="36" customFormat="false" ht="120" hidden="false" customHeight="true" outlineLevel="0" collapsed="false">
      <c r="A36" s="11" t="s">
        <v>280</v>
      </c>
      <c r="B36" s="8" t="s">
        <v>258</v>
      </c>
      <c r="C36" s="9" t="s">
        <v>281</v>
      </c>
      <c r="D36" s="12" t="s">
        <v>82</v>
      </c>
      <c r="E36" s="8" t="s">
        <v>83</v>
      </c>
      <c r="F36" s="8" t="s">
        <v>112</v>
      </c>
      <c r="G36" s="8" t="n">
        <v>10</v>
      </c>
      <c r="H36" s="9" t="s">
        <v>282</v>
      </c>
      <c r="I36" s="9" t="s">
        <v>283</v>
      </c>
      <c r="J36" s="9" t="s">
        <v>284</v>
      </c>
    </row>
    <row r="37" customFormat="false" ht="15" hidden="false" customHeight="true" outlineLevel="0" collapsed="false">
      <c r="A37" s="13"/>
      <c r="B37" s="13"/>
      <c r="C37" s="14" t="s">
        <v>285</v>
      </c>
      <c r="D37" s="13"/>
      <c r="E37" s="13"/>
      <c r="F37" s="13"/>
      <c r="G37" s="15" t="n">
        <f aca="false">SUM(G32:G36)</f>
        <v>58</v>
      </c>
      <c r="H37" s="13"/>
      <c r="I37" s="13"/>
      <c r="J37" s="13"/>
    </row>
    <row r="39" customFormat="false" ht="19.5" hidden="false" customHeight="true" outlineLevel="0" collapsed="false">
      <c r="A39" s="6" t="s">
        <v>286</v>
      </c>
      <c r="B39" s="6"/>
      <c r="C39" s="6" t="s">
        <v>287</v>
      </c>
      <c r="D39" s="6"/>
      <c r="E39" s="6"/>
      <c r="F39" s="6"/>
      <c r="G39" s="6"/>
      <c r="H39" s="6"/>
      <c r="I39" s="6"/>
      <c r="J39" s="6"/>
    </row>
    <row r="40" customFormat="false" ht="120" hidden="false" customHeight="true" outlineLevel="0" collapsed="false">
      <c r="A40" s="7" t="s">
        <v>288</v>
      </c>
      <c r="B40" s="8" t="s">
        <v>286</v>
      </c>
      <c r="C40" s="9" t="s">
        <v>289</v>
      </c>
      <c r="D40" s="10" t="s">
        <v>45</v>
      </c>
      <c r="E40" s="8" t="s">
        <v>290</v>
      </c>
      <c r="F40" s="8" t="s">
        <v>112</v>
      </c>
      <c r="G40" s="8" t="n">
        <v>16</v>
      </c>
      <c r="H40" s="9" t="s">
        <v>291</v>
      </c>
      <c r="I40" s="9" t="s">
        <v>292</v>
      </c>
      <c r="J40" s="9" t="s">
        <v>293</v>
      </c>
    </row>
    <row r="41" customFormat="false" ht="120" hidden="false" customHeight="true" outlineLevel="0" collapsed="false">
      <c r="A41" s="7" t="s">
        <v>294</v>
      </c>
      <c r="B41" s="8" t="s">
        <v>286</v>
      </c>
      <c r="C41" s="9" t="s">
        <v>295</v>
      </c>
      <c r="D41" s="12" t="s">
        <v>82</v>
      </c>
      <c r="E41" s="8" t="s">
        <v>71</v>
      </c>
      <c r="F41" s="8" t="s">
        <v>54</v>
      </c>
      <c r="G41" s="8" t="n">
        <v>8</v>
      </c>
      <c r="H41" s="9" t="s">
        <v>296</v>
      </c>
      <c r="I41" s="9" t="s">
        <v>297</v>
      </c>
      <c r="J41" s="9" t="s">
        <v>298</v>
      </c>
    </row>
    <row r="42" customFormat="false" ht="120" hidden="false" customHeight="true" outlineLevel="0" collapsed="false">
      <c r="A42" s="11" t="s">
        <v>299</v>
      </c>
      <c r="B42" s="8" t="s">
        <v>286</v>
      </c>
      <c r="C42" s="9" t="s">
        <v>300</v>
      </c>
      <c r="D42" s="12" t="s">
        <v>82</v>
      </c>
      <c r="E42" s="8" t="s">
        <v>301</v>
      </c>
      <c r="F42" s="8" t="s">
        <v>112</v>
      </c>
      <c r="G42" s="8" t="n">
        <v>10</v>
      </c>
      <c r="H42" s="9" t="s">
        <v>302</v>
      </c>
      <c r="I42" s="9" t="s">
        <v>303</v>
      </c>
      <c r="J42" s="9" t="s">
        <v>304</v>
      </c>
    </row>
    <row r="43" customFormat="false" ht="120" hidden="false" customHeight="true" outlineLevel="0" collapsed="false">
      <c r="A43" s="11" t="s">
        <v>305</v>
      </c>
      <c r="B43" s="8" t="s">
        <v>286</v>
      </c>
      <c r="C43" s="9" t="s">
        <v>306</v>
      </c>
      <c r="D43" s="17" t="s">
        <v>133</v>
      </c>
      <c r="E43" s="8" t="s">
        <v>307</v>
      </c>
      <c r="F43" s="8" t="s">
        <v>112</v>
      </c>
      <c r="G43" s="8" t="n">
        <v>6</v>
      </c>
      <c r="H43" s="9" t="s">
        <v>308</v>
      </c>
      <c r="I43" s="9" t="s">
        <v>309</v>
      </c>
      <c r="J43" s="9" t="s">
        <v>310</v>
      </c>
    </row>
    <row r="44" customFormat="false" ht="120" hidden="false" customHeight="true" outlineLevel="0" collapsed="false">
      <c r="A44" s="11" t="s">
        <v>311</v>
      </c>
      <c r="B44" s="8" t="s">
        <v>286</v>
      </c>
      <c r="C44" s="9" t="s">
        <v>312</v>
      </c>
      <c r="D44" s="17" t="s">
        <v>133</v>
      </c>
      <c r="E44" s="8" t="s">
        <v>83</v>
      </c>
      <c r="F44" s="8" t="s">
        <v>112</v>
      </c>
      <c r="G44" s="8" t="n">
        <v>4</v>
      </c>
      <c r="H44" s="9" t="s">
        <v>313</v>
      </c>
      <c r="I44" s="9" t="s">
        <v>314</v>
      </c>
      <c r="J44" s="9" t="s">
        <v>315</v>
      </c>
    </row>
    <row r="45" customFormat="false" ht="15" hidden="false" customHeight="true" outlineLevel="0" collapsed="false">
      <c r="A45" s="13"/>
      <c r="B45" s="13"/>
      <c r="C45" s="14" t="s">
        <v>316</v>
      </c>
      <c r="D45" s="13"/>
      <c r="E45" s="13"/>
      <c r="F45" s="13"/>
      <c r="G45" s="15" t="n">
        <f aca="false">SUM(G40:G44)</f>
        <v>44</v>
      </c>
      <c r="H45" s="13"/>
      <c r="I45" s="13"/>
      <c r="J45"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9"/>
    <col collapsed="false" customWidth="true" hidden="false" outlineLevel="0" max="3" min="3" style="1" width="42"/>
    <col collapsed="false" customWidth="true" hidden="false" outlineLevel="0" max="4" min="4" style="1" width="10"/>
    <col collapsed="false" customWidth="true" hidden="false" outlineLevel="0" max="5" min="5" style="1" width="13"/>
    <col collapsed="false" customWidth="true" hidden="false" outlineLevel="0" max="6" min="6" style="1" width="9"/>
    <col collapsed="false" customWidth="true" hidden="false" outlineLevel="0" max="7" min="7" style="1" width="7"/>
    <col collapsed="false" customWidth="true" hidden="false" outlineLevel="0" max="8" min="8" style="1" width="26"/>
    <col collapsed="false" customWidth="true" hidden="false" outlineLevel="0" max="9" min="9" style="1" width="86"/>
    <col collapsed="false" customWidth="true" hidden="false" outlineLevel="0" max="10" min="10" style="1" width="74"/>
  </cols>
  <sheetData>
    <row r="1" customFormat="false" ht="30" hidden="false" customHeight="true" outlineLevel="0" collapsed="false">
      <c r="A1" s="5" t="s">
        <v>31</v>
      </c>
      <c r="B1" s="5" t="s">
        <v>32</v>
      </c>
      <c r="C1" s="5" t="s">
        <v>33</v>
      </c>
      <c r="D1" s="5" t="s">
        <v>34</v>
      </c>
      <c r="E1" s="5" t="s">
        <v>35</v>
      </c>
      <c r="F1" s="5" t="s">
        <v>36</v>
      </c>
      <c r="G1" s="5" t="s">
        <v>37</v>
      </c>
      <c r="H1" s="5" t="s">
        <v>38</v>
      </c>
      <c r="I1" s="5" t="s">
        <v>39</v>
      </c>
      <c r="J1" s="5" t="s">
        <v>40</v>
      </c>
    </row>
    <row r="2" customFormat="false" ht="19.5" hidden="false" customHeight="true" outlineLevel="0" collapsed="false">
      <c r="A2" s="6" t="s">
        <v>317</v>
      </c>
      <c r="B2" s="6"/>
      <c r="C2" s="6" t="s">
        <v>318</v>
      </c>
      <c r="D2" s="6"/>
      <c r="E2" s="6"/>
      <c r="F2" s="6"/>
      <c r="G2" s="6"/>
      <c r="H2" s="6"/>
      <c r="I2" s="6"/>
      <c r="J2" s="6"/>
    </row>
    <row r="3" customFormat="false" ht="120" hidden="false" customHeight="true" outlineLevel="0" collapsed="false">
      <c r="A3" s="11" t="s">
        <v>319</v>
      </c>
      <c r="B3" s="8" t="s">
        <v>317</v>
      </c>
      <c r="C3" s="9" t="s">
        <v>320</v>
      </c>
      <c r="D3" s="10" t="s">
        <v>45</v>
      </c>
      <c r="E3" s="8" t="s">
        <v>321</v>
      </c>
      <c r="F3" s="8" t="s">
        <v>54</v>
      </c>
      <c r="G3" s="8" t="n">
        <v>20</v>
      </c>
      <c r="H3" s="9" t="s">
        <v>322</v>
      </c>
      <c r="I3" s="9" t="s">
        <v>323</v>
      </c>
      <c r="J3" s="9" t="s">
        <v>324</v>
      </c>
    </row>
    <row r="4" customFormat="false" ht="120" hidden="false" customHeight="true" outlineLevel="0" collapsed="false">
      <c r="A4" s="11" t="s">
        <v>325</v>
      </c>
      <c r="B4" s="8" t="s">
        <v>317</v>
      </c>
      <c r="C4" s="9" t="s">
        <v>326</v>
      </c>
      <c r="D4" s="12" t="s">
        <v>82</v>
      </c>
      <c r="E4" s="8" t="s">
        <v>71</v>
      </c>
      <c r="F4" s="8" t="s">
        <v>112</v>
      </c>
      <c r="G4" s="8" t="n">
        <v>12</v>
      </c>
      <c r="H4" s="9" t="s">
        <v>327</v>
      </c>
      <c r="I4" s="9" t="s">
        <v>328</v>
      </c>
      <c r="J4" s="9" t="s">
        <v>329</v>
      </c>
    </row>
    <row r="5" customFormat="false" ht="120" hidden="false" customHeight="true" outlineLevel="0" collapsed="false">
      <c r="A5" s="11" t="s">
        <v>330</v>
      </c>
      <c r="B5" s="8" t="s">
        <v>317</v>
      </c>
      <c r="C5" s="9" t="s">
        <v>331</v>
      </c>
      <c r="D5" s="12" t="s">
        <v>82</v>
      </c>
      <c r="E5" s="8" t="s">
        <v>71</v>
      </c>
      <c r="F5" s="8" t="s">
        <v>54</v>
      </c>
      <c r="G5" s="8" t="n">
        <v>12</v>
      </c>
      <c r="H5" s="9" t="s">
        <v>332</v>
      </c>
      <c r="I5" s="9" t="s">
        <v>333</v>
      </c>
      <c r="J5" s="9" t="s">
        <v>334</v>
      </c>
    </row>
    <row r="6" customFormat="false" ht="15" hidden="false" customHeight="true" outlineLevel="0" collapsed="false">
      <c r="A6" s="13"/>
      <c r="B6" s="13"/>
      <c r="C6" s="14" t="s">
        <v>335</v>
      </c>
      <c r="D6" s="13"/>
      <c r="E6" s="13"/>
      <c r="F6" s="13"/>
      <c r="G6" s="15" t="n">
        <f aca="false">SUM(G3:G5)</f>
        <v>44</v>
      </c>
      <c r="H6" s="13"/>
      <c r="I6" s="13"/>
      <c r="J6"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2026-07-25T15:19:14Z</dcterms:created>
  <dc:creator>openpyxl</dc:creator>
  <dc:description/>
  <dc:language>en-US</dc:language>
  <cp:lastModifiedBy/>
  <dcterms:modified xsi:type="dcterms:W3CDTF">2026-07-25T15:19:35Z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